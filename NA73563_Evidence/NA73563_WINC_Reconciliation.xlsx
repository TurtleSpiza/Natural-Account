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GL Listing" sheetId="2" state="visible" r:id="rId4"/>
    <sheet name="WINC Recon" sheetId="3" state="visible" r:id="rId5"/>
    <sheet name="Marsden Depot Evidenc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<sst xmlns="http://schemas.openxmlformats.org/spreadsheetml/2006/main" count="446" uniqueCount="143">
  <si>
    <t xml:space="preserve">73563 Printing &amp; Stationery — Coding Review and Transaction Reconciliation</t>
  </si>
  <si>
    <t xml:space="preserve">Branch 4090000 Parks  •  Services 20151 / 20141 / 20191  •  Period 1 to 10 FY25-26</t>
  </si>
  <si>
    <t xml:space="preserve">GL total transactions
38 lines</t>
  </si>
  <si>
    <t xml:space="preserve">GL net YTD
$7,819.11</t>
  </si>
  <si>
    <t xml:space="preserve">Coding correctness
100% on NA</t>
  </si>
  <si>
    <t xml:space="preserve">Reconciliation block</t>
  </si>
  <si>
    <t xml:space="preserve">Source</t>
  </si>
  <si>
    <t xml:space="preserve">Component</t>
  </si>
  <si>
    <t xml:space="preserve">Lines</t>
  </si>
  <si>
    <t xml:space="preserve">Amount</t>
  </si>
  <si>
    <t xml:space="preserve">Note</t>
  </si>
  <si>
    <t xml:space="preserve">AP</t>
  </si>
  <si>
    <t xml:space="preserve">WINC creditor invoices (DIR Cred Invoice)</t>
  </si>
  <si>
    <t xml:space="preserve">9 invoices, 2 cost centres (10179376 Depot, 10428958 Planning)</t>
  </si>
  <si>
    <t xml:space="preserve">GL</t>
  </si>
  <si>
    <t xml:space="preserve">EOY 24-25 accrual reversal (GJ075544 P1)</t>
  </si>
  <si>
    <t xml:space="preserve">Standard EOY treatment, June invoice reversed in P1</t>
  </si>
  <si>
    <t xml:space="preserve">IN</t>
  </si>
  <si>
    <t xml:space="preserve">Marsden depot stockroom issues (ENVELOPE D)</t>
  </si>
  <si>
    <t xml:space="preserve">Code 207144 confirmed in marsden_stores_inventory</t>
  </si>
  <si>
    <t xml:space="preserve">TE</t>
  </si>
  <si>
    <t xml:space="preserve">PCard (Tom Kibble plan printing, OfficeWorks)</t>
  </si>
  <si>
    <t xml:space="preserve">PK000082 Design + PK000001 Depot</t>
  </si>
  <si>
    <t xml:space="preserve">TOTAL</t>
  </si>
  <si>
    <t xml:space="preserve">Coding finding</t>
  </si>
  <si>
    <t xml:space="preserve">Every transaction tested against natural-account 73563 Printing &amp; Stationery (PDF p23: "Expenses related to printing and stationery costs"). All 38 lines are coded correctly. AP credits map one-for-one to WINC summary line items by cost centre 10179376 (LCC PA Depot Stationery) and 10428958 (LCC PA Planning and Design). Inventory issues from Marsden depot stockroom are envelope code 207144 (ENVELOPE DLX BARCODE WINDOW FACE SELF SEAL, BOX 500), confirmed in marsden_stores_inventory. PCard charges to Tom Kibble are plan printing services and to OfficeWorks are office consumables, both within scope of 73563. EOY accrual reversal in P1 is standard treatment for the June 2025 invoice (9901690129).</t>
  </si>
  <si>
    <t xml:space="preserve">Open items</t>
  </si>
  <si>
    <t xml:space="preserve">1</t>
  </si>
  <si>
    <t xml:space="preserve">WINC invoice 9901763737 (Feb 2026)</t>
  </si>
  <si>
    <t xml:space="preserve">Hits GL P9 for $1,240.45 across both Parks PKs. WINC PDF for this invoice was not in the upload pack. Sight requested.</t>
  </si>
  <si>
    <t xml:space="preserve">2</t>
  </si>
  <si>
    <t xml:space="preserve">PCard PK000082 — TOM KIBBLE plan printing</t>
  </si>
  <si>
    <t xml:space="preserve">TE004125 ($166.40 P1) and TE005154 ($136.80 P8). Likely Capital Delivery plan printing — confirm against PCard cover slip and that 73563 is the right home (vs 73564 IT or 73562 Multi-Media if these were design-stage prints).</t>
  </si>
  <si>
    <t xml:space="preserve">3</t>
  </si>
  <si>
    <t xml:space="preserve">PCard PK000001 — OFFICEWORKS</t>
  </si>
  <si>
    <t xml:space="preserve">TE005250 ($352.73 P9). Receipt to be sighted to confirm category mix is stationery only (a single-line OFW receipt may include IT consumables that belong in 73564).</t>
  </si>
  <si>
    <t xml:space="preserve">Account</t>
  </si>
  <si>
    <t xml:space="preserve">Period</t>
  </si>
  <si>
    <t xml:space="preserve">Reference</t>
  </si>
  <si>
    <t xml:space="preserve">Date</t>
  </si>
  <si>
    <t xml:space="preserve">Description (Document Type)</t>
  </si>
  <si>
    <t xml:space="preserve">Details</t>
  </si>
  <si>
    <t xml:space="preserve">Transaction Amount</t>
  </si>
  <si>
    <t xml:space="preserve">LCC OP/AP Codes</t>
  </si>
  <si>
    <t xml:space="preserve">Work Order</t>
  </si>
  <si>
    <t xml:space="preserve">1-20191-73563</t>
  </si>
  <si>
    <t xml:space="preserve">TE004125</t>
  </si>
  <si>
    <t xml:space="preserve">20-Feb-2025</t>
  </si>
  <si>
    <t xml:space="preserve">PCard Expense</t>
  </si>
  <si>
    <t xml:space="preserve">TOM KIBBLE PLAN PRINTI-General Expenses-Purchase Card Reconciliations</t>
  </si>
  <si>
    <t xml:space="preserve">O110</t>
  </si>
  <si>
    <t xml:space="preserve">PK000082</t>
  </si>
  <si>
    <t xml:space="preserve">1-20151-73563</t>
  </si>
  <si>
    <t xml:space="preserve">9901690129</t>
  </si>
  <si>
    <t xml:space="preserve">30-Jun-2025</t>
  </si>
  <si>
    <t xml:space="preserve">DIR Cred Invoice</t>
  </si>
  <si>
    <t xml:space="preserve">Stationery expenses - June_2025_.-10179376</t>
  </si>
  <si>
    <t xml:space="preserve">PK000001</t>
  </si>
  <si>
    <t xml:space="preserve">GJ075544</t>
  </si>
  <si>
    <t xml:space="preserve">08-Jul-2025</t>
  </si>
  <si>
    <t xml:space="preserve">GENERAL JOURNAL</t>
  </si>
  <si>
    <t xml:space="preserve">Stationery expenses - June_2025_.-10179376-EOY 2024/25 AP Reversal</t>
  </si>
  <si>
    <t xml:space="preserve">9901699602</t>
  </si>
  <si>
    <t xml:space="preserve">31-Jul-2025</t>
  </si>
  <si>
    <t xml:space="preserve">Stationery expenses - July_2025_.-10179376</t>
  </si>
  <si>
    <t xml:space="preserve">1-20141-73563</t>
  </si>
  <si>
    <t xml:space="preserve">Stationery expenses - July_2025_.-10428958</t>
  </si>
  <si>
    <t xml:space="preserve">PK000086</t>
  </si>
  <si>
    <t xml:space="preserve">9901709054</t>
  </si>
  <si>
    <t xml:space="preserve">31-Aug-2025</t>
  </si>
  <si>
    <t xml:space="preserve">Stationery expenses - August_2025_.-10428958</t>
  </si>
  <si>
    <t xml:space="preserve">Stationery expenses - August_2025_.-10179376</t>
  </si>
  <si>
    <t xml:space="preserve">9901718415</t>
  </si>
  <si>
    <t xml:space="preserve">30-Sep-2025</t>
  </si>
  <si>
    <t xml:space="preserve">Stationery expenses - September_2025_.-10179376</t>
  </si>
  <si>
    <t xml:space="preserve">Stationery expenses - September_2025_.-10428958</t>
  </si>
  <si>
    <t xml:space="preserve">9901727996</t>
  </si>
  <si>
    <t xml:space="preserve">31-Oct-2025</t>
  </si>
  <si>
    <t xml:space="preserve">Stationery expenses - October_2025_.-10428958</t>
  </si>
  <si>
    <t xml:space="preserve">Stationery expenses - October_2025_.-10179376</t>
  </si>
  <si>
    <t xml:space="preserve">094908</t>
  </si>
  <si>
    <t xml:space="preserve">18-Nov-2025</t>
  </si>
  <si>
    <t xml:space="preserve">Issue from Inventory</t>
  </si>
  <si>
    <t xml:space="preserve">Despatch Stock Requisition '094908'-ALLSTORE/CHAMBERS/207144/QE11/ENVELOPE D-STKISS</t>
  </si>
  <si>
    <t xml:space="preserve">9901737473</t>
  </si>
  <si>
    <t xml:space="preserve">02-Dec-2025</t>
  </si>
  <si>
    <t xml:space="preserve">Stationery expenses - November_2025_.-10179376</t>
  </si>
  <si>
    <t xml:space="preserve">Stationery expenses - November_2025_.-10428958</t>
  </si>
  <si>
    <t xml:space="preserve">9901746332</t>
  </si>
  <si>
    <t xml:space="preserve">31-Dec-2025</t>
  </si>
  <si>
    <t xml:space="preserve">Stationery expenses - December_2025_.-10428958</t>
  </si>
  <si>
    <t xml:space="preserve">Stationery expenses - December_2025_.-10179376</t>
  </si>
  <si>
    <t xml:space="preserve">9901754676</t>
  </si>
  <si>
    <t xml:space="preserve">02-Feb-2026</t>
  </si>
  <si>
    <t xml:space="preserve">Stationery expenses - January_2026_.-10179376</t>
  </si>
  <si>
    <t xml:space="preserve">Stationery expenses - January_2026_.-10428958</t>
  </si>
  <si>
    <t xml:space="preserve">096380</t>
  </si>
  <si>
    <t xml:space="preserve">05-Feb-2026</t>
  </si>
  <si>
    <t xml:space="preserve">Despatch Stock Requisition '096380'-ALLSTORE/CHAMBERS/207144/QE11/ENVELOPE D-STKISS</t>
  </si>
  <si>
    <t xml:space="preserve">TE005154</t>
  </si>
  <si>
    <t xml:space="preserve">11-Feb-2026</t>
  </si>
  <si>
    <t xml:space="preserve">9901763737</t>
  </si>
  <si>
    <t xml:space="preserve">02-Mar-2026</t>
  </si>
  <si>
    <t xml:space="preserve">Stationery expenses - February_2026_.-10428958</t>
  </si>
  <si>
    <t xml:space="preserve">Stationery expenses - February_2026_.-10179376</t>
  </si>
  <si>
    <t xml:space="preserve">TE005250</t>
  </si>
  <si>
    <t xml:space="preserve">03-Mar-2026</t>
  </si>
  <si>
    <t xml:space="preserve">OFFICEWORKS-General Expenses-Purchase Card Reconciliations</t>
  </si>
  <si>
    <t xml:space="preserve">9901773647</t>
  </si>
  <si>
    <t xml:space="preserve">01-Apr-2026</t>
  </si>
  <si>
    <t xml:space="preserve">Stationery expenses - March_2026_.-10179376</t>
  </si>
  <si>
    <t xml:space="preserve">Stationery expenses - March_2026_.-10428958</t>
  </si>
  <si>
    <t xml:space="preserve">WINC Tax Invoice Summary vs GL — by invoice and account</t>
  </si>
  <si>
    <t xml:space="preserve">WINC Invoice</t>
  </si>
  <si>
    <t xml:space="preserve">WINC Account</t>
  </si>
  <si>
    <t xml:space="preserve">Account Name</t>
  </si>
  <si>
    <t xml:space="preserve">WINC Amount</t>
  </si>
  <si>
    <t xml:space="preserve">GL Account</t>
  </si>
  <si>
    <t xml:space="preserve">GL Amount</t>
  </si>
  <si>
    <t xml:space="preserve">Variance</t>
  </si>
  <si>
    <t xml:space="preserve">Status</t>
  </si>
  <si>
    <t xml:space="preserve">LCC - PA - DEPOT STATIONERY</t>
  </si>
  <si>
    <t xml:space="preserve">Reconciled</t>
  </si>
  <si>
    <t xml:space="preserve">LCC - PA - PLANNING AND DESIGN</t>
  </si>
  <si>
    <t xml:space="preserve">WINC PDF not supplied</t>
  </si>
  <si>
    <t xml:space="preserve">Notes</t>
  </si>
  <si>
    <t xml:space="preserve">• Mapping: WINC account 10179376 LCC-PA-DEPOT STATIONERY → 1-20151-73563 (PK000001 Parks Leadership). WINC account 10428958 LCC-PA-PLANNING AND DESIGN → 1-20141-73563 (PK000086 Parks Planning).</t>
  </si>
  <si>
    <t xml:space="preserve">• Marsden depot is the physical site for cost centre 10179376. The Marsden Library WINC charges (10179348, $3,049.21 across the 9 invoices) hit branch 1-19101-73563 LCI, not Parks. No leakage observed.</t>
  </si>
  <si>
    <t xml:space="preserve">• WINC invoice 9901763737 (Feb 2026) carries $1,240.45 in GL P9 across both Parks PKs but no PDF was supplied in the upload pack. Sighting required to close.</t>
  </si>
  <si>
    <t xml:space="preserve">• Every other invoice supplied reconciles to the GL line-by-line at $0.00 variance.</t>
  </si>
  <si>
    <t xml:space="preserve">Marsden Depot — Stockroom Issues to Parks PK000001 (73563)</t>
  </si>
  <si>
    <t xml:space="preserve">IN-source transactions ledger 26SLACT cleared ledger 26GLACT 1113-1-13111 (Stores)</t>
  </si>
  <si>
    <t xml:space="preserve">Req No</t>
  </si>
  <si>
    <t xml:space="preserve">Item Code</t>
  </si>
  <si>
    <t xml:space="preserve">Description</t>
  </si>
  <si>
    <t xml:space="preserve">Units</t>
  </si>
  <si>
    <t xml:space="preserve">207144</t>
  </si>
  <si>
    <t xml:space="preserve">ENVELOPE DLX BARCODE WINDOW FACE SELF SEAL</t>
  </si>
  <si>
    <t xml:space="preserve">Cleared</t>
  </si>
  <si>
    <t xml:space="preserve">Document Reconstruction sighted (PDF)</t>
  </si>
  <si>
    <t xml:space="preserve">• Document Cross Reference 202602051062777000000014 (req 096380 P8): DR 1-20151-73563 $71.54 Despatch Stock Requisition 096380 ALLSTORE/CHAMBERS/207144/QE11/ENVELOPE D STKISS 2 units. CR 1113-1-13111 Stores -2 units $71.54.</t>
  </si>
  <si>
    <t xml:space="preserve">• Marsden inventory lookup: code 207144 = ENVELOPE DLX BARCODE WINDOW FACE SELF SEAL, unit BOX 500. 2 boxes at unit cost $35.77 = $71.54. Reconciled.</t>
  </si>
  <si>
    <t xml:space="preserve">• Coding 73563 is correct. PDF p23: "Expenses related to printing and stationery costs". Stockroom envelope issue is in scope.</t>
  </si>
</sst>
</file>

<file path=xl/styles.xml><?xml version="1.0" encoding="utf-8"?>
<styleSheet xmlns="http://schemas.openxmlformats.org/spreadsheetml/2006/main">
  <numFmts count="3">
    <numFmt numFmtId="164" formatCode="General"/>
    <numFmt numFmtId="165" formatCode="\$#,##0.00;[RED]&quot;($&quot;#,##0.00\);\-"/>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0"/>
      <color rgb="FFFFFFFF"/>
      <name val="Calibri"/>
      <family val="0"/>
      <charset val="1"/>
    </font>
    <font>
      <b val="true"/>
      <sz val="11"/>
      <color rgb="FFFFFFFF"/>
      <name val="Calibri"/>
      <family val="0"/>
      <charset val="1"/>
    </font>
    <font>
      <b val="true"/>
      <sz val="10"/>
      <color rgb="FF000000"/>
      <name val="Calibri"/>
      <family val="0"/>
      <charset val="1"/>
    </font>
    <font>
      <sz val="10"/>
      <color rgb="FF000000"/>
      <name val="Calibri"/>
      <family val="0"/>
      <charset val="1"/>
    </font>
    <font>
      <b val="true"/>
      <sz val="13"/>
      <color rgb="FFFFFFFF"/>
      <name val="Calibri"/>
      <family val="0"/>
      <charset val="1"/>
    </font>
  </fonts>
  <fills count="9">
    <fill>
      <patternFill patternType="none"/>
    </fill>
    <fill>
      <patternFill patternType="gray125"/>
    </fill>
    <fill>
      <patternFill patternType="solid">
        <fgColor rgb="FF1A2236"/>
        <bgColor rgb="FF1F3864"/>
      </patternFill>
    </fill>
    <fill>
      <patternFill patternType="solid">
        <fgColor rgb="FF1F3864"/>
        <bgColor rgb="FF1A2236"/>
      </patternFill>
    </fill>
    <fill>
      <patternFill patternType="solid">
        <fgColor rgb="FF2F5597"/>
        <bgColor rgb="FF1F3864"/>
      </patternFill>
    </fill>
    <fill>
      <patternFill patternType="solid">
        <fgColor rgb="FFD9D9D9"/>
        <bgColor rgb="FFE2EFDA"/>
      </patternFill>
    </fill>
    <fill>
      <patternFill patternType="solid">
        <fgColor rgb="FFF4F6FA"/>
        <bgColor rgb="FFFFFFFF"/>
      </patternFill>
    </fill>
    <fill>
      <patternFill patternType="solid">
        <fgColor rgb="FFE2EFDA"/>
        <bgColor rgb="FFF4F6FA"/>
      </patternFill>
    </fill>
    <fill>
      <patternFill patternType="solid">
        <fgColor rgb="FFFFF2CC"/>
        <bgColor rgb="FFF4F6FA"/>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4" fontId="8" fillId="6"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5" fontId="8" fillId="6" borderId="1" xfId="0" applyFont="true" applyBorder="true" applyAlignment="true" applyProtection="false">
      <alignment horizontal="right" vertical="center" textRotation="0" wrapText="false" indent="0" shrinkToFit="false"/>
      <protection locked="true" hidden="false"/>
    </xf>
    <xf numFmtId="164" fontId="7" fillId="5" borderId="0" xfId="0" applyFont="true" applyBorder="false" applyAlignment="true" applyProtection="false">
      <alignment horizontal="right" vertical="center" textRotation="0" wrapText="false" indent="0" shrinkToFit="false"/>
      <protection locked="true" hidden="false"/>
    </xf>
    <xf numFmtId="165" fontId="7" fillId="5" borderId="0" xfId="0" applyFont="true" applyBorder="false" applyAlignment="true" applyProtection="false">
      <alignment horizontal="righ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4F6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2F5597"/>
      <rgbColor rgb="FF1A22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22"/>
    <col collapsed="false" customWidth="true" hidden="false" outlineLevel="0" max="4" min="4" style="0" width="18"/>
    <col collapsed="false" customWidth="true" hidden="false" outlineLevel="0" max="5" min="5" style="0" width="16"/>
    <col collapsed="false" customWidth="true" hidden="false" outlineLevel="0" max="7" min="6" style="0" width="18"/>
    <col collapsed="false" customWidth="true" hidden="false" outlineLevel="0" max="8" min="8" style="0" width="16"/>
    <col collapsed="false" customWidth="true" hidden="false" outlineLevel="0" max="10" min="9" style="0" width="18"/>
  </cols>
  <sheetData>
    <row r="2" customFormat="false" ht="30" hidden="false" customHeight="true" outlineLevel="0" collapsed="false">
      <c r="B2" s="1" t="s">
        <v>0</v>
      </c>
      <c r="C2" s="1"/>
      <c r="D2" s="1"/>
      <c r="E2" s="1"/>
      <c r="F2" s="1"/>
      <c r="G2" s="1"/>
      <c r="H2" s="1"/>
      <c r="I2" s="1"/>
      <c r="J2" s="1"/>
    </row>
    <row r="3" customFormat="false" ht="19.5" hidden="false" customHeight="true" outlineLevel="0" collapsed="false">
      <c r="B3" s="2" t="s">
        <v>1</v>
      </c>
      <c r="C3" s="2"/>
      <c r="D3" s="2"/>
      <c r="E3" s="2"/>
      <c r="F3" s="2"/>
      <c r="G3" s="2"/>
      <c r="H3" s="2"/>
      <c r="I3" s="2"/>
      <c r="J3" s="2"/>
    </row>
    <row r="5" customFormat="false" ht="48" hidden="false" customHeight="true" outlineLevel="0" collapsed="false">
      <c r="B5" s="3" t="s">
        <v>2</v>
      </c>
      <c r="C5" s="3"/>
      <c r="D5" s="3"/>
      <c r="E5" s="3" t="s">
        <v>3</v>
      </c>
      <c r="F5" s="3"/>
      <c r="G5" s="3"/>
      <c r="H5" s="3" t="s">
        <v>4</v>
      </c>
      <c r="I5" s="3"/>
      <c r="J5" s="3"/>
    </row>
    <row r="7" customFormat="false" ht="15" hidden="false" customHeight="false" outlineLevel="0" collapsed="false">
      <c r="B7" s="4" t="s">
        <v>5</v>
      </c>
      <c r="C7" s="4"/>
      <c r="D7" s="4"/>
      <c r="E7" s="4"/>
      <c r="F7" s="4"/>
      <c r="G7" s="4"/>
      <c r="H7" s="4"/>
      <c r="I7" s="4"/>
      <c r="J7" s="4"/>
    </row>
    <row r="8" customFormat="false" ht="15" hidden="false" customHeight="false" outlineLevel="0" collapsed="false">
      <c r="B8" s="5" t="s">
        <v>6</v>
      </c>
      <c r="C8" s="5" t="s">
        <v>7</v>
      </c>
      <c r="D8" s="5" t="s">
        <v>8</v>
      </c>
      <c r="E8" s="5" t="s">
        <v>9</v>
      </c>
      <c r="F8" s="5" t="s">
        <v>10</v>
      </c>
    </row>
    <row r="9" customFormat="false" ht="55.2" hidden="false" customHeight="false" outlineLevel="0" collapsed="false">
      <c r="B9" s="6" t="s">
        <v>11</v>
      </c>
      <c r="C9" s="7" t="s">
        <v>12</v>
      </c>
      <c r="D9" s="6" t="n">
        <v>29</v>
      </c>
      <c r="E9" s="8" t="n">
        <v>7501.93</v>
      </c>
      <c r="F9" s="7" t="s">
        <v>13</v>
      </c>
    </row>
    <row r="10" customFormat="false" ht="55.2" hidden="false" customHeight="false" outlineLevel="0" collapsed="false">
      <c r="B10" s="6" t="s">
        <v>14</v>
      </c>
      <c r="C10" s="7" t="s">
        <v>15</v>
      </c>
      <c r="D10" s="6" t="n">
        <v>2</v>
      </c>
      <c r="E10" s="8" t="n">
        <v>-448.22</v>
      </c>
      <c r="F10" s="7" t="s">
        <v>16</v>
      </c>
    </row>
    <row r="11" customFormat="false" ht="55.2" hidden="false" customHeight="false" outlineLevel="0" collapsed="false">
      <c r="B11" s="6" t="s">
        <v>17</v>
      </c>
      <c r="C11" s="7" t="s">
        <v>18</v>
      </c>
      <c r="D11" s="6" t="n">
        <v>2</v>
      </c>
      <c r="E11" s="8" t="n">
        <v>109.47</v>
      </c>
      <c r="F11" s="7" t="s">
        <v>19</v>
      </c>
    </row>
    <row r="12" customFormat="false" ht="28.35" hidden="false" customHeight="false" outlineLevel="0" collapsed="false">
      <c r="B12" s="6" t="s">
        <v>20</v>
      </c>
      <c r="C12" s="7" t="s">
        <v>21</v>
      </c>
      <c r="D12" s="6" t="n">
        <v>3</v>
      </c>
      <c r="E12" s="8" t="n">
        <v>655.93</v>
      </c>
      <c r="F12" s="7" t="s">
        <v>22</v>
      </c>
    </row>
    <row r="13" customFormat="false" ht="15" hidden="false" customHeight="false" outlineLevel="0" collapsed="false">
      <c r="B13" s="9" t="s">
        <v>23</v>
      </c>
      <c r="C13" s="10"/>
      <c r="D13" s="11" t="n">
        <f aca="false">SUM(D9:D12)</f>
        <v>36</v>
      </c>
      <c r="E13" s="12" t="n">
        <f aca="false">SUM(E9:E12)</f>
        <v>7819.11</v>
      </c>
      <c r="F13" s="10"/>
    </row>
    <row r="15" customFormat="false" ht="15" hidden="false" customHeight="false" outlineLevel="0" collapsed="false">
      <c r="B15" s="4" t="s">
        <v>24</v>
      </c>
      <c r="C15" s="4"/>
      <c r="D15" s="4"/>
      <c r="E15" s="4"/>
      <c r="F15" s="4"/>
      <c r="G15" s="4"/>
      <c r="H15" s="4"/>
      <c r="I15" s="4"/>
      <c r="J15" s="4"/>
    </row>
    <row r="16" customFormat="false" ht="15" hidden="false" customHeight="true" outlineLevel="0" collapsed="false">
      <c r="B16" s="13" t="s">
        <v>25</v>
      </c>
      <c r="C16" s="13"/>
      <c r="D16" s="13"/>
      <c r="E16" s="13"/>
      <c r="F16" s="13"/>
      <c r="G16" s="13"/>
      <c r="H16" s="13"/>
      <c r="I16" s="13"/>
      <c r="J16" s="13"/>
    </row>
    <row r="17" customFormat="false" ht="15" hidden="false" customHeight="false" outlineLevel="0" collapsed="false">
      <c r="B17" s="13"/>
      <c r="C17" s="13"/>
      <c r="D17" s="13"/>
      <c r="E17" s="13"/>
      <c r="F17" s="13"/>
      <c r="G17" s="13"/>
      <c r="H17" s="13"/>
      <c r="I17" s="13"/>
      <c r="J17" s="13"/>
    </row>
    <row r="18" customFormat="false" ht="15" hidden="false" customHeight="false" outlineLevel="0" collapsed="false">
      <c r="B18" s="13"/>
      <c r="C18" s="13"/>
      <c r="D18" s="13"/>
      <c r="E18" s="13"/>
      <c r="F18" s="13"/>
      <c r="G18" s="13"/>
      <c r="H18" s="13"/>
      <c r="I18" s="13"/>
      <c r="J18" s="13"/>
    </row>
    <row r="19" customFormat="false" ht="15" hidden="false" customHeight="false" outlineLevel="0" collapsed="false">
      <c r="B19" s="13"/>
      <c r="C19" s="13"/>
      <c r="D19" s="13"/>
      <c r="E19" s="13"/>
      <c r="F19" s="13"/>
      <c r="G19" s="13"/>
      <c r="H19" s="13"/>
      <c r="I19" s="13"/>
      <c r="J19" s="13"/>
    </row>
    <row r="20" customFormat="false" ht="15" hidden="false" customHeight="false" outlineLevel="0" collapsed="false">
      <c r="B20" s="13"/>
      <c r="C20" s="13"/>
      <c r="D20" s="13"/>
      <c r="E20" s="13"/>
      <c r="F20" s="13"/>
      <c r="G20" s="13"/>
      <c r="H20" s="13"/>
      <c r="I20" s="13"/>
      <c r="J20" s="13"/>
    </row>
    <row r="21" customFormat="false" ht="15" hidden="false" customHeight="false" outlineLevel="0" collapsed="false">
      <c r="B21" s="13"/>
      <c r="C21" s="13"/>
      <c r="D21" s="13"/>
      <c r="E21" s="13"/>
      <c r="F21" s="13"/>
      <c r="G21" s="13"/>
      <c r="H21" s="13"/>
      <c r="I21" s="13"/>
      <c r="J21" s="13"/>
    </row>
    <row r="23" customFormat="false" ht="15" hidden="false" customHeight="false" outlineLevel="0" collapsed="false">
      <c r="B23" s="4" t="s">
        <v>26</v>
      </c>
      <c r="C23" s="4"/>
      <c r="D23" s="4"/>
      <c r="E23" s="4"/>
      <c r="F23" s="4"/>
      <c r="G23" s="4"/>
      <c r="H23" s="4"/>
      <c r="I23" s="4"/>
      <c r="J23" s="4"/>
    </row>
    <row r="24" customFormat="false" ht="45" hidden="false" customHeight="true" outlineLevel="0" collapsed="false">
      <c r="B24" s="14" t="s">
        <v>27</v>
      </c>
      <c r="C24" s="15" t="s">
        <v>28</v>
      </c>
      <c r="D24" s="15" t="s">
        <v>29</v>
      </c>
      <c r="E24" s="15"/>
      <c r="F24" s="15"/>
      <c r="G24" s="15"/>
      <c r="H24" s="15"/>
      <c r="I24" s="15"/>
      <c r="J24" s="15"/>
    </row>
    <row r="25" customFormat="false" ht="45" hidden="false" customHeight="true" outlineLevel="0" collapsed="false">
      <c r="B25" s="14" t="s">
        <v>30</v>
      </c>
      <c r="C25" s="15" t="s">
        <v>31</v>
      </c>
      <c r="D25" s="15" t="s">
        <v>32</v>
      </c>
      <c r="E25" s="15"/>
      <c r="F25" s="15"/>
      <c r="G25" s="15"/>
      <c r="H25" s="15"/>
      <c r="I25" s="15"/>
      <c r="J25" s="15"/>
    </row>
    <row r="26" customFormat="false" ht="45" hidden="false" customHeight="true" outlineLevel="0" collapsed="false">
      <c r="B26" s="14" t="s">
        <v>33</v>
      </c>
      <c r="C26" s="15" t="s">
        <v>34</v>
      </c>
      <c r="D26" s="15" t="s">
        <v>35</v>
      </c>
      <c r="E26" s="15"/>
      <c r="F26" s="15"/>
      <c r="G26" s="15"/>
      <c r="H26" s="15"/>
      <c r="I26" s="15"/>
      <c r="J26" s="15"/>
    </row>
  </sheetData>
  <mergeCells count="12">
    <mergeCell ref="B2:J2"/>
    <mergeCell ref="B3:J3"/>
    <mergeCell ref="B5:D5"/>
    <mergeCell ref="E5:G5"/>
    <mergeCell ref="H5:J5"/>
    <mergeCell ref="B7:J7"/>
    <mergeCell ref="B15:J15"/>
    <mergeCell ref="B16:J21"/>
    <mergeCell ref="B23:J23"/>
    <mergeCell ref="D24:J24"/>
    <mergeCell ref="D25:J25"/>
    <mergeCell ref="D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14"/>
    <col collapsed="false" customWidth="true" hidden="false" outlineLevel="0" max="4" min="4" style="0" width="12"/>
    <col collapsed="false" customWidth="true" hidden="false" outlineLevel="0" max="5" min="5" style="0" width="22"/>
    <col collapsed="false" customWidth="true" hidden="false" outlineLevel="0" max="6" min="6" style="0" width="55"/>
    <col collapsed="false" customWidth="true" hidden="false" outlineLevel="0" max="7" min="7" style="0" width="14"/>
    <col collapsed="false" customWidth="true" hidden="false" outlineLevel="0" max="8" min="8" style="0" width="8"/>
    <col collapsed="false" customWidth="true" hidden="false" outlineLevel="0" max="10" min="9" style="0" width="12"/>
  </cols>
  <sheetData>
    <row r="1" customFormat="false" ht="15" hidden="false" customHeight="false" outlineLevel="0" collapsed="false">
      <c r="A1" s="16" t="s">
        <v>36</v>
      </c>
      <c r="B1" s="16" t="s">
        <v>37</v>
      </c>
      <c r="C1" s="16" t="s">
        <v>38</v>
      </c>
      <c r="D1" s="16" t="s">
        <v>39</v>
      </c>
      <c r="E1" s="16" t="s">
        <v>40</v>
      </c>
      <c r="F1" s="16" t="s">
        <v>41</v>
      </c>
      <c r="G1" s="16" t="s">
        <v>42</v>
      </c>
      <c r="H1" s="16" t="s">
        <v>6</v>
      </c>
      <c r="I1" s="16" t="s">
        <v>43</v>
      </c>
      <c r="J1" s="16" t="s">
        <v>44</v>
      </c>
    </row>
    <row r="2" customFormat="false" ht="23.85" hidden="false" customHeight="false" outlineLevel="0" collapsed="false">
      <c r="A2" s="15" t="s">
        <v>45</v>
      </c>
      <c r="B2" s="14" t="n">
        <v>1</v>
      </c>
      <c r="C2" s="15" t="s">
        <v>46</v>
      </c>
      <c r="D2" s="15" t="s">
        <v>47</v>
      </c>
      <c r="E2" s="15" t="s">
        <v>48</v>
      </c>
      <c r="F2" s="15" t="s">
        <v>49</v>
      </c>
      <c r="G2" s="17" t="n">
        <v>166.4</v>
      </c>
      <c r="H2" s="15" t="s">
        <v>20</v>
      </c>
      <c r="I2" s="15" t="s">
        <v>50</v>
      </c>
      <c r="J2" s="15" t="s">
        <v>51</v>
      </c>
    </row>
    <row r="3" customFormat="false" ht="15" hidden="false" customHeight="false" outlineLevel="0" collapsed="false">
      <c r="A3" s="18" t="s">
        <v>52</v>
      </c>
      <c r="B3" s="19" t="n">
        <v>1</v>
      </c>
      <c r="C3" s="18" t="s">
        <v>53</v>
      </c>
      <c r="D3" s="18" t="s">
        <v>54</v>
      </c>
      <c r="E3" s="18" t="s">
        <v>55</v>
      </c>
      <c r="F3" s="18" t="s">
        <v>56</v>
      </c>
      <c r="G3" s="20" t="n">
        <v>317.64</v>
      </c>
      <c r="H3" s="18" t="s">
        <v>11</v>
      </c>
      <c r="I3" s="18" t="s">
        <v>50</v>
      </c>
      <c r="J3" s="18" t="s">
        <v>57</v>
      </c>
    </row>
    <row r="4" customFormat="false" ht="15" hidden="false" customHeight="false" outlineLevel="0" collapsed="false">
      <c r="A4" s="15" t="s">
        <v>52</v>
      </c>
      <c r="B4" s="14" t="n">
        <v>1</v>
      </c>
      <c r="C4" s="15" t="s">
        <v>53</v>
      </c>
      <c r="D4" s="15" t="s">
        <v>54</v>
      </c>
      <c r="E4" s="15" t="s">
        <v>55</v>
      </c>
      <c r="F4" s="15" t="s">
        <v>56</v>
      </c>
      <c r="G4" s="17" t="n">
        <v>130.58</v>
      </c>
      <c r="H4" s="15" t="s">
        <v>11</v>
      </c>
      <c r="I4" s="15" t="s">
        <v>50</v>
      </c>
      <c r="J4" s="15" t="s">
        <v>57</v>
      </c>
    </row>
    <row r="5" customFormat="false" ht="15" hidden="false" customHeight="false" outlineLevel="0" collapsed="false">
      <c r="A5" s="18" t="s">
        <v>52</v>
      </c>
      <c r="B5" s="19" t="n">
        <v>1</v>
      </c>
      <c r="C5" s="18" t="s">
        <v>58</v>
      </c>
      <c r="D5" s="18" t="s">
        <v>59</v>
      </c>
      <c r="E5" s="18" t="s">
        <v>60</v>
      </c>
      <c r="F5" s="18" t="s">
        <v>61</v>
      </c>
      <c r="G5" s="20" t="n">
        <v>-317.64</v>
      </c>
      <c r="H5" s="18" t="s">
        <v>14</v>
      </c>
      <c r="I5" s="18" t="s">
        <v>50</v>
      </c>
      <c r="J5" s="18" t="s">
        <v>57</v>
      </c>
    </row>
    <row r="6" customFormat="false" ht="15" hidden="false" customHeight="false" outlineLevel="0" collapsed="false">
      <c r="A6" s="15" t="s">
        <v>52</v>
      </c>
      <c r="B6" s="14" t="n">
        <v>1</v>
      </c>
      <c r="C6" s="15" t="s">
        <v>58</v>
      </c>
      <c r="D6" s="15" t="s">
        <v>59</v>
      </c>
      <c r="E6" s="15" t="s">
        <v>60</v>
      </c>
      <c r="F6" s="15" t="s">
        <v>61</v>
      </c>
      <c r="G6" s="17" t="n">
        <v>-130.58</v>
      </c>
      <c r="H6" s="15" t="s">
        <v>14</v>
      </c>
      <c r="I6" s="15" t="s">
        <v>50</v>
      </c>
      <c r="J6" s="15" t="s">
        <v>57</v>
      </c>
    </row>
    <row r="7" customFormat="false" ht="15" hidden="false" customHeight="false" outlineLevel="0" collapsed="false">
      <c r="A7" s="18" t="s">
        <v>52</v>
      </c>
      <c r="B7" s="19" t="n">
        <v>2</v>
      </c>
      <c r="C7" s="18" t="s">
        <v>62</v>
      </c>
      <c r="D7" s="18" t="s">
        <v>63</v>
      </c>
      <c r="E7" s="18" t="s">
        <v>55</v>
      </c>
      <c r="F7" s="18" t="s">
        <v>64</v>
      </c>
      <c r="G7" s="20" t="n">
        <v>140.22</v>
      </c>
      <c r="H7" s="18" t="s">
        <v>11</v>
      </c>
      <c r="I7" s="18" t="s">
        <v>50</v>
      </c>
      <c r="J7" s="18" t="s">
        <v>57</v>
      </c>
    </row>
    <row r="8" customFormat="false" ht="15" hidden="false" customHeight="false" outlineLevel="0" collapsed="false">
      <c r="A8" s="15" t="s">
        <v>52</v>
      </c>
      <c r="B8" s="14" t="n">
        <v>2</v>
      </c>
      <c r="C8" s="15" t="s">
        <v>62</v>
      </c>
      <c r="D8" s="15" t="s">
        <v>63</v>
      </c>
      <c r="E8" s="15" t="s">
        <v>55</v>
      </c>
      <c r="F8" s="15" t="s">
        <v>64</v>
      </c>
      <c r="G8" s="17" t="n">
        <v>166.81</v>
      </c>
      <c r="H8" s="15" t="s">
        <v>11</v>
      </c>
      <c r="I8" s="15" t="s">
        <v>50</v>
      </c>
      <c r="J8" s="15" t="s">
        <v>57</v>
      </c>
    </row>
    <row r="9" customFormat="false" ht="15" hidden="false" customHeight="false" outlineLevel="0" collapsed="false">
      <c r="A9" s="18" t="s">
        <v>65</v>
      </c>
      <c r="B9" s="19" t="n">
        <v>2</v>
      </c>
      <c r="C9" s="18" t="s">
        <v>62</v>
      </c>
      <c r="D9" s="18" t="s">
        <v>63</v>
      </c>
      <c r="E9" s="18" t="s">
        <v>55</v>
      </c>
      <c r="F9" s="18" t="s">
        <v>66</v>
      </c>
      <c r="G9" s="20" t="n">
        <v>151.46</v>
      </c>
      <c r="H9" s="18" t="s">
        <v>11</v>
      </c>
      <c r="I9" s="18" t="s">
        <v>50</v>
      </c>
      <c r="J9" s="18" t="s">
        <v>67</v>
      </c>
    </row>
    <row r="10" customFormat="false" ht="15" hidden="false" customHeight="false" outlineLevel="0" collapsed="false">
      <c r="A10" s="15" t="s">
        <v>65</v>
      </c>
      <c r="B10" s="14" t="n">
        <v>3</v>
      </c>
      <c r="C10" s="15" t="s">
        <v>68</v>
      </c>
      <c r="D10" s="15" t="s">
        <v>69</v>
      </c>
      <c r="E10" s="15" t="s">
        <v>55</v>
      </c>
      <c r="F10" s="15" t="s">
        <v>70</v>
      </c>
      <c r="G10" s="17" t="n">
        <v>143.3</v>
      </c>
      <c r="H10" s="15" t="s">
        <v>11</v>
      </c>
      <c r="I10" s="15" t="s">
        <v>50</v>
      </c>
      <c r="J10" s="15" t="s">
        <v>67</v>
      </c>
    </row>
    <row r="11" customFormat="false" ht="15" hidden="false" customHeight="false" outlineLevel="0" collapsed="false">
      <c r="A11" s="18" t="s">
        <v>52</v>
      </c>
      <c r="B11" s="19" t="n">
        <v>3</v>
      </c>
      <c r="C11" s="18" t="s">
        <v>68</v>
      </c>
      <c r="D11" s="18" t="s">
        <v>69</v>
      </c>
      <c r="E11" s="18" t="s">
        <v>55</v>
      </c>
      <c r="F11" s="18" t="s">
        <v>71</v>
      </c>
      <c r="G11" s="20" t="n">
        <v>127.73</v>
      </c>
      <c r="H11" s="18" t="s">
        <v>11</v>
      </c>
      <c r="I11" s="18" t="s">
        <v>50</v>
      </c>
      <c r="J11" s="18" t="s">
        <v>57</v>
      </c>
    </row>
    <row r="12" customFormat="false" ht="15" hidden="false" customHeight="false" outlineLevel="0" collapsed="false">
      <c r="A12" s="15" t="s">
        <v>52</v>
      </c>
      <c r="B12" s="14" t="n">
        <v>3</v>
      </c>
      <c r="C12" s="15" t="s">
        <v>68</v>
      </c>
      <c r="D12" s="15" t="s">
        <v>69</v>
      </c>
      <c r="E12" s="15" t="s">
        <v>55</v>
      </c>
      <c r="F12" s="15" t="s">
        <v>71</v>
      </c>
      <c r="G12" s="17" t="n">
        <v>86.47</v>
      </c>
      <c r="H12" s="15" t="s">
        <v>11</v>
      </c>
      <c r="I12" s="15" t="s">
        <v>50</v>
      </c>
      <c r="J12" s="15" t="s">
        <v>57</v>
      </c>
    </row>
    <row r="13" customFormat="false" ht="15" hidden="false" customHeight="false" outlineLevel="0" collapsed="false">
      <c r="A13" s="18" t="s">
        <v>52</v>
      </c>
      <c r="B13" s="19" t="n">
        <v>5</v>
      </c>
      <c r="C13" s="18" t="s">
        <v>72</v>
      </c>
      <c r="D13" s="18" t="s">
        <v>73</v>
      </c>
      <c r="E13" s="18" t="s">
        <v>55</v>
      </c>
      <c r="F13" s="18" t="s">
        <v>74</v>
      </c>
      <c r="G13" s="20" t="n">
        <v>719.11</v>
      </c>
      <c r="H13" s="18" t="s">
        <v>11</v>
      </c>
      <c r="I13" s="18" t="s">
        <v>50</v>
      </c>
      <c r="J13" s="18" t="s">
        <v>57</v>
      </c>
    </row>
    <row r="14" customFormat="false" ht="15" hidden="false" customHeight="false" outlineLevel="0" collapsed="false">
      <c r="A14" s="15" t="s">
        <v>52</v>
      </c>
      <c r="B14" s="14" t="n">
        <v>5</v>
      </c>
      <c r="C14" s="15" t="s">
        <v>72</v>
      </c>
      <c r="D14" s="15" t="s">
        <v>73</v>
      </c>
      <c r="E14" s="15" t="s">
        <v>55</v>
      </c>
      <c r="F14" s="15" t="s">
        <v>74</v>
      </c>
      <c r="G14" s="17" t="n">
        <v>255.05</v>
      </c>
      <c r="H14" s="15" t="s">
        <v>11</v>
      </c>
      <c r="I14" s="15" t="s">
        <v>50</v>
      </c>
      <c r="J14" s="15" t="s">
        <v>57</v>
      </c>
    </row>
    <row r="15" customFormat="false" ht="15" hidden="false" customHeight="false" outlineLevel="0" collapsed="false">
      <c r="A15" s="18" t="s">
        <v>65</v>
      </c>
      <c r="B15" s="19" t="n">
        <v>5</v>
      </c>
      <c r="C15" s="18" t="s">
        <v>72</v>
      </c>
      <c r="D15" s="18" t="s">
        <v>73</v>
      </c>
      <c r="E15" s="18" t="s">
        <v>55</v>
      </c>
      <c r="F15" s="18" t="s">
        <v>75</v>
      </c>
      <c r="G15" s="20" t="n">
        <v>118.7</v>
      </c>
      <c r="H15" s="18" t="s">
        <v>11</v>
      </c>
      <c r="I15" s="18" t="s">
        <v>50</v>
      </c>
      <c r="J15" s="18" t="s">
        <v>67</v>
      </c>
    </row>
    <row r="16" customFormat="false" ht="15" hidden="false" customHeight="false" outlineLevel="0" collapsed="false">
      <c r="A16" s="15" t="s">
        <v>65</v>
      </c>
      <c r="B16" s="14" t="n">
        <v>5</v>
      </c>
      <c r="C16" s="15" t="s">
        <v>76</v>
      </c>
      <c r="D16" s="15" t="s">
        <v>77</v>
      </c>
      <c r="E16" s="15" t="s">
        <v>55</v>
      </c>
      <c r="F16" s="15" t="s">
        <v>78</v>
      </c>
      <c r="G16" s="17" t="n">
        <v>255.71</v>
      </c>
      <c r="H16" s="15" t="s">
        <v>11</v>
      </c>
      <c r="I16" s="15" t="s">
        <v>50</v>
      </c>
      <c r="J16" s="15" t="s">
        <v>67</v>
      </c>
    </row>
    <row r="17" customFormat="false" ht="15" hidden="false" customHeight="false" outlineLevel="0" collapsed="false">
      <c r="A17" s="18" t="s">
        <v>52</v>
      </c>
      <c r="B17" s="19" t="n">
        <v>5</v>
      </c>
      <c r="C17" s="18" t="s">
        <v>76</v>
      </c>
      <c r="D17" s="18" t="s">
        <v>77</v>
      </c>
      <c r="E17" s="18" t="s">
        <v>55</v>
      </c>
      <c r="F17" s="18" t="s">
        <v>79</v>
      </c>
      <c r="G17" s="20" t="n">
        <v>335.65</v>
      </c>
      <c r="H17" s="18" t="s">
        <v>11</v>
      </c>
      <c r="I17" s="18" t="s">
        <v>50</v>
      </c>
      <c r="J17" s="18" t="s">
        <v>57</v>
      </c>
    </row>
    <row r="18" customFormat="false" ht="15" hidden="false" customHeight="false" outlineLevel="0" collapsed="false">
      <c r="A18" s="15" t="s">
        <v>52</v>
      </c>
      <c r="B18" s="14" t="n">
        <v>5</v>
      </c>
      <c r="C18" s="15" t="s">
        <v>76</v>
      </c>
      <c r="D18" s="15" t="s">
        <v>77</v>
      </c>
      <c r="E18" s="15" t="s">
        <v>55</v>
      </c>
      <c r="F18" s="15" t="s">
        <v>79</v>
      </c>
      <c r="G18" s="17" t="n">
        <v>185.08</v>
      </c>
      <c r="H18" s="15" t="s">
        <v>11</v>
      </c>
      <c r="I18" s="15" t="s">
        <v>50</v>
      </c>
      <c r="J18" s="15" t="s">
        <v>57</v>
      </c>
    </row>
    <row r="19" customFormat="false" ht="23.85" hidden="false" customHeight="false" outlineLevel="0" collapsed="false">
      <c r="A19" s="18" t="s">
        <v>52</v>
      </c>
      <c r="B19" s="19" t="n">
        <v>5</v>
      </c>
      <c r="C19" s="18" t="s">
        <v>80</v>
      </c>
      <c r="D19" s="18" t="s">
        <v>81</v>
      </c>
      <c r="E19" s="18" t="s">
        <v>82</v>
      </c>
      <c r="F19" s="18" t="s">
        <v>83</v>
      </c>
      <c r="G19" s="20" t="n">
        <v>37.93</v>
      </c>
      <c r="H19" s="18" t="s">
        <v>17</v>
      </c>
      <c r="I19" s="18" t="s">
        <v>50</v>
      </c>
      <c r="J19" s="18" t="s">
        <v>57</v>
      </c>
    </row>
    <row r="20" customFormat="false" ht="15" hidden="false" customHeight="false" outlineLevel="0" collapsed="false">
      <c r="A20" s="15" t="s">
        <v>52</v>
      </c>
      <c r="B20" s="14" t="n">
        <v>6</v>
      </c>
      <c r="C20" s="15" t="s">
        <v>84</v>
      </c>
      <c r="D20" s="15" t="s">
        <v>85</v>
      </c>
      <c r="E20" s="15" t="s">
        <v>55</v>
      </c>
      <c r="F20" s="15" t="s">
        <v>86</v>
      </c>
      <c r="G20" s="17" t="n">
        <v>518.08</v>
      </c>
      <c r="H20" s="15" t="s">
        <v>11</v>
      </c>
      <c r="I20" s="15" t="s">
        <v>50</v>
      </c>
      <c r="J20" s="15" t="s">
        <v>57</v>
      </c>
    </row>
    <row r="21" customFormat="false" ht="15" hidden="false" customHeight="false" outlineLevel="0" collapsed="false">
      <c r="A21" s="18" t="s">
        <v>65</v>
      </c>
      <c r="B21" s="19" t="n">
        <v>6</v>
      </c>
      <c r="C21" s="18" t="s">
        <v>84</v>
      </c>
      <c r="D21" s="18" t="s">
        <v>85</v>
      </c>
      <c r="E21" s="18" t="s">
        <v>55</v>
      </c>
      <c r="F21" s="18" t="s">
        <v>87</v>
      </c>
      <c r="G21" s="20" t="n">
        <v>111.58</v>
      </c>
      <c r="H21" s="18" t="s">
        <v>11</v>
      </c>
      <c r="I21" s="18" t="s">
        <v>50</v>
      </c>
      <c r="J21" s="18" t="s">
        <v>67</v>
      </c>
    </row>
    <row r="22" customFormat="false" ht="15" hidden="false" customHeight="false" outlineLevel="0" collapsed="false">
      <c r="A22" s="15" t="s">
        <v>65</v>
      </c>
      <c r="B22" s="14" t="n">
        <v>7</v>
      </c>
      <c r="C22" s="15" t="s">
        <v>88</v>
      </c>
      <c r="D22" s="15" t="s">
        <v>89</v>
      </c>
      <c r="E22" s="15" t="s">
        <v>55</v>
      </c>
      <c r="F22" s="15" t="s">
        <v>90</v>
      </c>
      <c r="G22" s="17" t="n">
        <v>217.53</v>
      </c>
      <c r="H22" s="15" t="s">
        <v>11</v>
      </c>
      <c r="I22" s="15" t="s">
        <v>50</v>
      </c>
      <c r="J22" s="15" t="s">
        <v>67</v>
      </c>
    </row>
    <row r="23" customFormat="false" ht="15" hidden="false" customHeight="false" outlineLevel="0" collapsed="false">
      <c r="A23" s="18" t="s">
        <v>52</v>
      </c>
      <c r="B23" s="19" t="n">
        <v>7</v>
      </c>
      <c r="C23" s="18" t="s">
        <v>88</v>
      </c>
      <c r="D23" s="18" t="s">
        <v>89</v>
      </c>
      <c r="E23" s="18" t="s">
        <v>55</v>
      </c>
      <c r="F23" s="18" t="s">
        <v>91</v>
      </c>
      <c r="G23" s="20" t="n">
        <v>156.88</v>
      </c>
      <c r="H23" s="18" t="s">
        <v>11</v>
      </c>
      <c r="I23" s="18" t="s">
        <v>50</v>
      </c>
      <c r="J23" s="18" t="s">
        <v>57</v>
      </c>
    </row>
    <row r="24" customFormat="false" ht="15" hidden="false" customHeight="false" outlineLevel="0" collapsed="false">
      <c r="A24" s="15" t="s">
        <v>52</v>
      </c>
      <c r="B24" s="14" t="n">
        <v>7</v>
      </c>
      <c r="C24" s="15" t="s">
        <v>88</v>
      </c>
      <c r="D24" s="15" t="s">
        <v>89</v>
      </c>
      <c r="E24" s="15" t="s">
        <v>55</v>
      </c>
      <c r="F24" s="15" t="s">
        <v>91</v>
      </c>
      <c r="G24" s="17" t="n">
        <v>223.45</v>
      </c>
      <c r="H24" s="15" t="s">
        <v>11</v>
      </c>
      <c r="I24" s="15" t="s">
        <v>50</v>
      </c>
      <c r="J24" s="15" t="s">
        <v>57</v>
      </c>
    </row>
    <row r="25" customFormat="false" ht="15" hidden="false" customHeight="false" outlineLevel="0" collapsed="false">
      <c r="A25" s="18" t="s">
        <v>52</v>
      </c>
      <c r="B25" s="19" t="n">
        <v>8</v>
      </c>
      <c r="C25" s="18" t="s">
        <v>92</v>
      </c>
      <c r="D25" s="18" t="s">
        <v>93</v>
      </c>
      <c r="E25" s="18" t="s">
        <v>55</v>
      </c>
      <c r="F25" s="18" t="s">
        <v>94</v>
      </c>
      <c r="G25" s="20" t="n">
        <v>733.46</v>
      </c>
      <c r="H25" s="18" t="s">
        <v>11</v>
      </c>
      <c r="I25" s="18" t="s">
        <v>50</v>
      </c>
      <c r="J25" s="18" t="s">
        <v>57</v>
      </c>
    </row>
    <row r="26" customFormat="false" ht="15" hidden="false" customHeight="false" outlineLevel="0" collapsed="false">
      <c r="A26" s="15" t="s">
        <v>52</v>
      </c>
      <c r="B26" s="14" t="n">
        <v>8</v>
      </c>
      <c r="C26" s="15" t="s">
        <v>92</v>
      </c>
      <c r="D26" s="15" t="s">
        <v>93</v>
      </c>
      <c r="E26" s="15" t="s">
        <v>55</v>
      </c>
      <c r="F26" s="15" t="s">
        <v>94</v>
      </c>
      <c r="G26" s="17" t="n">
        <v>68.31</v>
      </c>
      <c r="H26" s="15" t="s">
        <v>11</v>
      </c>
      <c r="I26" s="15" t="s">
        <v>50</v>
      </c>
      <c r="J26" s="15" t="s">
        <v>57</v>
      </c>
    </row>
    <row r="27" customFormat="false" ht="15" hidden="false" customHeight="false" outlineLevel="0" collapsed="false">
      <c r="A27" s="18" t="s">
        <v>65</v>
      </c>
      <c r="B27" s="19" t="n">
        <v>8</v>
      </c>
      <c r="C27" s="18" t="s">
        <v>92</v>
      </c>
      <c r="D27" s="18" t="s">
        <v>93</v>
      </c>
      <c r="E27" s="18" t="s">
        <v>55</v>
      </c>
      <c r="F27" s="18" t="s">
        <v>95</v>
      </c>
      <c r="G27" s="20" t="n">
        <v>148.22</v>
      </c>
      <c r="H27" s="18" t="s">
        <v>11</v>
      </c>
      <c r="I27" s="18" t="s">
        <v>50</v>
      </c>
      <c r="J27" s="18" t="s">
        <v>67</v>
      </c>
    </row>
    <row r="28" customFormat="false" ht="23.85" hidden="false" customHeight="false" outlineLevel="0" collapsed="false">
      <c r="A28" s="15" t="s">
        <v>52</v>
      </c>
      <c r="B28" s="14" t="n">
        <v>8</v>
      </c>
      <c r="C28" s="15" t="s">
        <v>96</v>
      </c>
      <c r="D28" s="15" t="s">
        <v>97</v>
      </c>
      <c r="E28" s="15" t="s">
        <v>82</v>
      </c>
      <c r="F28" s="15" t="s">
        <v>98</v>
      </c>
      <c r="G28" s="17" t="n">
        <v>71.54</v>
      </c>
      <c r="H28" s="15" t="s">
        <v>17</v>
      </c>
      <c r="I28" s="15" t="s">
        <v>50</v>
      </c>
      <c r="J28" s="15" t="s">
        <v>57</v>
      </c>
    </row>
    <row r="29" customFormat="false" ht="23.85" hidden="false" customHeight="false" outlineLevel="0" collapsed="false">
      <c r="A29" s="18" t="s">
        <v>45</v>
      </c>
      <c r="B29" s="19" t="n">
        <v>8</v>
      </c>
      <c r="C29" s="18" t="s">
        <v>99</v>
      </c>
      <c r="D29" s="18" t="s">
        <v>100</v>
      </c>
      <c r="E29" s="18" t="s">
        <v>48</v>
      </c>
      <c r="F29" s="18" t="s">
        <v>49</v>
      </c>
      <c r="G29" s="20" t="n">
        <v>136.8</v>
      </c>
      <c r="H29" s="18" t="s">
        <v>20</v>
      </c>
      <c r="I29" s="18" t="s">
        <v>50</v>
      </c>
      <c r="J29" s="18" t="s">
        <v>51</v>
      </c>
    </row>
    <row r="30" customFormat="false" ht="15" hidden="false" customHeight="false" outlineLevel="0" collapsed="false">
      <c r="A30" s="15" t="s">
        <v>65</v>
      </c>
      <c r="B30" s="14" t="n">
        <v>9</v>
      </c>
      <c r="C30" s="15" t="s">
        <v>101</v>
      </c>
      <c r="D30" s="15" t="s">
        <v>102</v>
      </c>
      <c r="E30" s="15" t="s">
        <v>55</v>
      </c>
      <c r="F30" s="15" t="s">
        <v>103</v>
      </c>
      <c r="G30" s="17" t="n">
        <v>365.79</v>
      </c>
      <c r="H30" s="15" t="s">
        <v>11</v>
      </c>
      <c r="I30" s="15" t="s">
        <v>50</v>
      </c>
      <c r="J30" s="15" t="s">
        <v>67</v>
      </c>
    </row>
    <row r="31" customFormat="false" ht="15" hidden="false" customHeight="false" outlineLevel="0" collapsed="false">
      <c r="A31" s="18" t="s">
        <v>52</v>
      </c>
      <c r="B31" s="19" t="n">
        <v>9</v>
      </c>
      <c r="C31" s="18" t="s">
        <v>101</v>
      </c>
      <c r="D31" s="18" t="s">
        <v>102</v>
      </c>
      <c r="E31" s="18" t="s">
        <v>55</v>
      </c>
      <c r="F31" s="18" t="s">
        <v>104</v>
      </c>
      <c r="G31" s="20" t="n">
        <v>557.1</v>
      </c>
      <c r="H31" s="18" t="s">
        <v>11</v>
      </c>
      <c r="I31" s="18" t="s">
        <v>50</v>
      </c>
      <c r="J31" s="18" t="s">
        <v>57</v>
      </c>
    </row>
    <row r="32" customFormat="false" ht="15" hidden="false" customHeight="false" outlineLevel="0" collapsed="false">
      <c r="A32" s="15" t="s">
        <v>52</v>
      </c>
      <c r="B32" s="14" t="n">
        <v>9</v>
      </c>
      <c r="C32" s="15" t="s">
        <v>101</v>
      </c>
      <c r="D32" s="15" t="s">
        <v>102</v>
      </c>
      <c r="E32" s="15" t="s">
        <v>55</v>
      </c>
      <c r="F32" s="15" t="s">
        <v>104</v>
      </c>
      <c r="G32" s="17" t="n">
        <v>317.56</v>
      </c>
      <c r="H32" s="15" t="s">
        <v>11</v>
      </c>
      <c r="I32" s="15" t="s">
        <v>50</v>
      </c>
      <c r="J32" s="15" t="s">
        <v>57</v>
      </c>
    </row>
    <row r="33" customFormat="false" ht="15" hidden="false" customHeight="false" outlineLevel="0" collapsed="false">
      <c r="A33" s="18" t="s">
        <v>52</v>
      </c>
      <c r="B33" s="19" t="n">
        <v>9</v>
      </c>
      <c r="C33" s="18" t="s">
        <v>105</v>
      </c>
      <c r="D33" s="18" t="s">
        <v>106</v>
      </c>
      <c r="E33" s="18" t="s">
        <v>48</v>
      </c>
      <c r="F33" s="18" t="s">
        <v>107</v>
      </c>
      <c r="G33" s="20" t="n">
        <v>352.73</v>
      </c>
      <c r="H33" s="18" t="s">
        <v>20</v>
      </c>
      <c r="I33" s="18" t="s">
        <v>50</v>
      </c>
      <c r="J33" s="18" t="s">
        <v>57</v>
      </c>
    </row>
    <row r="34" customFormat="false" ht="15" hidden="false" customHeight="false" outlineLevel="0" collapsed="false">
      <c r="A34" s="15" t="s">
        <v>52</v>
      </c>
      <c r="B34" s="14" t="n">
        <v>10</v>
      </c>
      <c r="C34" s="15" t="s">
        <v>108</v>
      </c>
      <c r="D34" s="15" t="s">
        <v>109</v>
      </c>
      <c r="E34" s="15" t="s">
        <v>55</v>
      </c>
      <c r="F34" s="15" t="s">
        <v>110</v>
      </c>
      <c r="G34" s="17" t="n">
        <v>806.18</v>
      </c>
      <c r="H34" s="15" t="s">
        <v>11</v>
      </c>
      <c r="I34" s="15" t="s">
        <v>50</v>
      </c>
      <c r="J34" s="15" t="s">
        <v>57</v>
      </c>
    </row>
    <row r="35" customFormat="false" ht="15" hidden="false" customHeight="false" outlineLevel="0" collapsed="false">
      <c r="A35" s="18" t="s">
        <v>52</v>
      </c>
      <c r="B35" s="19" t="n">
        <v>10</v>
      </c>
      <c r="C35" s="18" t="s">
        <v>108</v>
      </c>
      <c r="D35" s="18" t="s">
        <v>109</v>
      </c>
      <c r="E35" s="18" t="s">
        <v>55</v>
      </c>
      <c r="F35" s="18" t="s">
        <v>110</v>
      </c>
      <c r="G35" s="20" t="n">
        <v>67.04</v>
      </c>
      <c r="H35" s="18" t="s">
        <v>11</v>
      </c>
      <c r="I35" s="18" t="s">
        <v>50</v>
      </c>
      <c r="J35" s="18" t="s">
        <v>57</v>
      </c>
    </row>
    <row r="36" customFormat="false" ht="15" hidden="false" customHeight="false" outlineLevel="0" collapsed="false">
      <c r="A36" s="15" t="s">
        <v>65</v>
      </c>
      <c r="B36" s="14" t="n">
        <v>10</v>
      </c>
      <c r="C36" s="15" t="s">
        <v>108</v>
      </c>
      <c r="D36" s="15" t="s">
        <v>109</v>
      </c>
      <c r="E36" s="15" t="s">
        <v>55</v>
      </c>
      <c r="F36" s="15" t="s">
        <v>111</v>
      </c>
      <c r="G36" s="17" t="n">
        <v>64.24</v>
      </c>
      <c r="H36" s="15" t="s">
        <v>11</v>
      </c>
      <c r="I36" s="15" t="s">
        <v>50</v>
      </c>
      <c r="J36" s="15" t="s">
        <v>67</v>
      </c>
    </row>
    <row r="37" customFormat="false" ht="15" hidden="false" customHeight="false" outlineLevel="0" collapsed="false">
      <c r="A37" s="18" t="s">
        <v>65</v>
      </c>
      <c r="B37" s="19" t="n">
        <v>10</v>
      </c>
      <c r="C37" s="18" t="s">
        <v>108</v>
      </c>
      <c r="D37" s="18" t="s">
        <v>109</v>
      </c>
      <c r="E37" s="18" t="s">
        <v>55</v>
      </c>
      <c r="F37" s="18" t="s">
        <v>111</v>
      </c>
      <c r="G37" s="20" t="n">
        <v>13</v>
      </c>
      <c r="H37" s="18" t="s">
        <v>11</v>
      </c>
      <c r="I37" s="18" t="s">
        <v>50</v>
      </c>
      <c r="J37" s="18" t="s">
        <v>67</v>
      </c>
    </row>
    <row r="38" customFormat="false" ht="15" hidden="false" customHeight="false" outlineLevel="0" collapsed="false">
      <c r="F38" s="21" t="s">
        <v>23</v>
      </c>
      <c r="G38" s="22" t="n">
        <f aca="false">SUM(G2:G37)</f>
        <v>7819.11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8"/>
    <col collapsed="false" customWidth="true" hidden="false" outlineLevel="0" max="4" min="4" style="0" width="32"/>
    <col collapsed="false" customWidth="true" hidden="false" outlineLevel="0" max="7" min="5" style="0" width="16"/>
    <col collapsed="false" customWidth="true" hidden="false" outlineLevel="0" max="8" min="8" style="0" width="12"/>
    <col collapsed="false" customWidth="true" hidden="false" outlineLevel="0" max="9" min="9" style="0" width="28"/>
  </cols>
  <sheetData>
    <row r="2" customFormat="false" ht="25.5" hidden="false" customHeight="true" outlineLevel="0" collapsed="false">
      <c r="B2" s="23" t="s">
        <v>112</v>
      </c>
      <c r="C2" s="23"/>
      <c r="D2" s="23"/>
      <c r="E2" s="23"/>
      <c r="F2" s="23"/>
      <c r="G2" s="23"/>
      <c r="H2" s="23"/>
      <c r="I2" s="23"/>
    </row>
    <row r="4" customFormat="false" ht="15" hidden="false" customHeight="false" outlineLevel="0" collapsed="false">
      <c r="B4" s="16" t="s">
        <v>113</v>
      </c>
      <c r="C4" s="16" t="s">
        <v>114</v>
      </c>
      <c r="D4" s="16" t="s">
        <v>115</v>
      </c>
      <c r="E4" s="16" t="s">
        <v>116</v>
      </c>
      <c r="F4" s="16" t="s">
        <v>117</v>
      </c>
      <c r="G4" s="16" t="s">
        <v>118</v>
      </c>
      <c r="H4" s="16" t="s">
        <v>119</v>
      </c>
      <c r="I4" s="16" t="s">
        <v>120</v>
      </c>
    </row>
    <row r="5" customFormat="false" ht="15" hidden="false" customHeight="false" outlineLevel="0" collapsed="false">
      <c r="B5" s="14" t="s">
        <v>53</v>
      </c>
      <c r="C5" s="14" t="n">
        <v>10179376</v>
      </c>
      <c r="D5" s="15" t="s">
        <v>121</v>
      </c>
      <c r="E5" s="17" t="n">
        <v>448.22</v>
      </c>
      <c r="F5" s="17" t="s">
        <v>52</v>
      </c>
      <c r="G5" s="17" t="n">
        <v>448.22</v>
      </c>
      <c r="H5" s="17" t="n">
        <f aca="false">G5-E5</f>
        <v>0</v>
      </c>
      <c r="I5" s="24" t="s">
        <v>122</v>
      </c>
    </row>
    <row r="6" customFormat="false" ht="15" hidden="false" customHeight="false" outlineLevel="0" collapsed="false">
      <c r="B6" s="14" t="s">
        <v>62</v>
      </c>
      <c r="C6" s="14" t="n">
        <v>10428958</v>
      </c>
      <c r="D6" s="15" t="s">
        <v>123</v>
      </c>
      <c r="E6" s="17" t="n">
        <v>151.46</v>
      </c>
      <c r="F6" s="17" t="s">
        <v>65</v>
      </c>
      <c r="G6" s="17" t="n">
        <v>151.46</v>
      </c>
      <c r="H6" s="17" t="n">
        <f aca="false">G6-E6</f>
        <v>0</v>
      </c>
      <c r="I6" s="24" t="s">
        <v>122</v>
      </c>
    </row>
    <row r="7" customFormat="false" ht="15" hidden="false" customHeight="false" outlineLevel="0" collapsed="false">
      <c r="B7" s="14" t="s">
        <v>62</v>
      </c>
      <c r="C7" s="14" t="n">
        <v>10179376</v>
      </c>
      <c r="D7" s="15" t="s">
        <v>121</v>
      </c>
      <c r="E7" s="17" t="n">
        <v>307.03</v>
      </c>
      <c r="F7" s="17" t="s">
        <v>52</v>
      </c>
      <c r="G7" s="17" t="n">
        <v>307.03</v>
      </c>
      <c r="H7" s="17" t="n">
        <f aca="false">G7-E7</f>
        <v>0</v>
      </c>
      <c r="I7" s="24" t="s">
        <v>122</v>
      </c>
    </row>
    <row r="8" customFormat="false" ht="15" hidden="false" customHeight="false" outlineLevel="0" collapsed="false">
      <c r="B8" s="14" t="s">
        <v>68</v>
      </c>
      <c r="C8" s="14" t="n">
        <v>10428958</v>
      </c>
      <c r="D8" s="15" t="s">
        <v>123</v>
      </c>
      <c r="E8" s="17" t="n">
        <v>143.3</v>
      </c>
      <c r="F8" s="17" t="s">
        <v>65</v>
      </c>
      <c r="G8" s="17" t="n">
        <v>143.3</v>
      </c>
      <c r="H8" s="17" t="n">
        <f aca="false">G8-E8</f>
        <v>0</v>
      </c>
      <c r="I8" s="24" t="s">
        <v>122</v>
      </c>
    </row>
    <row r="9" customFormat="false" ht="15" hidden="false" customHeight="false" outlineLevel="0" collapsed="false">
      <c r="B9" s="14" t="s">
        <v>68</v>
      </c>
      <c r="C9" s="14" t="n">
        <v>10179376</v>
      </c>
      <c r="D9" s="15" t="s">
        <v>121</v>
      </c>
      <c r="E9" s="17" t="n">
        <v>214.2</v>
      </c>
      <c r="F9" s="17" t="s">
        <v>52</v>
      </c>
      <c r="G9" s="17" t="n">
        <v>214.2</v>
      </c>
      <c r="H9" s="17" t="n">
        <f aca="false">G9-E9</f>
        <v>0</v>
      </c>
      <c r="I9" s="24" t="s">
        <v>122</v>
      </c>
    </row>
    <row r="10" customFormat="false" ht="15" hidden="false" customHeight="false" outlineLevel="0" collapsed="false">
      <c r="B10" s="14" t="s">
        <v>72</v>
      </c>
      <c r="C10" s="14" t="n">
        <v>10428958</v>
      </c>
      <c r="D10" s="15" t="s">
        <v>123</v>
      </c>
      <c r="E10" s="17" t="n">
        <v>118.7</v>
      </c>
      <c r="F10" s="17" t="s">
        <v>65</v>
      </c>
      <c r="G10" s="17" t="n">
        <v>118.7</v>
      </c>
      <c r="H10" s="17" t="n">
        <f aca="false">G10-E10</f>
        <v>0</v>
      </c>
      <c r="I10" s="24" t="s">
        <v>122</v>
      </c>
    </row>
    <row r="11" customFormat="false" ht="15" hidden="false" customHeight="false" outlineLevel="0" collapsed="false">
      <c r="B11" s="14" t="s">
        <v>72</v>
      </c>
      <c r="C11" s="14" t="n">
        <v>10179376</v>
      </c>
      <c r="D11" s="15" t="s">
        <v>121</v>
      </c>
      <c r="E11" s="17" t="n">
        <v>974.16</v>
      </c>
      <c r="F11" s="17" t="s">
        <v>52</v>
      </c>
      <c r="G11" s="17" t="n">
        <v>974.16</v>
      </c>
      <c r="H11" s="17" t="n">
        <f aca="false">G11-E11</f>
        <v>0</v>
      </c>
      <c r="I11" s="24" t="s">
        <v>122</v>
      </c>
    </row>
    <row r="12" customFormat="false" ht="15" hidden="false" customHeight="false" outlineLevel="0" collapsed="false">
      <c r="B12" s="14" t="s">
        <v>76</v>
      </c>
      <c r="C12" s="14" t="n">
        <v>10428958</v>
      </c>
      <c r="D12" s="15" t="s">
        <v>123</v>
      </c>
      <c r="E12" s="17" t="n">
        <v>255.71</v>
      </c>
      <c r="F12" s="17" t="s">
        <v>65</v>
      </c>
      <c r="G12" s="17" t="n">
        <v>255.71</v>
      </c>
      <c r="H12" s="17" t="n">
        <f aca="false">G12-E12</f>
        <v>0</v>
      </c>
      <c r="I12" s="24" t="s">
        <v>122</v>
      </c>
    </row>
    <row r="13" customFormat="false" ht="15" hidden="false" customHeight="false" outlineLevel="0" collapsed="false">
      <c r="B13" s="14" t="s">
        <v>76</v>
      </c>
      <c r="C13" s="14" t="n">
        <v>10179376</v>
      </c>
      <c r="D13" s="15" t="s">
        <v>121</v>
      </c>
      <c r="E13" s="17" t="n">
        <v>520.73</v>
      </c>
      <c r="F13" s="17" t="s">
        <v>52</v>
      </c>
      <c r="G13" s="17" t="n">
        <v>520.73</v>
      </c>
      <c r="H13" s="17" t="n">
        <f aca="false">G13-E13</f>
        <v>0</v>
      </c>
      <c r="I13" s="24" t="s">
        <v>122</v>
      </c>
    </row>
    <row r="14" customFormat="false" ht="15" hidden="false" customHeight="false" outlineLevel="0" collapsed="false">
      <c r="B14" s="14" t="s">
        <v>84</v>
      </c>
      <c r="C14" s="14" t="n">
        <v>10428958</v>
      </c>
      <c r="D14" s="15" t="s">
        <v>123</v>
      </c>
      <c r="E14" s="17" t="n">
        <v>111.58</v>
      </c>
      <c r="F14" s="17" t="s">
        <v>65</v>
      </c>
      <c r="G14" s="17" t="n">
        <v>111.58</v>
      </c>
      <c r="H14" s="17" t="n">
        <f aca="false">G14-E14</f>
        <v>0</v>
      </c>
      <c r="I14" s="24" t="s">
        <v>122</v>
      </c>
    </row>
    <row r="15" customFormat="false" ht="15" hidden="false" customHeight="false" outlineLevel="0" collapsed="false">
      <c r="B15" s="14" t="s">
        <v>84</v>
      </c>
      <c r="C15" s="14" t="n">
        <v>10179376</v>
      </c>
      <c r="D15" s="15" t="s">
        <v>121</v>
      </c>
      <c r="E15" s="17" t="n">
        <v>518.08</v>
      </c>
      <c r="F15" s="17" t="s">
        <v>52</v>
      </c>
      <c r="G15" s="17" t="n">
        <v>518.08</v>
      </c>
      <c r="H15" s="17" t="n">
        <f aca="false">G15-E15</f>
        <v>0</v>
      </c>
      <c r="I15" s="24" t="s">
        <v>122</v>
      </c>
    </row>
    <row r="16" customFormat="false" ht="15" hidden="false" customHeight="false" outlineLevel="0" collapsed="false">
      <c r="B16" s="14" t="s">
        <v>88</v>
      </c>
      <c r="C16" s="14" t="n">
        <v>10428958</v>
      </c>
      <c r="D16" s="15" t="s">
        <v>123</v>
      </c>
      <c r="E16" s="17" t="n">
        <v>217.53</v>
      </c>
      <c r="F16" s="17" t="s">
        <v>65</v>
      </c>
      <c r="G16" s="17" t="n">
        <v>217.53</v>
      </c>
      <c r="H16" s="17" t="n">
        <f aca="false">G16-E16</f>
        <v>0</v>
      </c>
      <c r="I16" s="24" t="s">
        <v>122</v>
      </c>
    </row>
    <row r="17" customFormat="false" ht="15" hidden="false" customHeight="false" outlineLevel="0" collapsed="false">
      <c r="B17" s="14" t="s">
        <v>88</v>
      </c>
      <c r="C17" s="14" t="n">
        <v>10179376</v>
      </c>
      <c r="D17" s="15" t="s">
        <v>121</v>
      </c>
      <c r="E17" s="17" t="n">
        <v>380.33</v>
      </c>
      <c r="F17" s="17" t="s">
        <v>52</v>
      </c>
      <c r="G17" s="17" t="n">
        <v>380.33</v>
      </c>
      <c r="H17" s="17" t="n">
        <f aca="false">G17-E17</f>
        <v>0</v>
      </c>
      <c r="I17" s="24" t="s">
        <v>122</v>
      </c>
    </row>
    <row r="18" customFormat="false" ht="15" hidden="false" customHeight="false" outlineLevel="0" collapsed="false">
      <c r="B18" s="14" t="s">
        <v>92</v>
      </c>
      <c r="C18" s="14" t="n">
        <v>10428958</v>
      </c>
      <c r="D18" s="15" t="s">
        <v>123</v>
      </c>
      <c r="E18" s="17" t="n">
        <v>148.22</v>
      </c>
      <c r="F18" s="17" t="s">
        <v>65</v>
      </c>
      <c r="G18" s="17" t="n">
        <v>148.22</v>
      </c>
      <c r="H18" s="17" t="n">
        <f aca="false">G18-E18</f>
        <v>0</v>
      </c>
      <c r="I18" s="24" t="s">
        <v>122</v>
      </c>
    </row>
    <row r="19" customFormat="false" ht="15" hidden="false" customHeight="false" outlineLevel="0" collapsed="false">
      <c r="B19" s="14" t="s">
        <v>92</v>
      </c>
      <c r="C19" s="14" t="n">
        <v>10179376</v>
      </c>
      <c r="D19" s="15" t="s">
        <v>121</v>
      </c>
      <c r="E19" s="17" t="n">
        <v>801.77</v>
      </c>
      <c r="F19" s="17" t="s">
        <v>52</v>
      </c>
      <c r="G19" s="17" t="n">
        <v>801.77</v>
      </c>
      <c r="H19" s="17" t="n">
        <f aca="false">G19-E19</f>
        <v>0</v>
      </c>
      <c r="I19" s="24" t="s">
        <v>122</v>
      </c>
    </row>
    <row r="20" customFormat="false" ht="15" hidden="false" customHeight="false" outlineLevel="0" collapsed="false">
      <c r="B20" s="14" t="s">
        <v>101</v>
      </c>
      <c r="C20" s="14"/>
      <c r="D20" s="15"/>
      <c r="E20" s="17"/>
      <c r="F20" s="17" t="s">
        <v>65</v>
      </c>
      <c r="G20" s="17" t="n">
        <v>365.79</v>
      </c>
      <c r="H20" s="17" t="n">
        <f aca="false">G20-E20</f>
        <v>365.79</v>
      </c>
      <c r="I20" s="25" t="s">
        <v>124</v>
      </c>
    </row>
    <row r="21" customFormat="false" ht="15" hidden="false" customHeight="false" outlineLevel="0" collapsed="false">
      <c r="B21" s="14" t="s">
        <v>101</v>
      </c>
      <c r="C21" s="14"/>
      <c r="D21" s="15"/>
      <c r="E21" s="17"/>
      <c r="F21" s="17" t="s">
        <v>52</v>
      </c>
      <c r="G21" s="17" t="n">
        <v>874.66</v>
      </c>
      <c r="H21" s="17" t="n">
        <f aca="false">G21-E21</f>
        <v>874.66</v>
      </c>
      <c r="I21" s="25" t="s">
        <v>124</v>
      </c>
    </row>
    <row r="22" customFormat="false" ht="15" hidden="false" customHeight="false" outlineLevel="0" collapsed="false">
      <c r="B22" s="14" t="s">
        <v>108</v>
      </c>
      <c r="C22" s="14" t="n">
        <v>10428958</v>
      </c>
      <c r="D22" s="15" t="s">
        <v>123</v>
      </c>
      <c r="E22" s="17" t="n">
        <v>77.24</v>
      </c>
      <c r="F22" s="17" t="s">
        <v>65</v>
      </c>
      <c r="G22" s="17" t="n">
        <v>77.24</v>
      </c>
      <c r="H22" s="17" t="n">
        <f aca="false">G22-E22</f>
        <v>0</v>
      </c>
      <c r="I22" s="24" t="s">
        <v>122</v>
      </c>
    </row>
    <row r="23" customFormat="false" ht="15" hidden="false" customHeight="false" outlineLevel="0" collapsed="false">
      <c r="B23" s="14" t="s">
        <v>108</v>
      </c>
      <c r="C23" s="14" t="n">
        <v>10179376</v>
      </c>
      <c r="D23" s="15" t="s">
        <v>121</v>
      </c>
      <c r="E23" s="17" t="n">
        <v>873.22</v>
      </c>
      <c r="F23" s="17" t="s">
        <v>52</v>
      </c>
      <c r="G23" s="17" t="n">
        <v>873.22</v>
      </c>
      <c r="H23" s="17" t="n">
        <f aca="false">G23-E23</f>
        <v>0</v>
      </c>
      <c r="I23" s="24" t="s">
        <v>122</v>
      </c>
    </row>
    <row r="24" customFormat="false" ht="15" hidden="false" customHeight="false" outlineLevel="0" collapsed="false">
      <c r="B24" s="26" t="s">
        <v>23</v>
      </c>
      <c r="C24" s="10"/>
      <c r="D24" s="10"/>
      <c r="E24" s="12" t="n">
        <f aca="false">SUM(E5:E23)</f>
        <v>6261.48</v>
      </c>
      <c r="F24" s="10"/>
      <c r="G24" s="12" t="n">
        <f aca="false">SUM(G5:G23)</f>
        <v>7501.93</v>
      </c>
      <c r="H24" s="12" t="n">
        <f aca="false">SUM(H5:H23)</f>
        <v>1240.45</v>
      </c>
      <c r="I24" s="10"/>
    </row>
    <row r="26" customFormat="false" ht="15" hidden="false" customHeight="false" outlineLevel="0" collapsed="false">
      <c r="B26" s="4" t="s">
        <v>125</v>
      </c>
      <c r="C26" s="4"/>
      <c r="D26" s="4"/>
      <c r="E26" s="4"/>
      <c r="F26" s="4"/>
      <c r="G26" s="4"/>
      <c r="H26" s="4"/>
      <c r="I26" s="4"/>
    </row>
    <row r="27" customFormat="false" ht="31.5" hidden="false" customHeight="true" outlineLevel="0" collapsed="false">
      <c r="B27" s="27" t="s">
        <v>126</v>
      </c>
      <c r="C27" s="27"/>
      <c r="D27" s="27"/>
      <c r="E27" s="27"/>
      <c r="F27" s="27"/>
      <c r="G27" s="27"/>
      <c r="H27" s="27"/>
      <c r="I27" s="27"/>
    </row>
    <row r="28" customFormat="false" ht="31.5" hidden="false" customHeight="true" outlineLevel="0" collapsed="false">
      <c r="B28" s="27" t="s">
        <v>127</v>
      </c>
      <c r="C28" s="27"/>
      <c r="D28" s="27"/>
      <c r="E28" s="27"/>
      <c r="F28" s="27"/>
      <c r="G28" s="27"/>
      <c r="H28" s="27"/>
      <c r="I28" s="27"/>
    </row>
    <row r="29" customFormat="false" ht="31.5" hidden="false" customHeight="true" outlineLevel="0" collapsed="false">
      <c r="B29" s="27" t="s">
        <v>128</v>
      </c>
      <c r="C29" s="27"/>
      <c r="D29" s="27"/>
      <c r="E29" s="27"/>
      <c r="F29" s="27"/>
      <c r="G29" s="27"/>
      <c r="H29" s="27"/>
      <c r="I29" s="27"/>
    </row>
    <row r="30" customFormat="false" ht="31.5" hidden="false" customHeight="true" outlineLevel="0" collapsed="false">
      <c r="B30" s="27" t="s">
        <v>129</v>
      </c>
      <c r="C30" s="27"/>
      <c r="D30" s="27"/>
      <c r="E30" s="27"/>
      <c r="F30" s="27"/>
      <c r="G30" s="27"/>
      <c r="H30" s="27"/>
      <c r="I30" s="27"/>
    </row>
  </sheetData>
  <mergeCells count="6">
    <mergeCell ref="B2:I2"/>
    <mergeCell ref="B26:I26"/>
    <mergeCell ref="B27:I27"/>
    <mergeCell ref="B28:I28"/>
    <mergeCell ref="B29:I29"/>
    <mergeCell ref="B30:I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14"/>
    <col collapsed="false" customWidth="true" hidden="false" outlineLevel="0" max="4" min="4" style="0" width="38"/>
    <col collapsed="false" customWidth="true" hidden="false" outlineLevel="0" max="6" min="5" style="0" width="14"/>
    <col collapsed="false" customWidth="true" hidden="false" outlineLevel="0" max="7" min="7" style="0" width="32"/>
  </cols>
  <sheetData>
    <row r="2" customFormat="false" ht="25.5" hidden="false" customHeight="true" outlineLevel="0" collapsed="false">
      <c r="B2" s="23" t="s">
        <v>130</v>
      </c>
      <c r="C2" s="23"/>
      <c r="D2" s="23"/>
      <c r="E2" s="23"/>
      <c r="F2" s="23"/>
      <c r="G2" s="23"/>
    </row>
    <row r="3" customFormat="false" ht="15" hidden="false" customHeight="false" outlineLevel="0" collapsed="false">
      <c r="B3" s="2" t="s">
        <v>131</v>
      </c>
      <c r="C3" s="2"/>
      <c r="D3" s="2"/>
      <c r="E3" s="2"/>
      <c r="F3" s="2"/>
      <c r="G3" s="2"/>
    </row>
    <row r="5" customFormat="false" ht="15" hidden="false" customHeight="false" outlineLevel="0" collapsed="false">
      <c r="B5" s="5" t="s">
        <v>37</v>
      </c>
      <c r="C5" s="5" t="s">
        <v>132</v>
      </c>
      <c r="D5" s="5" t="s">
        <v>133</v>
      </c>
      <c r="E5" s="5" t="s">
        <v>134</v>
      </c>
      <c r="F5" s="5" t="s">
        <v>135</v>
      </c>
      <c r="G5" s="5" t="s">
        <v>9</v>
      </c>
      <c r="H5" s="5" t="s">
        <v>120</v>
      </c>
    </row>
    <row r="6" customFormat="false" ht="46.25" hidden="false" customHeight="false" outlineLevel="0" collapsed="false">
      <c r="B6" s="14" t="n">
        <v>5</v>
      </c>
      <c r="C6" s="14" t="s">
        <v>80</v>
      </c>
      <c r="D6" s="14" t="s">
        <v>136</v>
      </c>
      <c r="E6" s="15" t="s">
        <v>137</v>
      </c>
      <c r="F6" s="14" t="n">
        <v>1</v>
      </c>
      <c r="G6" s="17" t="n">
        <v>37.93</v>
      </c>
      <c r="H6" s="24" t="s">
        <v>138</v>
      </c>
    </row>
    <row r="7" customFormat="false" ht="46.25" hidden="false" customHeight="false" outlineLevel="0" collapsed="false">
      <c r="B7" s="14" t="n">
        <v>8</v>
      </c>
      <c r="C7" s="14" t="s">
        <v>96</v>
      </c>
      <c r="D7" s="14" t="s">
        <v>136</v>
      </c>
      <c r="E7" s="15" t="s">
        <v>137</v>
      </c>
      <c r="F7" s="14" t="n">
        <v>2</v>
      </c>
      <c r="G7" s="17" t="n">
        <v>71.54</v>
      </c>
      <c r="H7" s="24" t="s">
        <v>138</v>
      </c>
    </row>
    <row r="8" customFormat="false" ht="15" hidden="false" customHeight="false" outlineLevel="0" collapsed="false">
      <c r="B8" s="10"/>
      <c r="C8" s="10"/>
      <c r="D8" s="10"/>
      <c r="E8" s="10"/>
      <c r="F8" s="28" t="s">
        <v>23</v>
      </c>
      <c r="G8" s="12" t="n">
        <f aca="false">SUM(G6:G7)</f>
        <v>109.47</v>
      </c>
      <c r="H8" s="10"/>
    </row>
    <row r="10" customFormat="false" ht="15" hidden="false" customHeight="false" outlineLevel="0" collapsed="false">
      <c r="B10" s="4" t="s">
        <v>139</v>
      </c>
      <c r="C10" s="4"/>
      <c r="D10" s="4"/>
      <c r="E10" s="4"/>
      <c r="F10" s="4"/>
      <c r="G10" s="4"/>
      <c r="H10" s="4"/>
    </row>
    <row r="11" customFormat="false" ht="30" hidden="false" customHeight="true" outlineLevel="0" collapsed="false">
      <c r="B11" s="27" t="s">
        <v>140</v>
      </c>
      <c r="C11" s="27"/>
      <c r="D11" s="27"/>
      <c r="E11" s="27"/>
      <c r="F11" s="27"/>
      <c r="G11" s="27"/>
      <c r="H11" s="27"/>
    </row>
    <row r="12" customFormat="false" ht="30" hidden="false" customHeight="true" outlineLevel="0" collapsed="false">
      <c r="B12" s="27" t="s">
        <v>141</v>
      </c>
      <c r="C12" s="27"/>
      <c r="D12" s="27"/>
      <c r="E12" s="27"/>
      <c r="F12" s="27"/>
      <c r="G12" s="27"/>
      <c r="H12" s="27"/>
    </row>
    <row r="13" customFormat="false" ht="30" hidden="false" customHeight="true" outlineLevel="0" collapsed="false">
      <c r="B13" s="27" t="s">
        <v>142</v>
      </c>
      <c r="C13" s="27"/>
      <c r="D13" s="27"/>
      <c r="E13" s="27"/>
      <c r="F13" s="27"/>
      <c r="G13" s="27"/>
      <c r="H13" s="27"/>
    </row>
  </sheetData>
  <mergeCells count="6">
    <mergeCell ref="B2:G2"/>
    <mergeCell ref="B3:G3"/>
    <mergeCell ref="B10:H10"/>
    <mergeCell ref="B11:H11"/>
    <mergeCell ref="B12:H12"/>
    <mergeCell ref="B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2026-05-08T06:43:45Z</dcterms:created>
  <dc:creator>openpyxl</dc:creator>
  <dc:description/>
  <dc:language>en-US</dc:language>
  <cp:lastModifiedBy/>
  <dcterms:modified xsi:type="dcterms:W3CDTF">2026-05-08T06:43:46Z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