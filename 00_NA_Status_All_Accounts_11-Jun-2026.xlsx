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ll Accounts" sheetId="2" state="visible" r:id="rId4"/>
    <sheet name="Open Items" sheetId="3" state="visible" r:id="rId5"/>
  </sheets>
  <definedNames>
    <definedName function="false" hidden="false" localSheetId="1" name="_xlnm.Print_Area" vbProcedure="false">'All Accounts'!$A$1:$S$91</definedName>
    <definedName function="false" hidden="true" localSheetId="1" name="_xlnm._FilterDatabase" vbProcedure="false">'All Accounts'!$A$4:$S$91</definedName>
    <definedName function="false" hidden="true" localSheetId="2" name="_xlnm._FilterDatabase" vbProcedure="false">'Open Items'!$A$4:$E$54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<sst xmlns="http://schemas.openxmlformats.org/spreadsheetml/2006/main" count="1034" uniqueCount="462">
  <si>
    <t xml:space="preserve">LCC Parks 4090000  -  NA Review Programme  -  Status Summary</t>
  </si>
  <si>
    <t xml:space="preserve">Prepared 11-Jun-2026; updated 16-Jun-2026  |  Spero Karkalemis  |  Ledger 26SLACT, O110-O115, P1-12  |  No emails per standing directive; decisions are Spero's</t>
  </si>
  <si>
    <t xml:space="preserve">IN-SCOPE SPEND (87 ACCOUNTS)</t>
  </si>
  <si>
    <t xml:space="preserve">REVIEWED $ (SE2 COVERAGE BASIS)</t>
  </si>
  <si>
    <t xml:space="preserve">REVIEWED % OF SPEND</t>
  </si>
  <si>
    <t xml:space="preserve">ACCOUNTS WITH A REGISTER ROW</t>
  </si>
  <si>
    <t xml:space="preserve">FULLY REVIEWED</t>
  </si>
  <si>
    <t xml:space="preserve">PARTIAL</t>
  </si>
  <si>
    <t xml:space="preserve">OPENED (NOT RECONCILED)</t>
  </si>
  <si>
    <t xml:space="preserve">NOT STARTED</t>
  </si>
  <si>
    <t xml:space="preserve">Overall RAG across register accounts  |  GREEN clear, AMBER confirm, RED blocker, OPENED pre-reconciliation</t>
  </si>
  <si>
    <t xml:space="preserve">GREEN</t>
  </si>
  <si>
    <t xml:space="preserve">AMBER</t>
  </si>
  <si>
    <t xml:space="preserve">RED</t>
  </si>
  <si>
    <t xml:space="preserve">OPENED</t>
  </si>
  <si>
    <t xml:space="preserve">Session headlines, 11-Jun-2026</t>
  </si>
  <si>
    <t xml:space="preserve">  - Derived workbooks extended 11-Jun-2026 (fourth pass): the five handover workstreams (73211, 62121/62125, 7B532, 7B214, 73541) now carry rows here, in the Tracker and in the Running Transaction Listing (133 new listing lines).</t>
  </si>
  <si>
    <t xml:space="preserve">  - 73211 worked and evidenced: intake C00228240 applied, 43 documents sighted, $157,051.42 of $236,378.27 (66.4%), all exact on the x1.1 test, 18 ABNs PASS; F5/F6 closed, F7 raised; GSTE-28 Telstra pattern recorded.</t>
  </si>
  <si>
    <t xml:space="preserve">  - 73211 candidates held un-instructed (no recode dollar populated): F1 GJ079190 reversal, F2 ~$98,005 to 73212, F3 training/chair items, six new classification candidates.</t>
  </si>
  <si>
    <t xml:space="preserve">  - 7B532 probable $1,232 IJ072723 duplicate held AMBER; 7B214 $7,488 oncharge backups outstanding; 62121/62125 destination-leg confirmation is the Garside residue; 73541 closes on the Trailbuilders backup.</t>
  </si>
  <si>
    <t xml:space="preserve">  - Hard gates NONE. Register 22 rows, $538,947.73 ex-GST reviewed (recalc-verified); 16-Jun intake added NA7B213 Internal Medical (Immunisation) $4,861.70 and refreshed 73211 to $267,532.19 (+6 P12 lines, +$31,153.92, 17-Jun re-export); 73123 remains OPENED, not reconciled (gap $50,338.64).</t>
  </si>
  <si>
    <t xml:space="preserve">Basis note: SE2-coverage Reviewed-$ is anchored to the fixed 8-Jun SE2 and bridges to the register total $538,947.73 below. Differences: 73511 ($1,117.08, FBT batch pairs), 73512 ($8.42), post-SE2 P12 postings on 73211 ($31,454.92, incl the 17-Jun re-export's 6 new lines) and 7B214 ($3,888.00), the new 7B213 immunisation export over SE2 ($864.90), and the 62121/62125 revenue supplementary ($3,711.73) outside the 87-account expense scope. The tie-out below recomputes the bridge live.</t>
  </si>
  <si>
    <t xml:space="preserve">Register tie-out (live): SE2-coverage Reviewed-$ bridged to the Account Review Register</t>
  </si>
  <si>
    <t xml:space="preserve">Reviewed $ (SE2-coverage basis, 87 accounts)</t>
  </si>
  <si>
    <t xml:space="preserve">+ 73511 basis difference (register $5,384.57 net of FBT batch pairs)</t>
  </si>
  <si>
    <t xml:space="preserve">+ 73512 basis difference (register $5,520.97 post-SE2)</t>
  </si>
  <si>
    <t xml:space="preserve">+ 73211 basis difference (register $267,532.19; +6 P12 lines, 17-Jun re-export)</t>
  </si>
  <si>
    <t xml:space="preserve">+ 7B214 basis difference (register $7,570.50; P12 IJ074845)</t>
  </si>
  <si>
    <t xml:space="preserve">+ 7B213 basis difference (register $4,861.70; post-SE2 immunisation export)</t>
  </si>
  <si>
    <t xml:space="preserve">+ 62121/62125 supplementary (revenue, outside the 87)</t>
  </si>
  <si>
    <t xml:space="preserve">Register reviewed total (computed, = sum of the seven rows above)</t>
  </si>
  <si>
    <t xml:space="preserve">Register total per 00_Account_Review_Register.xlsx, 22 rows, 16-Jun-2026</t>
  </si>
  <si>
    <t xml:space="preserve">Tie-out</t>
  </si>
  <si>
    <t xml:space="preserve">LCC Parks 4090000  -  Natural Account Review  -  Status of All Accounts</t>
  </si>
  <si>
    <t xml:space="preserve">All 87 in-scope natural accounts  |  Source SE2 8-Jun-2026, register and tracker as at 11-Jun-2026  |  Batch CN-23167  |  GL ex-GST</t>
  </si>
  <si>
    <t xml:space="preserve">Priority</t>
  </si>
  <si>
    <t xml:space="preserve">NA</t>
  </si>
  <si>
    <t xml:space="preserve">Account name</t>
  </si>
  <si>
    <t xml:space="preserve">Accum actual ex-GST</t>
  </si>
  <si>
    <t xml:space="preserve">Annual budget</t>
  </si>
  <si>
    <t xml:space="preserve">Materiality</t>
  </si>
  <si>
    <t xml:space="preserve">Review status</t>
  </si>
  <si>
    <t xml:space="preserve">Reviewed $</t>
  </si>
  <si>
    <t xml:space="preserve">Untested $</t>
  </si>
  <si>
    <t xml:space="preserve">L1 PK</t>
  </si>
  <si>
    <t xml:space="preserve">L2 NA</t>
  </si>
  <si>
    <t xml:space="preserve">L3 Evid</t>
  </si>
  <si>
    <t xml:space="preserve">L4 Tax</t>
  </si>
  <si>
    <t xml:space="preserve">Overall RAG</t>
  </si>
  <si>
    <t xml:space="preserve">Key finding (condensed)</t>
  </si>
  <si>
    <t xml:space="preserve">Remaining items</t>
  </si>
  <si>
    <t xml:space="preserve">Evidence / artefacts</t>
  </si>
  <si>
    <t xml:space="preserve">Journal status</t>
  </si>
  <si>
    <t xml:space="preserve">Last reviewed</t>
  </si>
  <si>
    <t xml:space="preserve">P1</t>
  </si>
  <si>
    <t xml:space="preserve">72111</t>
  </si>
  <si>
    <t xml:space="preserve">Minor Equipment &amp; Supplies</t>
  </si>
  <si>
    <t xml:space="preserve">$10k-100k</t>
  </si>
  <si>
    <t xml:space="preserve">Partial</t>
  </si>
  <si>
    <t xml:space="preserve">AP-invoice pass: $2,260.36 of $3,433.91 miscoded (Tennyson signage 72222, Ultimate PPE 72113, STIHL GTA 40 72315, INITIATOR chem 72112). Doc46 journal pass recodes $22,028 off 72111 across 11 NAs. The two OVERLAP (Tennyson 27577 $335 in both) and cannot be summed. EVIDENCE SIGHTED 9-Jun (Ultimate/Woodmans/Tennyson set C00267478, all ABNs PASS): 3 Trees-PK (20241/PK000055) recodes now STAGED in NA72111_GENJNL_Recode.txt - trousers PIK2270125 $292.09 and pants PIK2267644 $402.59 to 72113 PPE (part...</t>
  </si>
  <si>
    <t xml:space="preserve">1 Upload the 72111 streams (in the live journal). 2 Process GSTE-01 to 03 BAS adjustments ($69.50). 3 Spero scope call on the $63,621.56 untested remainder. Oasis/Pac Fire/Bunnings receipt GAPs closed 10-Jun-2026 (all four sighted, ABNs PASS, reconcile to the cent); Doc46 partial-recode remainders now content-known (PPE/decor candidates, un-instructed).</t>
  </si>
  <si>
    <t xml:space="preserve">NA72111 note; _CarryForward Doc46/Doc45 source journals</t>
  </si>
  <si>
    <t xml:space="preserve">CN-23167 (PREPARED; NA72111_GENJNL_Recode.txt 14 lines, 4 sets)</t>
  </si>
  <si>
    <t xml:space="preserve">9-Jun-2026</t>
  </si>
  <si>
    <t xml:space="preserve">73564</t>
  </si>
  <si>
    <t xml:space="preserve">IT Equipment and Applications</t>
  </si>
  <si>
    <t xml:space="preserve">Fully reviewed</t>
  </si>
  <si>
    <t xml:space="preserve">Full account $43,393.37 ex-GST, 36 lines (was partial $1,929.27). Findings: (a) 6 software/subscription lines $1,822.45 belong in 73566 IT Software Licence Fees (Esri, Anthropic, Body2 x2, 2 licence bundles); chart + P10 Canva/VisitUs precedent. (b) 9 of 20 recharge lines $4,416.27 off officer home PK incl confirmed Fry Depots-&gt;Trees miscode and likely AnneMarie/Caroline King mixup. (c) Esri INV000555 tax COMPLIANT (ABN PASS, GST exact, 1 of 7 seats). Body2 L18/L19 = correct monthly recognition ...</t>
  </si>
  <si>
    <t xml:space="preserve">1 Finance accept 73564-&gt;73566 software recode $1,822.45 (held); confirm Body2 moved or left. 2 Confirm IT-recharge PK convention (home vs supported-team) for 9 lines. 3 Fry attribution CONFIRMED PK000001 (analyst); both positions map to PK000001. Release net-move 20241/PK000055-&gt;20151/PK000001 on SR-0315517 sighting. 4 Resolve King L08/L24 svc20191/PK000082. 5 Sight 7 no-attach SR backups: SR-0316577, SR-0315241, SR#204868, SR-0312575, SR#201404, SR-0315517, SR#200930 ($6,689.87). 6 Sight + tax-check 5 external invoices: 2412569490, INAU004378, GJ076194, GJ075813, TE005499. 6 Query L34 $3,761.60 quantum. 7 Advisory: P&amp;A register for iPad/iPhone fleet. UPDATE 9-Jun: PK convention = officer home PK (Spero); 3 net-moves staged (Robertson/Dressman/Fry); sight SR219175/SR235810/SR-0315517 to clear their evidence limb; 6 King/Shearman lines still pending.</t>
  </si>
  <si>
    <t xml:space="preserve">NA73564_Evidence/ (Esri INV000555 sighted; ledger extract); NA73564_GENJNL_Recode.txt (held; IT recharge schedule Feb-2026 sighted 10-Jun)</t>
  </si>
  <si>
    <t xml:space="preserve">CN-23167 (journal-ready, Spero; A 73564-&gt;73566 software, B 3 PK net-moves)</t>
  </si>
  <si>
    <t xml:space="preserve">72312</t>
  </si>
  <si>
    <t xml:space="preserve">Office &amp; Library Equipment</t>
  </si>
  <si>
    <t xml:space="preserve">$1k-10k</t>
  </si>
  <si>
    <t xml:space="preserve">$2,461.27 of $2,461.27 (100%) miscoded out of 72312; IKEA EKET cabinets and Empire chair gas lifts + desk power + install all belong in 72313 Furniture &amp; Fittings. IKEA line PK000493 CONFIRMED valid (Flying Gang, Park Services, svc 20392) per analyst sub-PK ledger; PK preserved as transacted, no PK move. Both ABNs checksum PASS.</t>
  </si>
  <si>
    <t xml:space="preserve">1 Finance accept 72312 to 72313 recode in full-reversal format, then release CN-23167. 2 CAVEAT: pk_validator fails PK000493 (absent from installed maps which carry only PK000022 for svc 20392); add the Flying Gang sub-PK to lcc-coding-review so the recode validates. 3 Advisory: fix line 02 narration.</t>
  </si>
  <si>
    <t xml:space="preserve">NA72312_Evidence/ (IKEA TE004431; Empire RL196475; ledger extract)</t>
  </si>
  <si>
    <t xml:space="preserve">CN-23167 (journal-ready, Spero)</t>
  </si>
  <si>
    <t xml:space="preserve">8-Jun-2026</t>
  </si>
  <si>
    <t xml:space="preserve">P2</t>
  </si>
  <si>
    <t xml:space="preserve">73126</t>
  </si>
  <si>
    <t xml:space="preserve">Landscapers &amp; Gardeners</t>
  </si>
  <si>
    <t xml:space="preserve">&gt;= $1M</t>
  </si>
  <si>
    <t xml:space="preserve">Not started</t>
  </si>
  <si>
    <t xml:space="preserve">Not started. Obtain TechOne ledger export to open.</t>
  </si>
  <si>
    <t xml:space="preserve">73212</t>
  </si>
  <si>
    <t xml:space="preserve">Major Contracts</t>
  </si>
  <si>
    <t xml:space="preserve">A1 Strategy $15,100 (PO 708258) fails 73212 twice: four-element consultancy test met AND PO sits under the $20,000 floor; recode candidate to 73601 held (Tier 1 complete: 3 invoices + ABR x2 + ASIC, GST exact, hours recompute). Aust Care $630 invoice names PK000496, ledger charged PK000469 (PK recode candidate). GJ079210 -$66,183.82 one-sided Play Force move is the open dollar; ~$30,000 standing-order lines vendor-blind. | 11-Jun: GJ079210 backup SIGHTED - balanced 6-line PK move PK000035 to PK0...</t>
  </si>
  <si>
    <t xml:space="preserve">1 Spero rulings: A1 $15,100 73212-&gt;73601 (73603 alt); Aust Care PK000469-&gt;PK000496 $630. 2 GJ079210 + GJ076924 backups CLOSED 11-Jun-2026 (sighted, balanced, direction verified). 3 Vendor invoices for s4090230 standing orders (~$30,000). 4 Contracts vs the $20k floor: LCC-09-2022, Aust Care SO, Play Force. 5 Trace IPWEA $343.20 part-payment. 6 Confirm Anita Moore home service (OrgRisk invoice now corroborates Acting Parks Manager).</t>
  </si>
  <si>
    <t xml:space="preserve">NA73212_Evidence/ (8 files, hash-verified)</t>
  </si>
  <si>
    <t xml:space="preserve">n/a (candidates held, no recode staged)</t>
  </si>
  <si>
    <t xml:space="preserve">10-Jun-2026</t>
  </si>
  <si>
    <t xml:space="preserve">73123</t>
  </si>
  <si>
    <t xml:space="preserve">Maintenance Services</t>
  </si>
  <si>
    <t xml:space="preserve">Opened</t>
  </si>
  <si>
    <t xml:space="preserve">n/a</t>
  </si>
  <si>
    <t xml:space="preserve">OPENED ONLY, no limb rated. Export sums $3,951,109.43 vs SE2 (8-Jun) $3,900,770.79: gap $50,338.64 unresolved (suspected export row duplication - 365 exact-duplicate rows $20,201.46, accrual legs appearing in triplicate - and/or 8-to-11-Jun P12 timing). Per session rule no conclusions until reconciled, so Reviewed-$ stays $0. Profile: AP $3,971,119.30 over 3,339 rows; GL net -$23,019.35 (self-reversing EOM accruals + 2 Pool Shop recodes out); top services 20392 $1,304,200 and 20481 $1,273,366 (6...</t>
  </si>
  <si>
    <t xml:space="preserve">1 Resolve the $50,338.64 export-vs-SE2 gap (re-pull or P12 diff) BEFORE any line work. 2 Read jointly with 73212 (GJ076924 redistribution touches both). 3 Plan line review by service: 20392 and 20481 first.</t>
  </si>
  <si>
    <t xml:space="preserve">NA73123_Scope_Note.md; NA73123_Evidence/ (full + 2 section ledger extracts)</t>
  </si>
  <si>
    <t xml:space="preserve">n/a (not worked)</t>
  </si>
  <si>
    <t xml:space="preserve">11-Jun-2026 (opened)</t>
  </si>
  <si>
    <t xml:space="preserve">73990</t>
  </si>
  <si>
    <t xml:space="preserve">Expensed capital services</t>
  </si>
  <si>
    <t xml:space="preserve">P3</t>
  </si>
  <si>
    <t xml:space="preserve">7C111</t>
  </si>
  <si>
    <t xml:space="preserve">Internal - Vehicle/Plant Hire</t>
  </si>
  <si>
    <t xml:space="preserve">7B115</t>
  </si>
  <si>
    <t xml:space="preserve">Internal - Garbage Charges</t>
  </si>
  <si>
    <t xml:space="preserve">$100k-1M</t>
  </si>
  <si>
    <t xml:space="preserve">73121</t>
  </si>
  <si>
    <t xml:space="preserve">Cleaning &amp; Sanitary</t>
  </si>
  <si>
    <t xml:space="preserve">7B112</t>
  </si>
  <si>
    <t xml:space="preserve">Internal - Water Base Charge</t>
  </si>
  <si>
    <t xml:space="preserve">7B113</t>
  </si>
  <si>
    <t xml:space="preserve">Internal - Water Usage Charge</t>
  </si>
  <si>
    <t xml:space="preserve">73124</t>
  </si>
  <si>
    <t xml:space="preserve">Security</t>
  </si>
  <si>
    <t xml:space="preserve">73211</t>
  </si>
  <si>
    <t xml:space="preserve">Minor Contracts (below $20,000)</t>
  </si>
  <si>
    <t xml:space="preserve">Reconciles to the 11-Jun SE2 to the cent: $236,378.27 register basis, 114 lines, 23 cost codes (this sheet carries the 8-Jun SE2 actual $236,077.27; the $301.00 difference is the P12 Lockwise line 2908883 posted 8-Jun-2026). Intake C00228240 applied 11-Jun: 43 documents sighted, $157,051.42 (66.4%) evidenced, every document exact on the x1.1 test, 18 ABN checksums PASS. Findings: F1 $5,635 GJ079190 duplicates GJ079210 onto PK000022 (Gihani 6-May-2026 instruction sighted: 510&gt;PK000023, 511&gt;PK000022); F2 ~$98,005 above-threshold candidates to 73212 (LCC31326 $25,848.08, Destination Trails $43,114, Chronicle $29,042.45); F3 training/chair items (PRINCE2 $2,440, PSIA $4,300, IPWEA $2,788, chair $370.05); F4 GJ078546 destinations unverified plus Provac $2,050 inbound query; F7 TE004838 cover slip vs posting mismatch; F5 and F6 CLOSED. Six new classification candidates (Firesight 73601, Chronicle 73566/survey, Tennyson 72222, SC10918 64411, Telstra telecoms, INCON materials). GSTE-28 Telstra cents-level pattern.</t>
  </si>
  <si>
    <t xml:space="preserve">1 Spero rulings on F1 (reversal and re-post destination), the F2/F3 candidate sets and the six new candidates (single sweep). 2 Sight the remaining gap documents ($79,326.85 incl 2906937 $10,200, 2908705 $17,000, TBM series $15,604.11, Ausecology $14,840). 3 Run the ABR sightings queue (18 suppliers; INCON and IPWEA done). 4 No recode dollar populates without the ruling.</t>
  </si>
  <si>
    <t xml:space="preserve">02_NA73211_Minor_Contracts/ (Verification Record; 43 evidence PDFs + manifest with GAP rows; Related/)</t>
  </si>
  <si>
    <t xml:space="preserve">n/a (no recode staged; candidates held un-instructed)</t>
  </si>
  <si>
    <t xml:space="preserve">11-Jun-2026</t>
  </si>
  <si>
    <t xml:space="preserve">7B114</t>
  </si>
  <si>
    <t xml:space="preserve">Internal - Sewerage Charges</t>
  </si>
  <si>
    <t xml:space="preserve">7C112</t>
  </si>
  <si>
    <t xml:space="preserve">Internal - Miscellaneous Plant Hire</t>
  </si>
  <si>
    <t xml:space="preserve">73312</t>
  </si>
  <si>
    <t xml:space="preserve">Electricity</t>
  </si>
  <si>
    <t xml:space="preserve">72231</t>
  </si>
  <si>
    <t xml:space="preserve">Landscape Supplies</t>
  </si>
  <si>
    <t xml:space="preserve">P4</t>
  </si>
  <si>
    <t xml:space="preserve">73544</t>
  </si>
  <si>
    <t xml:space="preserve">Training &amp; Development</t>
  </si>
  <si>
    <t xml:space="preserve">Account reconciles. 21 references evidenced incl Whitehead $18,750, Fire Mgmt $10,500, Bendelta $8,966.28 (consultancy recode candidate to 73601), BAL $1,767 (73541 candidate; HLW dossier sighted, tax invoice outstanding), PSIA narration error. GST errors: Blue Dog $11.73 (GSTE-25), Barter $9.52 (GSTE-26), OIR $8.76 corrected (GSTE-27). 11-Jun: PK-split recode STAGED $2,131.46 (GJ079650 chargebacks $949.64 + ACCA split $1,181.82, 9 lines, nets $0.00, re-verified); Pryor/Hambly held; Preussner GJ...</t>
  </si>
  <si>
    <t xml:space="preserve">1 Upload NA73544_GENJNL_Recode.txt (in the live journal). 2 Spero rulings: Bendelta-&gt;73601 $8,966.28; BAL 73541-vs-73544 $1,767; Warnholtz concurrence; Pryor PK000044-vs-PK000003 $214.00; Hambly $294.42 (not in map); Preussner destination query. 3 Sight: HLW tax invoice, OIR source receipt, 7 journal backups ~$11,100. 4 Confirm Moore/Moir/Funk services (EOM report). 5 BAS: GSTE-25/26 reversals. | 11-Jun: journal backups now 6 outstanding (~$10,600: IJ074222, GJ078710, GJ078895, GJ077155, GJ079267, GJ078296); OIR source receipt CLOSED.</t>
  </si>
  <si>
    <t xml:space="preserve">NA73544_Evidence/ (36 files: session set hash-verified + back-charges set hashed this session)</t>
  </si>
  <si>
    <t xml:space="preserve">CN-23167 (journal-ready, Spero 11-Jun-2026; NA73544 PK-split stream in the live journal)</t>
  </si>
  <si>
    <t xml:space="preserve">73422</t>
  </si>
  <si>
    <t xml:space="preserve">Fire Levy</t>
  </si>
  <si>
    <t xml:space="preserve">73535</t>
  </si>
  <si>
    <t xml:space="preserve">Tollway Charges</t>
  </si>
  <si>
    <t xml:space="preserve">73601</t>
  </si>
  <si>
    <t xml:space="preserve">Management Consultancies</t>
  </si>
  <si>
    <t xml:space="preserve">Full account parsed, 9 lines $46,003.66, reconciles to SE2 exact. Single engagement: Organisational Risk Consulting Pty Ltd, Parks Branch WHS Gap Analysis (Consultancy Agreement, T&amp;M, consultant Andrea Paynter, PO 711200/712924). 1 of 9 invoices sighted: INV-251010(2) $2,132.63 via GJ078546, GST $213.26 exact, $2,345.89 incl = GL x 1.1 exact; consultancy four-element test met on the face; 73601 correct. Invoice addressee corroborates Anita Moore as Acting Parks Manager (bears on her home-service... EVIDENCE CLOSED 16-Jun: 8 Org Risk Consulting invoices sighted ($43,871.03 exact), 9 of 9, all A</t>
  </si>
  <si>
    <t xml:space="preserve">1 Obtain the 8 Org Risk invoices ($43,871.03). 2 Run ABR/ASIC dossier on ABN 27 651 588 662 when the set lands. 3 Check engagement period vs the 12-month contractor cap (runs 30-Jul-2025 onward on sighted docs).</t>
  </si>
  <si>
    <t xml:space="preserve">NA73601_Evidence/ (INV-251010(2) + ledger extract); NA73601_Evidence_Manifest.csv (gap-listed)</t>
  </si>
  <si>
    <t xml:space="preserve">n/a (no recode expected; coding correct on sighted line)</t>
  </si>
  <si>
    <t xml:space="preserve">7B111</t>
  </si>
  <si>
    <t xml:space="preserve">Internal - Rates &amp; Charges</t>
  </si>
  <si>
    <t xml:space="preserve">72315</t>
  </si>
  <si>
    <t xml:space="preserve">Parks Assets</t>
  </si>
  <si>
    <t xml:space="preserve">72112</t>
  </si>
  <si>
    <t xml:space="preserve">Chemical, fertiliser &amp; paints</t>
  </si>
  <si>
    <t xml:space="preserve">72114</t>
  </si>
  <si>
    <t xml:space="preserve">Uniforms</t>
  </si>
  <si>
    <t xml:space="preserve">N/A</t>
  </si>
  <si>
    <t xml:space="preserve">3-Jun Reali PK split $1,059.76 confirmed subset (~4%). GJ SOURCE NOW SIGHTED (Document Reconstruction, doc 202603161072172000000001, ledger 26SLACT): a BALANCED multi-account recode batch (nets $0.00). Its 72114 block credits $10,650.27 from 1-20001-72114 narrated 'Institute of Public Works Engineering Au' (IPWEA) and DEBITS the same $10,650.27 across 16 service-level 72114 (Uniforms) PKs. CONCERN: if the $10,650.27 is a genuine IPWEA professional charge it should leave 72114 entirely (73542 Pro...</t>
  </si>
  <si>
    <t xml:space="preserve">1 Confirm whether the reconstruction batch is POSTED or PROPOSED; if posted, the IPWEA $10,650.27 is already spread across Uniforms service PKs. 2 Obtain the underlying IPWEA invoice to confirm nature (membership vs conference vs training) and set destination (73542/73541/73544); it should not sit in 72114. 3 Work the now-provided Reali set at full scope. 4 Confirm net-movement vs full-reversal format. Same batch also shows other apparent miscodes outside scope (e.g. Empire Office Furniture $4,300 in 73544 Training). | 10-Jun: Reali Mar-2026 invoice sighted (GSTE-06 $0.01 note); officer split basis captured, not journalled</t>
  </si>
  <si>
    <t xml:space="preserve">NA72114_Scope_Note.md; Document_Reconstruction (GJ source) sighted; C00223414 Reali set provided; 00_Uniform_Listing_72114.xlsx (full account, per-line)</t>
  </si>
  <si>
    <t xml:space="preserve">72113</t>
  </si>
  <si>
    <t xml:space="preserve">Safety Equipment &amp; Medical Supplies</t>
  </si>
  <si>
    <t xml:space="preserve">7B122</t>
  </si>
  <si>
    <t xml:space="preserve">Internal - Tip Fees</t>
  </si>
  <si>
    <t xml:space="preserve">73122</t>
  </si>
  <si>
    <t xml:space="preserve">Garbage Collection</t>
  </si>
  <si>
    <t xml:space="preserve">73609</t>
  </si>
  <si>
    <t xml:space="preserve">Other Consultancies</t>
  </si>
  <si>
    <t xml:space="preserve">73128</t>
  </si>
  <si>
    <t xml:space="preserve">Other services</t>
  </si>
  <si>
    <t xml:space="preserve">$1,854.70 of $1,854.70 (100%) of the milk spend miscoded to 73128 last-resort services; goods purchase belongs in 73512 Entertainment &amp; Hospitality Non-FBT (recode instructed by Spero 10-Jun-2026). All 50 unique invoices and the bond refund documents sighted; account reconciles to the ledger with no residual. 16 GST errors confirmed, $61.11 ITC over-claimed Jun-2025 to mid-Sep-2025 (corrected at source from INV-399504), recorded GSTE-07 to GSTE-22; bond refund net-nil GST timing note $272.73 rec...</t>
  </si>
  <si>
    <t xml:space="preserve">1 Upload NA73128_GENJNL_Recode.txt (122 lines, 61 pairs, nets $0.00, direction verified). 2 Process the $61.11 BAS adjustment (GSTE-07 to GSTE-22); no GENJNL movement. 3 Package the 56 per-line evidence PDFs into NA73128_Evidence/ (sighted 10-Jun-2026, SHA-256 fingerprints held in NA73128_Workstream_Manifest_10-Jun-2026.csv; only the compressed second-intake binder is carried this bundle).</t>
  </si>
  <si>
    <t xml:space="preserve">NA73128_Evidence/ (second-intake binder C00216123; ledger extract; ABR record); NA73128_Evidence_Manifest.csv (59 rows, no GAP)</t>
  </si>
  <si>
    <t xml:space="preserve">CN-23167 (journal-ready, Spero 10-Jun-2026)</t>
  </si>
  <si>
    <t xml:space="preserve">73412</t>
  </si>
  <si>
    <t xml:space="preserve">Refund of Operational Contributions</t>
  </si>
  <si>
    <t xml:space="preserve">7B411</t>
  </si>
  <si>
    <t xml:space="preserve">Internal - IT Equipment &amp; Application</t>
  </si>
  <si>
    <t xml:space="preserve">7B211</t>
  </si>
  <si>
    <t xml:space="preserve">Internal - Property-based Professional S</t>
  </si>
  <si>
    <t xml:space="preserve">7BZ11</t>
  </si>
  <si>
    <t xml:space="preserve">Internal - Community Service Obligations</t>
  </si>
  <si>
    <t xml:space="preserve">P5</t>
  </si>
  <si>
    <t xml:space="preserve">7B123</t>
  </si>
  <si>
    <t xml:space="preserve">Internal - Other fees &amp; Charges</t>
  </si>
  <si>
    <t xml:space="preserve">73563</t>
  </si>
  <si>
    <t xml:space="preserve">Printing &amp; Stationery</t>
  </si>
  <si>
    <t xml:space="preserve">$6,354.47 of $9,495.37 (66.9%) miscoded out of 73563 (WINC catch-all + Officeworks TE005250); recode journal-ready. Evidence re-verified 10-Jun-2026: all eleven WINC tax-invoice summaries sighted and reconciled per cost centre to the cent (GL ex-GST base equals invoice ex-GST every month); GST-free refreshment content (34 lines $1,195.79) correctly booked off invoice GST, no phantom ITC; stores lines 094908/096380 closed under the Marsden convention (envelope item 207144, code collision document...</t>
  </si>
  <si>
    <t xml:space="preserve">1 Upload the 73563 recode (in the live journal). 2 50/50-batch data check on the 73512 movements (Reason B). 3 Sight the TE005154 backup ($136.80) - the last evidence item - or Spero waiver.</t>
  </si>
  <si>
    <t xml:space="preserve">NA73563_Evidence/ (11 WINC invoices incl 9 newly sighted P1-P10, Officeworks 628185694, audit, recon, ledger)</t>
  </si>
  <si>
    <t xml:space="preserve">74189</t>
  </si>
  <si>
    <t xml:space="preserve">Fuel Levy Surcharge</t>
  </si>
  <si>
    <t xml:space="preserve">73111</t>
  </si>
  <si>
    <t xml:space="preserve">Property-based Professional Services</t>
  </si>
  <si>
    <t xml:space="preserve">7B532</t>
  </si>
  <si>
    <t xml:space="preserve">Internal - Spoils</t>
  </si>
  <si>
    <t xml:space="preserve">$2,944.00 over 3 internal journal lines on 1-20451-7B532 PK000403 (Cemeteries spoils). $16 per unit rate validated (IJ073064 $480 = 30 units x $16 exact; 28-Jul-2025 sheet 77 units x $16 = $1,232 exact). IJ073064 cleared GREEN; one IJ072723 $1,232 posting evidenced; the identical second posting is a probable duplicate over-charge, held AMBER not RED because the corrupted week-ending narration ("W/E 01-Jan-1900 Week 0") keeps a weekly charge basis in play. Tax limb n/a (internal charges, no GST uplift). Untested remainder sits outside the 3-line export.</t>
  </si>
  <si>
    <t xml:space="preserve">1 Obtain the Bega Road sheets for the week 28-Jul-2025 to 3-Aug-2025 to resolve the probable $1,232 duplicate. 2 Raise the quarry-returns week-ending field corruption with the system owner (affects all 7B532 narrations).</t>
  </si>
  <si>
    <t xml:space="preserve">04_NA7B532_Internal_Spoils/ (Verification Record; evidence manifest; two Bega Road sheets)</t>
  </si>
  <si>
    <t xml:space="preserve">n/a (no recode staged)</t>
  </si>
  <si>
    <t xml:space="preserve">73545</t>
  </si>
  <si>
    <t xml:space="preserve">Study Assistance Reimbursement</t>
  </si>
  <si>
    <t xml:space="preserve">73512</t>
  </si>
  <si>
    <t xml:space="preserve">Entertainment &amp; Hospitality Non-FBT</t>
  </si>
  <si>
    <t xml:space="preserve">Account reconciles to the cent. 5 of 6 volunteer reimbursements fully evidenced (Hoffmann x3, Preussner x2, GST exact, identity matched); Warnholtz AP003847 asymmetry resolved (GSTE-24). Open: Quote 5468 $1,656.50 vendor unknown (largest unevidenced line), Salisnew ~$234, ~100 FBT-batch micro-lines.</t>
  </si>
  <si>
    <t xml:space="preserve">1 Sight 12052026 Preussner receipt $27.79. 2 Identify Quote 5468 vendor + invoice. 3 Salisnew receipts x6. 4 Micro-line population: pcard docs OR Spero waiver. 5 Confirm TE005497/AP003877 $97.00+$7.90 split.</t>
  </si>
  <si>
    <t xml:space="preserve">NA73512_Evidence/ (5 receipts + 2 identity docs, hash-verified; identity docs carry full bank details, restrict to folder)</t>
  </si>
  <si>
    <t xml:space="preserve">73215</t>
  </si>
  <si>
    <t xml:space="preserve">Major Contracts – Partnership</t>
  </si>
  <si>
    <t xml:space="preserve">$4,739.00 of $4,739.00 (100%) miscoded into 73215, a RESTRICTED Alliance account (CEO approval required); none of the spend is Alliance partnership work. All 3 invoices SIGHTED 11-Jun-2026 and reconcile to the cent: TEC 3043 $2,340.00 (mow/brushcut Bromley St Cornubia, PAR/336K/2024), Austspray 155797 $900.00 (fenceline clean-up Yarrabilba), Austspray 157909 $1,499.00 (Frankland Ave infill planting). All on PK000366 General Landscape Improvement Fund, matching invoice PK refs. ABNs checksum PASS...</t>
  </si>
  <si>
    <t xml:space="preserve">1 Spero ruling on the 73215 to 73126 recode $4,739.00 (candidate held, un-instructed; restriction handling on the source leg to confirm). 2 Advisory: vendor masked by STANDING ORDER 24/25 narrations; invoices supply Tier 1.</t>
  </si>
  <si>
    <t xml:space="preserve">NA73215_Evidence/ (3 invoices + ledger extract, SHA-256 in NA73215_Evidence_Manifest.csv)</t>
  </si>
  <si>
    <t xml:space="preserve">n/a (candidate held, no recode staged)</t>
  </si>
  <si>
    <t xml:space="preserve">73313</t>
  </si>
  <si>
    <t xml:space="preserve">Telecommunication Services</t>
  </si>
  <si>
    <t xml:space="preserve">73511</t>
  </si>
  <si>
    <t xml:space="preserve">Entertainment &amp; Hospitality FBT</t>
  </si>
  <si>
    <t xml:space="preserve">Full account $5,384.57 ex-GST net of Finance FBT batch pairs (58 lines net $0.00, set aside; 2 AP003801 re-posts live). Annotated export = claims, not Tier 1; candidates quantified, NOT journalled: $762.33 to 73512 (amenity $334.71, non-employee $301.71, training catering $125.91), Warnholtz $744.30 to 73544, $23.56 utensils to 72111; Daily Blooms $88.14 customer-gift query. STAY-FBT $3,664.79 incl unsighted INV-9747 $2,445.45. One $4.18 doesnt-reconcile RED; $97.27 unannotated. | 11-Jun: INV-97...</t>
  </si>
  <si>
    <t xml:space="preserve">1 Spero ruling on the 73512/73544/72111 candidate set + Daily Blooms class 2 Sight INV-9747 ($2,445.45, vendor unidentified) and Warnholtz 001 3 Identify Hoffmann/Bahry/Warnholtz/Salisnew (not in employee map); confirm Mann/Rosmarin sections 4 Receipts for the PCard food population (GST-free mix) 5 Classify 4 unannotated lines | 11-Jun: INV-9747 sighted and vendor identified (item 2 partially closed; Warnholtz 001 remains). New: trace the $700 room hire payment and $200 bond return on the Greenbank engagement.</t>
  </si>
  <si>
    <t xml:space="preserve">NA73511_Evidence/ (annotated ledger extract; no receipts sighted)</t>
  </si>
  <si>
    <t xml:space="preserve">73552</t>
  </si>
  <si>
    <t xml:space="preserve">Other Advertising</t>
  </si>
  <si>
    <t xml:space="preserve">72222</t>
  </si>
  <si>
    <t xml:space="preserve">Signs</t>
  </si>
  <si>
    <t xml:space="preserve">7B213</t>
  </si>
  <si>
    <t xml:space="preserve">Internal - Medical Services</t>
  </si>
  <si>
    <t xml:space="preserve">Whole-branch immunisation miscoded to NatAreas PK000432 via Internal_Medical.XLSM row 23 (svc 20318). Coding/PK review complete; svc-PK split staged $3,799.50, 17 pairs, nets $0.00 (register export basis $4,861.70; SE2 $3,996.80). Stays on PK000432 $541.30; off-branch $520.90 incl $146.30 duplicate to Finance. Evidence all unsighted (GAP); SE2 not yet tied; internal account, no GST event (L4 n/a). AMBER.</t>
  </si>
  <si>
    <t xml:space="preserve">73140</t>
  </si>
  <si>
    <t xml:space="preserve">Pre-Employment Background Checks</t>
  </si>
  <si>
    <t xml:space="preserve">Carried from 3-Jun pass. 21 lines, single vendor (CV Check), narration consistent, NA matches chart definition; coding correct. $58.02 GJ EOY reversal normal. Tier-3 sighting only: AP invoices not sighted, so evidence and tax limbs remain open.</t>
  </si>
  <si>
    <t xml:space="preserve">1 Sight a sample of CV Check AP invoices to confirm evidence and tax limbs. 2 On sighting, clear to GREEN (no recode expected).</t>
  </si>
  <si>
    <t xml:space="preserve">3-Jun review queue finding (no deliverable bundle this pass)</t>
  </si>
  <si>
    <t xml:space="preserve">n/a (no recode)</t>
  </si>
  <si>
    <t xml:space="preserve">7B214</t>
  </si>
  <si>
    <t xml:space="preserve">Internal - Maintenance Services</t>
  </si>
  <si>
    <t xml:space="preserve">Full 3-line internal population reviewed; the register carries $7,570.50 including the P12 IJ074845 $3,888.00 posted 10-Jun-2026 after the 8-Jun SE2 cut (this sheet's accum actual $3,682.50; basis difference $3,888.00). IJ074028 Marsden rodent control $82.50 cleared on Tier 1 (CSL invoice sheet + Durant email 5-Feb-2026; oncharge passed through at invoice price, exact). Remaining $7,488.00 unsighted: IJ073869 Tully Memorial Park signage modification $3,600.00 (Transport Operations oncharge; reads closer to works than maintenance services) and IJ074845 DA/4574 backflow annual renewal notices $3,888.00 (svc 20361 attribution to confirm). Tax limb n/a (internal charges).</t>
  </si>
  <si>
    <t xml:space="preserve">1 Obtain the Transport Operations oncharge backup for IJ073869 ($3,600.00). 2 Obtain DA/4574 for IJ074845 ($3,888.00) and confirm the svc 20361 attribution.</t>
  </si>
  <si>
    <t xml:space="preserve">05_NA7B214_Internal_Maintenance/ (Verification Record; evidence manifest; CSL sheet + Durant email)</t>
  </si>
  <si>
    <t xml:space="preserve">73127</t>
  </si>
  <si>
    <t xml:space="preserve">Electrical Maintenance</t>
  </si>
  <si>
    <t xml:space="preserve">73311</t>
  </si>
  <si>
    <t xml:space="preserve">Gas</t>
  </si>
  <si>
    <t xml:space="preserve">7B121</t>
  </si>
  <si>
    <t xml:space="preserve">Internal - Trade Waste Charges</t>
  </si>
  <si>
    <t xml:space="preserve">73115</t>
  </si>
  <si>
    <t xml:space="preserve">Medical Services</t>
  </si>
  <si>
    <t xml:space="preserve">72313</t>
  </si>
  <si>
    <t xml:space="preserve">Furniture &amp; Fittings</t>
  </si>
  <si>
    <t xml:space="preserve">73543</t>
  </si>
  <si>
    <t xml:space="preserve">Reference Materials and Subscriptions</t>
  </si>
  <si>
    <t xml:space="preserve">73141</t>
  </si>
  <si>
    <t xml:space="preserve">Drug &amp; Alcohol Testing</t>
  </si>
  <si>
    <t xml:space="preserve">74114</t>
  </si>
  <si>
    <t xml:space="preserve">Water Truck</t>
  </si>
  <si>
    <t xml:space="preserve">73125</t>
  </si>
  <si>
    <t xml:space="preserve">Workplace Health &amp; Safety</t>
  </si>
  <si>
    <t xml:space="preserve">73533</t>
  </si>
  <si>
    <t xml:space="preserve">Interstate Travel and Accommodation</t>
  </si>
  <si>
    <t xml:space="preserve">$1,015.15 of $1,021.70 confirmed interstate. TE005080 = ONE PCard ref over TWO lines: hotel $288.18 (L07) + 7-Eleven $6.55 (L02). BOTH NOW RESOLVED (9-Jun). 7-Eleven receipt SIGHTED: 7-Eleven 1130 Melb Queen St, ABN 86 960 363 023 checksum PASS, TAX INVOICE, 1x ham pesto sandwich $7.20 incl, GST $0.65, ex $6.55; cover slip "Dinner/Breakfast", Quinn. A meal during travel never sits in 73531-73534, so the $6.55 RECODES to 73512 Non-FBT (Reason B refreshment; sole traveller, no alcohol/social = not...</t>
  </si>
  <si>
    <t xml:space="preserve">None gating. Advisory only: obtain the ibis Melbourne (Accor) tax invoice if convenient to retire the $28.82 ITC exposure noted in the finding. Recode pair ($6.55 73533-&gt;73512) ready in batch.</t>
  </si>
  <si>
    <t xml:space="preserve">NA73533_Evidence/ (7-Eleven receipt L02 + Booking.com ibis hotel L07 both filed; ledger extract)</t>
  </si>
  <si>
    <t xml:space="preserve">CN-23167 ($6.55 73533-&gt;73512 posted)</t>
  </si>
  <si>
    <t xml:space="preserve">73542</t>
  </si>
  <si>
    <t xml:space="preserve">Professional Membership</t>
  </si>
  <si>
    <t xml:space="preserve">&lt; $1k</t>
  </si>
  <si>
    <t xml:space="preserve">74184</t>
  </si>
  <si>
    <t xml:space="preserve">Oils &amp; Grease</t>
  </si>
  <si>
    <t xml:space="preserve">72411</t>
  </si>
  <si>
    <t xml:space="preserve">Bulk Water</t>
  </si>
  <si>
    <t xml:space="preserve">73513</t>
  </si>
  <si>
    <t xml:space="preserve">Employee Reward and Recognition</t>
  </si>
  <si>
    <t xml:space="preserve">73541</t>
  </si>
  <si>
    <t xml:space="preserve">Conferences &amp; Seminar Fees</t>
  </si>
  <si>
    <t xml:space="preserve">6 lines net $642.14 (svc 20641 PCard plus closed recode and reversal pairs). TE004218 $6.05 Gold Coast parking miscode CLOSED: recoded to 73531 via GJ078933 (14-Apr-2026), pair nets $0.00, direction correct, closing the restored 3-Jun travel flag. GJ075544 +/-$44.89 EOY 2024/25 AP reversal pair nets out (Canungra accommodation content is an FY25 advisory; accommodation never belongs on 73541). Open: TE004922 Trailbuilders conference registration $626.48 unsighted (correct 73541 content on its face) plus a $15.66 international transaction fee, strictly a financing cost, immaterial, advisory only.</t>
  </si>
  <si>
    <t xml:space="preserve">1 Sight the Trailbuilders registration backup for TE004922 ($642.14 combined) on the PCard reconciliation.</t>
  </si>
  <si>
    <t xml:space="preserve">06_NA73541_Conferences/NA73541_Notes_and_Kinatico_Intake.md (none sighted)</t>
  </si>
  <si>
    <t xml:space="preserve">n/a (TE004218 recode already in-ledger via GJ078933)</t>
  </si>
  <si>
    <t xml:space="preserve">73137</t>
  </si>
  <si>
    <t xml:space="preserve">Excess and Damages Payments-Other</t>
  </si>
  <si>
    <t xml:space="preserve">72211</t>
  </si>
  <si>
    <t xml:space="preserve">Bitumen &amp; Asphalt Products</t>
  </si>
  <si>
    <t xml:space="preserve">7B611</t>
  </si>
  <si>
    <t xml:space="preserve">Internal - Property Leases &amp; Rentals</t>
  </si>
  <si>
    <t xml:space="preserve">7B521</t>
  </si>
  <si>
    <t xml:space="preserve">Internal - Crushed Gravel</t>
  </si>
  <si>
    <t xml:space="preserve">74183</t>
  </si>
  <si>
    <t xml:space="preserve">Fuel</t>
  </si>
  <si>
    <t xml:space="preserve">74187</t>
  </si>
  <si>
    <t xml:space="preserve">Rego, Licences &amp; Third Party</t>
  </si>
  <si>
    <t xml:space="preserve">72214</t>
  </si>
  <si>
    <t xml:space="preserve">Construction Materials</t>
  </si>
  <si>
    <t xml:space="preserve">73531</t>
  </si>
  <si>
    <t xml:space="preserve">Local Travel (SEQ) Cabcharge/Parking</t>
  </si>
  <si>
    <t xml:space="preserve">74161</t>
  </si>
  <si>
    <t xml:space="preserve">Other Plant Hire</t>
  </si>
  <si>
    <t xml:space="preserve">72311</t>
  </si>
  <si>
    <t xml:space="preserve">Other Plant &amp; Equipment</t>
  </si>
  <si>
    <t xml:space="preserve">73433</t>
  </si>
  <si>
    <t xml:space="preserve">Other Fees &amp; Charges</t>
  </si>
  <si>
    <t xml:space="preserve">$34.55 of $139.25 (24.8%) miscoded: QUT visitor parking belongs in 73531 Local Travel SEQ (GJ078933 precedent). Blue card $104.70 correctly recoded in from 73544; original TE004496 receipt unsighted. | 11-Jun: TE004496 receipt SIGHTED - Blue Card Services 56213618922, Preussner renewal $104.70, Div 81 GST exempt, booked gross with no ITC, Dyba PCard, slip coded PK000075-73544. Evidence gap CLOSED.</t>
  </si>
  <si>
    <t xml:space="preserve">1 Upload NA73433_GENJNL_Recode.txt (in the live journal; 73433-&gt;73531 $34.55, PK000087, nets $0.00, direction verified). 2 TE004496 blue card receipt SIGHTED 11-Jun-2026 (gap closed). 3 Confirm TE005281 cardholder.</t>
  </si>
  <si>
    <t xml:space="preserve">NA73433_Evidence/ (QUT receipt TE005281, hash-verified)</t>
  </si>
  <si>
    <t xml:space="preserve">CN-23167 (journal-ready, Spero 10-Jun-2026; NA73433 stream in the live journal)</t>
  </si>
  <si>
    <t xml:space="preserve">72118</t>
  </si>
  <si>
    <t xml:space="preserve">Fuel Card - Pending Account</t>
  </si>
  <si>
    <t xml:space="preserve">73561</t>
  </si>
  <si>
    <t xml:space="preserve">Other Administration Costs</t>
  </si>
  <si>
    <t xml:space="preserve">72212</t>
  </si>
  <si>
    <t xml:space="preserve">Concrete</t>
  </si>
  <si>
    <t xml:space="preserve">73553</t>
  </si>
  <si>
    <t xml:space="preserve">Promotional Items</t>
  </si>
  <si>
    <t xml:space="preserve">73421</t>
  </si>
  <si>
    <t xml:space="preserve">Rates &amp; Charges paid</t>
  </si>
  <si>
    <t xml:space="preserve">72221</t>
  </si>
  <si>
    <t xml:space="preserve">Roads &amp; Parks Furniture</t>
  </si>
  <si>
    <t xml:space="preserve">zero / credit</t>
  </si>
  <si>
    <t xml:space="preserve">72248</t>
  </si>
  <si>
    <t xml:space="preserve">Crusher Dust</t>
  </si>
  <si>
    <t xml:space="preserve">73532</t>
  </si>
  <si>
    <t xml:space="preserve">Intrastate Travel and Accommodation</t>
  </si>
  <si>
    <t xml:space="preserve">74141</t>
  </si>
  <si>
    <t xml:space="preserve">Trucks to 8 tonnes G.V.M.</t>
  </si>
  <si>
    <t xml:space="preserve">7B219</t>
  </si>
  <si>
    <t xml:space="preserve">Internal - Other Services</t>
  </si>
  <si>
    <t xml:space="preserve">73213</t>
  </si>
  <si>
    <t xml:space="preserve">Contractor Entitlements</t>
  </si>
  <si>
    <t xml:space="preserve">SUPPLEMENTARY - outside the 87-account expense scope (revenue; carried on the register, excluded from the KPI ranges above)</t>
  </si>
  <si>
    <t xml:space="preserve">SUPP</t>
  </si>
  <si>
    <t xml:space="preserve">62121/62125</t>
  </si>
  <si>
    <t xml:space="preserve">Cemetery Revenue (Garside query)</t>
  </si>
  <si>
    <t xml:space="preserve">revenue</t>
  </si>
  <si>
    <t xml:space="preserve">Garside query (29-Aug-2025) already actioned in-ledger: GJ076150 (1-Sep-2025) reversed both PK000400 pre-purchase lines ($1,552.73 + $2,159.00 = $3,711.73) off 1-20446-62125. Five sighted documents reconcile to the cent; the King paper trail is closed (498178 charged GST in error, CN 140775 credited, 501999 reissued GST-correct) and CN 140799 Timmins plot-fee error cleared. GST treatment consistent (plots GST-free, interments taxable); nil GST Errors Register entries. $ incl GST is per-line, not a blanket 1.1 uplift.</t>
  </si>
  <si>
    <t xml:space="preserve">1 Pull the GJ076150 destination legs and confirm the receiving PK disburses to svc 20451. 2 Sight burial-fee invoices 505970 ($2,812.73 SUSKI) and 506368 ($204.55 HALA'UFIA). 3 Advisory: the ashes interment component arguably sits closer to 62121 than 62125. 4 Scope call: the 56-line event-fee export (-$61,364.17) awaits a ruling.</t>
  </si>
  <si>
    <t xml:space="preserve">03_Cemetery_Revenue_62121_62125/ (Verification Record; 5 evidence docs + Garside email)</t>
  </si>
  <si>
    <t xml:space="preserve">n/a (no recode staged; GJ076150 already in-ledger)</t>
  </si>
  <si>
    <t xml:space="preserve">CN-23167 Open Items Register  -  everything still open, by account</t>
  </si>
  <si>
    <t xml:space="preserve">Mirrors 00_Outstanding_Evidence_and_Actions.md as at 11-Jun-2026 (fourth pass)  |  Documents to sight, Spero decisions, internal work  |  Hard gates: NONE</t>
  </si>
  <si>
    <t xml:space="preserve">#</t>
  </si>
  <si>
    <t xml:space="preserve">Type</t>
  </si>
  <si>
    <t xml:space="preserve">Account</t>
  </si>
  <si>
    <t xml:space="preserve">Item</t>
  </si>
  <si>
    <t xml:space="preserve">Status / note</t>
  </si>
  <si>
    <t xml:space="preserve">Document</t>
  </si>
  <si>
    <t xml:space="preserve">Warnholtz invoice 001 ($744.30, narrated Training)</t>
  </si>
  <si>
    <t xml:space="preserve">GAP; payee not in employee map</t>
  </si>
  <si>
    <t xml:space="preserve">Receipts for the PCard/reimbursement net population</t>
  </si>
  <si>
    <t xml:space="preserve">GAP; per-line GST-free food check pending</t>
  </si>
  <si>
    <t xml:space="preserve">Greenbank engagement residuals: the $700.00 room hire payment trace and the $200.00 bond return</t>
  </si>
  <si>
    <t xml:space="preserve">GAP; non-blocking on the INV-9747 line</t>
  </si>
  <si>
    <t xml:space="preserve">ibis Melbourne (Accor) tax invoice for the $288.18 accommodation</t>
  </si>
  <si>
    <t xml:space="preserve">Advisory; GST waived by Spero, ITC exposure noted</t>
  </si>
  <si>
    <t xml:space="preserve">Sample of CV Check AP invoices</t>
  </si>
  <si>
    <t xml:space="preserve">GAP; numbers unknown</t>
  </si>
  <si>
    <t xml:space="preserve">FY26 73140 ledger extract, to apply the five held Kinatico invoices (P00075671, P00081314, P00082255, P00083290, P00086890; ABN 25 111 728 842, PO 801790)</t>
  </si>
  <si>
    <t xml:space="preserve">NARROWED 11-Jun-2026: invoices in hand in 07_Intake_Held_Kinatico/ (Kinatico is the CVCheck parent); held unapplied per the evidence rule, zero AP document hits in the 11-Jun exports</t>
  </si>
  <si>
    <t xml:space="preserve">SR backups: SR219175 (Robertson), SR-0315517 (Fry)</t>
  </si>
  <si>
    <t xml:space="preserve">GAP; SR235810 (Dresman) CLOSED 10-Jun; lines journal-ready on directive</t>
  </si>
  <si>
    <t xml:space="preserve">Other no-attachment SR backups and five external invoices (2412569490, INAU004378, GJ076194, GJ075813, TE005499)</t>
  </si>
  <si>
    <t xml:space="preserve">GAP; six off-home lines still open</t>
  </si>
  <si>
    <t xml:space="preserve">72111 / 72114</t>
  </si>
  <si>
    <t xml:space="preserve">Full ledger remainders</t>
  </si>
  <si>
    <t xml:space="preserve">GAP; large untested balances</t>
  </si>
  <si>
    <t xml:space="preserve">Per-line evidence split set (56 PDFs; all 50 TCB invoices + bond support)</t>
  </si>
  <si>
    <t xml:space="preserve">Packaging GAP only; all sighted 10-Jun-2026, SHA-256 fingerprints in NA73128_Workstream_Manifest_10-Jun-2026.csv</t>
  </si>
  <si>
    <t xml:space="preserve">n/a (unplaced)</t>
  </si>
  <si>
    <t xml:space="preserve">BCC King George Square parking receipt 89991, 4-Jun-2025, $42.15 net + $4.21 GST (card ...1627 Anita Moore)</t>
  </si>
  <si>
    <t xml:space="preserve">Identified-unplaced; FY25 document, no in-scope FY26 match; likely FY25 73531; archived _Sources_10-Jun-2026/ pending instruction</t>
  </si>
  <si>
    <t xml:space="preserve">Six IPWEA documents (R58890, 40310, 40309, two QNT Stripe receipts x3 copies)</t>
  </si>
  <si>
    <t xml:space="preserve">Identified-unplaced; attendees not in Parks; archived _Sources_10-Jun-2026/ pending instruction</t>
  </si>
  <si>
    <t xml:space="preserve">Preussner 12052026 receipt, $27.79 (last reimbursement gap)</t>
  </si>
  <si>
    <t xml:space="preserve">GAP</t>
  </si>
  <si>
    <t xml:space="preserve">Quote 5468 vendor tax invoice, $1,656.50 (vendor unknown; largest unevidenced line)</t>
  </si>
  <si>
    <t xml:space="preserve">Salisnew direct claim receipts ~$234 (six refs)</t>
  </si>
  <si>
    <t xml:space="preserve">Micro-line population PCard docs (refs 1179861-1211218, TE004278-TE005497, ~100 lines)</t>
  </si>
  <si>
    <t xml:space="preserve">GAP or Spero waiver</t>
  </si>
  <si>
    <t xml:space="preserve">Healthy Land &amp; Water tax invoice for the BAL workshop $1,767</t>
  </si>
  <si>
    <t xml:space="preserve">NARROWED 10-Jun-2026: ABR + ASIC dossier sighted; the compliant tax invoice itself remains the gap, tax limb AMBER</t>
  </si>
  <si>
    <t xml:space="preserve">Internal journal backups x6 (~$10,600: IJ074222, GJ078710, GJ078895, GJ077155, GJ079267, GJ078296)</t>
  </si>
  <si>
    <t xml:space="preserve">GAP; GJ079650 CLOSED 10-Jun; GJ076597 CLOSED 11-Jun-2026</t>
  </si>
  <si>
    <t xml:space="preserve">IPWEA $343.20 part-payment posting trace (39657)</t>
  </si>
  <si>
    <t xml:space="preserve">Preussner GJ078933 -$3,044.65 destination query</t>
  </si>
  <si>
    <t xml:space="preserve">REOPENED 11-Jun-2026: 73545 versus 7B411 on the $931.20 leg; one ruling closes it</t>
  </si>
  <si>
    <t xml:space="preserve">Vendor invoices for s4090230 standing-order lines (~$30,000)</t>
  </si>
  <si>
    <t xml:space="preserve">GAP; GJ076924 backup CLOSED 11-Jun-2026 (PK000415/PK000429 not in maps - documented 11-Jun in lcc-coding-review as unmapped journal PKs pending confirmation)</t>
  </si>
  <si>
    <t xml:space="preserve">Contract documents for the $20,000 floor test: LCC-09-2022 (Harpley), Aust Care standing order, Play Force engagement</t>
  </si>
  <si>
    <t xml:space="preserve">GAP; the intake Play Force AP ledger ($97,347.39, INV-7594 to INV-7733) feeds the Play Force floor test</t>
  </si>
  <si>
    <t xml:space="preserve">Eight Org Risk Consulting invoices (INV-250714, INV-250811 to 250813, INV-250910 to 250913), $43,871.03</t>
  </si>
  <si>
    <t xml:space="preserve">GAP; INV-251010(2) $2,132.63 sighted and exact</t>
  </si>
  <si>
    <t xml:space="preserve">Export-vs-SE2 reconciliation, gap $50,338.64 (export $3,951,109.43 vs SE2 $3,900,770.79)</t>
  </si>
  <si>
    <t xml:space="preserve">GAP; suspected export row duplication and/or P12 timing; BLOCKS all 73123 line work</t>
  </si>
  <si>
    <t xml:space="preserve">Remaining evidence gaps after intake C00228240: 2906937 ($10,200), 2908705 ($17,000), TBM 00097461/97583/97626/97780 ($15,604.11), Ausecology INV-4029/4030 ($14,840 via GJ078960), Provac INV-00037183 ($2,050), Telstra Dec-25 ($727.95), T2 3222869/3223786 ($1,820), 698933AU/713170AU ($2,433.44), EWN INV-14768, 9016 ($1,710), 00735 ($200), 34828 ($546.68), INV-38877 ($2,250), 00059013 + 00031055/79/85/86 + 00060617/47 series ($4,106.20)</t>
  </si>
  <si>
    <t xml:space="preserve">NARROWED 11-Jun-2026: 43 documents SIGHTED, $157,051.42 of $236,378.27 (66.4%) evidenced, all exact; gap rows restated in NA73211_Evidence_Manifest.csv</t>
  </si>
  <si>
    <t xml:space="preserve">IPWEA $343.20 part-payment posting trace</t>
  </si>
  <si>
    <t xml:space="preserve">NARROWED 11-Jun-2026: invoice 39657 shows Payment Received $343.20 ($312.00 ex + $31.20 GST); the posting location remains the trace</t>
  </si>
  <si>
    <t xml:space="preserve">ALL NEW SUPPLIERS</t>
  </si>
  <si>
    <t xml:space="preserve">ABR sightings queue: Destination Trails, Firesight, Reactive Generators, Chronicle Rip, Play Force, RST, CAASie, Tennyson, T2, Lockwise, IAS, PSIA, DDLS, EWN, Worssell, Empire, Telstra, Message4U</t>
  </si>
  <si>
    <t xml:space="preserve">GAP; checksums all PASS; INCON and IPWEA ABR already sighted</t>
  </si>
  <si>
    <t xml:space="preserve">Bega Road sheets for the week 28-Jul-2025 to 3-Aug-2025</t>
  </si>
  <si>
    <t xml:space="preserve">GAP; resolves the probable $1,232 IJ072723 duplicate</t>
  </si>
  <si>
    <t xml:space="preserve">Transport Operations oncharge backup for IJ073869 ($3,600); DA/4574 for IJ074845 ($3,888)</t>
  </si>
  <si>
    <t xml:space="preserve">GAP; $7,488 of $7,570.50 unsighted</t>
  </si>
  <si>
    <t xml:space="preserve">GJ076150 destination legs (confirm receiving PK disburses to svc 20451); invoices 505970 ($2,812.73 SUSKI) and 506368 ($204.55 HALA'UFIA)</t>
  </si>
  <si>
    <t xml:space="preserve">GAP; the destination confirmation is the residue of the Garside query</t>
  </si>
  <si>
    <t xml:space="preserve">Trailbuilders registration backup for TE004922 ($626.48 + $15.66 fee)</t>
  </si>
  <si>
    <t xml:space="preserve">GAP; PCard reconciliation</t>
  </si>
  <si>
    <t xml:space="preserve">Decision</t>
  </si>
  <si>
    <t xml:space="preserve">Ruling on the candidate set: $762.33 to 73512 (amenity $334.71, non-employee $301.71, training catering $125.91), $744.30 Warnholtz to 73544, $23.56 utensils to 72111; Daily Blooms $88.14 customer-gift class</t>
  </si>
  <si>
    <t xml:space="preserve">Held</t>
  </si>
  <si>
    <t xml:space="preserve">72312 to 72313 full-reversal - journal-ready (PK000493 Flying Gang sub-PK ADDED to lcc-coding-review 11-Jun-2026; pk_validator now passes)</t>
  </si>
  <si>
    <t xml:space="preserve">Journal-ready</t>
  </si>
  <si>
    <t xml:space="preserve">73564 to 73566 software recode and the Body2 move-or-stay; the nine off-home PK lines (three confirmed and staged, six open)</t>
  </si>
  <si>
    <t xml:space="preserve">Held / staged</t>
  </si>
  <si>
    <t xml:space="preserve">WINC systemic recode out of 73563; TE005250 riser destination (72313); 73512 moves are Reason B (50/50 batch data check)</t>
  </si>
  <si>
    <t xml:space="preserve">PPE to 72113; STIHL to 72315; Posca to 73563; scrap income to 64411; desk-riser 72313 advisory. Tennyson 72222 CLOSED 10-Jun (Doc46 J22)</t>
  </si>
  <si>
    <t xml:space="preserve">Extending the Reali PK split to Mar-2026 (Namoa = Cemeteries PK000439, cross-section); net-movement vs full-reversal format; stores-issue footwear/respiratory-PPE class candidates (single ruling)</t>
  </si>
  <si>
    <t xml:space="preserve">Full account to 73126 Landscapers &amp; Gardeners, $4,739.00, full-reversal, 3 pairs, nets $0.00</t>
  </si>
  <si>
    <t xml:space="preserve">Candidate HELD un-instructed (Tier 1 complete on 100% of dollars; source leg trips the 73215 Alliance restriction flag by design)</t>
  </si>
  <si>
    <t xml:space="preserve">Full milk spend to 73512 - instructed by Spero 10-Jun-2026, journal-ready (122 lines, 61 pairs, nets $0.00, direction verified). Remaining: $61.11 BAS adjustment (GSTE-07 to 22) and per-line evidence packaging</t>
  </si>
  <si>
    <t xml:space="preserve">Instructed</t>
  </si>
  <si>
    <t xml:space="preserve">QUT parking 73433 to 73531 $34.55 - instructed 10-Jun-2026, in the live journal</t>
  </si>
  <si>
    <t xml:space="preserve">PK-split recode INSTRUCTED 11-Jun-2026 and staged ($2,131.46: GJ079650 chargebacks $949.64 + ACCA split $1,181.82, 9 lines, nets $0.00, re-verified)</t>
  </si>
  <si>
    <t xml:space="preserve">Still held: Bendelta $8,966.28 to 73601; BAL workshop $1,767 (73541 vs 73544, tied to the HLW invoice); Warnholtz $744.30; Barter blue card 73433 candidate; Pryor $214.00; Hambly $294.42; Preussner destination query</t>
  </si>
  <si>
    <t xml:space="preserve">A1 Strategy $15,100 to 73601 (73603 alternative) - Tier 1 complete; Aust Care PK $630 PK000469 to PK000496</t>
  </si>
  <si>
    <t xml:space="preserve">Candidates held</t>
  </si>
  <si>
    <t xml:space="preserve">Micro-line evidence waiver (~100 FBT-batch transfer lines: PCard docs or waiver)</t>
  </si>
  <si>
    <t xml:space="preserve">BAS / GST</t>
  </si>
  <si>
    <t xml:space="preserve">GSTE-25 ($11.73 Blue Dog) and GSTE-26 ($9.52 Barter) ITC reversals - no GENJNL movement</t>
  </si>
  <si>
    <t xml:space="preserve">Spero instruction pending</t>
  </si>
  <si>
    <t xml:space="preserve">F1 GJ079190 ruling, ENRICHED 11-Jun: Gihani 6-May-2026 email directs 510&gt;PK000023, 511&gt;PK000022; both journals posted to PK000022. Ruling covers (a) full reversal and (b) whether the 510 batch re-posts to PK000023. GJ079210 stands; INV-5888 quantum invoice-confirmed</t>
  </si>
  <si>
    <t xml:space="preserve">F3 training and chair recodes - source evidence COMPLETE (PSIA, IPWEA, DDLS, Empire all sighted): PRINCE2 $2,440 to 73544; PSIA $4,300 + IPWEA $2,788 to 73544; chair $370.05 to 72313</t>
  </si>
  <si>
    <t xml:space="preserve">Destination ruling only</t>
  </si>
  <si>
    <t xml:space="preserve">New candidates from intake C00228240 (single ruling sweep): Firesight $12,800 to 73601; Chronicle INV-0868 $5,812.45 to 73566; Chronicle mapping/imagery $23,230 survey-services class; Tennyson 27168 $1,058 to 72222; SC10918 -$154 to 64411 + cemeteries attribution; TE004838 $242.40 (F7 mismatch); Telstra series $9,237.48 telecoms class; INCON $25,848.08 materials-not-contracts</t>
  </si>
  <si>
    <t xml:space="preserve">F2 73211 to 73212 recodes ~$98,005 (LCC31326, Destination Trails series, Chronicle series) - all three series invoice-evidenced in full; treatment ruling pending; total contract value confirmation from contract files or standing orders</t>
  </si>
  <si>
    <t xml:space="preserve">Held; no recode dollar populates without the ruling</t>
  </si>
  <si>
    <t xml:space="preserve">Scope</t>
  </si>
  <si>
    <t xml:space="preserve">Unreviewed queue (parsed and totalled only): 72112 $27,073.10, 72113 $25,244.22, 7B111 $34,840.97, 7B114 $204,911.46, 7B213 $3,996.80, 7B411 $13,130.00, 7BZ11 $10,929.72, 72311 $159.42; plus the 62121 event-fee export (56 lines, -$61,364.17)</t>
  </si>
  <si>
    <t xml:space="preserve">Confirm whether each joins the review</t>
  </si>
  <si>
    <t xml:space="preserve">Internal</t>
  </si>
  <si>
    <t xml:space="preserve">Travel</t>
  </si>
  <si>
    <t xml:space="preserve">Restored 3-Jun travel flags: Cabcharge Jan-2026 statement $787.74 per-traveller split (mixed 73531/73533). TE004218 CLOSED 11-Jun (GJ078933 verified)</t>
  </si>
  <si>
    <t xml:space="preserve">Open (Cabcharge only)</t>
  </si>
  <si>
    <t xml:space="preserve">Work the Reali set at full scope (Mar-2026 officer detail in hand; GJ079517 $45.29 cross-reference); review the 72111 and 72114 remainders</t>
  </si>
  <si>
    <t xml:space="preserve">Open</t>
  </si>
  <si>
    <t xml:space="preserve">73511 / 73512</t>
  </si>
  <si>
    <t xml:space="preserve">Identify Hoffmann, Bahry, Warnholtz and Salisnew (payees not in employee map); confirm Mann and Rosmarin sections; classify four unannotated 73511 lines ($97.27)</t>
  </si>
  <si>
    <t xml:space="preserve">Confirm Burke's Play Safety recode basis: home service resolved 10-Jun as 20362 / PK000435; apply when the recode is instructed</t>
  </si>
  <si>
    <t xml:space="preserve">Item-level tie-out of the GJ078546 redistribution to the five Reali invoices' per-officer detail (dedicated pass)</t>
  </si>
  <si>
    <t xml:space="preserve">Scripts</t>
  </si>
  <si>
    <t xml:space="preserve">build_listing.py does not rebuild the 73511 tab nor the five workstream tabs added 11-Jun-2026 (73211, 73541, 7B532, 7B214, 62121/62125 - built directly); build_master.py LINE_NAS extended 11-Jun for the four expense tabs</t>
  </si>
  <si>
    <t xml:space="preserve">Queued</t>
  </si>
  <si>
    <t xml:space="preserve">People</t>
  </si>
  <si>
    <t xml:space="preserve">Service confirmations (one EOM People and Positions pass): Anita Moore home service; TE005281 cardholder (QUT); Jennifer Moir; Leighton Funk</t>
  </si>
  <si>
    <t xml:space="preserve">build_listing.py and build_master.py do not yet cover the four merged accounts (73433, 73512, 73544, 73212) - TechOne exports not packaged; obtain exports, build tabs</t>
  </si>
  <si>
    <t xml:space="preserve">SC10918 plaque credit attribution (-$154 on Depots PK000001; plaques are svc 20451) - original purchase line not in the 73211 listing; trail starts with AP</t>
  </si>
  <si>
    <t xml:space="preserve">Quarry returns week-ending field corruption ("W/E 01-Jan-1900 Week 0") on all 7B532 narrations - raise with the system owner</t>
  </si>
  <si>
    <t xml:space="preserve">Journals</t>
  </si>
  <si>
    <t xml:space="preserve">GJ078546 / GJ079190 / GJ079210 narration quality (narrations describe neither leg) - note for the journal preparer</t>
  </si>
  <si>
    <t xml:space="preserve">Register decision</t>
  </si>
  <si>
    <t xml:space="preserve">Untested remainders: 72111 ($63,621.56) and 72114 ($25,176.66); 73564 untested remainder closed</t>
  </si>
  <si>
    <t xml:space="preserve">Sequence</t>
  </si>
  <si>
    <t xml:space="preserve">Priority sequence: finish in-flight then materiality. P2 accounts 73126, 73212, 73123, 73990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</si>
</sst>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Segoe UI"/>
      <family val="0"/>
      <charset val="1"/>
    </font>
    <font>
      <sz val="9"/>
      <color rgb="FFD6E4F0"/>
      <name val="Segoe UI"/>
      <family val="0"/>
      <charset val="1"/>
    </font>
    <font>
      <sz val="8.5"/>
      <color rgb="FFC9D4F2"/>
      <name val="Segoe UI"/>
      <family val="0"/>
      <charset val="1"/>
    </font>
    <font>
      <b val="true"/>
      <sz val="19"/>
      <color rgb="FFFFFFFF"/>
      <name val="Segoe UI"/>
      <family val="0"/>
      <charset val="1"/>
    </font>
    <font>
      <b val="true"/>
      <sz val="10"/>
      <color rgb="FF1F3864"/>
      <name val="Segoe UI"/>
      <family val="0"/>
      <charset val="1"/>
    </font>
    <font>
      <sz val="8.5"/>
      <color rgb="FFFFFFFF"/>
      <name val="Segoe UI"/>
      <family val="0"/>
      <charset val="1"/>
    </font>
    <font>
      <sz val="8.5"/>
      <color rgb="FF595959"/>
      <name val="Segoe UI"/>
      <family val="0"/>
      <charset val="1"/>
    </font>
    <font>
      <b val="true"/>
      <sz val="19"/>
      <color rgb="FF000000"/>
      <name val="Segoe UI"/>
      <family val="0"/>
      <charset val="1"/>
    </font>
    <font>
      <sz val="10"/>
      <name val="Segoe UI"/>
      <family val="0"/>
      <charset val="1"/>
    </font>
    <font>
      <i val="true"/>
      <sz val="10"/>
      <name val="Segoe UI"/>
      <family val="0"/>
      <charset val="1"/>
    </font>
    <font>
      <b val="true"/>
      <sz val="11"/>
      <color rgb="FF1F3864"/>
      <name val="Segoe UI"/>
      <family val="0"/>
      <charset val="1"/>
    </font>
    <font>
      <b val="true"/>
      <sz val="15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sz val="9"/>
      <name val="Segoe UI"/>
      <family val="0"/>
      <charset val="1"/>
    </font>
    <font>
      <b val="true"/>
      <i val="true"/>
      <sz val="9"/>
      <color rgb="FF595959"/>
      <name val="Segoe UI"/>
      <family val="0"/>
      <charset val="1"/>
    </font>
    <font>
      <b val="true"/>
      <sz val="13"/>
      <color rgb="FFFFFFFF"/>
      <name val="Segoe U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236"/>
        <bgColor rgb="FF1F3864"/>
      </patternFill>
    </fill>
    <fill>
      <patternFill patternType="solid">
        <fgColor rgb="FF27467D"/>
        <bgColor rgb="FF1F3864"/>
      </patternFill>
    </fill>
    <fill>
      <patternFill patternType="solid">
        <fgColor rgb="FF1F3864"/>
        <bgColor rgb="FF27467D"/>
      </patternFill>
    </fill>
    <fill>
      <patternFill patternType="solid">
        <fgColor rgb="FF2F5597"/>
        <bgColor rgb="FF27467D"/>
      </patternFill>
    </fill>
    <fill>
      <patternFill patternType="solid">
        <fgColor rgb="FFC8783C"/>
        <bgColor rgb="FFFF6600"/>
      </patternFill>
    </fill>
    <fill>
      <patternFill patternType="solid">
        <fgColor rgb="FF595959"/>
        <bgColor rgb="FF375623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5F5F5"/>
      </patternFill>
    </fill>
    <fill>
      <patternFill patternType="solid">
        <fgColor rgb="FFC00000"/>
        <bgColor rgb="FF800000"/>
      </patternFill>
    </fill>
    <fill>
      <patternFill patternType="solid">
        <fgColor rgb="FFF4F6FA"/>
        <bgColor rgb="FFF5F5F5"/>
      </patternFill>
    </fill>
    <fill>
      <patternFill patternType="solid">
        <fgColor rgb="FFFFFFFF"/>
        <bgColor rgb="FFF4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Segoe UI"/>
        <charset val="1"/>
        <family val="0"/>
        <b val="1"/>
        <color rgb="FFFFFFFF"/>
        <sz val="9"/>
      </font>
      <fill>
        <patternFill>
          <bgColor rgb="FF375623"/>
        </patternFill>
      </fill>
    </dxf>
    <dxf>
      <font>
        <name val="Segoe UI"/>
        <charset val="1"/>
        <family val="0"/>
        <b val="1"/>
        <color rgb="FF000000"/>
        <sz val="9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Segoe UI"/>
        <charset val="1"/>
        <family val="0"/>
        <b val="1"/>
        <color rgb="FFFFFFFF"/>
        <sz val="9"/>
      </font>
      <fill>
        <patternFill>
          <bgColor rgb="FF2F5597"/>
        </patternFill>
      </fill>
    </dxf>
    <dxf>
      <font>
        <name val="Segoe UI"/>
        <charset val="1"/>
        <family val="0"/>
        <b val="1"/>
        <color rgb="FFFFFFFF"/>
        <sz val="9"/>
      </font>
      <fill>
        <patternFill>
          <bgColor rgb="FF1F3864"/>
        </patternFill>
      </fill>
    </dxf>
    <dxf>
      <font>
        <name val="Segoe UI"/>
        <charset val="1"/>
        <family val="0"/>
        <b val="1"/>
        <color rgb="FF000000"/>
        <sz val="9"/>
      </font>
      <fill>
        <patternFill>
          <bgColor rgb="FFD6E4F0"/>
        </patternFill>
      </fill>
    </dxf>
    <dxf>
      <font>
        <name val="Segoe UI"/>
        <charset val="1"/>
        <family val="0"/>
        <color rgb="FF595959"/>
        <sz val="9"/>
      </font>
      <fill>
        <patternFill>
          <bgColor rgb="FFF5F5F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DB"/>
      <rgbColor rgb="FF808080"/>
      <rgbColor rgb="FF9999FF"/>
      <rgbColor rgb="FF993366"/>
      <rgbColor rgb="FFFFF2CC"/>
      <rgbColor rgb="FFD6E4F0"/>
      <rgbColor rgb="FF660066"/>
      <rgbColor rgb="FFC8783C"/>
      <rgbColor rgb="FF2F5597"/>
      <rgbColor rgb="FFC9D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7467D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14" min="2" style="1" width="10.51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.75" hidden="false" customHeight="true" outlineLevel="0" collapsed="false">
      <c r="B5" s="4" t="s">
        <v>2</v>
      </c>
      <c r="C5" s="4"/>
      <c r="D5" s="4"/>
      <c r="E5" s="5" t="s">
        <v>3</v>
      </c>
      <c r="F5" s="5"/>
      <c r="G5" s="5"/>
      <c r="H5" s="4" t="s">
        <v>4</v>
      </c>
      <c r="I5" s="4"/>
      <c r="J5" s="4"/>
      <c r="K5" s="4" t="s">
        <v>5</v>
      </c>
      <c r="L5" s="4"/>
      <c r="M5" s="4"/>
    </row>
    <row r="6" customFormat="false" ht="42" hidden="false" customHeight="true" outlineLevel="0" collapsed="false">
      <c r="B6" s="6" t="n">
        <f aca="false">SUM('All Accounts'!D5:D91)</f>
        <v>33891610.16</v>
      </c>
      <c r="C6" s="6"/>
      <c r="D6" s="6"/>
      <c r="E6" s="7" t="n">
        <f aca="false">SUM('All Accounts'!H5:H91)</f>
        <v>497902.68</v>
      </c>
      <c r="F6" s="7"/>
      <c r="G6" s="7"/>
      <c r="H6" s="8" t="n">
        <f aca="false">SUM('All Accounts'!H5:H91)/SUM('All Accounts'!D5:D91)</f>
        <v>0.0146910305426457</v>
      </c>
      <c r="I6" s="8"/>
      <c r="J6" s="8"/>
      <c r="K6" s="9" t="str">
        <f aca="false">COUNTIF('All Accounts'!N5:N91,"&lt;&gt;")&amp;" of 87"</f>
        <v>21 of 87</v>
      </c>
      <c r="L6" s="9"/>
      <c r="M6" s="9"/>
    </row>
    <row r="8" customFormat="false" ht="15.75" hidden="false" customHeight="true" outlineLevel="0" collapsed="false">
      <c r="B8" s="10" t="s">
        <v>6</v>
      </c>
      <c r="C8" s="10"/>
      <c r="D8" s="10"/>
      <c r="E8" s="11" t="s">
        <v>7</v>
      </c>
      <c r="F8" s="11"/>
      <c r="G8" s="11"/>
      <c r="H8" s="12" t="s">
        <v>8</v>
      </c>
      <c r="I8" s="12"/>
      <c r="J8" s="12"/>
      <c r="K8" s="13" t="s">
        <v>9</v>
      </c>
      <c r="L8" s="13"/>
      <c r="M8" s="13"/>
    </row>
    <row r="9" customFormat="false" ht="42" hidden="false" customHeight="true" outlineLevel="0" collapsed="false">
      <c r="B9" s="14" t="n">
        <f aca="false">COUNTIF('All Accounts'!G5:G91,"Fully reviewed")</f>
        <v>13</v>
      </c>
      <c r="C9" s="14"/>
      <c r="D9" s="14"/>
      <c r="E9" s="15" t="n">
        <f aca="false">COUNTIF('All Accounts'!G5:G91,"Partial")</f>
        <v>7</v>
      </c>
      <c r="F9" s="15"/>
      <c r="G9" s="15"/>
      <c r="H9" s="16" t="n">
        <f aca="false">COUNTIF('All Accounts'!G5:G91,"Opened")</f>
        <v>1</v>
      </c>
      <c r="I9" s="16"/>
      <c r="J9" s="16"/>
      <c r="K9" s="17" t="n">
        <f aca="false">COUNTIF('All Accounts'!G5:G91,"Not started")</f>
        <v>66</v>
      </c>
      <c r="L9" s="17"/>
      <c r="M9" s="17"/>
    </row>
    <row r="11" customFormat="false" ht="15" hidden="false" customHeight="true" outlineLevel="0" collapsed="false">
      <c r="B11" s="18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15.75" hidden="false" customHeight="true" outlineLevel="0" collapsed="false">
      <c r="B12" s="19" t="s">
        <v>11</v>
      </c>
      <c r="C12" s="19"/>
      <c r="D12" s="19"/>
      <c r="E12" s="20" t="s">
        <v>12</v>
      </c>
      <c r="F12" s="20"/>
      <c r="G12" s="20"/>
      <c r="H12" s="21" t="s">
        <v>13</v>
      </c>
      <c r="I12" s="21"/>
      <c r="J12" s="21"/>
      <c r="K12" s="22" t="s">
        <v>14</v>
      </c>
      <c r="L12" s="22"/>
      <c r="M12" s="22"/>
    </row>
    <row r="13" customFormat="false" ht="42" hidden="false" customHeight="true" outlineLevel="0" collapsed="false">
      <c r="B13" s="23" t="n">
        <f aca="false">COUNTIF('All Accounts'!N5:N91,"GREEN")</f>
        <v>2</v>
      </c>
      <c r="C13" s="23"/>
      <c r="D13" s="23"/>
      <c r="E13" s="24" t="n">
        <f aca="false">COUNTIF('All Accounts'!N5:N91,"AMBER")</f>
        <v>18</v>
      </c>
      <c r="F13" s="24"/>
      <c r="G13" s="24"/>
      <c r="H13" s="25" t="n">
        <f aca="false">COUNTIF('All Accounts'!N5:N91,"RED")</f>
        <v>0</v>
      </c>
      <c r="I13" s="25"/>
      <c r="J13" s="25"/>
      <c r="K13" s="15" t="n">
        <f aca="false">COUNTIF('All Accounts'!N5:N91,"OPENED")</f>
        <v>1</v>
      </c>
      <c r="L13" s="15"/>
      <c r="M13" s="15"/>
    </row>
    <row r="15" customFormat="false" ht="15" hidden="false" customHeight="true" outlineLevel="0" collapsed="false">
      <c r="B15" s="26" t="s">
        <v>15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customFormat="false" ht="15.75" hidden="false" customHeight="true" outlineLevel="0" collapsed="false">
      <c r="B16" s="27" t="s">
        <v>16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customFormat="false" ht="15.75" hidden="false" customHeight="true" outlineLevel="0" collapsed="false">
      <c r="B17" s="28" t="s">
        <v>17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customFormat="false" ht="15.75" hidden="false" customHeight="true" outlineLevel="0" collapsed="false">
      <c r="B18" s="27" t="s">
        <v>18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customFormat="false" ht="15.75" hidden="false" customHeight="true" outlineLevel="0" collapsed="false">
      <c r="B19" s="28" t="s">
        <v>19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customFormat="false" ht="15.75" hidden="false" customHeight="true" outlineLevel="0" collapsed="false">
      <c r="B20" s="27" t="s">
        <v>20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25.5" hidden="false" customHeight="true" outlineLevel="0" collapsed="false">
      <c r="B21" s="29" t="s">
        <v>21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3" customFormat="false" ht="15" hidden="false" customHeight="true" outlineLevel="0" collapsed="false">
      <c r="B23" s="30" t="s">
        <v>22</v>
      </c>
    </row>
    <row r="24" customFormat="false" ht="15" hidden="false" customHeight="true" outlineLevel="0" collapsed="false">
      <c r="B24" s="31" t="s">
        <v>23</v>
      </c>
      <c r="E24" s="32" t="n">
        <f aca="false">SUM('All Accounts'!H5:H91)</f>
        <v>497902.68</v>
      </c>
    </row>
    <row r="25" customFormat="false" ht="15" hidden="false" customHeight="true" outlineLevel="0" collapsed="false">
      <c r="B25" s="31" t="s">
        <v>24</v>
      </c>
      <c r="E25" s="32" t="n">
        <f aca="false">5384.57-SUMIF('All Accounts'!B5:B91,"73511",'All Accounts'!H5:H91)</f>
        <v>1117.08</v>
      </c>
    </row>
    <row r="26" customFormat="false" ht="15" hidden="false" customHeight="true" outlineLevel="0" collapsed="false">
      <c r="B26" s="31" t="s">
        <v>25</v>
      </c>
      <c r="E26" s="32" t="n">
        <f aca="false">5520.97-SUMIF('All Accounts'!B5:B91,"73512",'All Accounts'!H5:H91)</f>
        <v>8.42000000000007</v>
      </c>
    </row>
    <row r="27" customFormat="false" ht="15" hidden="false" customHeight="true" outlineLevel="0" collapsed="false">
      <c r="B27" s="31" t="s">
        <v>26</v>
      </c>
      <c r="E27" s="32" t="n">
        <f aca="false">267532.19-SUMIF('All Accounts'!B5:B91,"73211",'All Accounts'!H5:H91)</f>
        <v>31454.92</v>
      </c>
    </row>
    <row r="28" customFormat="false" ht="15" hidden="false" customHeight="true" outlineLevel="0" collapsed="false">
      <c r="B28" s="31" t="s">
        <v>27</v>
      </c>
      <c r="E28" s="32" t="n">
        <f aca="false">7570.5-SUMIF('All Accounts'!B5:B91,"7B214",'All Accounts'!H5:H91)</f>
        <v>3888</v>
      </c>
    </row>
    <row r="29" customFormat="false" ht="15" hidden="false" customHeight="true" outlineLevel="0" collapsed="false">
      <c r="B29" s="31" t="s">
        <v>28</v>
      </c>
      <c r="E29" s="32" t="n">
        <f aca="false">4861.7-SUMIF('All Accounts'!B5:B91,"7B213",'All Accounts'!H5:H91)</f>
        <v>864.9</v>
      </c>
    </row>
    <row r="30" customFormat="false" ht="15" hidden="false" customHeight="true" outlineLevel="0" collapsed="false">
      <c r="B30" s="31" t="s">
        <v>29</v>
      </c>
      <c r="E30" s="32" t="n">
        <f aca="false">'All Accounts'!H94</f>
        <v>3711.73</v>
      </c>
    </row>
    <row r="31" customFormat="false" ht="15" hidden="false" customHeight="true" outlineLevel="0" collapsed="false">
      <c r="B31" s="31" t="s">
        <v>30</v>
      </c>
      <c r="E31" s="32" t="n">
        <f aca="false">SUM(E24:E30)</f>
        <v>538947.73</v>
      </c>
    </row>
    <row r="32" customFormat="false" ht="15" hidden="false" customHeight="true" outlineLevel="0" collapsed="false">
      <c r="B32" s="31" t="s">
        <v>31</v>
      </c>
      <c r="E32" s="32" t="n">
        <v>538947.73</v>
      </c>
    </row>
    <row r="33" customFormat="false" ht="15" hidden="false" customHeight="true" outlineLevel="0" collapsed="false">
      <c r="B33" s="31" t="s">
        <v>32</v>
      </c>
      <c r="E33" s="32" t="str">
        <f aca="false">IF(ABS(E31-E32)&lt;0.005,"TIES","CONFLICT - investigate before relying on this sheet")</f>
        <v>TIES</v>
      </c>
    </row>
  </sheetData>
  <mergeCells count="34">
    <mergeCell ref="B2:N2"/>
    <mergeCell ref="B3:N3"/>
    <mergeCell ref="B5:D5"/>
    <mergeCell ref="E5:G5"/>
    <mergeCell ref="H5:J5"/>
    <mergeCell ref="K5:M5"/>
    <mergeCell ref="B6:D6"/>
    <mergeCell ref="E6:G6"/>
    <mergeCell ref="H6:J6"/>
    <mergeCell ref="K6:M6"/>
    <mergeCell ref="B8:D8"/>
    <mergeCell ref="E8:G8"/>
    <mergeCell ref="H8:J8"/>
    <mergeCell ref="K8:M8"/>
    <mergeCell ref="B9:D9"/>
    <mergeCell ref="E9:G9"/>
    <mergeCell ref="H9:J9"/>
    <mergeCell ref="K9:M9"/>
    <mergeCell ref="B11:N11"/>
    <mergeCell ref="B12:D12"/>
    <mergeCell ref="E12:G12"/>
    <mergeCell ref="H12:J12"/>
    <mergeCell ref="K12:M12"/>
    <mergeCell ref="B13:D13"/>
    <mergeCell ref="E13:G13"/>
    <mergeCell ref="H13:J13"/>
    <mergeCell ref="K13:M13"/>
    <mergeCell ref="B15:N15"/>
    <mergeCell ref="B16:N16"/>
    <mergeCell ref="B17:N17"/>
    <mergeCell ref="B18:N18"/>
    <mergeCell ref="B19:N19"/>
    <mergeCell ref="B20:N20"/>
    <mergeCell ref="B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3" min="10" style="1" width="8"/>
    <col collapsed="false" customWidth="true" hidden="false" outlineLevel="0" max="14" min="14" style="1" width="10"/>
    <col collapsed="false" customWidth="true" hidden="false" outlineLevel="0" max="15" min="15" style="1" width="70"/>
    <col collapsed="false" customWidth="true" hidden="false" outlineLevel="0" max="16" min="16" style="1" width="60"/>
    <col collapsed="false" customWidth="true" hidden="false" outlineLevel="0" max="17" min="17" style="1" width="34"/>
    <col collapsed="false" customWidth="true" hidden="false" outlineLevel="0" max="18" min="18" style="1" width="26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33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customFormat="false" ht="15.7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27.75" hidden="false" customHeight="true" outlineLevel="0" collapsed="false">
      <c r="A4" s="34" t="s">
        <v>35</v>
      </c>
      <c r="B4" s="34" t="s">
        <v>36</v>
      </c>
      <c r="C4" s="34" t="s">
        <v>37</v>
      </c>
      <c r="D4" s="34" t="s">
        <v>38</v>
      </c>
      <c r="E4" s="34" t="s">
        <v>39</v>
      </c>
      <c r="F4" s="34" t="s">
        <v>40</v>
      </c>
      <c r="G4" s="34" t="s">
        <v>41</v>
      </c>
      <c r="H4" s="34" t="s">
        <v>42</v>
      </c>
      <c r="I4" s="34" t="s">
        <v>43</v>
      </c>
      <c r="J4" s="34" t="s">
        <v>44</v>
      </c>
      <c r="K4" s="34" t="s">
        <v>45</v>
      </c>
      <c r="L4" s="34" t="s">
        <v>46</v>
      </c>
      <c r="M4" s="34" t="s">
        <v>47</v>
      </c>
      <c r="N4" s="34" t="s">
        <v>48</v>
      </c>
      <c r="O4" s="34" t="s">
        <v>49</v>
      </c>
      <c r="P4" s="34" t="s">
        <v>50</v>
      </c>
      <c r="Q4" s="34" t="s">
        <v>51</v>
      </c>
      <c r="R4" s="34" t="s">
        <v>52</v>
      </c>
      <c r="S4" s="34" t="s">
        <v>53</v>
      </c>
    </row>
    <row r="5" customFormat="false" ht="63.75" hidden="false" customHeight="true" outlineLevel="0" collapsed="false">
      <c r="A5" s="35" t="s">
        <v>54</v>
      </c>
      <c r="B5" s="35" t="s">
        <v>55</v>
      </c>
      <c r="C5" s="36" t="s">
        <v>56</v>
      </c>
      <c r="D5" s="37" t="n">
        <v>67055.47</v>
      </c>
      <c r="E5" s="37" t="n">
        <v>97083.52</v>
      </c>
      <c r="F5" s="35" t="s">
        <v>57</v>
      </c>
      <c r="G5" s="35" t="s">
        <v>58</v>
      </c>
      <c r="H5" s="37" t="n">
        <v>3433.91</v>
      </c>
      <c r="I5" s="37" t="n">
        <v>63621.56</v>
      </c>
      <c r="J5" s="38" t="s">
        <v>11</v>
      </c>
      <c r="K5" s="38" t="s">
        <v>13</v>
      </c>
      <c r="L5" s="38" t="s">
        <v>11</v>
      </c>
      <c r="M5" s="38" t="s">
        <v>11</v>
      </c>
      <c r="N5" s="38" t="s">
        <v>12</v>
      </c>
      <c r="O5" s="36" t="s">
        <v>59</v>
      </c>
      <c r="P5" s="36" t="s">
        <v>60</v>
      </c>
      <c r="Q5" s="36" t="s">
        <v>61</v>
      </c>
      <c r="R5" s="36" t="s">
        <v>62</v>
      </c>
      <c r="S5" s="35" t="s">
        <v>63</v>
      </c>
    </row>
    <row r="6" customFormat="false" ht="63.75" hidden="false" customHeight="true" outlineLevel="0" collapsed="false">
      <c r="A6" s="39" t="s">
        <v>54</v>
      </c>
      <c r="B6" s="39" t="s">
        <v>64</v>
      </c>
      <c r="C6" s="40" t="s">
        <v>65</v>
      </c>
      <c r="D6" s="41" t="n">
        <v>43393.37</v>
      </c>
      <c r="E6" s="41" t="n">
        <v>60215.21</v>
      </c>
      <c r="F6" s="39" t="s">
        <v>57</v>
      </c>
      <c r="G6" s="39" t="s">
        <v>66</v>
      </c>
      <c r="H6" s="41" t="n">
        <v>43393.37</v>
      </c>
      <c r="I6" s="41" t="n">
        <v>0</v>
      </c>
      <c r="J6" s="42" t="s">
        <v>12</v>
      </c>
      <c r="K6" s="42" t="s">
        <v>12</v>
      </c>
      <c r="L6" s="42" t="s">
        <v>12</v>
      </c>
      <c r="M6" s="42" t="s">
        <v>12</v>
      </c>
      <c r="N6" s="42" t="s">
        <v>12</v>
      </c>
      <c r="O6" s="40" t="s">
        <v>67</v>
      </c>
      <c r="P6" s="40" t="s">
        <v>68</v>
      </c>
      <c r="Q6" s="40" t="s">
        <v>69</v>
      </c>
      <c r="R6" s="40" t="s">
        <v>70</v>
      </c>
      <c r="S6" s="39" t="s">
        <v>63</v>
      </c>
    </row>
    <row r="7" customFormat="false" ht="63.75" hidden="false" customHeight="true" outlineLevel="0" collapsed="false">
      <c r="A7" s="35" t="s">
        <v>54</v>
      </c>
      <c r="B7" s="35" t="s">
        <v>71</v>
      </c>
      <c r="C7" s="36" t="s">
        <v>72</v>
      </c>
      <c r="D7" s="37" t="n">
        <v>2461.27</v>
      </c>
      <c r="E7" s="37" t="n">
        <v>0</v>
      </c>
      <c r="F7" s="35" t="s">
        <v>73</v>
      </c>
      <c r="G7" s="35" t="s">
        <v>66</v>
      </c>
      <c r="H7" s="37" t="n">
        <v>2461.27</v>
      </c>
      <c r="I7" s="37"/>
      <c r="J7" s="38" t="s">
        <v>11</v>
      </c>
      <c r="K7" s="38" t="s">
        <v>13</v>
      </c>
      <c r="L7" s="38" t="s">
        <v>11</v>
      </c>
      <c r="M7" s="38" t="s">
        <v>11</v>
      </c>
      <c r="N7" s="38" t="s">
        <v>12</v>
      </c>
      <c r="O7" s="36" t="s">
        <v>74</v>
      </c>
      <c r="P7" s="36" t="s">
        <v>75</v>
      </c>
      <c r="Q7" s="36" t="s">
        <v>76</v>
      </c>
      <c r="R7" s="36" t="s">
        <v>77</v>
      </c>
      <c r="S7" s="35" t="s">
        <v>78</v>
      </c>
    </row>
    <row r="8" customFormat="false" ht="15" hidden="false" customHeight="true" outlineLevel="0" collapsed="false">
      <c r="A8" s="39" t="s">
        <v>79</v>
      </c>
      <c r="B8" s="39" t="s">
        <v>80</v>
      </c>
      <c r="C8" s="40" t="s">
        <v>81</v>
      </c>
      <c r="D8" s="41" t="n">
        <v>13198801.71</v>
      </c>
      <c r="E8" s="41" t="n">
        <v>15381294.96</v>
      </c>
      <c r="F8" s="39" t="s">
        <v>82</v>
      </c>
      <c r="G8" s="39" t="s">
        <v>83</v>
      </c>
      <c r="H8" s="41"/>
      <c r="I8" s="41" t="n">
        <v>13198801.71</v>
      </c>
      <c r="J8" s="42"/>
      <c r="K8" s="42"/>
      <c r="L8" s="42"/>
      <c r="M8" s="42"/>
      <c r="N8" s="42"/>
      <c r="O8" s="40"/>
      <c r="P8" s="40" t="s">
        <v>84</v>
      </c>
      <c r="Q8" s="40"/>
      <c r="R8" s="40"/>
      <c r="S8" s="39"/>
    </row>
    <row r="9" customFormat="false" ht="63.75" hidden="false" customHeight="true" outlineLevel="0" collapsed="false">
      <c r="A9" s="35" t="s">
        <v>79</v>
      </c>
      <c r="B9" s="35" t="s">
        <v>85</v>
      </c>
      <c r="C9" s="36" t="s">
        <v>86</v>
      </c>
      <c r="D9" s="37" t="n">
        <v>7765424.12</v>
      </c>
      <c r="E9" s="37" t="n">
        <v>5318104.34</v>
      </c>
      <c r="F9" s="35" t="s">
        <v>82</v>
      </c>
      <c r="G9" s="35" t="s">
        <v>58</v>
      </c>
      <c r="H9" s="37" t="n">
        <v>54242.75</v>
      </c>
      <c r="I9" s="37" t="n">
        <v>7711181.37</v>
      </c>
      <c r="J9" s="38" t="s">
        <v>12</v>
      </c>
      <c r="K9" s="38" t="s">
        <v>13</v>
      </c>
      <c r="L9" s="38" t="s">
        <v>12</v>
      </c>
      <c r="M9" s="38" t="s">
        <v>12</v>
      </c>
      <c r="N9" s="38" t="s">
        <v>12</v>
      </c>
      <c r="O9" s="36" t="s">
        <v>87</v>
      </c>
      <c r="P9" s="36" t="s">
        <v>88</v>
      </c>
      <c r="Q9" s="36" t="s">
        <v>89</v>
      </c>
      <c r="R9" s="36" t="s">
        <v>90</v>
      </c>
      <c r="S9" s="35" t="s">
        <v>91</v>
      </c>
    </row>
    <row r="10" customFormat="false" ht="63.75" hidden="false" customHeight="true" outlineLevel="0" collapsed="false">
      <c r="A10" s="39" t="s">
        <v>79</v>
      </c>
      <c r="B10" s="39" t="s">
        <v>92</v>
      </c>
      <c r="C10" s="40" t="s">
        <v>93</v>
      </c>
      <c r="D10" s="41" t="n">
        <v>3900770.79</v>
      </c>
      <c r="E10" s="41" t="n">
        <v>8330733.3</v>
      </c>
      <c r="F10" s="39" t="s">
        <v>82</v>
      </c>
      <c r="G10" s="39" t="s">
        <v>94</v>
      </c>
      <c r="H10" s="41" t="n">
        <v>0</v>
      </c>
      <c r="I10" s="41" t="n">
        <v>3900770.79</v>
      </c>
      <c r="J10" s="42" t="s">
        <v>95</v>
      </c>
      <c r="K10" s="42" t="s">
        <v>95</v>
      </c>
      <c r="L10" s="42" t="s">
        <v>95</v>
      </c>
      <c r="M10" s="42" t="s">
        <v>95</v>
      </c>
      <c r="N10" s="42" t="s">
        <v>14</v>
      </c>
      <c r="O10" s="40" t="s">
        <v>96</v>
      </c>
      <c r="P10" s="40" t="s">
        <v>97</v>
      </c>
      <c r="Q10" s="40" t="s">
        <v>98</v>
      </c>
      <c r="R10" s="40" t="s">
        <v>99</v>
      </c>
      <c r="S10" s="39" t="s">
        <v>100</v>
      </c>
    </row>
    <row r="11" customFormat="false" ht="15" hidden="false" customHeight="true" outlineLevel="0" collapsed="false">
      <c r="A11" s="35" t="s">
        <v>79</v>
      </c>
      <c r="B11" s="35" t="s">
        <v>101</v>
      </c>
      <c r="C11" s="36" t="s">
        <v>102</v>
      </c>
      <c r="D11" s="37" t="n">
        <v>3051433.74</v>
      </c>
      <c r="E11" s="37" t="n">
        <v>4000000</v>
      </c>
      <c r="F11" s="35" t="s">
        <v>82</v>
      </c>
      <c r="G11" s="35" t="s">
        <v>83</v>
      </c>
      <c r="H11" s="37"/>
      <c r="I11" s="37" t="n">
        <v>3051433.74</v>
      </c>
      <c r="J11" s="38"/>
      <c r="K11" s="38"/>
      <c r="L11" s="38"/>
      <c r="M11" s="38"/>
      <c r="N11" s="38"/>
      <c r="O11" s="36"/>
      <c r="P11" s="36" t="s">
        <v>84</v>
      </c>
      <c r="Q11" s="36"/>
      <c r="R11" s="36"/>
      <c r="S11" s="35"/>
    </row>
    <row r="12" customFormat="false" ht="15" hidden="false" customHeight="true" outlineLevel="0" collapsed="false">
      <c r="A12" s="39" t="s">
        <v>103</v>
      </c>
      <c r="B12" s="39" t="s">
        <v>104</v>
      </c>
      <c r="C12" s="40" t="s">
        <v>105</v>
      </c>
      <c r="D12" s="41" t="n">
        <v>1844939.64</v>
      </c>
      <c r="E12" s="41" t="n">
        <v>2130960</v>
      </c>
      <c r="F12" s="39" t="s">
        <v>82</v>
      </c>
      <c r="G12" s="39" t="s">
        <v>83</v>
      </c>
      <c r="H12" s="41"/>
      <c r="I12" s="41" t="n">
        <v>1844939.64</v>
      </c>
      <c r="J12" s="42"/>
      <c r="K12" s="42"/>
      <c r="L12" s="42"/>
      <c r="M12" s="42"/>
      <c r="N12" s="42"/>
      <c r="O12" s="40"/>
      <c r="P12" s="40" t="s">
        <v>84</v>
      </c>
      <c r="Q12" s="40"/>
      <c r="R12" s="40"/>
      <c r="S12" s="39"/>
    </row>
    <row r="13" customFormat="false" ht="15" hidden="false" customHeight="true" outlineLevel="0" collapsed="false">
      <c r="A13" s="35" t="s">
        <v>103</v>
      </c>
      <c r="B13" s="35" t="s">
        <v>106</v>
      </c>
      <c r="C13" s="36" t="s">
        <v>107</v>
      </c>
      <c r="D13" s="37" t="n">
        <v>871434.07</v>
      </c>
      <c r="E13" s="37" t="n">
        <v>29417.39</v>
      </c>
      <c r="F13" s="35" t="s">
        <v>108</v>
      </c>
      <c r="G13" s="35" t="s">
        <v>83</v>
      </c>
      <c r="H13" s="37"/>
      <c r="I13" s="37" t="n">
        <v>871434.07</v>
      </c>
      <c r="J13" s="38"/>
      <c r="K13" s="38"/>
      <c r="L13" s="38"/>
      <c r="M13" s="38"/>
      <c r="N13" s="38"/>
      <c r="O13" s="36"/>
      <c r="P13" s="36" t="s">
        <v>84</v>
      </c>
      <c r="Q13" s="36"/>
      <c r="R13" s="36"/>
      <c r="S13" s="35"/>
    </row>
    <row r="14" customFormat="false" ht="15" hidden="false" customHeight="true" outlineLevel="0" collapsed="false">
      <c r="A14" s="39" t="s">
        <v>103</v>
      </c>
      <c r="B14" s="39" t="s">
        <v>109</v>
      </c>
      <c r="C14" s="40" t="s">
        <v>110</v>
      </c>
      <c r="D14" s="41" t="n">
        <v>668784.41</v>
      </c>
      <c r="E14" s="41" t="n">
        <v>1160178.75</v>
      </c>
      <c r="F14" s="39" t="s">
        <v>108</v>
      </c>
      <c r="G14" s="39" t="s">
        <v>83</v>
      </c>
      <c r="H14" s="41"/>
      <c r="I14" s="41" t="n">
        <v>668784.41</v>
      </c>
      <c r="J14" s="42"/>
      <c r="K14" s="42"/>
      <c r="L14" s="42"/>
      <c r="M14" s="42"/>
      <c r="N14" s="42"/>
      <c r="O14" s="40"/>
      <c r="P14" s="40" t="s">
        <v>84</v>
      </c>
      <c r="Q14" s="40"/>
      <c r="R14" s="40"/>
      <c r="S14" s="39"/>
    </row>
    <row r="15" customFormat="false" ht="15" hidden="false" customHeight="true" outlineLevel="0" collapsed="false">
      <c r="A15" s="35" t="s">
        <v>103</v>
      </c>
      <c r="B15" s="35" t="s">
        <v>111</v>
      </c>
      <c r="C15" s="36" t="s">
        <v>112</v>
      </c>
      <c r="D15" s="37" t="n">
        <v>363931.78</v>
      </c>
      <c r="E15" s="37" t="n">
        <v>346422.15</v>
      </c>
      <c r="F15" s="35" t="s">
        <v>108</v>
      </c>
      <c r="G15" s="35" t="s">
        <v>83</v>
      </c>
      <c r="H15" s="37"/>
      <c r="I15" s="37" t="n">
        <v>363931.78</v>
      </c>
      <c r="J15" s="38"/>
      <c r="K15" s="38"/>
      <c r="L15" s="38"/>
      <c r="M15" s="38"/>
      <c r="N15" s="38"/>
      <c r="O15" s="36"/>
      <c r="P15" s="36" t="s">
        <v>84</v>
      </c>
      <c r="Q15" s="36"/>
      <c r="R15" s="36"/>
      <c r="S15" s="35"/>
    </row>
    <row r="16" customFormat="false" ht="15" hidden="false" customHeight="true" outlineLevel="0" collapsed="false">
      <c r="A16" s="39" t="s">
        <v>103</v>
      </c>
      <c r="B16" s="39" t="s">
        <v>113</v>
      </c>
      <c r="C16" s="40" t="s">
        <v>114</v>
      </c>
      <c r="D16" s="41" t="n">
        <v>339375.43</v>
      </c>
      <c r="E16" s="41" t="n">
        <v>276596.57</v>
      </c>
      <c r="F16" s="39" t="s">
        <v>108</v>
      </c>
      <c r="G16" s="39" t="s">
        <v>83</v>
      </c>
      <c r="H16" s="41"/>
      <c r="I16" s="41" t="n">
        <v>339375.43</v>
      </c>
      <c r="J16" s="42"/>
      <c r="K16" s="42"/>
      <c r="L16" s="42"/>
      <c r="M16" s="42"/>
      <c r="N16" s="42"/>
      <c r="O16" s="40"/>
      <c r="P16" s="40" t="s">
        <v>84</v>
      </c>
      <c r="Q16" s="40"/>
      <c r="R16" s="40"/>
      <c r="S16" s="39"/>
    </row>
    <row r="17" customFormat="false" ht="15" hidden="false" customHeight="true" outlineLevel="0" collapsed="false">
      <c r="A17" s="35" t="s">
        <v>103</v>
      </c>
      <c r="B17" s="35" t="s">
        <v>115</v>
      </c>
      <c r="C17" s="36" t="s">
        <v>116</v>
      </c>
      <c r="D17" s="37" t="n">
        <v>264132.36</v>
      </c>
      <c r="E17" s="37" t="n">
        <v>5579.2</v>
      </c>
      <c r="F17" s="35" t="s">
        <v>108</v>
      </c>
      <c r="G17" s="35" t="s">
        <v>83</v>
      </c>
      <c r="H17" s="37"/>
      <c r="I17" s="37" t="n">
        <v>264132.36</v>
      </c>
      <c r="J17" s="38"/>
      <c r="K17" s="38"/>
      <c r="L17" s="38"/>
      <c r="M17" s="38"/>
      <c r="N17" s="38"/>
      <c r="O17" s="36"/>
      <c r="P17" s="36" t="s">
        <v>84</v>
      </c>
      <c r="Q17" s="36"/>
      <c r="R17" s="36"/>
      <c r="S17" s="35"/>
    </row>
    <row r="18" customFormat="false" ht="109.5" hidden="false" customHeight="true" outlineLevel="0" collapsed="false">
      <c r="A18" s="39" t="s">
        <v>103</v>
      </c>
      <c r="B18" s="39" t="s">
        <v>117</v>
      </c>
      <c r="C18" s="40" t="s">
        <v>118</v>
      </c>
      <c r="D18" s="41" t="n">
        <v>236077.27</v>
      </c>
      <c r="E18" s="41" t="n">
        <v>894312.41</v>
      </c>
      <c r="F18" s="39" t="s">
        <v>108</v>
      </c>
      <c r="G18" s="43" t="s">
        <v>66</v>
      </c>
      <c r="H18" s="44" t="n">
        <v>236077.27</v>
      </c>
      <c r="I18" s="44" t="n">
        <v>0</v>
      </c>
      <c r="J18" s="43" t="s">
        <v>12</v>
      </c>
      <c r="K18" s="43" t="s">
        <v>12</v>
      </c>
      <c r="L18" s="43" t="s">
        <v>12</v>
      </c>
      <c r="M18" s="43" t="s">
        <v>12</v>
      </c>
      <c r="N18" s="43" t="s">
        <v>12</v>
      </c>
      <c r="O18" s="45" t="s">
        <v>119</v>
      </c>
      <c r="P18" s="45" t="s">
        <v>120</v>
      </c>
      <c r="Q18" s="45" t="s">
        <v>121</v>
      </c>
      <c r="R18" s="45" t="s">
        <v>122</v>
      </c>
      <c r="S18" s="43" t="s">
        <v>123</v>
      </c>
    </row>
    <row r="19" customFormat="false" ht="15" hidden="false" customHeight="true" outlineLevel="0" collapsed="false">
      <c r="A19" s="35" t="s">
        <v>103</v>
      </c>
      <c r="B19" s="35" t="s">
        <v>124</v>
      </c>
      <c r="C19" s="36" t="s">
        <v>125</v>
      </c>
      <c r="D19" s="37" t="n">
        <v>204911.46</v>
      </c>
      <c r="E19" s="37" t="n">
        <v>197323.14</v>
      </c>
      <c r="F19" s="35" t="s">
        <v>108</v>
      </c>
      <c r="G19" s="35" t="s">
        <v>83</v>
      </c>
      <c r="H19" s="37"/>
      <c r="I19" s="37" t="n">
        <v>204911.46</v>
      </c>
      <c r="J19" s="38"/>
      <c r="K19" s="38"/>
      <c r="L19" s="38"/>
      <c r="M19" s="38"/>
      <c r="N19" s="38"/>
      <c r="O19" s="36"/>
      <c r="P19" s="36" t="s">
        <v>84</v>
      </c>
      <c r="Q19" s="36"/>
      <c r="R19" s="36"/>
      <c r="S19" s="35"/>
    </row>
    <row r="20" customFormat="false" ht="15" hidden="false" customHeight="true" outlineLevel="0" collapsed="false">
      <c r="A20" s="39" t="s">
        <v>103</v>
      </c>
      <c r="B20" s="39" t="s">
        <v>126</v>
      </c>
      <c r="C20" s="40" t="s">
        <v>127</v>
      </c>
      <c r="D20" s="41" t="n">
        <v>163135.45</v>
      </c>
      <c r="E20" s="41" t="n">
        <v>0</v>
      </c>
      <c r="F20" s="39" t="s">
        <v>108</v>
      </c>
      <c r="G20" s="39" t="s">
        <v>83</v>
      </c>
      <c r="H20" s="41"/>
      <c r="I20" s="41" t="n">
        <v>163135.45</v>
      </c>
      <c r="J20" s="42"/>
      <c r="K20" s="42"/>
      <c r="L20" s="42"/>
      <c r="M20" s="42"/>
      <c r="N20" s="42"/>
      <c r="O20" s="40"/>
      <c r="P20" s="40" t="s">
        <v>84</v>
      </c>
      <c r="Q20" s="40"/>
      <c r="R20" s="40"/>
      <c r="S20" s="39"/>
    </row>
    <row r="21" customFormat="false" ht="15" hidden="false" customHeight="true" outlineLevel="0" collapsed="false">
      <c r="A21" s="35" t="s">
        <v>103</v>
      </c>
      <c r="B21" s="35" t="s">
        <v>128</v>
      </c>
      <c r="C21" s="36" t="s">
        <v>129</v>
      </c>
      <c r="D21" s="37" t="n">
        <v>157505.76</v>
      </c>
      <c r="E21" s="37" t="n">
        <v>174568.78</v>
      </c>
      <c r="F21" s="35" t="s">
        <v>108</v>
      </c>
      <c r="G21" s="35" t="s">
        <v>83</v>
      </c>
      <c r="H21" s="37"/>
      <c r="I21" s="37" t="n">
        <v>157505.76</v>
      </c>
      <c r="J21" s="38"/>
      <c r="K21" s="38"/>
      <c r="L21" s="38"/>
      <c r="M21" s="38"/>
      <c r="N21" s="38"/>
      <c r="O21" s="36"/>
      <c r="P21" s="36" t="s">
        <v>84</v>
      </c>
      <c r="Q21" s="36"/>
      <c r="R21" s="36"/>
      <c r="S21" s="35"/>
    </row>
    <row r="22" customFormat="false" ht="15" hidden="false" customHeight="true" outlineLevel="0" collapsed="false">
      <c r="A22" s="39" t="s">
        <v>103</v>
      </c>
      <c r="B22" s="39" t="s">
        <v>130</v>
      </c>
      <c r="C22" s="40" t="s">
        <v>131</v>
      </c>
      <c r="D22" s="41" t="n">
        <v>150347.57</v>
      </c>
      <c r="E22" s="41" t="n">
        <v>99731.71</v>
      </c>
      <c r="F22" s="39" t="s">
        <v>108</v>
      </c>
      <c r="G22" s="39" t="s">
        <v>83</v>
      </c>
      <c r="H22" s="41"/>
      <c r="I22" s="41" t="n">
        <v>150347.57</v>
      </c>
      <c r="J22" s="42"/>
      <c r="K22" s="42"/>
      <c r="L22" s="42"/>
      <c r="M22" s="42"/>
      <c r="N22" s="42"/>
      <c r="O22" s="40"/>
      <c r="P22" s="40" t="s">
        <v>84</v>
      </c>
      <c r="Q22" s="40"/>
      <c r="R22" s="40"/>
      <c r="S22" s="39"/>
    </row>
    <row r="23" customFormat="false" ht="63.75" hidden="false" customHeight="true" outlineLevel="0" collapsed="false">
      <c r="A23" s="35" t="s">
        <v>132</v>
      </c>
      <c r="B23" s="35" t="s">
        <v>133</v>
      </c>
      <c r="C23" s="36" t="s">
        <v>134</v>
      </c>
      <c r="D23" s="37" t="n">
        <v>69232.16</v>
      </c>
      <c r="E23" s="37" t="n">
        <v>65134.88</v>
      </c>
      <c r="F23" s="35" t="s">
        <v>57</v>
      </c>
      <c r="G23" s="35" t="s">
        <v>66</v>
      </c>
      <c r="H23" s="37" t="n">
        <v>69232.16</v>
      </c>
      <c r="I23" s="37" t="n">
        <v>0</v>
      </c>
      <c r="J23" s="38" t="s">
        <v>12</v>
      </c>
      <c r="K23" s="38" t="s">
        <v>12</v>
      </c>
      <c r="L23" s="38" t="s">
        <v>12</v>
      </c>
      <c r="M23" s="38" t="s">
        <v>12</v>
      </c>
      <c r="N23" s="38" t="s">
        <v>12</v>
      </c>
      <c r="O23" s="36" t="s">
        <v>135</v>
      </c>
      <c r="P23" s="36" t="s">
        <v>136</v>
      </c>
      <c r="Q23" s="36" t="s">
        <v>137</v>
      </c>
      <c r="R23" s="36" t="s">
        <v>138</v>
      </c>
      <c r="S23" s="35" t="s">
        <v>123</v>
      </c>
    </row>
    <row r="24" customFormat="false" ht="15" hidden="false" customHeight="true" outlineLevel="0" collapsed="false">
      <c r="A24" s="39" t="s">
        <v>132</v>
      </c>
      <c r="B24" s="39" t="s">
        <v>139</v>
      </c>
      <c r="C24" s="40" t="s">
        <v>140</v>
      </c>
      <c r="D24" s="41" t="n">
        <v>63803.78</v>
      </c>
      <c r="E24" s="41" t="n">
        <v>60788.01</v>
      </c>
      <c r="F24" s="39" t="s">
        <v>57</v>
      </c>
      <c r="G24" s="39" t="s">
        <v>83</v>
      </c>
      <c r="H24" s="41"/>
      <c r="I24" s="41" t="n">
        <v>63803.78</v>
      </c>
      <c r="J24" s="42"/>
      <c r="K24" s="42"/>
      <c r="L24" s="42"/>
      <c r="M24" s="42"/>
      <c r="N24" s="42"/>
      <c r="O24" s="40"/>
      <c r="P24" s="40" t="s">
        <v>84</v>
      </c>
      <c r="Q24" s="40"/>
      <c r="R24" s="40"/>
      <c r="S24" s="39"/>
    </row>
    <row r="25" customFormat="false" ht="15" hidden="false" customHeight="true" outlineLevel="0" collapsed="false">
      <c r="A25" s="35" t="s">
        <v>132</v>
      </c>
      <c r="B25" s="35" t="s">
        <v>141</v>
      </c>
      <c r="C25" s="36" t="s">
        <v>142</v>
      </c>
      <c r="D25" s="37" t="n">
        <v>46010.25</v>
      </c>
      <c r="E25" s="37" t="n">
        <v>44775.05</v>
      </c>
      <c r="F25" s="35" t="s">
        <v>57</v>
      </c>
      <c r="G25" s="35" t="s">
        <v>83</v>
      </c>
      <c r="H25" s="37"/>
      <c r="I25" s="37" t="n">
        <v>46010.25</v>
      </c>
      <c r="J25" s="38"/>
      <c r="K25" s="38"/>
      <c r="L25" s="38"/>
      <c r="M25" s="38"/>
      <c r="N25" s="38"/>
      <c r="O25" s="36"/>
      <c r="P25" s="36" t="s">
        <v>84</v>
      </c>
      <c r="Q25" s="36"/>
      <c r="R25" s="36"/>
      <c r="S25" s="35"/>
    </row>
    <row r="26" customFormat="false" ht="63.75" hidden="false" customHeight="true" outlineLevel="0" collapsed="false">
      <c r="A26" s="39" t="s">
        <v>132</v>
      </c>
      <c r="B26" s="39" t="s">
        <v>143</v>
      </c>
      <c r="C26" s="40" t="s">
        <v>144</v>
      </c>
      <c r="D26" s="41" t="n">
        <v>46003.66</v>
      </c>
      <c r="E26" s="41" t="n">
        <v>45000</v>
      </c>
      <c r="F26" s="39" t="s">
        <v>57</v>
      </c>
      <c r="G26" s="39" t="s">
        <v>66</v>
      </c>
      <c r="H26" s="41" t="n">
        <v>46003.66</v>
      </c>
      <c r="I26" s="41" t="n">
        <v>0</v>
      </c>
      <c r="J26" s="42" t="s">
        <v>11</v>
      </c>
      <c r="K26" s="42" t="s">
        <v>11</v>
      </c>
      <c r="L26" s="42" t="s">
        <v>11</v>
      </c>
      <c r="M26" s="42" t="s">
        <v>11</v>
      </c>
      <c r="N26" s="42" t="s">
        <v>11</v>
      </c>
      <c r="O26" s="40" t="s">
        <v>145</v>
      </c>
      <c r="P26" s="40" t="s">
        <v>146</v>
      </c>
      <c r="Q26" s="40" t="s">
        <v>147</v>
      </c>
      <c r="R26" s="40" t="s">
        <v>148</v>
      </c>
      <c r="S26" s="39" t="s">
        <v>123</v>
      </c>
    </row>
    <row r="27" customFormat="false" ht="15" hidden="false" customHeight="true" outlineLevel="0" collapsed="false">
      <c r="A27" s="35" t="s">
        <v>132</v>
      </c>
      <c r="B27" s="35" t="s">
        <v>149</v>
      </c>
      <c r="C27" s="36" t="s">
        <v>150</v>
      </c>
      <c r="D27" s="37" t="n">
        <v>34840.97</v>
      </c>
      <c r="E27" s="37" t="n">
        <v>3663.8</v>
      </c>
      <c r="F27" s="35" t="s">
        <v>57</v>
      </c>
      <c r="G27" s="35" t="s">
        <v>83</v>
      </c>
      <c r="H27" s="37"/>
      <c r="I27" s="37" t="n">
        <v>34840.97</v>
      </c>
      <c r="J27" s="38"/>
      <c r="K27" s="38"/>
      <c r="L27" s="38"/>
      <c r="M27" s="38"/>
      <c r="N27" s="38"/>
      <c r="O27" s="36"/>
      <c r="P27" s="36" t="s">
        <v>84</v>
      </c>
      <c r="Q27" s="36"/>
      <c r="R27" s="36"/>
      <c r="S27" s="35"/>
    </row>
    <row r="28" customFormat="false" ht="15" hidden="false" customHeight="true" outlineLevel="0" collapsed="false">
      <c r="A28" s="39" t="s">
        <v>132</v>
      </c>
      <c r="B28" s="39" t="s">
        <v>151</v>
      </c>
      <c r="C28" s="40" t="s">
        <v>152</v>
      </c>
      <c r="D28" s="41" t="n">
        <v>27971.77</v>
      </c>
      <c r="E28" s="41" t="n">
        <v>0</v>
      </c>
      <c r="F28" s="39" t="s">
        <v>57</v>
      </c>
      <c r="G28" s="39" t="s">
        <v>83</v>
      </c>
      <c r="H28" s="41"/>
      <c r="I28" s="41" t="n">
        <v>27971.77</v>
      </c>
      <c r="J28" s="42"/>
      <c r="K28" s="42"/>
      <c r="L28" s="42"/>
      <c r="M28" s="42"/>
      <c r="N28" s="42"/>
      <c r="O28" s="40"/>
      <c r="P28" s="40" t="s">
        <v>84</v>
      </c>
      <c r="Q28" s="40"/>
      <c r="R28" s="40"/>
      <c r="S28" s="39"/>
    </row>
    <row r="29" customFormat="false" ht="15" hidden="false" customHeight="true" outlineLevel="0" collapsed="false">
      <c r="A29" s="35" t="s">
        <v>132</v>
      </c>
      <c r="B29" s="35" t="s">
        <v>153</v>
      </c>
      <c r="C29" s="36" t="s">
        <v>154</v>
      </c>
      <c r="D29" s="37" t="n">
        <v>27073.1</v>
      </c>
      <c r="E29" s="37" t="n">
        <v>2624.88</v>
      </c>
      <c r="F29" s="35" t="s">
        <v>57</v>
      </c>
      <c r="G29" s="35" t="s">
        <v>83</v>
      </c>
      <c r="H29" s="37"/>
      <c r="I29" s="37" t="n">
        <v>27073.1</v>
      </c>
      <c r="J29" s="38"/>
      <c r="K29" s="38"/>
      <c r="L29" s="38"/>
      <c r="M29" s="38"/>
      <c r="N29" s="38"/>
      <c r="O29" s="36"/>
      <c r="P29" s="36" t="s">
        <v>84</v>
      </c>
      <c r="Q29" s="36"/>
      <c r="R29" s="36"/>
      <c r="S29" s="35"/>
    </row>
    <row r="30" customFormat="false" ht="63.75" hidden="false" customHeight="true" outlineLevel="0" collapsed="false">
      <c r="A30" s="39" t="s">
        <v>132</v>
      </c>
      <c r="B30" s="39" t="s">
        <v>155</v>
      </c>
      <c r="C30" s="40" t="s">
        <v>156</v>
      </c>
      <c r="D30" s="41" t="n">
        <v>26236.42</v>
      </c>
      <c r="E30" s="41" t="n">
        <v>49051.52</v>
      </c>
      <c r="F30" s="39" t="s">
        <v>57</v>
      </c>
      <c r="G30" s="39" t="s">
        <v>58</v>
      </c>
      <c r="H30" s="41" t="n">
        <v>1059.76</v>
      </c>
      <c r="I30" s="41" t="n">
        <v>25176.66</v>
      </c>
      <c r="J30" s="42" t="s">
        <v>12</v>
      </c>
      <c r="K30" s="42" t="s">
        <v>11</v>
      </c>
      <c r="L30" s="42" t="s">
        <v>12</v>
      </c>
      <c r="M30" s="42" t="s">
        <v>157</v>
      </c>
      <c r="N30" s="42" t="s">
        <v>12</v>
      </c>
      <c r="O30" s="40" t="s">
        <v>158</v>
      </c>
      <c r="P30" s="40" t="s">
        <v>159</v>
      </c>
      <c r="Q30" s="40" t="s">
        <v>160</v>
      </c>
      <c r="R30" s="40" t="s">
        <v>77</v>
      </c>
      <c r="S30" s="39" t="s">
        <v>63</v>
      </c>
    </row>
    <row r="31" customFormat="false" ht="15" hidden="false" customHeight="true" outlineLevel="0" collapsed="false">
      <c r="A31" s="35" t="s">
        <v>132</v>
      </c>
      <c r="B31" s="35" t="s">
        <v>161</v>
      </c>
      <c r="C31" s="36" t="s">
        <v>162</v>
      </c>
      <c r="D31" s="37" t="n">
        <v>25223.19</v>
      </c>
      <c r="E31" s="37" t="n">
        <v>44586.46</v>
      </c>
      <c r="F31" s="35" t="s">
        <v>57</v>
      </c>
      <c r="G31" s="35" t="s">
        <v>83</v>
      </c>
      <c r="H31" s="37"/>
      <c r="I31" s="37" t="n">
        <v>25223.19</v>
      </c>
      <c r="J31" s="38"/>
      <c r="K31" s="38"/>
      <c r="L31" s="38"/>
      <c r="M31" s="38"/>
      <c r="N31" s="38"/>
      <c r="O31" s="36"/>
      <c r="P31" s="36" t="s">
        <v>84</v>
      </c>
      <c r="Q31" s="36"/>
      <c r="R31" s="36"/>
      <c r="S31" s="35"/>
    </row>
    <row r="32" customFormat="false" ht="15" hidden="false" customHeight="true" outlineLevel="0" collapsed="false">
      <c r="A32" s="39" t="s">
        <v>132</v>
      </c>
      <c r="B32" s="39" t="s">
        <v>163</v>
      </c>
      <c r="C32" s="40" t="s">
        <v>164</v>
      </c>
      <c r="D32" s="41" t="n">
        <v>23267.12</v>
      </c>
      <c r="E32" s="41" t="n">
        <v>10492.41</v>
      </c>
      <c r="F32" s="39" t="s">
        <v>57</v>
      </c>
      <c r="G32" s="39" t="s">
        <v>83</v>
      </c>
      <c r="H32" s="41"/>
      <c r="I32" s="41" t="n">
        <v>23267.12</v>
      </c>
      <c r="J32" s="42"/>
      <c r="K32" s="42"/>
      <c r="L32" s="42"/>
      <c r="M32" s="42"/>
      <c r="N32" s="42"/>
      <c r="O32" s="40"/>
      <c r="P32" s="40" t="s">
        <v>84</v>
      </c>
      <c r="Q32" s="40"/>
      <c r="R32" s="40"/>
      <c r="S32" s="39"/>
    </row>
    <row r="33" customFormat="false" ht="15" hidden="false" customHeight="true" outlineLevel="0" collapsed="false">
      <c r="A33" s="35" t="s">
        <v>132</v>
      </c>
      <c r="B33" s="35" t="s">
        <v>165</v>
      </c>
      <c r="C33" s="36" t="s">
        <v>166</v>
      </c>
      <c r="D33" s="37" t="n">
        <v>21876.6</v>
      </c>
      <c r="E33" s="37" t="n">
        <v>1152061.69</v>
      </c>
      <c r="F33" s="35" t="s">
        <v>57</v>
      </c>
      <c r="G33" s="35" t="s">
        <v>83</v>
      </c>
      <c r="H33" s="37"/>
      <c r="I33" s="37" t="n">
        <v>21876.6</v>
      </c>
      <c r="J33" s="38"/>
      <c r="K33" s="38"/>
      <c r="L33" s="38"/>
      <c r="M33" s="38"/>
      <c r="N33" s="38"/>
      <c r="O33" s="36"/>
      <c r="P33" s="36" t="s">
        <v>84</v>
      </c>
      <c r="Q33" s="36"/>
      <c r="R33" s="36"/>
      <c r="S33" s="35"/>
    </row>
    <row r="34" customFormat="false" ht="15" hidden="false" customHeight="true" outlineLevel="0" collapsed="false">
      <c r="A34" s="39" t="s">
        <v>132</v>
      </c>
      <c r="B34" s="39" t="s">
        <v>167</v>
      </c>
      <c r="C34" s="40" t="s">
        <v>168</v>
      </c>
      <c r="D34" s="41" t="n">
        <v>21730</v>
      </c>
      <c r="E34" s="41" t="n">
        <v>0</v>
      </c>
      <c r="F34" s="39" t="s">
        <v>57</v>
      </c>
      <c r="G34" s="39" t="s">
        <v>83</v>
      </c>
      <c r="H34" s="41"/>
      <c r="I34" s="41" t="n">
        <v>21730</v>
      </c>
      <c r="J34" s="42"/>
      <c r="K34" s="42"/>
      <c r="L34" s="42"/>
      <c r="M34" s="42"/>
      <c r="N34" s="42"/>
      <c r="O34" s="40"/>
      <c r="P34" s="40" t="s">
        <v>84</v>
      </c>
      <c r="Q34" s="40"/>
      <c r="R34" s="40"/>
      <c r="S34" s="39"/>
    </row>
    <row r="35" customFormat="false" ht="63.75" hidden="false" customHeight="true" outlineLevel="0" collapsed="false">
      <c r="A35" s="35" t="s">
        <v>132</v>
      </c>
      <c r="B35" s="35" t="s">
        <v>169</v>
      </c>
      <c r="C35" s="36" t="s">
        <v>170</v>
      </c>
      <c r="D35" s="37" t="n">
        <v>17155.73</v>
      </c>
      <c r="E35" s="37" t="n">
        <v>5469.81</v>
      </c>
      <c r="F35" s="35" t="s">
        <v>57</v>
      </c>
      <c r="G35" s="35" t="s">
        <v>58</v>
      </c>
      <c r="H35" s="37" t="n">
        <v>1854.7</v>
      </c>
      <c r="I35" s="37" t="n">
        <v>15301.03</v>
      </c>
      <c r="J35" s="38" t="s">
        <v>11</v>
      </c>
      <c r="K35" s="38" t="s">
        <v>13</v>
      </c>
      <c r="L35" s="38" t="s">
        <v>11</v>
      </c>
      <c r="M35" s="38" t="s">
        <v>11</v>
      </c>
      <c r="N35" s="38" t="s">
        <v>12</v>
      </c>
      <c r="O35" s="36" t="s">
        <v>171</v>
      </c>
      <c r="P35" s="36" t="s">
        <v>172</v>
      </c>
      <c r="Q35" s="36" t="s">
        <v>173</v>
      </c>
      <c r="R35" s="36" t="s">
        <v>174</v>
      </c>
      <c r="S35" s="35" t="s">
        <v>91</v>
      </c>
    </row>
    <row r="36" customFormat="false" ht="15" hidden="false" customHeight="true" outlineLevel="0" collapsed="false">
      <c r="A36" s="39" t="s">
        <v>132</v>
      </c>
      <c r="B36" s="39" t="s">
        <v>175</v>
      </c>
      <c r="C36" s="40" t="s">
        <v>176</v>
      </c>
      <c r="D36" s="41" t="n">
        <v>15477.09</v>
      </c>
      <c r="E36" s="41" t="n">
        <v>0</v>
      </c>
      <c r="F36" s="39" t="s">
        <v>57</v>
      </c>
      <c r="G36" s="39" t="s">
        <v>83</v>
      </c>
      <c r="H36" s="41"/>
      <c r="I36" s="41" t="n">
        <v>15477.09</v>
      </c>
      <c r="J36" s="42"/>
      <c r="K36" s="42"/>
      <c r="L36" s="42"/>
      <c r="M36" s="42"/>
      <c r="N36" s="42"/>
      <c r="O36" s="40"/>
      <c r="P36" s="40" t="s">
        <v>84</v>
      </c>
      <c r="Q36" s="40"/>
      <c r="R36" s="40"/>
      <c r="S36" s="39"/>
    </row>
    <row r="37" customFormat="false" ht="15" hidden="false" customHeight="true" outlineLevel="0" collapsed="false">
      <c r="A37" s="35" t="s">
        <v>132</v>
      </c>
      <c r="B37" s="35" t="s">
        <v>177</v>
      </c>
      <c r="C37" s="36" t="s">
        <v>178</v>
      </c>
      <c r="D37" s="37" t="n">
        <v>13130</v>
      </c>
      <c r="E37" s="37" t="n">
        <v>1640.95</v>
      </c>
      <c r="F37" s="35" t="s">
        <v>57</v>
      </c>
      <c r="G37" s="35" t="s">
        <v>83</v>
      </c>
      <c r="H37" s="37"/>
      <c r="I37" s="37" t="n">
        <v>13130</v>
      </c>
      <c r="J37" s="38"/>
      <c r="K37" s="38"/>
      <c r="L37" s="38"/>
      <c r="M37" s="38"/>
      <c r="N37" s="38"/>
      <c r="O37" s="36"/>
      <c r="P37" s="36" t="s">
        <v>84</v>
      </c>
      <c r="Q37" s="36"/>
      <c r="R37" s="36"/>
      <c r="S37" s="35"/>
    </row>
    <row r="38" customFormat="false" ht="15" hidden="false" customHeight="true" outlineLevel="0" collapsed="false">
      <c r="A38" s="39" t="s">
        <v>132</v>
      </c>
      <c r="B38" s="39" t="s">
        <v>179</v>
      </c>
      <c r="C38" s="40" t="s">
        <v>180</v>
      </c>
      <c r="D38" s="41" t="n">
        <v>11000</v>
      </c>
      <c r="E38" s="41" t="n">
        <v>1934.81</v>
      </c>
      <c r="F38" s="39" t="s">
        <v>57</v>
      </c>
      <c r="G38" s="39" t="s">
        <v>83</v>
      </c>
      <c r="H38" s="41"/>
      <c r="I38" s="41" t="n">
        <v>11000</v>
      </c>
      <c r="J38" s="42"/>
      <c r="K38" s="42"/>
      <c r="L38" s="42"/>
      <c r="M38" s="42"/>
      <c r="N38" s="42"/>
      <c r="O38" s="40"/>
      <c r="P38" s="40" t="s">
        <v>84</v>
      </c>
      <c r="Q38" s="40"/>
      <c r="R38" s="40"/>
      <c r="S38" s="39"/>
    </row>
    <row r="39" customFormat="false" ht="15" hidden="false" customHeight="true" outlineLevel="0" collapsed="false">
      <c r="A39" s="35" t="s">
        <v>132</v>
      </c>
      <c r="B39" s="35" t="s">
        <v>181</v>
      </c>
      <c r="C39" s="36" t="s">
        <v>182</v>
      </c>
      <c r="D39" s="37" t="n">
        <v>10929.72</v>
      </c>
      <c r="E39" s="37" t="n">
        <v>4088.78</v>
      </c>
      <c r="F39" s="35" t="s">
        <v>57</v>
      </c>
      <c r="G39" s="35" t="s">
        <v>83</v>
      </c>
      <c r="H39" s="37"/>
      <c r="I39" s="37" t="n">
        <v>10929.72</v>
      </c>
      <c r="J39" s="38"/>
      <c r="K39" s="38"/>
      <c r="L39" s="38"/>
      <c r="M39" s="38"/>
      <c r="N39" s="38"/>
      <c r="O39" s="36"/>
      <c r="P39" s="36" t="s">
        <v>84</v>
      </c>
      <c r="Q39" s="36"/>
      <c r="R39" s="36"/>
      <c r="S39" s="35"/>
    </row>
    <row r="40" customFormat="false" ht="15" hidden="false" customHeight="true" outlineLevel="0" collapsed="false">
      <c r="A40" s="39" t="s">
        <v>183</v>
      </c>
      <c r="B40" s="39" t="s">
        <v>184</v>
      </c>
      <c r="C40" s="40" t="s">
        <v>185</v>
      </c>
      <c r="D40" s="41" t="n">
        <v>9542.69</v>
      </c>
      <c r="E40" s="41" t="n">
        <v>945.91</v>
      </c>
      <c r="F40" s="39" t="s">
        <v>73</v>
      </c>
      <c r="G40" s="39" t="s">
        <v>83</v>
      </c>
      <c r="H40" s="41"/>
      <c r="I40" s="41" t="n">
        <v>9542.69</v>
      </c>
      <c r="J40" s="42"/>
      <c r="K40" s="42"/>
      <c r="L40" s="42"/>
      <c r="M40" s="42"/>
      <c r="N40" s="42"/>
      <c r="O40" s="40"/>
      <c r="P40" s="40" t="s">
        <v>84</v>
      </c>
      <c r="Q40" s="40"/>
      <c r="R40" s="40"/>
      <c r="S40" s="39"/>
    </row>
    <row r="41" customFormat="false" ht="63.75" hidden="false" customHeight="true" outlineLevel="0" collapsed="false">
      <c r="A41" s="35" t="s">
        <v>183</v>
      </c>
      <c r="B41" s="35" t="s">
        <v>186</v>
      </c>
      <c r="C41" s="36" t="s">
        <v>187</v>
      </c>
      <c r="D41" s="37" t="n">
        <v>9495.37</v>
      </c>
      <c r="E41" s="37" t="n">
        <v>7322.24</v>
      </c>
      <c r="F41" s="35" t="s">
        <v>73</v>
      </c>
      <c r="G41" s="35" t="s">
        <v>66</v>
      </c>
      <c r="H41" s="37" t="n">
        <v>9495.37</v>
      </c>
      <c r="I41" s="37" t="n">
        <v>0</v>
      </c>
      <c r="J41" s="38" t="s">
        <v>11</v>
      </c>
      <c r="K41" s="38" t="s">
        <v>13</v>
      </c>
      <c r="L41" s="38" t="s">
        <v>11</v>
      </c>
      <c r="M41" s="38" t="s">
        <v>11</v>
      </c>
      <c r="N41" s="38" t="s">
        <v>12</v>
      </c>
      <c r="O41" s="36" t="s">
        <v>188</v>
      </c>
      <c r="P41" s="36" t="s">
        <v>189</v>
      </c>
      <c r="Q41" s="36" t="s">
        <v>190</v>
      </c>
      <c r="R41" s="36" t="s">
        <v>77</v>
      </c>
      <c r="S41" s="35" t="s">
        <v>63</v>
      </c>
    </row>
    <row r="42" customFormat="false" ht="15" hidden="false" customHeight="true" outlineLevel="0" collapsed="false">
      <c r="A42" s="39" t="s">
        <v>183</v>
      </c>
      <c r="B42" s="39" t="s">
        <v>191</v>
      </c>
      <c r="C42" s="40" t="s">
        <v>192</v>
      </c>
      <c r="D42" s="41" t="n">
        <v>9075.51</v>
      </c>
      <c r="E42" s="41" t="n">
        <v>0</v>
      </c>
      <c r="F42" s="39" t="s">
        <v>73</v>
      </c>
      <c r="G42" s="39" t="s">
        <v>83</v>
      </c>
      <c r="H42" s="41"/>
      <c r="I42" s="41" t="n">
        <v>9075.51</v>
      </c>
      <c r="J42" s="42"/>
      <c r="K42" s="42"/>
      <c r="L42" s="42"/>
      <c r="M42" s="42"/>
      <c r="N42" s="42"/>
      <c r="O42" s="40"/>
      <c r="P42" s="40" t="s">
        <v>84</v>
      </c>
      <c r="Q42" s="40"/>
      <c r="R42" s="40"/>
      <c r="S42" s="39"/>
    </row>
    <row r="43" customFormat="false" ht="15" hidden="false" customHeight="true" outlineLevel="0" collapsed="false">
      <c r="A43" s="35" t="s">
        <v>183</v>
      </c>
      <c r="B43" s="35" t="s">
        <v>193</v>
      </c>
      <c r="C43" s="36" t="s">
        <v>194</v>
      </c>
      <c r="D43" s="37" t="n">
        <v>8000</v>
      </c>
      <c r="E43" s="37" t="n">
        <v>10443.15</v>
      </c>
      <c r="F43" s="35" t="s">
        <v>73</v>
      </c>
      <c r="G43" s="35" t="s">
        <v>83</v>
      </c>
      <c r="H43" s="37"/>
      <c r="I43" s="37" t="n">
        <v>8000</v>
      </c>
      <c r="J43" s="38"/>
      <c r="K43" s="38"/>
      <c r="L43" s="38"/>
      <c r="M43" s="38"/>
      <c r="N43" s="38"/>
      <c r="O43" s="36"/>
      <c r="P43" s="36" t="s">
        <v>84</v>
      </c>
      <c r="Q43" s="36"/>
      <c r="R43" s="36"/>
      <c r="S43" s="35"/>
    </row>
    <row r="44" customFormat="false" ht="109.5" hidden="false" customHeight="true" outlineLevel="0" collapsed="false">
      <c r="A44" s="39" t="s">
        <v>183</v>
      </c>
      <c r="B44" s="39" t="s">
        <v>195</v>
      </c>
      <c r="C44" s="40" t="s">
        <v>196</v>
      </c>
      <c r="D44" s="41" t="n">
        <v>6032</v>
      </c>
      <c r="E44" s="41" t="n">
        <v>5469.81</v>
      </c>
      <c r="F44" s="39" t="s">
        <v>73</v>
      </c>
      <c r="G44" s="43" t="s">
        <v>58</v>
      </c>
      <c r="H44" s="44" t="n">
        <v>2944</v>
      </c>
      <c r="I44" s="44" t="n">
        <f aca="false">D44-H44</f>
        <v>3088</v>
      </c>
      <c r="J44" s="43" t="s">
        <v>11</v>
      </c>
      <c r="K44" s="43" t="s">
        <v>11</v>
      </c>
      <c r="L44" s="43" t="s">
        <v>12</v>
      </c>
      <c r="M44" s="43"/>
      <c r="N44" s="43" t="s">
        <v>12</v>
      </c>
      <c r="O44" s="45" t="s">
        <v>197</v>
      </c>
      <c r="P44" s="45" t="s">
        <v>198</v>
      </c>
      <c r="Q44" s="45" t="s">
        <v>199</v>
      </c>
      <c r="R44" s="45" t="s">
        <v>200</v>
      </c>
      <c r="S44" s="43" t="s">
        <v>123</v>
      </c>
    </row>
    <row r="45" customFormat="false" ht="15" hidden="false" customHeight="true" outlineLevel="0" collapsed="false">
      <c r="A45" s="35" t="s">
        <v>183</v>
      </c>
      <c r="B45" s="35" t="s">
        <v>201</v>
      </c>
      <c r="C45" s="36" t="s">
        <v>202</v>
      </c>
      <c r="D45" s="37" t="n">
        <v>5840.65</v>
      </c>
      <c r="E45" s="37" t="n">
        <v>8521.61</v>
      </c>
      <c r="F45" s="35" t="s">
        <v>73</v>
      </c>
      <c r="G45" s="35" t="s">
        <v>83</v>
      </c>
      <c r="H45" s="37"/>
      <c r="I45" s="37" t="n">
        <v>5840.65</v>
      </c>
      <c r="J45" s="38"/>
      <c r="K45" s="38"/>
      <c r="L45" s="38"/>
      <c r="M45" s="38"/>
      <c r="N45" s="38"/>
      <c r="O45" s="36"/>
      <c r="P45" s="36" t="s">
        <v>84</v>
      </c>
      <c r="Q45" s="36"/>
      <c r="R45" s="36"/>
      <c r="S45" s="35"/>
    </row>
    <row r="46" customFormat="false" ht="63.75" hidden="false" customHeight="true" outlineLevel="0" collapsed="false">
      <c r="A46" s="39" t="s">
        <v>183</v>
      </c>
      <c r="B46" s="39" t="s">
        <v>203</v>
      </c>
      <c r="C46" s="40" t="s">
        <v>204</v>
      </c>
      <c r="D46" s="41" t="n">
        <v>5512.55</v>
      </c>
      <c r="E46" s="41" t="n">
        <v>4314.07</v>
      </c>
      <c r="F46" s="39" t="s">
        <v>73</v>
      </c>
      <c r="G46" s="39" t="s">
        <v>66</v>
      </c>
      <c r="H46" s="41" t="n">
        <v>5512.55</v>
      </c>
      <c r="I46" s="41" t="n">
        <v>0</v>
      </c>
      <c r="J46" s="42" t="s">
        <v>12</v>
      </c>
      <c r="K46" s="42" t="s">
        <v>12</v>
      </c>
      <c r="L46" s="42" t="s">
        <v>12</v>
      </c>
      <c r="M46" s="42" t="s">
        <v>12</v>
      </c>
      <c r="N46" s="42" t="s">
        <v>12</v>
      </c>
      <c r="O46" s="40" t="s">
        <v>205</v>
      </c>
      <c r="P46" s="40" t="s">
        <v>206</v>
      </c>
      <c r="Q46" s="40" t="s">
        <v>207</v>
      </c>
      <c r="R46" s="40" t="s">
        <v>200</v>
      </c>
      <c r="S46" s="39" t="s">
        <v>91</v>
      </c>
    </row>
    <row r="47" customFormat="false" ht="63.75" hidden="false" customHeight="true" outlineLevel="0" collapsed="false">
      <c r="A47" s="35" t="s">
        <v>183</v>
      </c>
      <c r="B47" s="35" t="s">
        <v>208</v>
      </c>
      <c r="C47" s="36" t="s">
        <v>209</v>
      </c>
      <c r="D47" s="37" t="n">
        <v>4739</v>
      </c>
      <c r="E47" s="37" t="n">
        <v>0</v>
      </c>
      <c r="F47" s="35" t="s">
        <v>73</v>
      </c>
      <c r="G47" s="35" t="s">
        <v>66</v>
      </c>
      <c r="H47" s="37" t="n">
        <v>4739</v>
      </c>
      <c r="I47" s="37" t="n">
        <v>0</v>
      </c>
      <c r="J47" s="38" t="s">
        <v>11</v>
      </c>
      <c r="K47" s="38" t="s">
        <v>13</v>
      </c>
      <c r="L47" s="38" t="s">
        <v>11</v>
      </c>
      <c r="M47" s="38" t="s">
        <v>11</v>
      </c>
      <c r="N47" s="38" t="s">
        <v>12</v>
      </c>
      <c r="O47" s="36" t="s">
        <v>210</v>
      </c>
      <c r="P47" s="36" t="s">
        <v>211</v>
      </c>
      <c r="Q47" s="36" t="s">
        <v>212</v>
      </c>
      <c r="R47" s="36" t="s">
        <v>213</v>
      </c>
      <c r="S47" s="35" t="s">
        <v>123</v>
      </c>
    </row>
    <row r="48" customFormat="false" ht="15" hidden="false" customHeight="true" outlineLevel="0" collapsed="false">
      <c r="A48" s="39" t="s">
        <v>183</v>
      </c>
      <c r="B48" s="39" t="s">
        <v>214</v>
      </c>
      <c r="C48" s="40" t="s">
        <v>215</v>
      </c>
      <c r="D48" s="41" t="n">
        <v>4580.55</v>
      </c>
      <c r="E48" s="41" t="n">
        <v>10101.86</v>
      </c>
      <c r="F48" s="39" t="s">
        <v>73</v>
      </c>
      <c r="G48" s="39" t="s">
        <v>83</v>
      </c>
      <c r="H48" s="41"/>
      <c r="I48" s="41" t="n">
        <v>4580.55</v>
      </c>
      <c r="J48" s="42"/>
      <c r="K48" s="42"/>
      <c r="L48" s="42"/>
      <c r="M48" s="42"/>
      <c r="N48" s="42"/>
      <c r="O48" s="40"/>
      <c r="P48" s="40" t="s">
        <v>84</v>
      </c>
      <c r="Q48" s="40"/>
      <c r="R48" s="40"/>
      <c r="S48" s="39"/>
    </row>
    <row r="49" customFormat="false" ht="63.75" hidden="false" customHeight="true" outlineLevel="0" collapsed="false">
      <c r="A49" s="35" t="s">
        <v>183</v>
      </c>
      <c r="B49" s="35" t="s">
        <v>216</v>
      </c>
      <c r="C49" s="36" t="s">
        <v>217</v>
      </c>
      <c r="D49" s="37" t="n">
        <v>4267.49</v>
      </c>
      <c r="E49" s="37" t="n">
        <v>3608.47</v>
      </c>
      <c r="F49" s="35" t="s">
        <v>73</v>
      </c>
      <c r="G49" s="35" t="s">
        <v>66</v>
      </c>
      <c r="H49" s="37" t="n">
        <v>4267.49</v>
      </c>
      <c r="I49" s="37" t="n">
        <v>0</v>
      </c>
      <c r="J49" s="38" t="s">
        <v>12</v>
      </c>
      <c r="K49" s="38" t="s">
        <v>12</v>
      </c>
      <c r="L49" s="38" t="s">
        <v>12</v>
      </c>
      <c r="M49" s="38" t="s">
        <v>12</v>
      </c>
      <c r="N49" s="38" t="s">
        <v>12</v>
      </c>
      <c r="O49" s="36" t="s">
        <v>218</v>
      </c>
      <c r="P49" s="36" t="s">
        <v>219</v>
      </c>
      <c r="Q49" s="36" t="s">
        <v>220</v>
      </c>
      <c r="R49" s="36" t="s">
        <v>200</v>
      </c>
      <c r="S49" s="35" t="s">
        <v>91</v>
      </c>
    </row>
    <row r="50" customFormat="false" ht="15" hidden="false" customHeight="true" outlineLevel="0" collapsed="false">
      <c r="A50" s="39" t="s">
        <v>183</v>
      </c>
      <c r="B50" s="39" t="s">
        <v>221</v>
      </c>
      <c r="C50" s="40" t="s">
        <v>222</v>
      </c>
      <c r="D50" s="41" t="n">
        <v>4140.63</v>
      </c>
      <c r="E50" s="41" t="n">
        <v>1044.32</v>
      </c>
      <c r="F50" s="39" t="s">
        <v>73</v>
      </c>
      <c r="G50" s="39" t="s">
        <v>83</v>
      </c>
      <c r="H50" s="41"/>
      <c r="I50" s="41" t="n">
        <v>4140.63</v>
      </c>
      <c r="J50" s="42"/>
      <c r="K50" s="42"/>
      <c r="L50" s="42"/>
      <c r="M50" s="42"/>
      <c r="N50" s="42"/>
      <c r="O50" s="40"/>
      <c r="P50" s="40" t="s">
        <v>84</v>
      </c>
      <c r="Q50" s="40"/>
      <c r="R50" s="40"/>
      <c r="S50" s="39"/>
    </row>
    <row r="51" customFormat="false" ht="15" hidden="false" customHeight="true" outlineLevel="0" collapsed="false">
      <c r="A51" s="35" t="s">
        <v>183</v>
      </c>
      <c r="B51" s="35" t="s">
        <v>223</v>
      </c>
      <c r="C51" s="36" t="s">
        <v>224</v>
      </c>
      <c r="D51" s="37" t="n">
        <v>4047.1</v>
      </c>
      <c r="E51" s="37" t="n">
        <v>0</v>
      </c>
      <c r="F51" s="35" t="s">
        <v>73</v>
      </c>
      <c r="G51" s="35" t="s">
        <v>83</v>
      </c>
      <c r="H51" s="37"/>
      <c r="I51" s="37" t="n">
        <v>4047.1</v>
      </c>
      <c r="J51" s="38"/>
      <c r="K51" s="38"/>
      <c r="L51" s="38"/>
      <c r="M51" s="38"/>
      <c r="N51" s="38"/>
      <c r="O51" s="36"/>
      <c r="P51" s="36" t="s">
        <v>84</v>
      </c>
      <c r="Q51" s="36"/>
      <c r="R51" s="36"/>
      <c r="S51" s="35"/>
    </row>
    <row r="52" customFormat="false" ht="15" hidden="false" customHeight="true" outlineLevel="0" collapsed="false">
      <c r="A52" s="39" t="s">
        <v>183</v>
      </c>
      <c r="B52" s="39" t="s">
        <v>225</v>
      </c>
      <c r="C52" s="40" t="s">
        <v>226</v>
      </c>
      <c r="D52" s="41" t="n">
        <v>3996.8</v>
      </c>
      <c r="E52" s="41" t="n">
        <v>0</v>
      </c>
      <c r="F52" s="39" t="s">
        <v>73</v>
      </c>
      <c r="G52" s="39" t="s">
        <v>58</v>
      </c>
      <c r="H52" s="41" t="n">
        <v>3996.8</v>
      </c>
      <c r="I52" s="41" t="n">
        <v>0</v>
      </c>
      <c r="J52" s="42" t="s">
        <v>12</v>
      </c>
      <c r="K52" s="42" t="s">
        <v>11</v>
      </c>
      <c r="L52" s="42" t="s">
        <v>12</v>
      </c>
      <c r="M52" s="42"/>
      <c r="N52" s="42" t="s">
        <v>12</v>
      </c>
      <c r="O52" s="40" t="s">
        <v>227</v>
      </c>
      <c r="P52" s="40" t="s">
        <v>84</v>
      </c>
      <c r="Q52" s="40"/>
      <c r="R52" s="40"/>
      <c r="S52" s="39"/>
    </row>
    <row r="53" customFormat="false" ht="63.75" hidden="false" customHeight="true" outlineLevel="0" collapsed="false">
      <c r="A53" s="35" t="s">
        <v>183</v>
      </c>
      <c r="B53" s="35" t="s">
        <v>228</v>
      </c>
      <c r="C53" s="36" t="s">
        <v>229</v>
      </c>
      <c r="D53" s="37" t="n">
        <v>3703.03</v>
      </c>
      <c r="E53" s="37" t="n">
        <v>0</v>
      </c>
      <c r="F53" s="35" t="s">
        <v>73</v>
      </c>
      <c r="G53" s="35" t="s">
        <v>58</v>
      </c>
      <c r="H53" s="37" t="n">
        <v>3703.03</v>
      </c>
      <c r="I53" s="37" t="n">
        <v>0</v>
      </c>
      <c r="J53" s="38" t="s">
        <v>11</v>
      </c>
      <c r="K53" s="38" t="s">
        <v>11</v>
      </c>
      <c r="L53" s="38" t="s">
        <v>12</v>
      </c>
      <c r="M53" s="38" t="s">
        <v>12</v>
      </c>
      <c r="N53" s="38" t="s">
        <v>12</v>
      </c>
      <c r="O53" s="36" t="s">
        <v>230</v>
      </c>
      <c r="P53" s="36" t="s">
        <v>231</v>
      </c>
      <c r="Q53" s="36" t="s">
        <v>232</v>
      </c>
      <c r="R53" s="36" t="s">
        <v>233</v>
      </c>
      <c r="S53" s="35" t="s">
        <v>63</v>
      </c>
    </row>
    <row r="54" customFormat="false" ht="109.5" hidden="false" customHeight="true" outlineLevel="0" collapsed="false">
      <c r="A54" s="39" t="s">
        <v>183</v>
      </c>
      <c r="B54" s="39" t="s">
        <v>234</v>
      </c>
      <c r="C54" s="40" t="s">
        <v>235</v>
      </c>
      <c r="D54" s="41" t="n">
        <v>3682.5</v>
      </c>
      <c r="E54" s="41" t="n">
        <v>8811.98</v>
      </c>
      <c r="F54" s="39" t="s">
        <v>73</v>
      </c>
      <c r="G54" s="43" t="s">
        <v>66</v>
      </c>
      <c r="H54" s="44" t="n">
        <v>3682.5</v>
      </c>
      <c r="I54" s="44" t="n">
        <v>0</v>
      </c>
      <c r="J54" s="43" t="s">
        <v>12</v>
      </c>
      <c r="K54" s="43" t="s">
        <v>12</v>
      </c>
      <c r="L54" s="43" t="s">
        <v>12</v>
      </c>
      <c r="M54" s="43"/>
      <c r="N54" s="43" t="s">
        <v>12</v>
      </c>
      <c r="O54" s="45" t="s">
        <v>236</v>
      </c>
      <c r="P54" s="45" t="s">
        <v>237</v>
      </c>
      <c r="Q54" s="45" t="s">
        <v>238</v>
      </c>
      <c r="R54" s="45" t="s">
        <v>200</v>
      </c>
      <c r="S54" s="43" t="s">
        <v>123</v>
      </c>
    </row>
    <row r="55" customFormat="false" ht="15" hidden="false" customHeight="true" outlineLevel="0" collapsed="false">
      <c r="A55" s="35" t="s">
        <v>183</v>
      </c>
      <c r="B55" s="35" t="s">
        <v>239</v>
      </c>
      <c r="C55" s="36" t="s">
        <v>240</v>
      </c>
      <c r="D55" s="37" t="n">
        <v>2068.21</v>
      </c>
      <c r="E55" s="37" t="n">
        <v>72962.51</v>
      </c>
      <c r="F55" s="35" t="s">
        <v>73</v>
      </c>
      <c r="G55" s="35" t="s">
        <v>83</v>
      </c>
      <c r="H55" s="37"/>
      <c r="I55" s="37" t="n">
        <v>2068.21</v>
      </c>
      <c r="J55" s="38"/>
      <c r="K55" s="38"/>
      <c r="L55" s="38"/>
      <c r="M55" s="38"/>
      <c r="N55" s="38"/>
      <c r="O55" s="36"/>
      <c r="P55" s="36" t="s">
        <v>84</v>
      </c>
      <c r="Q55" s="36"/>
      <c r="R55" s="36"/>
      <c r="S55" s="35"/>
    </row>
    <row r="56" customFormat="false" ht="15" hidden="false" customHeight="true" outlineLevel="0" collapsed="false">
      <c r="A56" s="39" t="s">
        <v>183</v>
      </c>
      <c r="B56" s="39" t="s">
        <v>241</v>
      </c>
      <c r="C56" s="40" t="s">
        <v>242</v>
      </c>
      <c r="D56" s="41" t="n">
        <v>1661.01</v>
      </c>
      <c r="E56" s="41" t="n">
        <v>568.34</v>
      </c>
      <c r="F56" s="39" t="s">
        <v>73</v>
      </c>
      <c r="G56" s="39" t="s">
        <v>83</v>
      </c>
      <c r="H56" s="41"/>
      <c r="I56" s="41" t="n">
        <v>1661.01</v>
      </c>
      <c r="J56" s="42"/>
      <c r="K56" s="42"/>
      <c r="L56" s="42"/>
      <c r="M56" s="42"/>
      <c r="N56" s="42"/>
      <c r="O56" s="40"/>
      <c r="P56" s="40" t="s">
        <v>84</v>
      </c>
      <c r="Q56" s="40"/>
      <c r="R56" s="40"/>
      <c r="S56" s="39"/>
    </row>
    <row r="57" customFormat="false" ht="15" hidden="false" customHeight="true" outlineLevel="0" collapsed="false">
      <c r="A57" s="35" t="s">
        <v>183</v>
      </c>
      <c r="B57" s="35" t="s">
        <v>243</v>
      </c>
      <c r="C57" s="36" t="s">
        <v>244</v>
      </c>
      <c r="D57" s="37" t="n">
        <v>1643.76</v>
      </c>
      <c r="E57" s="37" t="n">
        <v>1627.07</v>
      </c>
      <c r="F57" s="35" t="s">
        <v>73</v>
      </c>
      <c r="G57" s="35" t="s">
        <v>83</v>
      </c>
      <c r="H57" s="37"/>
      <c r="I57" s="37" t="n">
        <v>1643.76</v>
      </c>
      <c r="J57" s="38"/>
      <c r="K57" s="38"/>
      <c r="L57" s="38"/>
      <c r="M57" s="38"/>
      <c r="N57" s="38"/>
      <c r="O57" s="36"/>
      <c r="P57" s="36" t="s">
        <v>84</v>
      </c>
      <c r="Q57" s="36"/>
      <c r="R57" s="36"/>
      <c r="S57" s="35"/>
    </row>
    <row r="58" customFormat="false" ht="15" hidden="false" customHeight="true" outlineLevel="0" collapsed="false">
      <c r="A58" s="39" t="s">
        <v>183</v>
      </c>
      <c r="B58" s="39" t="s">
        <v>245</v>
      </c>
      <c r="C58" s="40" t="s">
        <v>246</v>
      </c>
      <c r="D58" s="41" t="n">
        <v>1576.65</v>
      </c>
      <c r="E58" s="41" t="n">
        <v>1892.98</v>
      </c>
      <c r="F58" s="39" t="s">
        <v>73</v>
      </c>
      <c r="G58" s="39" t="s">
        <v>83</v>
      </c>
      <c r="H58" s="41"/>
      <c r="I58" s="41" t="n">
        <v>1576.65</v>
      </c>
      <c r="J58" s="42"/>
      <c r="K58" s="42"/>
      <c r="L58" s="42"/>
      <c r="M58" s="42"/>
      <c r="N58" s="42"/>
      <c r="O58" s="40"/>
      <c r="P58" s="40" t="s">
        <v>84</v>
      </c>
      <c r="Q58" s="40"/>
      <c r="R58" s="40"/>
      <c r="S58" s="39"/>
    </row>
    <row r="59" customFormat="false" ht="15" hidden="false" customHeight="true" outlineLevel="0" collapsed="false">
      <c r="A59" s="35" t="s">
        <v>183</v>
      </c>
      <c r="B59" s="35" t="s">
        <v>247</v>
      </c>
      <c r="C59" s="36" t="s">
        <v>248</v>
      </c>
      <c r="D59" s="37" t="n">
        <v>1313.28</v>
      </c>
      <c r="E59" s="37" t="n">
        <v>2231.71</v>
      </c>
      <c r="F59" s="35" t="s">
        <v>73</v>
      </c>
      <c r="G59" s="35" t="s">
        <v>83</v>
      </c>
      <c r="H59" s="37"/>
      <c r="I59" s="37" t="n">
        <v>1313.28</v>
      </c>
      <c r="J59" s="38"/>
      <c r="K59" s="38"/>
      <c r="L59" s="38"/>
      <c r="M59" s="38"/>
      <c r="N59" s="38"/>
      <c r="O59" s="36"/>
      <c r="P59" s="36" t="s">
        <v>84</v>
      </c>
      <c r="Q59" s="36"/>
      <c r="R59" s="36"/>
      <c r="S59" s="35"/>
    </row>
    <row r="60" customFormat="false" ht="15" hidden="false" customHeight="true" outlineLevel="0" collapsed="false">
      <c r="A60" s="39" t="s">
        <v>183</v>
      </c>
      <c r="B60" s="39" t="s">
        <v>249</v>
      </c>
      <c r="C60" s="40" t="s">
        <v>250</v>
      </c>
      <c r="D60" s="41" t="n">
        <v>1267.18</v>
      </c>
      <c r="E60" s="41" t="n">
        <v>0</v>
      </c>
      <c r="F60" s="39" t="s">
        <v>73</v>
      </c>
      <c r="G60" s="39" t="s">
        <v>83</v>
      </c>
      <c r="H60" s="41"/>
      <c r="I60" s="41" t="n">
        <v>1267.18</v>
      </c>
      <c r="J60" s="42"/>
      <c r="K60" s="42"/>
      <c r="L60" s="42"/>
      <c r="M60" s="42"/>
      <c r="N60" s="42"/>
      <c r="O60" s="40"/>
      <c r="P60" s="40" t="s">
        <v>84</v>
      </c>
      <c r="Q60" s="40"/>
      <c r="R60" s="40"/>
      <c r="S60" s="39"/>
    </row>
    <row r="61" customFormat="false" ht="15" hidden="false" customHeight="true" outlineLevel="0" collapsed="false">
      <c r="A61" s="35" t="s">
        <v>183</v>
      </c>
      <c r="B61" s="35" t="s">
        <v>251</v>
      </c>
      <c r="C61" s="36" t="s">
        <v>252</v>
      </c>
      <c r="D61" s="37" t="n">
        <v>1246</v>
      </c>
      <c r="E61" s="37" t="n">
        <v>0</v>
      </c>
      <c r="F61" s="35" t="s">
        <v>73</v>
      </c>
      <c r="G61" s="35" t="s">
        <v>83</v>
      </c>
      <c r="H61" s="37"/>
      <c r="I61" s="37" t="n">
        <v>1246</v>
      </c>
      <c r="J61" s="38"/>
      <c r="K61" s="38"/>
      <c r="L61" s="38"/>
      <c r="M61" s="38"/>
      <c r="N61" s="38"/>
      <c r="O61" s="36"/>
      <c r="P61" s="36" t="s">
        <v>84</v>
      </c>
      <c r="Q61" s="36"/>
      <c r="R61" s="36"/>
      <c r="S61" s="35"/>
    </row>
    <row r="62" customFormat="false" ht="15" hidden="false" customHeight="true" outlineLevel="0" collapsed="false">
      <c r="A62" s="39" t="s">
        <v>183</v>
      </c>
      <c r="B62" s="39" t="s">
        <v>253</v>
      </c>
      <c r="C62" s="40" t="s">
        <v>254</v>
      </c>
      <c r="D62" s="41" t="n">
        <v>1137.45</v>
      </c>
      <c r="E62" s="41" t="n">
        <v>0</v>
      </c>
      <c r="F62" s="39" t="s">
        <v>73</v>
      </c>
      <c r="G62" s="39" t="s">
        <v>83</v>
      </c>
      <c r="H62" s="41"/>
      <c r="I62" s="41" t="n">
        <v>1137.45</v>
      </c>
      <c r="J62" s="42"/>
      <c r="K62" s="42"/>
      <c r="L62" s="42"/>
      <c r="M62" s="42"/>
      <c r="N62" s="42"/>
      <c r="O62" s="40"/>
      <c r="P62" s="40" t="s">
        <v>84</v>
      </c>
      <c r="Q62" s="40"/>
      <c r="R62" s="40"/>
      <c r="S62" s="39"/>
    </row>
    <row r="63" customFormat="false" ht="15" hidden="false" customHeight="true" outlineLevel="0" collapsed="false">
      <c r="A63" s="35" t="s">
        <v>183</v>
      </c>
      <c r="B63" s="35" t="s">
        <v>255</v>
      </c>
      <c r="C63" s="36" t="s">
        <v>256</v>
      </c>
      <c r="D63" s="37" t="n">
        <v>1098.04</v>
      </c>
      <c r="E63" s="37" t="n">
        <v>0</v>
      </c>
      <c r="F63" s="35" t="s">
        <v>73</v>
      </c>
      <c r="G63" s="35" t="s">
        <v>83</v>
      </c>
      <c r="H63" s="37"/>
      <c r="I63" s="37" t="n">
        <v>1098.04</v>
      </c>
      <c r="J63" s="38"/>
      <c r="K63" s="38"/>
      <c r="L63" s="38"/>
      <c r="M63" s="38"/>
      <c r="N63" s="38"/>
      <c r="O63" s="36"/>
      <c r="P63" s="36" t="s">
        <v>84</v>
      </c>
      <c r="Q63" s="36"/>
      <c r="R63" s="36"/>
      <c r="S63" s="35"/>
    </row>
    <row r="64" customFormat="false" ht="63.75" hidden="false" customHeight="true" outlineLevel="0" collapsed="false">
      <c r="A64" s="39" t="s">
        <v>183</v>
      </c>
      <c r="B64" s="39" t="s">
        <v>257</v>
      </c>
      <c r="C64" s="40" t="s">
        <v>258</v>
      </c>
      <c r="D64" s="41" t="n">
        <v>1021.7</v>
      </c>
      <c r="E64" s="41" t="n">
        <v>1031.54</v>
      </c>
      <c r="F64" s="39" t="s">
        <v>73</v>
      </c>
      <c r="G64" s="39" t="s">
        <v>66</v>
      </c>
      <c r="H64" s="41" t="n">
        <v>1021.7</v>
      </c>
      <c r="I64" s="41" t="n">
        <v>0</v>
      </c>
      <c r="J64" s="42" t="s">
        <v>11</v>
      </c>
      <c r="K64" s="42" t="s">
        <v>11</v>
      </c>
      <c r="L64" s="42" t="s">
        <v>11</v>
      </c>
      <c r="M64" s="42" t="s">
        <v>11</v>
      </c>
      <c r="N64" s="42" t="s">
        <v>11</v>
      </c>
      <c r="O64" s="40" t="s">
        <v>259</v>
      </c>
      <c r="P64" s="40" t="s">
        <v>260</v>
      </c>
      <c r="Q64" s="40" t="s">
        <v>261</v>
      </c>
      <c r="R64" s="40" t="s">
        <v>262</v>
      </c>
      <c r="S64" s="39" t="s">
        <v>63</v>
      </c>
    </row>
    <row r="65" customFormat="false" ht="15" hidden="false" customHeight="true" outlineLevel="0" collapsed="false">
      <c r="A65" s="35" t="s">
        <v>183</v>
      </c>
      <c r="B65" s="35" t="s">
        <v>263</v>
      </c>
      <c r="C65" s="36" t="s">
        <v>264</v>
      </c>
      <c r="D65" s="37" t="n">
        <v>938.18</v>
      </c>
      <c r="E65" s="37" t="n">
        <v>1168.81</v>
      </c>
      <c r="F65" s="35" t="s">
        <v>265</v>
      </c>
      <c r="G65" s="35" t="s">
        <v>83</v>
      </c>
      <c r="H65" s="37"/>
      <c r="I65" s="37" t="n">
        <v>938.18</v>
      </c>
      <c r="J65" s="38"/>
      <c r="K65" s="38"/>
      <c r="L65" s="38"/>
      <c r="M65" s="38"/>
      <c r="N65" s="38"/>
      <c r="O65" s="36"/>
      <c r="P65" s="36" t="s">
        <v>84</v>
      </c>
      <c r="Q65" s="36"/>
      <c r="R65" s="36"/>
      <c r="S65" s="35"/>
    </row>
    <row r="66" customFormat="false" ht="15" hidden="false" customHeight="true" outlineLevel="0" collapsed="false">
      <c r="A66" s="39" t="s">
        <v>183</v>
      </c>
      <c r="B66" s="39" t="s">
        <v>266</v>
      </c>
      <c r="C66" s="40" t="s">
        <v>267</v>
      </c>
      <c r="D66" s="41" t="n">
        <v>908.99</v>
      </c>
      <c r="E66" s="41" t="n">
        <v>0</v>
      </c>
      <c r="F66" s="39" t="s">
        <v>265</v>
      </c>
      <c r="G66" s="39" t="s">
        <v>83</v>
      </c>
      <c r="H66" s="41"/>
      <c r="I66" s="41" t="n">
        <v>908.99</v>
      </c>
      <c r="J66" s="42"/>
      <c r="K66" s="42"/>
      <c r="L66" s="42"/>
      <c r="M66" s="42"/>
      <c r="N66" s="42"/>
      <c r="O66" s="40"/>
      <c r="P66" s="40" t="s">
        <v>84</v>
      </c>
      <c r="Q66" s="40"/>
      <c r="R66" s="40"/>
      <c r="S66" s="39"/>
    </row>
    <row r="67" customFormat="false" ht="15" hidden="false" customHeight="true" outlineLevel="0" collapsed="false">
      <c r="A67" s="35" t="s">
        <v>183</v>
      </c>
      <c r="B67" s="35" t="s">
        <v>268</v>
      </c>
      <c r="C67" s="36" t="s">
        <v>269</v>
      </c>
      <c r="D67" s="37" t="n">
        <v>816.8</v>
      </c>
      <c r="E67" s="37" t="n">
        <v>0</v>
      </c>
      <c r="F67" s="35" t="s">
        <v>265</v>
      </c>
      <c r="G67" s="35" t="s">
        <v>83</v>
      </c>
      <c r="H67" s="37"/>
      <c r="I67" s="37" t="n">
        <v>816.8</v>
      </c>
      <c r="J67" s="38"/>
      <c r="K67" s="38"/>
      <c r="L67" s="38"/>
      <c r="M67" s="38"/>
      <c r="N67" s="38"/>
      <c r="O67" s="36"/>
      <c r="P67" s="36" t="s">
        <v>84</v>
      </c>
      <c r="Q67" s="36"/>
      <c r="R67" s="36"/>
      <c r="S67" s="35"/>
    </row>
    <row r="68" customFormat="false" ht="15" hidden="false" customHeight="true" outlineLevel="0" collapsed="false">
      <c r="A68" s="39" t="s">
        <v>183</v>
      </c>
      <c r="B68" s="39" t="s">
        <v>270</v>
      </c>
      <c r="C68" s="40" t="s">
        <v>271</v>
      </c>
      <c r="D68" s="41" t="n">
        <v>704.79</v>
      </c>
      <c r="E68" s="41" t="n">
        <v>0</v>
      </c>
      <c r="F68" s="39" t="s">
        <v>265</v>
      </c>
      <c r="G68" s="39" t="s">
        <v>83</v>
      </c>
      <c r="H68" s="41"/>
      <c r="I68" s="41" t="n">
        <v>704.79</v>
      </c>
      <c r="J68" s="42"/>
      <c r="K68" s="42"/>
      <c r="L68" s="42"/>
      <c r="M68" s="42"/>
      <c r="N68" s="42"/>
      <c r="O68" s="40"/>
      <c r="P68" s="40" t="s">
        <v>84</v>
      </c>
      <c r="Q68" s="40"/>
      <c r="R68" s="40"/>
      <c r="S68" s="39"/>
    </row>
    <row r="69" customFormat="false" ht="109.5" hidden="false" customHeight="true" outlineLevel="0" collapsed="false">
      <c r="A69" s="35" t="s">
        <v>183</v>
      </c>
      <c r="B69" s="35" t="s">
        <v>272</v>
      </c>
      <c r="C69" s="36" t="s">
        <v>273</v>
      </c>
      <c r="D69" s="37" t="n">
        <v>642.14</v>
      </c>
      <c r="E69" s="37" t="n">
        <v>8375.87</v>
      </c>
      <c r="F69" s="35" t="s">
        <v>265</v>
      </c>
      <c r="G69" s="46" t="s">
        <v>66</v>
      </c>
      <c r="H69" s="47" t="n">
        <v>642.14</v>
      </c>
      <c r="I69" s="47" t="n">
        <v>0</v>
      </c>
      <c r="J69" s="46" t="s">
        <v>11</v>
      </c>
      <c r="K69" s="46" t="s">
        <v>11</v>
      </c>
      <c r="L69" s="46" t="s">
        <v>12</v>
      </c>
      <c r="M69" s="46" t="s">
        <v>12</v>
      </c>
      <c r="N69" s="46" t="s">
        <v>12</v>
      </c>
      <c r="O69" s="48" t="s">
        <v>274</v>
      </c>
      <c r="P69" s="48" t="s">
        <v>275</v>
      </c>
      <c r="Q69" s="48" t="s">
        <v>276</v>
      </c>
      <c r="R69" s="48" t="s">
        <v>277</v>
      </c>
      <c r="S69" s="46" t="s">
        <v>123</v>
      </c>
    </row>
    <row r="70" customFormat="false" ht="15" hidden="false" customHeight="true" outlineLevel="0" collapsed="false">
      <c r="A70" s="39" t="s">
        <v>183</v>
      </c>
      <c r="B70" s="39" t="s">
        <v>278</v>
      </c>
      <c r="C70" s="40" t="s">
        <v>279</v>
      </c>
      <c r="D70" s="41" t="n">
        <v>487.05</v>
      </c>
      <c r="E70" s="41" t="n">
        <v>0</v>
      </c>
      <c r="F70" s="39" t="s">
        <v>265</v>
      </c>
      <c r="G70" s="39" t="s">
        <v>83</v>
      </c>
      <c r="H70" s="41"/>
      <c r="I70" s="41" t="n">
        <v>487.05</v>
      </c>
      <c r="J70" s="42"/>
      <c r="K70" s="42"/>
      <c r="L70" s="42"/>
      <c r="M70" s="42"/>
      <c r="N70" s="42"/>
      <c r="O70" s="40"/>
      <c r="P70" s="40" t="s">
        <v>84</v>
      </c>
      <c r="Q70" s="40"/>
      <c r="R70" s="40"/>
      <c r="S70" s="39"/>
    </row>
    <row r="71" customFormat="false" ht="15" hidden="false" customHeight="true" outlineLevel="0" collapsed="false">
      <c r="A71" s="35" t="s">
        <v>183</v>
      </c>
      <c r="B71" s="35" t="s">
        <v>280</v>
      </c>
      <c r="C71" s="36" t="s">
        <v>281</v>
      </c>
      <c r="D71" s="37" t="n">
        <v>426.79</v>
      </c>
      <c r="E71" s="37" t="n">
        <v>0</v>
      </c>
      <c r="F71" s="35" t="s">
        <v>265</v>
      </c>
      <c r="G71" s="35" t="s">
        <v>83</v>
      </c>
      <c r="H71" s="37"/>
      <c r="I71" s="37" t="n">
        <v>426.79</v>
      </c>
      <c r="J71" s="38"/>
      <c r="K71" s="38"/>
      <c r="L71" s="38"/>
      <c r="M71" s="38"/>
      <c r="N71" s="38"/>
      <c r="O71" s="36"/>
      <c r="P71" s="36" t="s">
        <v>84</v>
      </c>
      <c r="Q71" s="36"/>
      <c r="R71" s="36"/>
      <c r="S71" s="35"/>
    </row>
    <row r="72" customFormat="false" ht="15" hidden="false" customHeight="true" outlineLevel="0" collapsed="false">
      <c r="A72" s="39" t="s">
        <v>183</v>
      </c>
      <c r="B72" s="39" t="s">
        <v>282</v>
      </c>
      <c r="C72" s="40" t="s">
        <v>283</v>
      </c>
      <c r="D72" s="41" t="n">
        <v>422.1</v>
      </c>
      <c r="E72" s="41" t="n">
        <v>0</v>
      </c>
      <c r="F72" s="39" t="s">
        <v>265</v>
      </c>
      <c r="G72" s="39" t="s">
        <v>83</v>
      </c>
      <c r="H72" s="41"/>
      <c r="I72" s="41" t="n">
        <v>422.1</v>
      </c>
      <c r="J72" s="42"/>
      <c r="K72" s="42"/>
      <c r="L72" s="42"/>
      <c r="M72" s="42"/>
      <c r="N72" s="42"/>
      <c r="O72" s="40"/>
      <c r="P72" s="40" t="s">
        <v>84</v>
      </c>
      <c r="Q72" s="40"/>
      <c r="R72" s="40"/>
      <c r="S72" s="39"/>
    </row>
    <row r="73" customFormat="false" ht="15" hidden="false" customHeight="true" outlineLevel="0" collapsed="false">
      <c r="A73" s="35" t="s">
        <v>183</v>
      </c>
      <c r="B73" s="35" t="s">
        <v>284</v>
      </c>
      <c r="C73" s="36" t="s">
        <v>285</v>
      </c>
      <c r="D73" s="37" t="n">
        <v>384</v>
      </c>
      <c r="E73" s="37" t="n">
        <v>0</v>
      </c>
      <c r="F73" s="35" t="s">
        <v>265</v>
      </c>
      <c r="G73" s="35" t="s">
        <v>83</v>
      </c>
      <c r="H73" s="37"/>
      <c r="I73" s="37" t="n">
        <v>384</v>
      </c>
      <c r="J73" s="38"/>
      <c r="K73" s="38"/>
      <c r="L73" s="38"/>
      <c r="M73" s="38"/>
      <c r="N73" s="38"/>
      <c r="O73" s="36"/>
      <c r="P73" s="36" t="s">
        <v>84</v>
      </c>
      <c r="Q73" s="36"/>
      <c r="R73" s="36"/>
      <c r="S73" s="35"/>
    </row>
    <row r="74" customFormat="false" ht="15" hidden="false" customHeight="true" outlineLevel="0" collapsed="false">
      <c r="A74" s="39" t="s">
        <v>183</v>
      </c>
      <c r="B74" s="39" t="s">
        <v>286</v>
      </c>
      <c r="C74" s="40" t="s">
        <v>287</v>
      </c>
      <c r="D74" s="41" t="n">
        <v>369.81</v>
      </c>
      <c r="E74" s="41" t="n">
        <v>0</v>
      </c>
      <c r="F74" s="39" t="s">
        <v>265</v>
      </c>
      <c r="G74" s="39" t="s">
        <v>83</v>
      </c>
      <c r="H74" s="41"/>
      <c r="I74" s="41" t="n">
        <v>369.81</v>
      </c>
      <c r="J74" s="42"/>
      <c r="K74" s="42"/>
      <c r="L74" s="42"/>
      <c r="M74" s="42"/>
      <c r="N74" s="42"/>
      <c r="O74" s="40"/>
      <c r="P74" s="40" t="s">
        <v>84</v>
      </c>
      <c r="Q74" s="40"/>
      <c r="R74" s="40"/>
      <c r="S74" s="39"/>
    </row>
    <row r="75" customFormat="false" ht="15" hidden="false" customHeight="true" outlineLevel="0" collapsed="false">
      <c r="A75" s="35" t="s">
        <v>183</v>
      </c>
      <c r="B75" s="35" t="s">
        <v>288</v>
      </c>
      <c r="C75" s="36" t="s">
        <v>289</v>
      </c>
      <c r="D75" s="37" t="n">
        <v>337.58</v>
      </c>
      <c r="E75" s="37" t="n">
        <v>0</v>
      </c>
      <c r="F75" s="35" t="s">
        <v>265</v>
      </c>
      <c r="G75" s="35" t="s">
        <v>83</v>
      </c>
      <c r="H75" s="37"/>
      <c r="I75" s="37" t="n">
        <v>337.58</v>
      </c>
      <c r="J75" s="38"/>
      <c r="K75" s="38"/>
      <c r="L75" s="38"/>
      <c r="M75" s="38"/>
      <c r="N75" s="38"/>
      <c r="O75" s="36"/>
      <c r="P75" s="36" t="s">
        <v>84</v>
      </c>
      <c r="Q75" s="36"/>
      <c r="R75" s="36"/>
      <c r="S75" s="35"/>
    </row>
    <row r="76" customFormat="false" ht="15" hidden="false" customHeight="true" outlineLevel="0" collapsed="false">
      <c r="A76" s="39" t="s">
        <v>183</v>
      </c>
      <c r="B76" s="39" t="s">
        <v>290</v>
      </c>
      <c r="C76" s="40" t="s">
        <v>291</v>
      </c>
      <c r="D76" s="41" t="n">
        <v>262.38</v>
      </c>
      <c r="E76" s="41" t="n">
        <v>0</v>
      </c>
      <c r="F76" s="39" t="s">
        <v>265</v>
      </c>
      <c r="G76" s="39" t="s">
        <v>83</v>
      </c>
      <c r="H76" s="41"/>
      <c r="I76" s="41" t="n">
        <v>262.38</v>
      </c>
      <c r="J76" s="42"/>
      <c r="K76" s="42"/>
      <c r="L76" s="42"/>
      <c r="M76" s="42"/>
      <c r="N76" s="42"/>
      <c r="O76" s="40"/>
      <c r="P76" s="40" t="s">
        <v>84</v>
      </c>
      <c r="Q76" s="40"/>
      <c r="R76" s="40"/>
      <c r="S76" s="39"/>
    </row>
    <row r="77" customFormat="false" ht="15" hidden="false" customHeight="true" outlineLevel="0" collapsed="false">
      <c r="A77" s="35" t="s">
        <v>183</v>
      </c>
      <c r="B77" s="35" t="s">
        <v>292</v>
      </c>
      <c r="C77" s="36" t="s">
        <v>293</v>
      </c>
      <c r="D77" s="37" t="n">
        <v>221.41</v>
      </c>
      <c r="E77" s="37" t="n">
        <v>2631.47</v>
      </c>
      <c r="F77" s="35" t="s">
        <v>265</v>
      </c>
      <c r="G77" s="35" t="s">
        <v>83</v>
      </c>
      <c r="H77" s="37"/>
      <c r="I77" s="37" t="n">
        <v>221.41</v>
      </c>
      <c r="J77" s="38"/>
      <c r="K77" s="38"/>
      <c r="L77" s="38"/>
      <c r="M77" s="38"/>
      <c r="N77" s="38"/>
      <c r="O77" s="36"/>
      <c r="P77" s="36" t="s">
        <v>84</v>
      </c>
      <c r="Q77" s="36"/>
      <c r="R77" s="36"/>
      <c r="S77" s="35"/>
    </row>
    <row r="78" customFormat="false" ht="15" hidden="false" customHeight="true" outlineLevel="0" collapsed="false">
      <c r="A78" s="39" t="s">
        <v>183</v>
      </c>
      <c r="B78" s="39" t="s">
        <v>294</v>
      </c>
      <c r="C78" s="40" t="s">
        <v>295</v>
      </c>
      <c r="D78" s="41" t="n">
        <v>207.89</v>
      </c>
      <c r="E78" s="41" t="n">
        <v>0</v>
      </c>
      <c r="F78" s="39" t="s">
        <v>265</v>
      </c>
      <c r="G78" s="39" t="s">
        <v>83</v>
      </c>
      <c r="H78" s="41"/>
      <c r="I78" s="41" t="n">
        <v>207.89</v>
      </c>
      <c r="J78" s="42"/>
      <c r="K78" s="42"/>
      <c r="L78" s="42"/>
      <c r="M78" s="42"/>
      <c r="N78" s="42"/>
      <c r="O78" s="40"/>
      <c r="P78" s="40" t="s">
        <v>84</v>
      </c>
      <c r="Q78" s="40"/>
      <c r="R78" s="40"/>
      <c r="S78" s="39"/>
    </row>
    <row r="79" customFormat="false" ht="15" hidden="false" customHeight="true" outlineLevel="0" collapsed="false">
      <c r="A79" s="35" t="s">
        <v>183</v>
      </c>
      <c r="B79" s="35" t="s">
        <v>296</v>
      </c>
      <c r="C79" s="36" t="s">
        <v>297</v>
      </c>
      <c r="D79" s="37" t="n">
        <v>159.42</v>
      </c>
      <c r="E79" s="37" t="n">
        <v>0</v>
      </c>
      <c r="F79" s="35" t="s">
        <v>265</v>
      </c>
      <c r="G79" s="35" t="s">
        <v>83</v>
      </c>
      <c r="H79" s="37"/>
      <c r="I79" s="37" t="n">
        <v>159.42</v>
      </c>
      <c r="J79" s="38"/>
      <c r="K79" s="38"/>
      <c r="L79" s="38"/>
      <c r="M79" s="38"/>
      <c r="N79" s="38"/>
      <c r="O79" s="36"/>
      <c r="P79" s="36" t="s">
        <v>84</v>
      </c>
      <c r="Q79" s="36"/>
      <c r="R79" s="36"/>
      <c r="S79" s="35"/>
    </row>
    <row r="80" customFormat="false" ht="63.75" hidden="false" customHeight="true" outlineLevel="0" collapsed="false">
      <c r="A80" s="39" t="s">
        <v>183</v>
      </c>
      <c r="B80" s="39" t="s">
        <v>298</v>
      </c>
      <c r="C80" s="40" t="s">
        <v>299</v>
      </c>
      <c r="D80" s="41" t="n">
        <v>139.25</v>
      </c>
      <c r="E80" s="41" t="n">
        <v>0</v>
      </c>
      <c r="F80" s="39" t="s">
        <v>265</v>
      </c>
      <c r="G80" s="39" t="s">
        <v>66</v>
      </c>
      <c r="H80" s="41" t="n">
        <v>139.25</v>
      </c>
      <c r="I80" s="41" t="n">
        <v>0</v>
      </c>
      <c r="J80" s="42" t="s">
        <v>12</v>
      </c>
      <c r="K80" s="42" t="s">
        <v>13</v>
      </c>
      <c r="L80" s="42" t="s">
        <v>12</v>
      </c>
      <c r="M80" s="42" t="s">
        <v>12</v>
      </c>
      <c r="N80" s="42" t="s">
        <v>12</v>
      </c>
      <c r="O80" s="40" t="s">
        <v>300</v>
      </c>
      <c r="P80" s="40" t="s">
        <v>301</v>
      </c>
      <c r="Q80" s="40" t="s">
        <v>302</v>
      </c>
      <c r="R80" s="40" t="s">
        <v>303</v>
      </c>
      <c r="S80" s="39" t="s">
        <v>91</v>
      </c>
    </row>
    <row r="81" customFormat="false" ht="15" hidden="false" customHeight="true" outlineLevel="0" collapsed="false">
      <c r="A81" s="35" t="s">
        <v>183</v>
      </c>
      <c r="B81" s="35" t="s">
        <v>304</v>
      </c>
      <c r="C81" s="36" t="s">
        <v>305</v>
      </c>
      <c r="D81" s="37" t="n">
        <v>108.08</v>
      </c>
      <c r="E81" s="37" t="n">
        <v>0</v>
      </c>
      <c r="F81" s="35" t="s">
        <v>265</v>
      </c>
      <c r="G81" s="35" t="s">
        <v>83</v>
      </c>
      <c r="H81" s="37"/>
      <c r="I81" s="37" t="n">
        <v>108.08</v>
      </c>
      <c r="J81" s="38"/>
      <c r="K81" s="38"/>
      <c r="L81" s="38"/>
      <c r="M81" s="38"/>
      <c r="N81" s="38"/>
      <c r="O81" s="36"/>
      <c r="P81" s="36" t="s">
        <v>84</v>
      </c>
      <c r="Q81" s="36"/>
      <c r="R81" s="36"/>
      <c r="S81" s="35"/>
    </row>
    <row r="82" customFormat="false" ht="15" hidden="false" customHeight="true" outlineLevel="0" collapsed="false">
      <c r="A82" s="39" t="s">
        <v>183</v>
      </c>
      <c r="B82" s="39" t="s">
        <v>306</v>
      </c>
      <c r="C82" s="40" t="s">
        <v>307</v>
      </c>
      <c r="D82" s="41" t="n">
        <v>88.14</v>
      </c>
      <c r="E82" s="41" t="n">
        <v>0</v>
      </c>
      <c r="F82" s="39" t="s">
        <v>265</v>
      </c>
      <c r="G82" s="39" t="s">
        <v>83</v>
      </c>
      <c r="H82" s="41"/>
      <c r="I82" s="41" t="n">
        <v>88.14</v>
      </c>
      <c r="J82" s="42"/>
      <c r="K82" s="42"/>
      <c r="L82" s="42"/>
      <c r="M82" s="42"/>
      <c r="N82" s="42"/>
      <c r="O82" s="40"/>
      <c r="P82" s="40" t="s">
        <v>84</v>
      </c>
      <c r="Q82" s="40"/>
      <c r="R82" s="40"/>
      <c r="S82" s="39"/>
    </row>
    <row r="83" customFormat="false" ht="15" hidden="false" customHeight="true" outlineLevel="0" collapsed="false">
      <c r="A83" s="35" t="s">
        <v>183</v>
      </c>
      <c r="B83" s="35" t="s">
        <v>308</v>
      </c>
      <c r="C83" s="36" t="s">
        <v>309</v>
      </c>
      <c r="D83" s="37" t="n">
        <v>84.06</v>
      </c>
      <c r="E83" s="37" t="n">
        <v>0</v>
      </c>
      <c r="F83" s="35" t="s">
        <v>265</v>
      </c>
      <c r="G83" s="35" t="s">
        <v>83</v>
      </c>
      <c r="H83" s="37"/>
      <c r="I83" s="37" t="n">
        <v>84.06</v>
      </c>
      <c r="J83" s="38"/>
      <c r="K83" s="38"/>
      <c r="L83" s="38"/>
      <c r="M83" s="38"/>
      <c r="N83" s="38"/>
      <c r="O83" s="36"/>
      <c r="P83" s="36" t="s">
        <v>84</v>
      </c>
      <c r="Q83" s="36"/>
      <c r="R83" s="36"/>
      <c r="S83" s="35"/>
    </row>
    <row r="84" customFormat="false" ht="15" hidden="false" customHeight="true" outlineLevel="0" collapsed="false">
      <c r="A84" s="39" t="s">
        <v>183</v>
      </c>
      <c r="B84" s="39" t="s">
        <v>310</v>
      </c>
      <c r="C84" s="40" t="s">
        <v>311</v>
      </c>
      <c r="D84" s="41" t="n">
        <v>14.56</v>
      </c>
      <c r="E84" s="41" t="n">
        <v>0</v>
      </c>
      <c r="F84" s="39" t="s">
        <v>265</v>
      </c>
      <c r="G84" s="39" t="s">
        <v>83</v>
      </c>
      <c r="H84" s="41"/>
      <c r="I84" s="41" t="n">
        <v>14.56</v>
      </c>
      <c r="J84" s="42"/>
      <c r="K84" s="42"/>
      <c r="L84" s="42"/>
      <c r="M84" s="42"/>
      <c r="N84" s="42"/>
      <c r="O84" s="40"/>
      <c r="P84" s="40" t="s">
        <v>84</v>
      </c>
      <c r="Q84" s="40"/>
      <c r="R84" s="40"/>
      <c r="S84" s="39"/>
    </row>
    <row r="85" customFormat="false" ht="15" hidden="false" customHeight="true" outlineLevel="0" collapsed="false">
      <c r="A85" s="35" t="s">
        <v>183</v>
      </c>
      <c r="B85" s="35" t="s">
        <v>312</v>
      </c>
      <c r="C85" s="36" t="s">
        <v>313</v>
      </c>
      <c r="D85" s="37" t="n">
        <v>0.36</v>
      </c>
      <c r="E85" s="37" t="n">
        <v>0</v>
      </c>
      <c r="F85" s="35" t="s">
        <v>265</v>
      </c>
      <c r="G85" s="35" t="s">
        <v>83</v>
      </c>
      <c r="H85" s="37"/>
      <c r="I85" s="37" t="n">
        <v>0.36</v>
      </c>
      <c r="J85" s="38"/>
      <c r="K85" s="38"/>
      <c r="L85" s="38"/>
      <c r="M85" s="38"/>
      <c r="N85" s="38"/>
      <c r="O85" s="36"/>
      <c r="P85" s="36" t="s">
        <v>84</v>
      </c>
      <c r="Q85" s="36"/>
      <c r="R85" s="36"/>
      <c r="S85" s="35"/>
    </row>
    <row r="86" customFormat="false" ht="15" hidden="false" customHeight="true" outlineLevel="0" collapsed="false">
      <c r="A86" s="39" t="s">
        <v>183</v>
      </c>
      <c r="B86" s="39" t="s">
        <v>314</v>
      </c>
      <c r="C86" s="40" t="s">
        <v>315</v>
      </c>
      <c r="D86" s="41" t="n">
        <v>0</v>
      </c>
      <c r="E86" s="41" t="n">
        <v>37464.81</v>
      </c>
      <c r="F86" s="39" t="s">
        <v>316</v>
      </c>
      <c r="G86" s="39" t="s">
        <v>83</v>
      </c>
      <c r="H86" s="41"/>
      <c r="I86" s="41"/>
      <c r="J86" s="42"/>
      <c r="K86" s="42"/>
      <c r="L86" s="42"/>
      <c r="M86" s="42"/>
      <c r="N86" s="42"/>
      <c r="O86" s="40"/>
      <c r="P86" s="40" t="s">
        <v>84</v>
      </c>
      <c r="Q86" s="40"/>
      <c r="R86" s="40"/>
      <c r="S86" s="39"/>
    </row>
    <row r="87" customFormat="false" ht="15" hidden="false" customHeight="true" outlineLevel="0" collapsed="false">
      <c r="A87" s="35" t="s">
        <v>183</v>
      </c>
      <c r="B87" s="35" t="s">
        <v>317</v>
      </c>
      <c r="C87" s="36" t="s">
        <v>318</v>
      </c>
      <c r="D87" s="37" t="n">
        <v>0</v>
      </c>
      <c r="E87" s="37" t="n">
        <v>2231.91</v>
      </c>
      <c r="F87" s="35" t="s">
        <v>316</v>
      </c>
      <c r="G87" s="35" t="s">
        <v>83</v>
      </c>
      <c r="H87" s="37"/>
      <c r="I87" s="37"/>
      <c r="J87" s="38"/>
      <c r="K87" s="38"/>
      <c r="L87" s="38"/>
      <c r="M87" s="38"/>
      <c r="N87" s="38"/>
      <c r="O87" s="36"/>
      <c r="P87" s="36" t="s">
        <v>84</v>
      </c>
      <c r="Q87" s="36"/>
      <c r="R87" s="36"/>
      <c r="S87" s="35"/>
    </row>
    <row r="88" customFormat="false" ht="15" hidden="false" customHeight="true" outlineLevel="0" collapsed="false">
      <c r="A88" s="39" t="s">
        <v>183</v>
      </c>
      <c r="B88" s="39" t="s">
        <v>319</v>
      </c>
      <c r="C88" s="40" t="s">
        <v>320</v>
      </c>
      <c r="D88" s="41" t="n">
        <v>0</v>
      </c>
      <c r="E88" s="41" t="n">
        <v>0</v>
      </c>
      <c r="F88" s="39" t="s">
        <v>316</v>
      </c>
      <c r="G88" s="39" t="s">
        <v>83</v>
      </c>
      <c r="H88" s="41"/>
      <c r="I88" s="41"/>
      <c r="J88" s="42"/>
      <c r="K88" s="42"/>
      <c r="L88" s="42"/>
      <c r="M88" s="42"/>
      <c r="N88" s="42"/>
      <c r="O88" s="40"/>
      <c r="P88" s="40" t="s">
        <v>84</v>
      </c>
      <c r="Q88" s="40"/>
      <c r="R88" s="40"/>
      <c r="S88" s="39"/>
    </row>
    <row r="89" customFormat="false" ht="15" hidden="false" customHeight="true" outlineLevel="0" collapsed="false">
      <c r="A89" s="35" t="s">
        <v>183</v>
      </c>
      <c r="B89" s="35" t="s">
        <v>321</v>
      </c>
      <c r="C89" s="36" t="s">
        <v>322</v>
      </c>
      <c r="D89" s="37" t="n">
        <v>0</v>
      </c>
      <c r="E89" s="37" t="n">
        <v>22407.93</v>
      </c>
      <c r="F89" s="35" t="s">
        <v>316</v>
      </c>
      <c r="G89" s="35" t="s">
        <v>83</v>
      </c>
      <c r="H89" s="37"/>
      <c r="I89" s="37"/>
      <c r="J89" s="38"/>
      <c r="K89" s="38"/>
      <c r="L89" s="38"/>
      <c r="M89" s="38"/>
      <c r="N89" s="38"/>
      <c r="O89" s="36"/>
      <c r="P89" s="36" t="s">
        <v>84</v>
      </c>
      <c r="Q89" s="36"/>
      <c r="R89" s="36"/>
      <c r="S89" s="35"/>
    </row>
    <row r="90" customFormat="false" ht="15" hidden="false" customHeight="true" outlineLevel="0" collapsed="false">
      <c r="A90" s="39" t="s">
        <v>183</v>
      </c>
      <c r="B90" s="39" t="s">
        <v>323</v>
      </c>
      <c r="C90" s="40" t="s">
        <v>324</v>
      </c>
      <c r="D90" s="41" t="n">
        <v>0</v>
      </c>
      <c r="E90" s="41" t="n">
        <v>3281.88</v>
      </c>
      <c r="F90" s="39" t="s">
        <v>316</v>
      </c>
      <c r="G90" s="39" t="s">
        <v>83</v>
      </c>
      <c r="H90" s="41"/>
      <c r="I90" s="41"/>
      <c r="J90" s="42"/>
      <c r="K90" s="42"/>
      <c r="L90" s="42"/>
      <c r="M90" s="42"/>
      <c r="N90" s="42"/>
      <c r="O90" s="40"/>
      <c r="P90" s="40" t="s">
        <v>84</v>
      </c>
      <c r="Q90" s="40"/>
      <c r="R90" s="40"/>
      <c r="S90" s="39"/>
    </row>
    <row r="91" customFormat="false" ht="15" hidden="false" customHeight="true" outlineLevel="0" collapsed="false">
      <c r="A91" s="35" t="s">
        <v>183</v>
      </c>
      <c r="B91" s="35" t="s">
        <v>325</v>
      </c>
      <c r="C91" s="36" t="s">
        <v>326</v>
      </c>
      <c r="D91" s="37" t="n">
        <v>-11680</v>
      </c>
      <c r="E91" s="37" t="n">
        <v>0</v>
      </c>
      <c r="F91" s="35" t="s">
        <v>57</v>
      </c>
      <c r="G91" s="35" t="s">
        <v>83</v>
      </c>
      <c r="H91" s="37"/>
      <c r="I91" s="37" t="n">
        <v>-11680</v>
      </c>
      <c r="J91" s="38"/>
      <c r="K91" s="38"/>
      <c r="L91" s="38"/>
      <c r="M91" s="38"/>
      <c r="N91" s="38"/>
      <c r="O91" s="36"/>
      <c r="P91" s="36" t="s">
        <v>84</v>
      </c>
      <c r="Q91" s="36"/>
      <c r="R91" s="36"/>
      <c r="S91" s="35"/>
    </row>
    <row r="93" customFormat="false" ht="15" hidden="false" customHeight="true" outlineLevel="0" collapsed="false">
      <c r="A93" s="49" t="s">
        <v>327</v>
      </c>
    </row>
    <row r="94" customFormat="false" ht="94.5" hidden="false" customHeight="true" outlineLevel="0" collapsed="false">
      <c r="A94" s="50" t="s">
        <v>328</v>
      </c>
      <c r="B94" s="50" t="s">
        <v>329</v>
      </c>
      <c r="C94" s="50" t="s">
        <v>330</v>
      </c>
      <c r="F94" s="50" t="s">
        <v>331</v>
      </c>
      <c r="G94" s="50" t="s">
        <v>66</v>
      </c>
      <c r="H94" s="51" t="n">
        <v>3711.73</v>
      </c>
      <c r="I94" s="51" t="n">
        <v>0</v>
      </c>
      <c r="J94" s="52" t="s">
        <v>12</v>
      </c>
      <c r="K94" s="52" t="s">
        <v>11</v>
      </c>
      <c r="L94" s="52" t="s">
        <v>12</v>
      </c>
      <c r="M94" s="52" t="s">
        <v>12</v>
      </c>
      <c r="N94" s="52" t="s">
        <v>12</v>
      </c>
      <c r="O94" s="53" t="s">
        <v>332</v>
      </c>
      <c r="P94" s="53" t="s">
        <v>333</v>
      </c>
      <c r="Q94" s="53" t="s">
        <v>334</v>
      </c>
      <c r="R94" s="53" t="s">
        <v>335</v>
      </c>
      <c r="S94" s="50" t="s">
        <v>123</v>
      </c>
    </row>
  </sheetData>
  <autoFilter ref="A4:S91"/>
  <mergeCells count="2">
    <mergeCell ref="A1:S1"/>
    <mergeCell ref="A2:S2"/>
  </mergeCells>
  <conditionalFormatting sqref="J5:N91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  <cfRule type="cellIs" priority="5" operator="equal" aboveAverage="0" equalAverage="0" bottom="0" percent="0" rank="0" text="" dxfId="15">
      <formula>"OPENED"</formula>
    </cfRule>
  </conditionalFormatting>
  <conditionalFormatting sqref="G5:G91">
    <cfRule type="cellIs" priority="6" operator="equal" aboveAverage="0" equalAverage="0" bottom="0" percent="0" rank="0" text="" dxfId="16">
      <formula>"Fully reviewed"</formula>
    </cfRule>
    <cfRule type="cellIs" priority="7" operator="equal" aboveAverage="0" equalAverage="0" bottom="0" percent="0" rank="0" text="" dxfId="17">
      <formula>"Partial"</formula>
    </cfRule>
    <cfRule type="cellIs" priority="8" operator="equal" aboveAverage="0" equalAverage="0" bottom="0" percent="0" rank="0" text="" dxfId="15">
      <formula>"Opened"</formula>
    </cfRule>
    <cfRule type="cellIs" priority="9" operator="equal" aboveAverage="0" equalAverage="0" bottom="0" percent="0" rank="0" text="" dxfId="18">
      <formula>"Not started"</formula>
    </cfRule>
  </conditionalFormatting>
  <conditionalFormatting sqref="J94:N94">
    <cfRule type="cellIs" priority="10" operator="equal" aboveAverage="0" equalAverage="0" bottom="0" percent="0" rank="0" text="" dxfId="12">
      <formula>"GREEN"</formula>
    </cfRule>
    <cfRule type="cellIs" priority="11" operator="equal" aboveAverage="0" equalAverage="0" bottom="0" percent="0" rank="0" text="" dxfId="13">
      <formula>"AMBER"</formula>
    </cfRule>
    <cfRule type="cellIs" priority="12" operator="equal" aboveAverage="0" equalAverage="0" bottom="0" percent="0" rank="0" text="" dxfId="14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95"/>
    <col collapsed="false" customWidth="true" hidden="false" outlineLevel="0" max="5" min="5" style="1" width="55"/>
  </cols>
  <sheetData>
    <row r="1" customFormat="false" ht="25.5" hidden="false" customHeight="true" outlineLevel="0" collapsed="false">
      <c r="A1" s="54" t="s">
        <v>336</v>
      </c>
      <c r="B1" s="54"/>
      <c r="C1" s="54"/>
      <c r="D1" s="54"/>
      <c r="E1" s="54"/>
    </row>
    <row r="2" customFormat="false" ht="15" hidden="false" customHeight="true" outlineLevel="0" collapsed="false">
      <c r="A2" s="3" t="s">
        <v>337</v>
      </c>
      <c r="B2" s="3"/>
      <c r="C2" s="3"/>
      <c r="D2" s="3"/>
      <c r="E2" s="3"/>
    </row>
    <row r="4" customFormat="false" ht="15" hidden="false" customHeight="true" outlineLevel="0" collapsed="false">
      <c r="A4" s="34" t="s">
        <v>338</v>
      </c>
      <c r="B4" s="34" t="s">
        <v>339</v>
      </c>
      <c r="C4" s="34" t="s">
        <v>340</v>
      </c>
      <c r="D4" s="34" t="s">
        <v>341</v>
      </c>
      <c r="E4" s="34" t="s">
        <v>342</v>
      </c>
    </row>
    <row r="5" customFormat="false" ht="25.5" hidden="false" customHeight="true" outlineLevel="0" collapsed="false">
      <c r="A5" s="55" t="n">
        <v>1</v>
      </c>
      <c r="B5" s="55" t="s">
        <v>343</v>
      </c>
      <c r="C5" s="55" t="s">
        <v>216</v>
      </c>
      <c r="D5" s="48" t="s">
        <v>344</v>
      </c>
      <c r="E5" s="48" t="s">
        <v>345</v>
      </c>
    </row>
    <row r="6" customFormat="false" ht="25.5" hidden="false" customHeight="true" outlineLevel="0" collapsed="false">
      <c r="A6" s="56" t="n">
        <v>2</v>
      </c>
      <c r="B6" s="56" t="s">
        <v>343</v>
      </c>
      <c r="C6" s="56" t="s">
        <v>216</v>
      </c>
      <c r="D6" s="45" t="s">
        <v>346</v>
      </c>
      <c r="E6" s="45" t="s">
        <v>347</v>
      </c>
    </row>
    <row r="7" customFormat="false" ht="25.5" hidden="false" customHeight="true" outlineLevel="0" collapsed="false">
      <c r="A7" s="55" t="n">
        <v>3</v>
      </c>
      <c r="B7" s="55" t="s">
        <v>343</v>
      </c>
      <c r="C7" s="55" t="s">
        <v>216</v>
      </c>
      <c r="D7" s="48" t="s">
        <v>348</v>
      </c>
      <c r="E7" s="48" t="s">
        <v>349</v>
      </c>
    </row>
    <row r="8" customFormat="false" ht="25.5" hidden="false" customHeight="true" outlineLevel="0" collapsed="false">
      <c r="A8" s="56" t="n">
        <v>4</v>
      </c>
      <c r="B8" s="56" t="s">
        <v>343</v>
      </c>
      <c r="C8" s="56" t="s">
        <v>257</v>
      </c>
      <c r="D8" s="45" t="s">
        <v>350</v>
      </c>
      <c r="E8" s="45" t="s">
        <v>351</v>
      </c>
    </row>
    <row r="9" customFormat="false" ht="25.5" hidden="false" customHeight="true" outlineLevel="0" collapsed="false">
      <c r="A9" s="55" t="n">
        <v>5</v>
      </c>
      <c r="B9" s="55" t="s">
        <v>343</v>
      </c>
      <c r="C9" s="55" t="s">
        <v>228</v>
      </c>
      <c r="D9" s="48" t="s">
        <v>352</v>
      </c>
      <c r="E9" s="48" t="s">
        <v>353</v>
      </c>
    </row>
    <row r="10" customFormat="false" ht="25.5" hidden="false" customHeight="true" outlineLevel="0" collapsed="false">
      <c r="A10" s="56" t="n">
        <v>6</v>
      </c>
      <c r="B10" s="56" t="s">
        <v>343</v>
      </c>
      <c r="C10" s="56" t="s">
        <v>228</v>
      </c>
      <c r="D10" s="45" t="s">
        <v>354</v>
      </c>
      <c r="E10" s="45" t="s">
        <v>355</v>
      </c>
    </row>
    <row r="11" customFormat="false" ht="25.5" hidden="false" customHeight="true" outlineLevel="0" collapsed="false">
      <c r="A11" s="55" t="n">
        <v>7</v>
      </c>
      <c r="B11" s="55" t="s">
        <v>343</v>
      </c>
      <c r="C11" s="55" t="s">
        <v>64</v>
      </c>
      <c r="D11" s="48" t="s">
        <v>356</v>
      </c>
      <c r="E11" s="48" t="s">
        <v>357</v>
      </c>
    </row>
    <row r="12" customFormat="false" ht="25.5" hidden="false" customHeight="true" outlineLevel="0" collapsed="false">
      <c r="A12" s="56" t="n">
        <v>8</v>
      </c>
      <c r="B12" s="56" t="s">
        <v>343</v>
      </c>
      <c r="C12" s="56" t="s">
        <v>64</v>
      </c>
      <c r="D12" s="45" t="s">
        <v>358</v>
      </c>
      <c r="E12" s="45" t="s">
        <v>359</v>
      </c>
    </row>
    <row r="13" customFormat="false" ht="25.5" hidden="false" customHeight="true" outlineLevel="0" collapsed="false">
      <c r="A13" s="55" t="n">
        <v>9</v>
      </c>
      <c r="B13" s="55" t="s">
        <v>343</v>
      </c>
      <c r="C13" s="55" t="s">
        <v>360</v>
      </c>
      <c r="D13" s="48" t="s">
        <v>361</v>
      </c>
      <c r="E13" s="48" t="s">
        <v>362</v>
      </c>
    </row>
    <row r="14" customFormat="false" ht="25.5" hidden="false" customHeight="true" outlineLevel="0" collapsed="false">
      <c r="A14" s="56" t="n">
        <v>10</v>
      </c>
      <c r="B14" s="56" t="s">
        <v>343</v>
      </c>
      <c r="C14" s="56" t="s">
        <v>169</v>
      </c>
      <c r="D14" s="45" t="s">
        <v>363</v>
      </c>
      <c r="E14" s="45" t="s">
        <v>364</v>
      </c>
    </row>
    <row r="15" customFormat="false" ht="25.5" hidden="false" customHeight="true" outlineLevel="0" collapsed="false">
      <c r="A15" s="55" t="n">
        <v>11</v>
      </c>
      <c r="B15" s="55" t="s">
        <v>343</v>
      </c>
      <c r="C15" s="55" t="s">
        <v>365</v>
      </c>
      <c r="D15" s="48" t="s">
        <v>366</v>
      </c>
      <c r="E15" s="48" t="s">
        <v>367</v>
      </c>
    </row>
    <row r="16" customFormat="false" ht="25.5" hidden="false" customHeight="true" outlineLevel="0" collapsed="false">
      <c r="A16" s="56" t="n">
        <v>12</v>
      </c>
      <c r="B16" s="56" t="s">
        <v>343</v>
      </c>
      <c r="C16" s="56" t="s">
        <v>365</v>
      </c>
      <c r="D16" s="45" t="s">
        <v>368</v>
      </c>
      <c r="E16" s="45" t="s">
        <v>369</v>
      </c>
    </row>
    <row r="17" customFormat="false" ht="25.5" hidden="false" customHeight="true" outlineLevel="0" collapsed="false">
      <c r="A17" s="55" t="n">
        <v>13</v>
      </c>
      <c r="B17" s="55" t="s">
        <v>343</v>
      </c>
      <c r="C17" s="55" t="s">
        <v>203</v>
      </c>
      <c r="D17" s="48" t="s">
        <v>370</v>
      </c>
      <c r="E17" s="48" t="s">
        <v>371</v>
      </c>
    </row>
    <row r="18" customFormat="false" ht="25.5" hidden="false" customHeight="true" outlineLevel="0" collapsed="false">
      <c r="A18" s="56" t="n">
        <v>14</v>
      </c>
      <c r="B18" s="56" t="s">
        <v>343</v>
      </c>
      <c r="C18" s="56" t="s">
        <v>203</v>
      </c>
      <c r="D18" s="45" t="s">
        <v>372</v>
      </c>
      <c r="E18" s="45" t="s">
        <v>371</v>
      </c>
    </row>
    <row r="19" customFormat="false" ht="25.5" hidden="false" customHeight="true" outlineLevel="0" collapsed="false">
      <c r="A19" s="55" t="n">
        <v>15</v>
      </c>
      <c r="B19" s="55" t="s">
        <v>343</v>
      </c>
      <c r="C19" s="55" t="s">
        <v>203</v>
      </c>
      <c r="D19" s="48" t="s">
        <v>373</v>
      </c>
      <c r="E19" s="48" t="s">
        <v>371</v>
      </c>
    </row>
    <row r="20" customFormat="false" ht="25.5" hidden="false" customHeight="true" outlineLevel="0" collapsed="false">
      <c r="A20" s="56" t="n">
        <v>16</v>
      </c>
      <c r="B20" s="56" t="s">
        <v>343</v>
      </c>
      <c r="C20" s="56" t="s">
        <v>203</v>
      </c>
      <c r="D20" s="45" t="s">
        <v>374</v>
      </c>
      <c r="E20" s="45" t="s">
        <v>375</v>
      </c>
    </row>
    <row r="21" customFormat="false" ht="25.5" hidden="false" customHeight="true" outlineLevel="0" collapsed="false">
      <c r="A21" s="55" t="n">
        <v>17</v>
      </c>
      <c r="B21" s="55" t="s">
        <v>343</v>
      </c>
      <c r="C21" s="55" t="s">
        <v>133</v>
      </c>
      <c r="D21" s="48" t="s">
        <v>376</v>
      </c>
      <c r="E21" s="48" t="s">
        <v>377</v>
      </c>
    </row>
    <row r="22" customFormat="false" ht="25.5" hidden="false" customHeight="true" outlineLevel="0" collapsed="false">
      <c r="A22" s="56" t="n">
        <v>18</v>
      </c>
      <c r="B22" s="56" t="s">
        <v>343</v>
      </c>
      <c r="C22" s="56" t="s">
        <v>133</v>
      </c>
      <c r="D22" s="45" t="s">
        <v>378</v>
      </c>
      <c r="E22" s="45" t="s">
        <v>379</v>
      </c>
    </row>
    <row r="23" customFormat="false" ht="25.5" hidden="false" customHeight="true" outlineLevel="0" collapsed="false">
      <c r="A23" s="55" t="n">
        <v>19</v>
      </c>
      <c r="B23" s="55" t="s">
        <v>343</v>
      </c>
      <c r="C23" s="55" t="s">
        <v>133</v>
      </c>
      <c r="D23" s="48" t="s">
        <v>380</v>
      </c>
      <c r="E23" s="48" t="s">
        <v>371</v>
      </c>
    </row>
    <row r="24" customFormat="false" ht="25.5" hidden="false" customHeight="true" outlineLevel="0" collapsed="false">
      <c r="A24" s="56" t="n">
        <v>20</v>
      </c>
      <c r="B24" s="56" t="s">
        <v>343</v>
      </c>
      <c r="C24" s="56" t="s">
        <v>133</v>
      </c>
      <c r="D24" s="45" t="s">
        <v>381</v>
      </c>
      <c r="E24" s="45" t="s">
        <v>382</v>
      </c>
    </row>
    <row r="25" customFormat="false" ht="25.5" hidden="false" customHeight="true" outlineLevel="0" collapsed="false">
      <c r="A25" s="55" t="n">
        <v>21</v>
      </c>
      <c r="B25" s="55" t="s">
        <v>343</v>
      </c>
      <c r="C25" s="55" t="s">
        <v>85</v>
      </c>
      <c r="D25" s="48" t="s">
        <v>383</v>
      </c>
      <c r="E25" s="48" t="s">
        <v>384</v>
      </c>
    </row>
    <row r="26" customFormat="false" ht="25.5" hidden="false" customHeight="true" outlineLevel="0" collapsed="false">
      <c r="A26" s="56" t="n">
        <v>22</v>
      </c>
      <c r="B26" s="56" t="s">
        <v>343</v>
      </c>
      <c r="C26" s="56" t="s">
        <v>85</v>
      </c>
      <c r="D26" s="45" t="s">
        <v>385</v>
      </c>
      <c r="E26" s="45" t="s">
        <v>386</v>
      </c>
    </row>
    <row r="27" customFormat="false" ht="25.5" hidden="false" customHeight="true" outlineLevel="0" collapsed="false">
      <c r="A27" s="55" t="n">
        <v>23</v>
      </c>
      <c r="B27" s="55" t="s">
        <v>343</v>
      </c>
      <c r="C27" s="55" t="s">
        <v>143</v>
      </c>
      <c r="D27" s="48" t="s">
        <v>387</v>
      </c>
      <c r="E27" s="48" t="s">
        <v>388</v>
      </c>
    </row>
    <row r="28" customFormat="false" ht="25.5" hidden="false" customHeight="true" outlineLevel="0" collapsed="false">
      <c r="A28" s="56" t="n">
        <v>24</v>
      </c>
      <c r="B28" s="56" t="s">
        <v>343</v>
      </c>
      <c r="C28" s="56" t="s">
        <v>92</v>
      </c>
      <c r="D28" s="45" t="s">
        <v>389</v>
      </c>
      <c r="E28" s="45" t="s">
        <v>390</v>
      </c>
    </row>
    <row r="29" customFormat="false" ht="25.5" hidden="false" customHeight="true" outlineLevel="0" collapsed="false">
      <c r="A29" s="55" t="n">
        <v>25</v>
      </c>
      <c r="B29" s="55" t="s">
        <v>343</v>
      </c>
      <c r="C29" s="55" t="s">
        <v>117</v>
      </c>
      <c r="D29" s="48" t="s">
        <v>391</v>
      </c>
      <c r="E29" s="48" t="s">
        <v>392</v>
      </c>
    </row>
    <row r="30" customFormat="false" ht="25.5" hidden="false" customHeight="true" outlineLevel="0" collapsed="false">
      <c r="A30" s="56" t="n">
        <v>26</v>
      </c>
      <c r="B30" s="56" t="s">
        <v>343</v>
      </c>
      <c r="C30" s="56" t="s">
        <v>117</v>
      </c>
      <c r="D30" s="45" t="s">
        <v>393</v>
      </c>
      <c r="E30" s="45" t="s">
        <v>394</v>
      </c>
    </row>
    <row r="31" customFormat="false" ht="25.5" hidden="false" customHeight="true" outlineLevel="0" collapsed="false">
      <c r="A31" s="55" t="n">
        <v>27</v>
      </c>
      <c r="B31" s="55" t="s">
        <v>343</v>
      </c>
      <c r="C31" s="55" t="s">
        <v>395</v>
      </c>
      <c r="D31" s="48" t="s">
        <v>396</v>
      </c>
      <c r="E31" s="48" t="s">
        <v>397</v>
      </c>
    </row>
    <row r="32" customFormat="false" ht="25.5" hidden="false" customHeight="true" outlineLevel="0" collapsed="false">
      <c r="A32" s="56" t="n">
        <v>28</v>
      </c>
      <c r="B32" s="56" t="s">
        <v>343</v>
      </c>
      <c r="C32" s="56" t="s">
        <v>195</v>
      </c>
      <c r="D32" s="45" t="s">
        <v>398</v>
      </c>
      <c r="E32" s="45" t="s">
        <v>399</v>
      </c>
    </row>
    <row r="33" customFormat="false" ht="25.5" hidden="false" customHeight="true" outlineLevel="0" collapsed="false">
      <c r="A33" s="55" t="n">
        <v>29</v>
      </c>
      <c r="B33" s="55" t="s">
        <v>343</v>
      </c>
      <c r="C33" s="55" t="s">
        <v>234</v>
      </c>
      <c r="D33" s="48" t="s">
        <v>400</v>
      </c>
      <c r="E33" s="48" t="s">
        <v>401</v>
      </c>
    </row>
    <row r="34" customFormat="false" ht="25.5" hidden="false" customHeight="true" outlineLevel="0" collapsed="false">
      <c r="A34" s="56" t="n">
        <v>30</v>
      </c>
      <c r="B34" s="56" t="s">
        <v>343</v>
      </c>
      <c r="C34" s="56" t="s">
        <v>329</v>
      </c>
      <c r="D34" s="45" t="s">
        <v>402</v>
      </c>
      <c r="E34" s="45" t="s">
        <v>403</v>
      </c>
    </row>
    <row r="35" customFormat="false" ht="25.5" hidden="false" customHeight="true" outlineLevel="0" collapsed="false">
      <c r="A35" s="55" t="n">
        <v>31</v>
      </c>
      <c r="B35" s="55" t="s">
        <v>343</v>
      </c>
      <c r="C35" s="55" t="s">
        <v>272</v>
      </c>
      <c r="D35" s="48" t="s">
        <v>404</v>
      </c>
      <c r="E35" s="48" t="s">
        <v>405</v>
      </c>
    </row>
    <row r="36" customFormat="false" ht="25.5" hidden="false" customHeight="true" outlineLevel="0" collapsed="false">
      <c r="A36" s="56" t="n">
        <v>32</v>
      </c>
      <c r="B36" s="56" t="s">
        <v>406</v>
      </c>
      <c r="C36" s="56" t="s">
        <v>216</v>
      </c>
      <c r="D36" s="45" t="s">
        <v>407</v>
      </c>
      <c r="E36" s="45" t="s">
        <v>408</v>
      </c>
    </row>
    <row r="37" customFormat="false" ht="25.5" hidden="false" customHeight="true" outlineLevel="0" collapsed="false">
      <c r="A37" s="55" t="n">
        <v>33</v>
      </c>
      <c r="B37" s="55" t="s">
        <v>406</v>
      </c>
      <c r="C37" s="55" t="s">
        <v>71</v>
      </c>
      <c r="D37" s="48" t="s">
        <v>409</v>
      </c>
      <c r="E37" s="48" t="s">
        <v>410</v>
      </c>
    </row>
    <row r="38" customFormat="false" ht="25.5" hidden="false" customHeight="true" outlineLevel="0" collapsed="false">
      <c r="A38" s="56" t="n">
        <v>34</v>
      </c>
      <c r="B38" s="56" t="s">
        <v>406</v>
      </c>
      <c r="C38" s="56" t="s">
        <v>64</v>
      </c>
      <c r="D38" s="45" t="s">
        <v>411</v>
      </c>
      <c r="E38" s="45" t="s">
        <v>412</v>
      </c>
    </row>
    <row r="39" customFormat="false" ht="25.5" hidden="false" customHeight="true" outlineLevel="0" collapsed="false">
      <c r="A39" s="55" t="n">
        <v>35</v>
      </c>
      <c r="B39" s="55" t="s">
        <v>406</v>
      </c>
      <c r="C39" s="55" t="s">
        <v>186</v>
      </c>
      <c r="D39" s="48" t="s">
        <v>413</v>
      </c>
      <c r="E39" s="48" t="s">
        <v>410</v>
      </c>
    </row>
    <row r="40" customFormat="false" ht="25.5" hidden="false" customHeight="true" outlineLevel="0" collapsed="false">
      <c r="A40" s="56" t="n">
        <v>36</v>
      </c>
      <c r="B40" s="56" t="s">
        <v>406</v>
      </c>
      <c r="C40" s="56" t="s">
        <v>55</v>
      </c>
      <c r="D40" s="45" t="s">
        <v>414</v>
      </c>
      <c r="E40" s="45" t="s">
        <v>410</v>
      </c>
    </row>
    <row r="41" customFormat="false" ht="25.5" hidden="false" customHeight="true" outlineLevel="0" collapsed="false">
      <c r="A41" s="55" t="n">
        <v>37</v>
      </c>
      <c r="B41" s="55" t="s">
        <v>406</v>
      </c>
      <c r="C41" s="55" t="s">
        <v>155</v>
      </c>
      <c r="D41" s="48" t="s">
        <v>415</v>
      </c>
      <c r="E41" s="48" t="s">
        <v>408</v>
      </c>
    </row>
    <row r="42" customFormat="false" ht="25.5" hidden="false" customHeight="true" outlineLevel="0" collapsed="false">
      <c r="A42" s="56" t="n">
        <v>38</v>
      </c>
      <c r="B42" s="56" t="s">
        <v>406</v>
      </c>
      <c r="C42" s="56" t="s">
        <v>208</v>
      </c>
      <c r="D42" s="45" t="s">
        <v>416</v>
      </c>
      <c r="E42" s="45" t="s">
        <v>417</v>
      </c>
    </row>
    <row r="43" customFormat="false" ht="25.5" hidden="false" customHeight="true" outlineLevel="0" collapsed="false">
      <c r="A43" s="55" t="n">
        <v>39</v>
      </c>
      <c r="B43" s="55" t="s">
        <v>406</v>
      </c>
      <c r="C43" s="55" t="s">
        <v>169</v>
      </c>
      <c r="D43" s="48" t="s">
        <v>418</v>
      </c>
      <c r="E43" s="48" t="s">
        <v>419</v>
      </c>
    </row>
    <row r="44" customFormat="false" ht="25.5" hidden="false" customHeight="true" outlineLevel="0" collapsed="false">
      <c r="A44" s="56" t="n">
        <v>40</v>
      </c>
      <c r="B44" s="56" t="s">
        <v>406</v>
      </c>
      <c r="C44" s="56" t="s">
        <v>298</v>
      </c>
      <c r="D44" s="45" t="s">
        <v>420</v>
      </c>
      <c r="E44" s="45" t="s">
        <v>419</v>
      </c>
    </row>
    <row r="45" customFormat="false" ht="25.5" hidden="false" customHeight="true" outlineLevel="0" collapsed="false">
      <c r="A45" s="55" t="n">
        <v>41</v>
      </c>
      <c r="B45" s="55" t="s">
        <v>406</v>
      </c>
      <c r="C45" s="55" t="s">
        <v>133</v>
      </c>
      <c r="D45" s="48" t="s">
        <v>421</v>
      </c>
      <c r="E45" s="48" t="s">
        <v>419</v>
      </c>
    </row>
    <row r="46" customFormat="false" ht="25.5" hidden="false" customHeight="true" outlineLevel="0" collapsed="false">
      <c r="A46" s="56" t="n">
        <v>42</v>
      </c>
      <c r="B46" s="56" t="s">
        <v>406</v>
      </c>
      <c r="C46" s="56" t="s">
        <v>133</v>
      </c>
      <c r="D46" s="45" t="s">
        <v>422</v>
      </c>
      <c r="E46" s="45" t="s">
        <v>408</v>
      </c>
    </row>
    <row r="47" customFormat="false" ht="25.5" hidden="false" customHeight="true" outlineLevel="0" collapsed="false">
      <c r="A47" s="55" t="n">
        <v>43</v>
      </c>
      <c r="B47" s="55" t="s">
        <v>406</v>
      </c>
      <c r="C47" s="55" t="s">
        <v>85</v>
      </c>
      <c r="D47" s="48" t="s">
        <v>423</v>
      </c>
      <c r="E47" s="48" t="s">
        <v>424</v>
      </c>
    </row>
    <row r="48" customFormat="false" ht="25.5" hidden="false" customHeight="true" outlineLevel="0" collapsed="false">
      <c r="A48" s="56" t="n">
        <v>44</v>
      </c>
      <c r="B48" s="56" t="s">
        <v>406</v>
      </c>
      <c r="C48" s="56" t="s">
        <v>203</v>
      </c>
      <c r="D48" s="45" t="s">
        <v>425</v>
      </c>
      <c r="E48" s="45" t="s">
        <v>408</v>
      </c>
    </row>
    <row r="49" customFormat="false" ht="25.5" hidden="false" customHeight="true" outlineLevel="0" collapsed="false">
      <c r="A49" s="55" t="n">
        <v>45</v>
      </c>
      <c r="B49" s="55" t="s">
        <v>406</v>
      </c>
      <c r="C49" s="55" t="s">
        <v>426</v>
      </c>
      <c r="D49" s="48" t="s">
        <v>427</v>
      </c>
      <c r="E49" s="48" t="s">
        <v>428</v>
      </c>
    </row>
    <row r="50" customFormat="false" ht="25.5" hidden="false" customHeight="true" outlineLevel="0" collapsed="false">
      <c r="A50" s="56" t="n">
        <v>46</v>
      </c>
      <c r="B50" s="56" t="s">
        <v>406</v>
      </c>
      <c r="C50" s="56" t="s">
        <v>117</v>
      </c>
      <c r="D50" s="45" t="s">
        <v>429</v>
      </c>
      <c r="E50" s="45" t="s">
        <v>408</v>
      </c>
    </row>
    <row r="51" customFormat="false" ht="25.5" hidden="false" customHeight="true" outlineLevel="0" collapsed="false">
      <c r="A51" s="55" t="n">
        <v>47</v>
      </c>
      <c r="B51" s="55" t="s">
        <v>406</v>
      </c>
      <c r="C51" s="55" t="s">
        <v>117</v>
      </c>
      <c r="D51" s="48" t="s">
        <v>430</v>
      </c>
      <c r="E51" s="48" t="s">
        <v>431</v>
      </c>
    </row>
    <row r="52" customFormat="false" ht="25.5" hidden="false" customHeight="true" outlineLevel="0" collapsed="false">
      <c r="A52" s="56" t="n">
        <v>48</v>
      </c>
      <c r="B52" s="56" t="s">
        <v>406</v>
      </c>
      <c r="C52" s="56" t="s">
        <v>117</v>
      </c>
      <c r="D52" s="45" t="s">
        <v>432</v>
      </c>
      <c r="E52" s="45" t="s">
        <v>408</v>
      </c>
    </row>
    <row r="53" customFormat="false" ht="25.5" hidden="false" customHeight="true" outlineLevel="0" collapsed="false">
      <c r="A53" s="55" t="n">
        <v>49</v>
      </c>
      <c r="B53" s="55" t="s">
        <v>406</v>
      </c>
      <c r="C53" s="55" t="s">
        <v>117</v>
      </c>
      <c r="D53" s="48" t="s">
        <v>433</v>
      </c>
      <c r="E53" s="48" t="s">
        <v>434</v>
      </c>
    </row>
    <row r="54" customFormat="false" ht="25.5" hidden="false" customHeight="true" outlineLevel="0" collapsed="false">
      <c r="A54" s="56" t="n">
        <v>50</v>
      </c>
      <c r="B54" s="56" t="s">
        <v>406</v>
      </c>
      <c r="C54" s="56" t="s">
        <v>435</v>
      </c>
      <c r="D54" s="45" t="s">
        <v>436</v>
      </c>
      <c r="E54" s="45" t="s">
        <v>437</v>
      </c>
    </row>
    <row r="55" customFormat="false" ht="21.75" hidden="false" customHeight="true" outlineLevel="0" collapsed="false">
      <c r="A55" s="57" t="n">
        <v>51</v>
      </c>
      <c r="B55" s="57" t="s">
        <v>438</v>
      </c>
      <c r="C55" s="57" t="s">
        <v>439</v>
      </c>
      <c r="D55" s="53" t="s">
        <v>440</v>
      </c>
      <c r="E55" s="53" t="s">
        <v>441</v>
      </c>
    </row>
    <row r="56" customFormat="false" ht="15" hidden="false" customHeight="true" outlineLevel="0" collapsed="false">
      <c r="A56" s="57" t="n">
        <v>52</v>
      </c>
      <c r="B56" s="57" t="s">
        <v>438</v>
      </c>
      <c r="C56" s="57" t="s">
        <v>155</v>
      </c>
      <c r="D56" s="53" t="s">
        <v>442</v>
      </c>
      <c r="E56" s="53" t="s">
        <v>443</v>
      </c>
    </row>
    <row r="57" customFormat="false" ht="21.75" hidden="false" customHeight="true" outlineLevel="0" collapsed="false">
      <c r="A57" s="57" t="n">
        <v>53</v>
      </c>
      <c r="B57" s="57" t="s">
        <v>438</v>
      </c>
      <c r="C57" s="57" t="s">
        <v>444</v>
      </c>
      <c r="D57" s="53" t="s">
        <v>445</v>
      </c>
      <c r="E57" s="53" t="s">
        <v>443</v>
      </c>
    </row>
    <row r="58" customFormat="false" ht="15" hidden="false" customHeight="true" outlineLevel="0" collapsed="false">
      <c r="A58" s="57" t="n">
        <v>54</v>
      </c>
      <c r="B58" s="57" t="s">
        <v>438</v>
      </c>
      <c r="C58" s="57" t="s">
        <v>133</v>
      </c>
      <c r="D58" s="53" t="s">
        <v>446</v>
      </c>
      <c r="E58" s="53" t="s">
        <v>443</v>
      </c>
    </row>
    <row r="59" customFormat="false" ht="15" hidden="false" customHeight="true" outlineLevel="0" collapsed="false">
      <c r="A59" s="57" t="n">
        <v>55</v>
      </c>
      <c r="B59" s="57" t="s">
        <v>438</v>
      </c>
      <c r="C59" s="57" t="s">
        <v>155</v>
      </c>
      <c r="D59" s="53" t="s">
        <v>447</v>
      </c>
      <c r="E59" s="53" t="s">
        <v>443</v>
      </c>
    </row>
    <row r="60" customFormat="false" ht="21.75" hidden="false" customHeight="true" outlineLevel="0" collapsed="false">
      <c r="A60" s="57" t="n">
        <v>56</v>
      </c>
      <c r="B60" s="57" t="s">
        <v>438</v>
      </c>
      <c r="C60" s="57" t="s">
        <v>448</v>
      </c>
      <c r="D60" s="53" t="s">
        <v>449</v>
      </c>
      <c r="E60" s="53" t="s">
        <v>450</v>
      </c>
    </row>
    <row r="61" customFormat="false" ht="21.75" hidden="false" customHeight="true" outlineLevel="0" collapsed="false">
      <c r="A61" s="57" t="n">
        <v>57</v>
      </c>
      <c r="B61" s="57" t="s">
        <v>438</v>
      </c>
      <c r="C61" s="57" t="s">
        <v>451</v>
      </c>
      <c r="D61" s="53" t="s">
        <v>452</v>
      </c>
      <c r="E61" s="53" t="s">
        <v>443</v>
      </c>
    </row>
    <row r="62" customFormat="false" ht="21.75" hidden="false" customHeight="true" outlineLevel="0" collapsed="false">
      <c r="A62" s="57" t="n">
        <v>58</v>
      </c>
      <c r="B62" s="57" t="s">
        <v>438</v>
      </c>
      <c r="C62" s="57" t="s">
        <v>448</v>
      </c>
      <c r="D62" s="53" t="s">
        <v>453</v>
      </c>
      <c r="E62" s="53" t="s">
        <v>450</v>
      </c>
    </row>
    <row r="63" customFormat="false" ht="21.75" hidden="false" customHeight="true" outlineLevel="0" collapsed="false">
      <c r="A63" s="57" t="n">
        <v>59</v>
      </c>
      <c r="B63" s="57" t="s">
        <v>438</v>
      </c>
      <c r="C63" s="57" t="s">
        <v>117</v>
      </c>
      <c r="D63" s="53" t="s">
        <v>454</v>
      </c>
      <c r="E63" s="53" t="s">
        <v>443</v>
      </c>
    </row>
    <row r="64" customFormat="false" ht="15" hidden="false" customHeight="true" outlineLevel="0" collapsed="false">
      <c r="A64" s="57" t="n">
        <v>60</v>
      </c>
      <c r="B64" s="57" t="s">
        <v>438</v>
      </c>
      <c r="C64" s="57" t="s">
        <v>195</v>
      </c>
      <c r="D64" s="53" t="s">
        <v>455</v>
      </c>
      <c r="E64" s="53" t="s">
        <v>443</v>
      </c>
    </row>
    <row r="65" customFormat="false" ht="15" hidden="false" customHeight="true" outlineLevel="0" collapsed="false">
      <c r="A65" s="57" t="n">
        <v>61</v>
      </c>
      <c r="B65" s="57" t="s">
        <v>438</v>
      </c>
      <c r="C65" s="57" t="s">
        <v>456</v>
      </c>
      <c r="D65" s="53" t="s">
        <v>457</v>
      </c>
      <c r="E65" s="53" t="s">
        <v>443</v>
      </c>
    </row>
    <row r="66" customFormat="false" ht="15" hidden="false" customHeight="true" outlineLevel="0" collapsed="false">
      <c r="A66" s="57" t="n">
        <v>62</v>
      </c>
      <c r="B66" s="57" t="s">
        <v>458</v>
      </c>
      <c r="C66" s="57" t="s">
        <v>435</v>
      </c>
      <c r="D66" s="53" t="s">
        <v>459</v>
      </c>
      <c r="E66" s="53" t="s">
        <v>443</v>
      </c>
    </row>
    <row r="67" customFormat="false" ht="15" hidden="false" customHeight="true" outlineLevel="0" collapsed="false">
      <c r="A67" s="57" t="n">
        <v>63</v>
      </c>
      <c r="B67" s="57" t="s">
        <v>458</v>
      </c>
      <c r="C67" s="57" t="s">
        <v>460</v>
      </c>
      <c r="D67" s="53" t="s">
        <v>461</v>
      </c>
      <c r="E67" s="53" t="s">
        <v>443</v>
      </c>
    </row>
  </sheetData>
  <autoFilter ref="A4:E5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2026-06-10T23:37:30Z</dcterms:created>
  <dc:creator>openpyxl</dc:creator>
  <dc:description/>
  <dc:language>en-US</dc:language>
  <cp:lastModifiedBy/>
  <dcterms:modified xsi:type="dcterms:W3CDTF">2026-06-16T23:56:14Z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