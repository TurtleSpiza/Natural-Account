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ll Accounts" sheetId="2" state="visible" r:id="rId4"/>
    <sheet name="Open Items" sheetId="3" state="visible" r:id="rId5"/>
  </sheets>
  <definedNames>
    <definedName function="false" hidden="false" localSheetId="1" name="_xlnm.Print_Area" vbProcedure="false">'All Accounts'!$A$1:$S$91</definedName>
    <definedName function="false" hidden="true" localSheetId="1" name="_xlnm._FilterDatabase" vbProcedure="false">'All Accounts'!$A$4:$S$91</definedName>
    <definedName function="false" hidden="true" localSheetId="2" name="_xlnm._FilterDatabase" vbProcedure="false">'Open Items'!$A$4:$E$54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<sst xmlns="http://schemas.openxmlformats.org/spreadsheetml/2006/main" count="876" uniqueCount="384">
  <si>
    <t xml:space="preserve">LCC Parks 4090000  -  NA Review Programme  -  Status Summary</t>
  </si>
  <si>
    <t xml:space="preserve">Prepared 11-Jun-2026  |  Spero Karkalemis  |  Ledger 26SLACT, O110-O115, P1-12  |  No emails per standing directive; decisions are Spero's</t>
  </si>
  <si>
    <t xml:space="preserve">IN-SCOPE SPEND (87 ACCOUNTS)</t>
  </si>
  <si>
    <t xml:space="preserve">REVIEWED $ (SE2 COVERAGE BASIS)</t>
  </si>
  <si>
    <t xml:space="preserve">REVIEWED % OF SPEND</t>
  </si>
  <si>
    <t xml:space="preserve">ACCOUNTS WITH A REGISTER ROW</t>
  </si>
  <si>
    <t xml:space="preserve">FULLY REVIEWED</t>
  </si>
  <si>
    <t xml:space="preserve">PARTIAL</t>
  </si>
  <si>
    <t xml:space="preserve">OPENED (NOT RECONCILED)</t>
  </si>
  <si>
    <t xml:space="preserve">NOT STARTED</t>
  </si>
  <si>
    <t xml:space="preserve">Overall RAG across register accounts  |  GREEN clear, AMBER confirm, RED blocker, OPENED pre-reconciliation</t>
  </si>
  <si>
    <t xml:space="preserve">GREEN</t>
  </si>
  <si>
    <t xml:space="preserve">AMBER</t>
  </si>
  <si>
    <t xml:space="preserve">RED</t>
  </si>
  <si>
    <t xml:space="preserve">OPENED</t>
  </si>
  <si>
    <t xml:space="preserve">Session headlines, 11-Jun-2026</t>
  </si>
  <si>
    <t xml:space="preserve">  - GJ079210 ($66,184, the largest open dollar) CLOSED: balanced 6-line PK move PK000035 to PK000022, nets $0.00, direction correct; backup sighted.</t>
  </si>
  <si>
    <t xml:space="preserve">  - 73215 fully reviewed: $4,739 (100%) miscoded into the restricted Alliance account; all invoices sighted and exact; recode candidate to 73126 held for ruling.</t>
  </si>
  <si>
    <t xml:space="preserve">  - 73601 opened: $46,004 single Org Risk WHS engagement, reconciles exact; 8 of 9 invoices ($43,871) unsighted.</t>
  </si>
  <si>
    <t xml:space="preserve">  - 73123 opened, NOT reconciled: export vs SE2 gap $50,339; no line work until resolved; read jointly with 73212.</t>
  </si>
  <si>
    <t xml:space="preserve">  - 73511 keystone INV-9747 sighted (Greenbank EOY celebration): stay-FBT verdict now on Tier 1. TE004496, OIR receipt, GJ076597 and GJ076924 also closed.</t>
  </si>
  <si>
    <t xml:space="preserve">Basis note: SE2-coverage Reviewed-$ differs from the register reviewed total of $251,685.47 by $1,125.50, a measurement-basis difference on 73511 and 73512 carried from the 10-Jun merge (register counts reviewed transaction dollars net of FBT batch pairs; the tracker caps coverage at SE2 accumulated actuals).</t>
  </si>
  <si>
    <t xml:space="preserve">LCC Parks 4090000  -  Natural Account Review  -  Status of All Accounts</t>
  </si>
  <si>
    <t xml:space="preserve">All 87 in-scope natural accounts  |  Source SE2 8-Jun-2026, register and tracker as at 11-Jun-2026  |  Batch CN-23167  |  GL ex-GST</t>
  </si>
  <si>
    <t xml:space="preserve">Priority</t>
  </si>
  <si>
    <t xml:space="preserve">NA</t>
  </si>
  <si>
    <t xml:space="preserve">Account name</t>
  </si>
  <si>
    <t xml:space="preserve">Accum actual ex-GST</t>
  </si>
  <si>
    <t xml:space="preserve">Annual budget</t>
  </si>
  <si>
    <t xml:space="preserve">Materiality</t>
  </si>
  <si>
    <t xml:space="preserve">Review status</t>
  </si>
  <si>
    <t xml:space="preserve">Reviewed $</t>
  </si>
  <si>
    <t xml:space="preserve">Untested $</t>
  </si>
  <si>
    <t xml:space="preserve">L1 PK</t>
  </si>
  <si>
    <t xml:space="preserve">L2 NA</t>
  </si>
  <si>
    <t xml:space="preserve">L3 Evid</t>
  </si>
  <si>
    <t xml:space="preserve">L4 Tax</t>
  </si>
  <si>
    <t xml:space="preserve">Overall RAG</t>
  </si>
  <si>
    <t xml:space="preserve">Key finding (condensed)</t>
  </si>
  <si>
    <t xml:space="preserve">Remaining items</t>
  </si>
  <si>
    <t xml:space="preserve">Evidence / artefacts</t>
  </si>
  <si>
    <t xml:space="preserve">Journal status</t>
  </si>
  <si>
    <t xml:space="preserve">Last reviewed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</si>
  <si>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</si>
  <si>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</si>
  <si>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</si>
  <si>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</si>
  <si>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</si>
  <si>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(part...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</si>
  <si>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</si>
  <si>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</si>
  <si>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</si>
  <si>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9-Jun-2026</t>
  </si>
  <si>
    <t xml:space="preserve">73564</t>
  </si>
  <si>
    <t xml:space="preserve">IT Equipment and Applications</t>
  </si>
  <si>
    <t xml:space="preserve">Fully reviewed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</si>
  <si>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...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</si>
  <si>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</si>
  <si>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</si>
  <si>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</si>
  <si>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72312</t>
  </si>
  <si>
    <t xml:space="preserve">Office &amp; Library Equipment</t>
  </si>
  <si>
    <t xml:space="preserve">$1k-10k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</si>
  <si>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</si>
  <si>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</si>
  <si>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</si>
  <si>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</si>
  <si>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</si>
  <si>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</si>
  <si>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</si>
  <si>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</si>
  <si>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</si>
  <si>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Not started</t>
  </si>
  <si>
    <t xml:space="preserve">Not started. Obtain TechOne ledger export to open.</t>
  </si>
  <si>
    <t xml:space="preserve">73212</t>
  </si>
  <si>
    <t xml:space="preserve">Major Contracts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</si>
  <si>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PK0...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</si>
  <si>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</si>
  <si>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</si>
  <si>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</si>
  <si>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10-Jun-2026</t>
  </si>
  <si>
    <t xml:space="preserve">73123</t>
  </si>
  <si>
    <t xml:space="preserve">Maintenance Services</t>
  </si>
  <si>
    <t xml:space="preserve">Opened</t>
  </si>
  <si>
    <t xml:space="preserve">n/a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</si>
  <si>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(6...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</si>
  <si>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</si>
  <si>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</si>
  <si>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</si>
  <si>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</si>
  <si>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73990</t>
  </si>
  <si>
    <t xml:space="preserve">Expensed capital services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</si>
  <si>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</si>
  <si>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</si>
  <si>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</si>
  <si>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</si>
  <si>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</si>
  <si>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</si>
  <si>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</si>
  <si>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</si>
  <si>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</si>
  <si>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</si>
  <si>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</si>
  <si>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</si>
  <si>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</si>
  <si>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</si>
  <si>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73211</t>
  </si>
  <si>
    <t xml:space="preserve">Minor Contracts (below $20,000)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</si>
  <si>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</si>
  <si>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</si>
  <si>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</si>
  <si>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</si>
  <si>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</si>
  <si>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</si>
  <si>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</si>
  <si>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</si>
  <si>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</si>
  <si>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</si>
  <si>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</si>
  <si>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GJ...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</si>
  <si>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</si>
  <si>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</si>
  <si>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</si>
  <si>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</si>
  <si>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</si>
  <si>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</si>
  <si>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</si>
  <si>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</si>
  <si>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</si>
  <si>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</si>
  <si>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home-service...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</si>
  <si>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</si>
  <si>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</si>
  <si>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</si>
  <si>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</si>
  <si>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</si>
  <si>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</si>
  <si>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</si>
  <si>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</si>
  <si>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</si>
  <si>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</si>
  <si>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</si>
  <si>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</si>
  <si>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Pro...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</si>
  <si>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</si>
  <si>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</si>
  <si>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</si>
  <si>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</si>
  <si>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</si>
  <si>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</si>
  <si>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</si>
  <si>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</si>
  <si>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</si>
  <si>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</si>
  <si>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</si>
  <si>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</si>
  <si>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rec...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</si>
  <si>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</si>
  <si>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</si>
  <si>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</si>
  <si>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</si>
  <si>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</si>
  <si>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</si>
  <si>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</si>
  <si>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</si>
  <si>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</si>
  <si>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</si>
  <si>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</si>
  <si>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</si>
  <si>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</si>
  <si>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</si>
  <si>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</si>
  <si>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</si>
  <si>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document...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</si>
  <si>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</si>
  <si>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</si>
  <si>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74189</t>
  </si>
  <si>
    <t xml:space="preserve">Fuel Levy Surcharge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</si>
  <si>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</si>
  <si>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</si>
  <si>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</si>
  <si>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</si>
  <si>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</si>
  <si>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</si>
  <si>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</si>
  <si>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</si>
  <si>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</si>
  <si>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</si>
  <si>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</si>
  <si>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n/a (no recode staged)</t>
  </si>
  <si>
    <t xml:space="preserve">73215</t>
  </si>
  <si>
    <t xml:space="preserve">Major Contracts – Partnership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</si>
  <si>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PASS...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</si>
  <si>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</si>
  <si>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</si>
  <si>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</si>
  <si>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</si>
  <si>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</si>
  <si>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</si>
  <si>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</si>
  <si>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INV-97...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</si>
  <si>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</si>
  <si>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</si>
  <si>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</si>
  <si>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</si>
  <si>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</si>
  <si>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</si>
  <si>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</si>
  <si>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</si>
  <si>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</si>
  <si>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</si>
  <si>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</si>
  <si>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</si>
  <si>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</si>
  <si>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</si>
  <si>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7B214</t>
  </si>
  <si>
    <t xml:space="preserve">Internal - Maintenance Services</t>
  </si>
  <si>
    <t xml:space="preserve">73127</t>
  </si>
  <si>
    <t xml:space="preserve">Electrical Maintenance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</si>
  <si>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</si>
  <si>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</si>
  <si>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</si>
  <si>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</si>
  <si>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</si>
  <si>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</si>
  <si>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</si>
  <si>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</si>
  <si>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</si>
  <si>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</si>
  <si>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</si>
  <si>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</si>
  <si>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</si>
  <si>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</si>
  <si>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</si>
  <si>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</si>
  <si>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</si>
  <si>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</si>
  <si>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not...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</si>
  <si>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</si>
  <si>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</si>
  <si>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</si>
  <si>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</si>
  <si>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</si>
  <si>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</si>
  <si>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</si>
  <si>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</si>
  <si>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</si>
  <si>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</si>
  <si>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</si>
  <si>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</si>
  <si>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</si>
  <si>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</si>
  <si>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</si>
  <si>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</si>
  <si>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</si>
  <si>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</si>
  <si>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</si>
  <si>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</si>
  <si>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</si>
  <si>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</si>
  <si>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</si>
  <si>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</si>
  <si>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</si>
  <si>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</si>
  <si>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</si>
  <si>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</si>
  <si>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</si>
  <si>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</si>
  <si>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</si>
  <si>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</si>
  <si>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</si>
  <si>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</si>
  <si>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</si>
  <si>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</si>
  <si>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</si>
  <si>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</si>
  <si>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</si>
  <si>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</si>
  <si>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</si>
  <si>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</si>
  <si>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</si>
  <si>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</si>
  <si>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</si>
  <si>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</si>
  <si>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</si>
  <si>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</si>
  <si>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</si>
  <si>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</si>
  <si>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</si>
  <si>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</si>
  <si>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</si>
  <si>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</si>
  <si>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</si>
  <si>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</si>
  <si>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</si>
  <si>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</si>
  <si>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</si>
  <si>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</si>
  <si>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</si>
  <si>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</si>
  <si>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</si>
  <si>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CN-23167 Open Items Register  -  everything still open, by account</t>
  </si>
  <si>
    <t xml:space="preserve">Mirrors 00_Outstanding_Evidence_and_Actions.md as at 11-Jun-2026  |  Documents to sight, Spero decisions, internal work  |  Hard gates: NONE</t>
  </si>
  <si>
    <t xml:space="preserve">#</t>
  </si>
  <si>
    <t xml:space="preserve">Type</t>
  </si>
  <si>
    <t xml:space="preserve">Account</t>
  </si>
  <si>
    <t xml:space="preserve">Item</t>
  </si>
  <si>
    <t xml:space="preserve">Status / note</t>
  </si>
  <si>
    <t xml:space="preserve">Document</t>
  </si>
  <si>
    <t xml:space="preserve">Warnholtz invoice 001 ($744.30, narrated Training)</t>
  </si>
  <si>
    <t xml:space="preserve">GAP; payee not in employee map</t>
  </si>
  <si>
    <t xml:space="preserve">Receipts for the PCard/reimbursement net population</t>
  </si>
  <si>
    <t xml:space="preserve">GAP; per-line GST-free food check pending</t>
  </si>
  <si>
    <t xml:space="preserve">ibis Melbourne (Accor) tax invoice for the $288.18 accommodation</t>
  </si>
  <si>
    <t xml:space="preserve">Advisory; GST waived by Spero, ITC exposure noted</t>
  </si>
  <si>
    <t xml:space="preserve">Sample of CV Check AP invoices</t>
  </si>
  <si>
    <t xml:space="preserve">GAP; numbers unknown</t>
  </si>
  <si>
    <t xml:space="preserve">SR backups: SR219175 (Robertson), SR-0315517 (Fry)</t>
  </si>
  <si>
    <t xml:space="preserve">GAP; SR235810 (Dresman) CLOSED 10-Jun via the Branch IT Purchases schedule; lines journal-ready on directive</t>
  </si>
  <si>
    <t xml:space="preserve">Other no-attachment SR backups and five external invoices (2412569490, INAU004378, GJ076194, GJ075813, TE005499)</t>
  </si>
  <si>
    <t xml:space="preserve">GAP; six off-home lines still open</t>
  </si>
  <si>
    <t xml:space="preserve">72111 / 72114</t>
  </si>
  <si>
    <t xml:space="preserve">Full ledger remainders</t>
  </si>
  <si>
    <t xml:space="preserve">GAP; large untested balances</t>
  </si>
  <si>
    <t xml:space="preserve">Per-line evidence split set (56 PDFs; all 50 TCB invoices + bond support)</t>
  </si>
  <si>
    <t xml:space="preserve">Packaging GAP only; all sighted 10-Jun-2026, SHA-256 fingerprints carried in NA73128_Workstream_Manifest_10-Jun-2026.csv; only the compressed second-intake binder is physically in this bundle</t>
  </si>
  <si>
    <t xml:space="preserve">n/a (unplaced)</t>
  </si>
  <si>
    <t xml:space="preserve">BCC King George Square parking receipt 89991, 4-Jun-2025, $42.15 net + $4.21 GST (card ...1627 Anita Moore)</t>
  </si>
  <si>
    <t xml:space="preserve">Identified-unplaced; FY25 document, no match in any in-scope FY26 extract (72111/73511/73533/73563/73128 searched); likely FY25 73531 local SEQ; archived _Sources_10-Jun-2026/ pending instruction</t>
  </si>
  <si>
    <t xml:space="preserve">Six IPWEA documents (R58890, 40310, 40309, two QNT Stripe receipts x3 copies)</t>
  </si>
  <si>
    <t xml:space="preserve">Identified-unplaced; attendees not in Parks; archived in _Sources_10-Jun-2026/ pending instruction</t>
  </si>
  <si>
    <t xml:space="preserve">Preussner 12052026 receipt, $27.79 (last reimbursement gap)</t>
  </si>
  <si>
    <t xml:space="preserve">GAP</t>
  </si>
  <si>
    <t xml:space="preserve">Quote 5468 vendor tax invoice, $1,656.50 (vendor unknown; largest unevidenced line)</t>
  </si>
  <si>
    <t xml:space="preserve">Salisnew direct claim receipts ~$234 (refs 2214300030937, 2214300032667, 2214300036060, 2214600111787, 62920650814367170426 x2)</t>
  </si>
  <si>
    <t xml:space="preserve">Micro-line population PCard docs (refs 1179861-1211218, TE004278-TE005497, ~100 lines)</t>
  </si>
  <si>
    <t xml:space="preserve">GAP or Spero waiver</t>
  </si>
  <si>
    <t xml:space="preserve">Healthy Land &amp; Water tax invoice for the BAL workshop $1,767</t>
  </si>
  <si>
    <t xml:space="preserve">NARROWED 10-Jun-2026: ABR + ASIC dossier sighted (ABN 91 115 662 989 PASS, GST registered, QFBC business name current); the compliant tax invoice itself remains the gap, tax limb AMBER</t>
  </si>
  <si>
    <t xml:space="preserve">Internal journal backups x6 (~$10,600: IJ074222, GJ078710, GJ078895, GJ077155, GJ079267, GJ078296)</t>
  </si>
  <si>
    <t xml:space="preserve">GAP; GJ079650 CLOSED 10-Jun; GJ076597 CLOSED 11-Jun-2026 (Doc File 1176525 sighted + L&amp;D non-attendance email; Pryor $214.00 and Hambly $294.42 evidenced, home-PK ruling remains)</t>
  </si>
  <si>
    <t xml:space="preserve">IPWEA $343.20 part-payment posting trace (39657)</t>
  </si>
  <si>
    <t xml:space="preserve">Preussner GJ078933 -$3,044.65 destination query</t>
  </si>
  <si>
    <t xml:space="preserve">REOPENED 11-Jun-2026: 10-Jun closed via Document Reconstruction 75 (1-20320-73545, $2,113.45 + $931.20); the 11-Jun recode file holds destination NA/PK unverified, possible 7B411 link on the $931.20 leg. One ruling closes it</t>
  </si>
  <si>
    <t xml:space="preserve">Vendor invoices for s4090230 standing-order lines (~$30,000: General Landscapes PK000369 run, Contract Roads INV series, TBM series)</t>
  </si>
  <si>
    <t xml:space="preserve">GAP; GJ076924 backup CLOSED 11-Jun-2026 (95-line balanced redistribution sighted, $1,914 leg explained; PK000415/PK000429 not in maps)</t>
  </si>
  <si>
    <t xml:space="preserve">Contract documents for the $20,000 floor test: LCC-09-2022 (Harpley), Aust Care standing order, Play Force engagement</t>
  </si>
  <si>
    <t xml:space="preserve">Eight Org Risk Consulting invoices (INV-250714, INV-250811 to 250813, INV-250910 to 250913), $43,871.03</t>
  </si>
  <si>
    <t xml:space="preserve">GAP; single WHS Gap Analysis engagement; INV-251010(2) $2,132.63 sighted and exact</t>
  </si>
  <si>
    <t xml:space="preserve">Greenbank engagement residuals: the $700.00 room hire payment trace and the $200.00 bond return</t>
  </si>
  <si>
    <t xml:space="preserve">GAP; non-blocking on the INV-9747 line</t>
  </si>
  <si>
    <t xml:space="preserve">Export-vs-SE2 reconciliation, gap $50,338.64 (export $3,951,109.43 vs SE2 $3,900,770.79)</t>
  </si>
  <si>
    <t xml:space="preserve">GAP; suspected export row duplication and/or P12 timing; BLOCKS all 73123 line work</t>
  </si>
  <si>
    <t xml:space="preserve">Decision</t>
  </si>
  <si>
    <t xml:space="preserve">73511, ruling on the candidate set: $762.33 to 73512 (amenity $334.71, non-employee $301.71, training catering $125.91), $744.30 Warnholtz to 73544, $23.56 utensils to 72111; the Daily Blooms $88.14 customer-gift class (73513 is employee-scoped; cross-section Cemeteries).</t>
  </si>
  <si>
    <t xml:space="preserve">72312, 72312 to 72313 full-reversal — journal-ready (PK000493 Flying Gang sub-PK validator note stands).</t>
  </si>
  <si>
    <t xml:space="preserve">73564, the 73564 to 73566 software recode and the Body2 move-or-stay; the nine off-home PK lines (three confirmed and staged, six open).</t>
  </si>
  <si>
    <t xml:space="preserve">73563, the WINC systemic recode out of 73563; TE005250 riser destination (72313); the 73512 moves are Reason B (filter any existing 50/50 batch as a data check, not an approval).</t>
  </si>
  <si>
    <t xml:space="preserve">72111, PPE to 72113 (set by Spero); STIHL to 72315; Posca to 73563; scrap income to 64411 Cemeteries; the desk-riser 72313 advisory. The Tennyson 72222 line is CLOSED 10-Jun: carried via Doc46 J22, the held pair stood down.</t>
  </si>
  <si>
    <t xml:space="preserve">72114, extending the Reali PK split to Mar-2026 on the sighted per-officer detail (Namoa = Cemeteries PK000439, cross-section); net-movement versus full-reversal format; the stores-issue footwear/respiratory-PPE class candidates (single ruling).</t>
  </si>
  <si>
    <t xml:space="preserve">73215, the full account to 73126 Landscapers &amp; Gardeners, $4,739.00, full-reversal, 3 pairs, nets $0.00 — candidate HELD un-instructed 11-Jun-2026 (Tier 1 complete on 100% of dollars; destination validates; source leg trips the 73215 Alliance restriction flag, handling to confirm).</t>
  </si>
  <si>
    <t xml:space="preserve">73128, the full milk spend to 73512 — instructed by Spero 10-Jun-2026, journal-ready (NA73128_GENJNL_Recode.txt, 122 lines, 61 full-reversal pairs, nets $0.00, direction verified per pair; bond pair excluded). Remaining: the $61.11 BAS adjustment (GSTE-07 to GSTE-22, no GENJNL movement) and the per-line evidence packaging.</t>
  </si>
  <si>
    <t xml:space="preserve">73433, QUT parking 73433 to 73531 $34.55 — instructed by Spero 10-Jun-2026, journal-ready and in the live journal (recode file recovered and content-verified 11-Jun; nets $0.00, direction verified, both lines pass pk_validator).</t>
  </si>
  <si>
    <t xml:space="preserve">73544, PK-split recode INSTRUCTED 11-Jun-2026 and staged (NA73544_GENJNL_Recode.txt, 9 lines, $2,131.46, nets $0.00, re-verified this session): GJ079650 chargebacks Petersen/Harreman/Papatheodosiou $949.64 to their home PKs, plus the ACCA INV-11404 split $590.91 Peebles PK000439 / $590.91 Mibin PK000087 (Mibin not in the employee map; PK assigned by Spero directive 11-Jun-2026).</t>
  </si>
  <si>
    <t xml:space="preserve">73544, still held: Bendelta $8,966.28 to 73601 (four-element consultancy test met); BAL workshop $1,767, 73541 versus 73544 (tied to the HLW tax invoice); Warnholtz staff-training concurrence ($744.30); the Barter blue card 73433 NA candidate $104.70 gross; Pryor $214.00 (PK000044 versus PK000003, acting-move); Hambly $294.42 (officer not in the Parks map); the Preussner destination query.</t>
  </si>
  <si>
    <t xml:space="preserve">73212, A1 Strategy recode $15,100 73212 to 73601 (73603 alternative) — candidate, Tier 1 complete, held for instruction; Aust Care PK recode $630 PK000469 to PK000496 within 73212 — candidate held.</t>
  </si>
  <si>
    <t xml:space="preserve">73512, the micro-line evidence waiver decision (~100 FBT-batch transfer lines: PCard docs or waiver).</t>
  </si>
  <si>
    <t xml:space="preserve">BAS adjustments: GSTE-25 ($11.73 Blue Dog) and GSTE-26 ($9.52 Barter) ITC reversals — no GENJNL movement</t>
  </si>
  <si>
    <t xml:space="preserve">BAS adjustments: GSTE-25 ($11.73 Blue Dog) and GSTE-26 ($9.52 Barter) ITC reversals — no GENJNL movement, Spero instruction pending.</t>
  </si>
  <si>
    <t xml:space="preserve">Internal</t>
  </si>
  <si>
    <t xml:space="preserve">CLOSED 10-Jun: TE005091 and the Doc46-vs-AP dedup (see 00_Doc46_AP_Dedup_10-Jun-2026.md); zero collisions, journal stands as built.</t>
  </si>
  <si>
    <t xml:space="preserve">Restored 3-Jun travel flags (candidates for the 73531/73541 programme accounts, not journalled): Gold Coast parking TE004218 $6.05 (73541 to 73531, Craig Logan PCard 16-Jun-2025); Cabcharge Jan-2026 statement $787.74 per-traveller split (mixed 73531 local SEQ and 73533 interstate legs).</t>
  </si>
  <si>
    <t xml:space="preserve">Work the 72114 Reali set at full scope (Mar-2026 officer detail now in hand; GJ079517 $45.29 Replacement cross-reference to net); review the 72111 and 72114 remainders.</t>
  </si>
  <si>
    <t xml:space="preserve">Identify Hoffmann, Bahry, Warnholtz and Salisnew (73511 payees not in the employee map); confirm the Mann and Rosmarin line sections; classify the four unannotated 73511 lines ($97.27).</t>
  </si>
  <si>
    <t xml:space="preserve">Confirm Burke's Play Safety recode basis: home service resolved 10-Jun as 20362 / PK000435 (Parks Asset Officer) — apply when the 73544 recode is instructed.</t>
  </si>
  <si>
    <t xml:space="preserve">Item-level tie-out of the GJ078546 redistribution to the five Reali invoices' per-officer detail (dedicated pass).</t>
  </si>
  <si>
    <t xml:space="preserve">Add the Flying Gang sub-PK (PK000493 / svc 20392) to lcc-coding-review so the 72312 IKEA line validates.</t>
  </si>
  <si>
    <t xml:space="preserve">`build_listing.py` does not yet rebuild the 73511 tab (built directly this session) — queued.</t>
  </si>
  <si>
    <t xml:space="preserve">Service confirmations (one EOM People and Positions pass settles all): Anita Moore home service (20001 vs 20141 vs 20191 — resolves PLA, A1 and corroborates GJ078933); TE005281 cardholder (QUT); Jennifer Moir (20131?); Leighton Funk (20241?). The ACCA Peebles/Mibin question is RESOLVED by the 11-Jun recode (Peebles PK000439 crosswalk; Mibin PK000087 directive).</t>
  </si>
  <si>
    <t xml:space="preserve">`build_listing.py` and `build_master.py` do not yet cover the four merged accounts (73433, 73512, 73544, 73212) — their TechOne exports were not packaged in the session bundle; obtain the exports, build listing tabs, extend LINE_NAS — queued.</t>
  </si>
  <si>
    <t xml:space="preserve">The 10-Jun merge binaries were recovered in place and hash-verified 11-Jun (00_Repackaging_Gap_11-Jun-2026.md); no re-attach owed. This bundle supersedes both prior zips.</t>
  </si>
  <si>
    <t xml:space="preserve">Register decision</t>
  </si>
  <si>
    <t xml:space="preserve">Scope of untested remainders: 72111 ($63,621.56) and 72114 ($25,176.66); 73564 untested remainder closed (fully reviewed).</t>
  </si>
  <si>
    <t xml:space="preserve">Priority sequence: finish in-flight then materiality. P2 accounts 73126, 73212, 73123, 73990.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</si>
</sst>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"/>
    <numFmt numFmtId="167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9"/>
      <color rgb="FFD6E4F0"/>
      <name val="Segoe UI"/>
      <family val="0"/>
      <charset val="1"/>
    </font>
    <font>
      <sz val="8.5"/>
      <color rgb="FFC9D4F2"/>
      <name val="Segoe UI"/>
      <family val="0"/>
      <charset val="1"/>
    </font>
    <font>
      <b val="true"/>
      <sz val="19"/>
      <color rgb="FFFFFFFF"/>
      <name val="Segoe UI"/>
      <family val="0"/>
      <charset val="1"/>
    </font>
    <font>
      <b val="true"/>
      <sz val="10"/>
      <color rgb="FF1F3864"/>
      <name val="Segoe UI"/>
      <family val="0"/>
      <charset val="1"/>
    </font>
    <font>
      <sz val="8.5"/>
      <color rgb="FFFFFFFF"/>
      <name val="Segoe UI"/>
      <family val="0"/>
      <charset val="1"/>
    </font>
    <font>
      <sz val="8.5"/>
      <color rgb="FF595959"/>
      <name val="Segoe UI"/>
      <family val="0"/>
      <charset val="1"/>
    </font>
    <font>
      <b val="true"/>
      <sz val="19"/>
      <color rgb="FF000000"/>
      <name val="Segoe UI"/>
      <family val="0"/>
      <charset val="1"/>
    </font>
    <font>
      <sz val="9"/>
      <color rgb="FF000000"/>
      <name val="Segoe UI"/>
      <family val="0"/>
      <charset val="1"/>
    </font>
    <font>
      <i val="true"/>
      <sz val="8.5"/>
      <color rgb="FF595959"/>
      <name val="Segoe UI"/>
      <family val="0"/>
      <charset val="1"/>
    </font>
    <font>
      <b val="true"/>
      <sz val="15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3"/>
      <color rgb="FFFFFFFF"/>
      <name val="Segoe U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27467D"/>
        <bgColor rgb="FF1F3864"/>
      </patternFill>
    </fill>
    <fill>
      <patternFill patternType="solid">
        <fgColor rgb="FF1F3864"/>
        <bgColor rgb="FF27467D"/>
      </patternFill>
    </fill>
    <fill>
      <patternFill patternType="solid">
        <fgColor rgb="FF2F5597"/>
        <bgColor rgb="FF27467D"/>
      </patternFill>
    </fill>
    <fill>
      <patternFill patternType="solid">
        <fgColor rgb="FFC8783C"/>
        <bgColor rgb="FFFF6600"/>
      </patternFill>
    </fill>
    <fill>
      <patternFill patternType="solid">
        <fgColor rgb="FF595959"/>
        <bgColor rgb="FF375623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5F5F5"/>
      </patternFill>
    </fill>
    <fill>
      <patternFill patternType="solid">
        <fgColor rgb="FFC00000"/>
        <bgColor rgb="FF800000"/>
      </patternFill>
    </fill>
    <fill>
      <patternFill patternType="solid">
        <fgColor rgb="FFF4F6FA"/>
        <bgColor rgb="FFF5F5F5"/>
      </patternFill>
    </fill>
    <fill>
      <patternFill patternType="solid">
        <fgColor rgb="FFFFFFFF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2F5597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1F3864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D6E4F0"/>
        </patternFill>
      </fill>
    </dxf>
    <dxf>
      <font>
        <name val="Segoe UI"/>
        <charset val="1"/>
        <family val="0"/>
        <color rgb="FF595959"/>
        <sz val="9"/>
      </font>
      <fill>
        <patternFill>
          <bgColor rgb="FFF5F5F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B"/>
      <rgbColor rgb="FF808080"/>
      <rgbColor rgb="FF9999FF"/>
      <rgbColor rgb="FF993366"/>
      <rgbColor rgb="FFFFF2CC"/>
      <rgbColor rgb="FFD6E4F0"/>
      <rgbColor rgb="FF660066"/>
      <rgbColor rgb="FFC8783C"/>
      <rgbColor rgb="FF2F5597"/>
      <rgbColor rgb="FFC9D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7467D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1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14" min="2" style="0" width="10.51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5.75" hidden="false" customHeight="true" outlineLevel="0" collapsed="false">
      <c r="B5" s="3" t="s">
        <v>2</v>
      </c>
      <c r="C5" s="3"/>
      <c r="D5" s="3"/>
      <c r="E5" s="4" t="s">
        <v>3</v>
      </c>
      <c r="F5" s="4"/>
      <c r="G5" s="4"/>
      <c r="H5" s="3" t="s">
        <v>4</v>
      </c>
      <c r="I5" s="3"/>
      <c r="J5" s="3"/>
      <c r="K5" s="3" t="s">
        <v>5</v>
      </c>
      <c r="L5" s="3"/>
      <c r="M5" s="3"/>
    </row>
    <row r="6" customFormat="false" ht="42" hidden="false" customHeight="true" outlineLevel="0" collapsed="false">
      <c r="B6" s="5" t="n">
        <f aca="false">SUM('All Accounts'!D5:D91)</f>
        <v>33891610.16</v>
      </c>
      <c r="C6" s="5"/>
      <c r="D6" s="5"/>
      <c r="E6" s="6" t="n">
        <f aca="false">SUM('All Accounts'!H5:H91)</f>
        <v>250559.97</v>
      </c>
      <c r="F6" s="6"/>
      <c r="G6" s="6"/>
      <c r="H6" s="7" t="n">
        <f aca="false">SUM('All Accounts'!H5:H91)/SUM('All Accounts'!D5:D91)</f>
        <v>0.00739297923046805</v>
      </c>
      <c r="I6" s="7"/>
      <c r="J6" s="7"/>
      <c r="K6" s="8" t="str">
        <f aca="false">COUNTIF('All Accounts'!N5:N91,"&lt;&gt;")&amp;" of 87"</f>
        <v>16 of 87</v>
      </c>
      <c r="L6" s="8"/>
      <c r="M6" s="8"/>
    </row>
    <row r="8" customFormat="false" ht="15.75" hidden="false" customHeight="true" outlineLevel="0" collapsed="false">
      <c r="B8" s="9" t="s">
        <v>6</v>
      </c>
      <c r="C8" s="9"/>
      <c r="D8" s="9"/>
      <c r="E8" s="10" t="s">
        <v>7</v>
      </c>
      <c r="F8" s="10"/>
      <c r="G8" s="10"/>
      <c r="H8" s="11" t="s">
        <v>8</v>
      </c>
      <c r="I8" s="11"/>
      <c r="J8" s="11"/>
      <c r="K8" s="12" t="s">
        <v>9</v>
      </c>
      <c r="L8" s="12"/>
      <c r="M8" s="12"/>
    </row>
    <row r="9" customFormat="false" ht="42" hidden="false" customHeight="true" outlineLevel="0" collapsed="false">
      <c r="B9" s="13" t="n">
        <f aca="false">COUNTIF('All Accounts'!G5:G91,"Fully reviewed")</f>
        <v>9</v>
      </c>
      <c r="C9" s="13"/>
      <c r="D9" s="13"/>
      <c r="E9" s="14" t="n">
        <f aca="false">COUNTIF('All Accounts'!G5:G91,"Partial")</f>
        <v>6</v>
      </c>
      <c r="F9" s="14"/>
      <c r="G9" s="14"/>
      <c r="H9" s="15" t="n">
        <f aca="false">COUNTIF('All Accounts'!G5:G91,"Opened")</f>
        <v>1</v>
      </c>
      <c r="I9" s="15"/>
      <c r="J9" s="15"/>
      <c r="K9" s="16" t="n">
        <f aca="false">COUNTIF('All Accounts'!G5:G91,"Not started")</f>
        <v>71</v>
      </c>
      <c r="L9" s="16"/>
      <c r="M9" s="16"/>
    </row>
    <row r="11" customFormat="false" ht="15" hidden="false" customHeight="false" outlineLevel="0" collapsed="false">
      <c r="B11" s="17" t="s">
        <v>10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.75" hidden="false" customHeight="true" outlineLevel="0" collapsed="false">
      <c r="B12" s="18" t="s">
        <v>11</v>
      </c>
      <c r="C12" s="18"/>
      <c r="D12" s="18"/>
      <c r="E12" s="19" t="s">
        <v>12</v>
      </c>
      <c r="F12" s="19"/>
      <c r="G12" s="19"/>
      <c r="H12" s="20" t="s">
        <v>13</v>
      </c>
      <c r="I12" s="20"/>
      <c r="J12" s="20"/>
      <c r="K12" s="21" t="s">
        <v>14</v>
      </c>
      <c r="L12" s="21"/>
      <c r="M12" s="21"/>
    </row>
    <row r="13" customFormat="false" ht="42" hidden="false" customHeight="true" outlineLevel="0" collapsed="false">
      <c r="B13" s="22" t="n">
        <f aca="false">COUNTIF('All Accounts'!N5:N91,"GREEN")</f>
        <v>1</v>
      </c>
      <c r="C13" s="22"/>
      <c r="D13" s="22"/>
      <c r="E13" s="23" t="n">
        <f aca="false">COUNTIF('All Accounts'!N5:N91,"AMBER")</f>
        <v>14</v>
      </c>
      <c r="F13" s="23"/>
      <c r="G13" s="23"/>
      <c r="H13" s="24" t="n">
        <f aca="false">COUNTIF('All Accounts'!N5:N91,"RED")</f>
        <v>0</v>
      </c>
      <c r="I13" s="24"/>
      <c r="J13" s="24"/>
      <c r="K13" s="14" t="n">
        <f aca="false">COUNTIF('All Accounts'!N5:N91,"OPENED")</f>
        <v>1</v>
      </c>
      <c r="L13" s="14"/>
      <c r="M13" s="14"/>
    </row>
    <row r="15" customFormat="false" ht="15" hidden="false" customHeight="false" outlineLevel="0" collapsed="false">
      <c r="B15" s="25" t="s">
        <v>15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customFormat="false" ht="15.75" hidden="false" customHeight="true" outlineLevel="0" collapsed="false">
      <c r="B16" s="26" t="s">
        <v>16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</row>
    <row r="17" customFormat="false" ht="15.75" hidden="false" customHeight="true" outlineLevel="0" collapsed="false">
      <c r="B17" s="27" t="s">
        <v>17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</row>
    <row r="18" customFormat="false" ht="15.75" hidden="false" customHeight="true" outlineLevel="0" collapsed="false">
      <c r="B18" s="26" t="s">
        <v>18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</row>
    <row r="19" customFormat="false" ht="15.75" hidden="false" customHeight="true" outlineLevel="0" collapsed="false">
      <c r="B19" s="27" t="s">
        <v>19</v>
      </c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</row>
    <row r="20" customFormat="false" ht="15.75" hidden="false" customHeight="true" outlineLevel="0" collapsed="false">
      <c r="B20" s="26" t="s">
        <v>20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</row>
    <row r="21" customFormat="false" ht="25.5" hidden="false" customHeight="true" outlineLevel="0" collapsed="false">
      <c r="B21" s="28" t="s">
        <v>21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</row>
  </sheetData>
  <mergeCells count="34">
    <mergeCell ref="B2:N2"/>
    <mergeCell ref="B3:N3"/>
    <mergeCell ref="B5:D5"/>
    <mergeCell ref="E5:G5"/>
    <mergeCell ref="H5:J5"/>
    <mergeCell ref="K5:M5"/>
    <mergeCell ref="B6:D6"/>
    <mergeCell ref="E6:G6"/>
    <mergeCell ref="H6:J6"/>
    <mergeCell ref="K6:M6"/>
    <mergeCell ref="B8:D8"/>
    <mergeCell ref="E8:G8"/>
    <mergeCell ref="H8:J8"/>
    <mergeCell ref="K8:M8"/>
    <mergeCell ref="B9:D9"/>
    <mergeCell ref="E9:G9"/>
    <mergeCell ref="H9:J9"/>
    <mergeCell ref="K9:M9"/>
    <mergeCell ref="B11:N11"/>
    <mergeCell ref="B12:D12"/>
    <mergeCell ref="E12:G12"/>
    <mergeCell ref="H12:J12"/>
    <mergeCell ref="K12:M12"/>
    <mergeCell ref="B13:D13"/>
    <mergeCell ref="E13:G13"/>
    <mergeCell ref="H13:J13"/>
    <mergeCell ref="K13:M13"/>
    <mergeCell ref="B15:N15"/>
    <mergeCell ref="B16:N16"/>
    <mergeCell ref="B17:N17"/>
    <mergeCell ref="B18:N18"/>
    <mergeCell ref="B19:N19"/>
    <mergeCell ref="B20:N20"/>
    <mergeCell ref="B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91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3" min="10" style="0" width="8"/>
    <col collapsed="false" customWidth="true" hidden="false" outlineLevel="0" max="14" min="14" style="0" width="10"/>
    <col collapsed="false" customWidth="true" hidden="false" outlineLevel="0" max="15" min="15" style="0" width="70"/>
    <col collapsed="false" customWidth="true" hidden="false" outlineLevel="0" max="16" min="16" style="0" width="60"/>
    <col collapsed="false" customWidth="true" hidden="false" outlineLevel="0" max="17" min="17" style="0" width="34"/>
    <col collapsed="false" customWidth="true" hidden="false" outlineLevel="0" max="18" min="18" style="0" width="26"/>
    <col collapsed="false" customWidth="true" hidden="false" outlineLevel="0" max="19" min="19" style="0" width="12"/>
  </cols>
  <sheetData>
    <row r="1" customFormat="false" ht="30" hidden="false" customHeight="true" outlineLevel="0" collapsed="false">
      <c r="A1" s="29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</row>
    <row r="2" customFormat="false" ht="15.75" hidden="false" customHeight="true" outlineLevel="0" collapsed="false">
      <c r="A2" s="2" t="s">
        <v>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7.75" hidden="false" customHeight="true" outlineLevel="0" collapsed="false">
      <c r="A4" s="30" t="s">
        <v>24</v>
      </c>
      <c r="B4" s="30" t="s">
        <v>25</v>
      </c>
      <c r="C4" s="30" t="s">
        <v>26</v>
      </c>
      <c r="D4" s="30" t="s">
        <v>27</v>
      </c>
      <c r="E4" s="30" t="s">
        <v>28</v>
      </c>
      <c r="F4" s="30" t="s">
        <v>29</v>
      </c>
      <c r="G4" s="30" t="s">
        <v>30</v>
      </c>
      <c r="H4" s="30" t="s">
        <v>31</v>
      </c>
      <c r="I4" s="30" t="s">
        <v>32</v>
      </c>
      <c r="J4" s="30" t="s">
        <v>33</v>
      </c>
      <c r="K4" s="30" t="s">
        <v>34</v>
      </c>
      <c r="L4" s="30" t="s">
        <v>35</v>
      </c>
      <c r="M4" s="30" t="s">
        <v>36</v>
      </c>
      <c r="N4" s="30" t="s">
        <v>37</v>
      </c>
      <c r="O4" s="30" t="s">
        <v>38</v>
      </c>
      <c r="P4" s="30" t="s">
        <v>39</v>
      </c>
      <c r="Q4" s="30" t="s">
        <v>40</v>
      </c>
      <c r="R4" s="30" t="s">
        <v>41</v>
      </c>
      <c r="S4" s="30" t="s">
        <v>42</v>
      </c>
    </row>
    <row r="5" customFormat="false" ht="63.75" hidden="false" customHeight="true" outlineLevel="0" collapsed="false">
      <c r="A5" s="31" t="s">
        <v>43</v>
      </c>
      <c r="B5" s="31" t="s">
        <v>44</v>
      </c>
      <c r="C5" s="32" t="s">
        <v>45</v>
      </c>
      <c r="D5" s="33" t="n">
        <v>67055.47</v>
      </c>
      <c r="E5" s="33" t="n">
        <v>97083.52</v>
      </c>
      <c r="F5" s="31" t="s">
        <v>46</v>
      </c>
      <c r="G5" s="31" t="s">
        <v>47</v>
      </c>
      <c r="H5" s="33" t="n">
        <v>3433.91</v>
      </c>
      <c r="I5" s="33" t="n">
        <v>63621.56</v>
      </c>
      <c r="J5" s="34" t="s">
        <v>11</v>
      </c>
      <c r="K5" s="34" t="s">
        <v>13</v>
      </c>
      <c r="L5" s="34" t="s">
        <v>11</v>
      </c>
      <c r="M5" s="34" t="s">
        <v>11</v>
      </c>
      <c r="N5" s="34" t="s">
        <v>12</v>
      </c>
      <c r="O5" s="32" t="s">
        <v>48</v>
      </c>
      <c r="P5" s="32" t="s">
        <v>49</v>
      </c>
      <c r="Q5" s="32" t="s">
        <v>50</v>
      </c>
      <c r="R5" s="32" t="s">
        <v>51</v>
      </c>
      <c r="S5" s="31" t="s">
        <v>52</v>
      </c>
    </row>
    <row r="6" customFormat="false" ht="63.75" hidden="false" customHeight="true" outlineLevel="0" collapsed="false">
      <c r="A6" s="35" t="s">
        <v>43</v>
      </c>
      <c r="B6" s="35" t="s">
        <v>53</v>
      </c>
      <c r="C6" s="36" t="s">
        <v>54</v>
      </c>
      <c r="D6" s="37" t="n">
        <v>43393.37</v>
      </c>
      <c r="E6" s="37" t="n">
        <v>60215.21</v>
      </c>
      <c r="F6" s="35" t="s">
        <v>46</v>
      </c>
      <c r="G6" s="35" t="s">
        <v>55</v>
      </c>
      <c r="H6" s="37" t="n">
        <v>43393.37</v>
      </c>
      <c r="I6" s="37" t="n">
        <v>0</v>
      </c>
      <c r="J6" s="38" t="s">
        <v>12</v>
      </c>
      <c r="K6" s="38" t="s">
        <v>12</v>
      </c>
      <c r="L6" s="38" t="s">
        <v>12</v>
      </c>
      <c r="M6" s="38" t="s">
        <v>12</v>
      </c>
      <c r="N6" s="38" t="s">
        <v>12</v>
      </c>
      <c r="O6" s="36" t="s">
        <v>56</v>
      </c>
      <c r="P6" s="36" t="s">
        <v>57</v>
      </c>
      <c r="Q6" s="36" t="s">
        <v>58</v>
      </c>
      <c r="R6" s="36" t="s">
        <v>59</v>
      </c>
      <c r="S6" s="35" t="s">
        <v>52</v>
      </c>
    </row>
    <row r="7" customFormat="false" ht="63.75" hidden="false" customHeight="true" outlineLevel="0" collapsed="false">
      <c r="A7" s="31" t="s">
        <v>43</v>
      </c>
      <c r="B7" s="31" t="s">
        <v>60</v>
      </c>
      <c r="C7" s="32" t="s">
        <v>61</v>
      </c>
      <c r="D7" s="33" t="n">
        <v>2461.27</v>
      </c>
      <c r="E7" s="33" t="n">
        <v>0</v>
      </c>
      <c r="F7" s="31" t="s">
        <v>62</v>
      </c>
      <c r="G7" s="31" t="s">
        <v>55</v>
      </c>
      <c r="H7" s="33" t="n">
        <v>2461.27</v>
      </c>
      <c r="I7" s="33"/>
      <c r="J7" s="34" t="s">
        <v>11</v>
      </c>
      <c r="K7" s="34" t="s">
        <v>13</v>
      </c>
      <c r="L7" s="34" t="s">
        <v>11</v>
      </c>
      <c r="M7" s="34" t="s">
        <v>11</v>
      </c>
      <c r="N7" s="34" t="s">
        <v>12</v>
      </c>
      <c r="O7" s="32" t="s">
        <v>63</v>
      </c>
      <c r="P7" s="32" t="s">
        <v>64</v>
      </c>
      <c r="Q7" s="32" t="s">
        <v>65</v>
      </c>
      <c r="R7" s="32" t="s">
        <v>66</v>
      </c>
      <c r="S7" s="31" t="s">
        <v>67</v>
      </c>
    </row>
    <row r="8" customFormat="false" ht="15" hidden="false" customHeight="true" outlineLevel="0" collapsed="false">
      <c r="A8" s="35" t="s">
        <v>68</v>
      </c>
      <c r="B8" s="35" t="s">
        <v>69</v>
      </c>
      <c r="C8" s="36" t="s">
        <v>70</v>
      </c>
      <c r="D8" s="37" t="n">
        <v>13198801.71</v>
      </c>
      <c r="E8" s="37" t="n">
        <v>15381294.96</v>
      </c>
      <c r="F8" s="35" t="s">
        <v>71</v>
      </c>
      <c r="G8" s="35" t="s">
        <v>72</v>
      </c>
      <c r="H8" s="37"/>
      <c r="I8" s="37" t="n">
        <v>13198801.71</v>
      </c>
      <c r="J8" s="38"/>
      <c r="K8" s="38"/>
      <c r="L8" s="38"/>
      <c r="M8" s="38"/>
      <c r="N8" s="38"/>
      <c r="O8" s="36"/>
      <c r="P8" s="36" t="s">
        <v>73</v>
      </c>
      <c r="Q8" s="36"/>
      <c r="R8" s="36"/>
      <c r="S8" s="35"/>
    </row>
    <row r="9" customFormat="false" ht="63.75" hidden="false" customHeight="true" outlineLevel="0" collapsed="false">
      <c r="A9" s="31" t="s">
        <v>68</v>
      </c>
      <c r="B9" s="31" t="s">
        <v>74</v>
      </c>
      <c r="C9" s="32" t="s">
        <v>75</v>
      </c>
      <c r="D9" s="33" t="n">
        <v>7765424.12</v>
      </c>
      <c r="E9" s="33" t="n">
        <v>5318104.34</v>
      </c>
      <c r="F9" s="31" t="s">
        <v>71</v>
      </c>
      <c r="G9" s="31" t="s">
        <v>47</v>
      </c>
      <c r="H9" s="33" t="n">
        <v>54242.75</v>
      </c>
      <c r="I9" s="33" t="n">
        <v>7711181.37</v>
      </c>
      <c r="J9" s="34" t="s">
        <v>12</v>
      </c>
      <c r="K9" s="34" t="s">
        <v>13</v>
      </c>
      <c r="L9" s="34" t="s">
        <v>12</v>
      </c>
      <c r="M9" s="34" t="s">
        <v>12</v>
      </c>
      <c r="N9" s="34" t="s">
        <v>12</v>
      </c>
      <c r="O9" s="32" t="s">
        <v>76</v>
      </c>
      <c r="P9" s="32" t="s">
        <v>77</v>
      </c>
      <c r="Q9" s="32" t="s">
        <v>78</v>
      </c>
      <c r="R9" s="32" t="s">
        <v>79</v>
      </c>
      <c r="S9" s="31" t="s">
        <v>80</v>
      </c>
    </row>
    <row r="10" customFormat="false" ht="63.75" hidden="false" customHeight="true" outlineLevel="0" collapsed="false">
      <c r="A10" s="35" t="s">
        <v>68</v>
      </c>
      <c r="B10" s="35" t="s">
        <v>81</v>
      </c>
      <c r="C10" s="36" t="s">
        <v>82</v>
      </c>
      <c r="D10" s="37" t="n">
        <v>3900770.79</v>
      </c>
      <c r="E10" s="37" t="n">
        <v>8330733.3</v>
      </c>
      <c r="F10" s="35" t="s">
        <v>71</v>
      </c>
      <c r="G10" s="35" t="s">
        <v>83</v>
      </c>
      <c r="H10" s="37" t="n">
        <v>0</v>
      </c>
      <c r="I10" s="37" t="n">
        <v>3900770.79</v>
      </c>
      <c r="J10" s="38" t="s">
        <v>84</v>
      </c>
      <c r="K10" s="38" t="s">
        <v>84</v>
      </c>
      <c r="L10" s="38" t="s">
        <v>84</v>
      </c>
      <c r="M10" s="38" t="s">
        <v>84</v>
      </c>
      <c r="N10" s="38" t="s">
        <v>14</v>
      </c>
      <c r="O10" s="36" t="s">
        <v>85</v>
      </c>
      <c r="P10" s="36" t="s">
        <v>86</v>
      </c>
      <c r="Q10" s="36" t="s">
        <v>87</v>
      </c>
      <c r="R10" s="36" t="s">
        <v>88</v>
      </c>
      <c r="S10" s="35" t="s">
        <v>89</v>
      </c>
    </row>
    <row r="11" customFormat="false" ht="15" hidden="false" customHeight="true" outlineLevel="0" collapsed="false">
      <c r="A11" s="31" t="s">
        <v>68</v>
      </c>
      <c r="B11" s="31" t="s">
        <v>90</v>
      </c>
      <c r="C11" s="32" t="s">
        <v>91</v>
      </c>
      <c r="D11" s="33" t="n">
        <v>3051433.74</v>
      </c>
      <c r="E11" s="33" t="n">
        <v>4000000</v>
      </c>
      <c r="F11" s="31" t="s">
        <v>71</v>
      </c>
      <c r="G11" s="31" t="s">
        <v>72</v>
      </c>
      <c r="H11" s="33"/>
      <c r="I11" s="33" t="n">
        <v>3051433.74</v>
      </c>
      <c r="J11" s="34"/>
      <c r="K11" s="34"/>
      <c r="L11" s="34"/>
      <c r="M11" s="34"/>
      <c r="N11" s="34"/>
      <c r="O11" s="32"/>
      <c r="P11" s="32" t="s">
        <v>73</v>
      </c>
      <c r="Q11" s="32"/>
      <c r="R11" s="32"/>
      <c r="S11" s="31"/>
    </row>
    <row r="12" customFormat="false" ht="15" hidden="false" customHeight="true" outlineLevel="0" collapsed="false">
      <c r="A12" s="35" t="s">
        <v>92</v>
      </c>
      <c r="B12" s="35" t="s">
        <v>93</v>
      </c>
      <c r="C12" s="36" t="s">
        <v>94</v>
      </c>
      <c r="D12" s="37" t="n">
        <v>1844939.64</v>
      </c>
      <c r="E12" s="37" t="n">
        <v>2130960</v>
      </c>
      <c r="F12" s="35" t="s">
        <v>71</v>
      </c>
      <c r="G12" s="35" t="s">
        <v>72</v>
      </c>
      <c r="H12" s="37"/>
      <c r="I12" s="37" t="n">
        <v>1844939.64</v>
      </c>
      <c r="J12" s="38"/>
      <c r="K12" s="38"/>
      <c r="L12" s="38"/>
      <c r="M12" s="38"/>
      <c r="N12" s="38"/>
      <c r="O12" s="36"/>
      <c r="P12" s="36" t="s">
        <v>73</v>
      </c>
      <c r="Q12" s="36"/>
      <c r="R12" s="36"/>
      <c r="S12" s="35"/>
    </row>
    <row r="13" customFormat="false" ht="15" hidden="false" customHeight="true" outlineLevel="0" collapsed="false">
      <c r="A13" s="31" t="s">
        <v>92</v>
      </c>
      <c r="B13" s="31" t="s">
        <v>95</v>
      </c>
      <c r="C13" s="32" t="s">
        <v>96</v>
      </c>
      <c r="D13" s="33" t="n">
        <v>871434.07</v>
      </c>
      <c r="E13" s="33" t="n">
        <v>29417.39</v>
      </c>
      <c r="F13" s="31" t="s">
        <v>97</v>
      </c>
      <c r="G13" s="31" t="s">
        <v>72</v>
      </c>
      <c r="H13" s="33"/>
      <c r="I13" s="33" t="n">
        <v>871434.07</v>
      </c>
      <c r="J13" s="34"/>
      <c r="K13" s="34"/>
      <c r="L13" s="34"/>
      <c r="M13" s="34"/>
      <c r="N13" s="34"/>
      <c r="O13" s="32"/>
      <c r="P13" s="32" t="s">
        <v>73</v>
      </c>
      <c r="Q13" s="32"/>
      <c r="R13" s="32"/>
      <c r="S13" s="31"/>
    </row>
    <row r="14" customFormat="false" ht="15" hidden="false" customHeight="true" outlineLevel="0" collapsed="false">
      <c r="A14" s="35" t="s">
        <v>92</v>
      </c>
      <c r="B14" s="35" t="s">
        <v>98</v>
      </c>
      <c r="C14" s="36" t="s">
        <v>99</v>
      </c>
      <c r="D14" s="37" t="n">
        <v>668784.41</v>
      </c>
      <c r="E14" s="37" t="n">
        <v>1160178.75</v>
      </c>
      <c r="F14" s="35" t="s">
        <v>97</v>
      </c>
      <c r="G14" s="35" t="s">
        <v>72</v>
      </c>
      <c r="H14" s="37"/>
      <c r="I14" s="37" t="n">
        <v>668784.41</v>
      </c>
      <c r="J14" s="38"/>
      <c r="K14" s="38"/>
      <c r="L14" s="38"/>
      <c r="M14" s="38"/>
      <c r="N14" s="38"/>
      <c r="O14" s="36"/>
      <c r="P14" s="36" t="s">
        <v>73</v>
      </c>
      <c r="Q14" s="36"/>
      <c r="R14" s="36"/>
      <c r="S14" s="35"/>
    </row>
    <row r="15" customFormat="false" ht="15" hidden="false" customHeight="true" outlineLevel="0" collapsed="false">
      <c r="A15" s="31" t="s">
        <v>92</v>
      </c>
      <c r="B15" s="31" t="s">
        <v>100</v>
      </c>
      <c r="C15" s="32" t="s">
        <v>101</v>
      </c>
      <c r="D15" s="33" t="n">
        <v>363931.78</v>
      </c>
      <c r="E15" s="33" t="n">
        <v>346422.15</v>
      </c>
      <c r="F15" s="31" t="s">
        <v>97</v>
      </c>
      <c r="G15" s="31" t="s">
        <v>72</v>
      </c>
      <c r="H15" s="33"/>
      <c r="I15" s="33" t="n">
        <v>363931.78</v>
      </c>
      <c r="J15" s="34"/>
      <c r="K15" s="34"/>
      <c r="L15" s="34"/>
      <c r="M15" s="34"/>
      <c r="N15" s="34"/>
      <c r="O15" s="32"/>
      <c r="P15" s="32" t="s">
        <v>73</v>
      </c>
      <c r="Q15" s="32"/>
      <c r="R15" s="32"/>
      <c r="S15" s="31"/>
    </row>
    <row r="16" customFormat="false" ht="15" hidden="false" customHeight="true" outlineLevel="0" collapsed="false">
      <c r="A16" s="35" t="s">
        <v>92</v>
      </c>
      <c r="B16" s="35" t="s">
        <v>102</v>
      </c>
      <c r="C16" s="36" t="s">
        <v>103</v>
      </c>
      <c r="D16" s="37" t="n">
        <v>339375.43</v>
      </c>
      <c r="E16" s="37" t="n">
        <v>276596.57</v>
      </c>
      <c r="F16" s="35" t="s">
        <v>97</v>
      </c>
      <c r="G16" s="35" t="s">
        <v>72</v>
      </c>
      <c r="H16" s="37"/>
      <c r="I16" s="37" t="n">
        <v>339375.43</v>
      </c>
      <c r="J16" s="38"/>
      <c r="K16" s="38"/>
      <c r="L16" s="38"/>
      <c r="M16" s="38"/>
      <c r="N16" s="38"/>
      <c r="O16" s="36"/>
      <c r="P16" s="36" t="s">
        <v>73</v>
      </c>
      <c r="Q16" s="36"/>
      <c r="R16" s="36"/>
      <c r="S16" s="35"/>
    </row>
    <row r="17" customFormat="false" ht="15" hidden="false" customHeight="true" outlineLevel="0" collapsed="false">
      <c r="A17" s="31" t="s">
        <v>92</v>
      </c>
      <c r="B17" s="31" t="s">
        <v>104</v>
      </c>
      <c r="C17" s="32" t="s">
        <v>105</v>
      </c>
      <c r="D17" s="33" t="n">
        <v>264132.36</v>
      </c>
      <c r="E17" s="33" t="n">
        <v>5579.2</v>
      </c>
      <c r="F17" s="31" t="s">
        <v>97</v>
      </c>
      <c r="G17" s="31" t="s">
        <v>72</v>
      </c>
      <c r="H17" s="33"/>
      <c r="I17" s="33" t="n">
        <v>264132.36</v>
      </c>
      <c r="J17" s="34"/>
      <c r="K17" s="34"/>
      <c r="L17" s="34"/>
      <c r="M17" s="34"/>
      <c r="N17" s="34"/>
      <c r="O17" s="32"/>
      <c r="P17" s="32" t="s">
        <v>73</v>
      </c>
      <c r="Q17" s="32"/>
      <c r="R17" s="32"/>
      <c r="S17" s="31"/>
    </row>
    <row r="18" customFormat="false" ht="15" hidden="false" customHeight="true" outlineLevel="0" collapsed="false">
      <c r="A18" s="35" t="s">
        <v>92</v>
      </c>
      <c r="B18" s="35" t="s">
        <v>106</v>
      </c>
      <c r="C18" s="36" t="s">
        <v>107</v>
      </c>
      <c r="D18" s="37" t="n">
        <v>236077.27</v>
      </c>
      <c r="E18" s="37" t="n">
        <v>894312.41</v>
      </c>
      <c r="F18" s="35" t="s">
        <v>97</v>
      </c>
      <c r="G18" s="35" t="s">
        <v>72</v>
      </c>
      <c r="H18" s="37"/>
      <c r="I18" s="37" t="n">
        <v>236077.27</v>
      </c>
      <c r="J18" s="38"/>
      <c r="K18" s="38"/>
      <c r="L18" s="38"/>
      <c r="M18" s="38"/>
      <c r="N18" s="38"/>
      <c r="O18" s="36"/>
      <c r="P18" s="36" t="s">
        <v>73</v>
      </c>
      <c r="Q18" s="36"/>
      <c r="R18" s="36"/>
      <c r="S18" s="35"/>
    </row>
    <row r="19" customFormat="false" ht="15" hidden="false" customHeight="true" outlineLevel="0" collapsed="false">
      <c r="A19" s="31" t="s">
        <v>92</v>
      </c>
      <c r="B19" s="31" t="s">
        <v>108</v>
      </c>
      <c r="C19" s="32" t="s">
        <v>109</v>
      </c>
      <c r="D19" s="33" t="n">
        <v>204911.46</v>
      </c>
      <c r="E19" s="33" t="n">
        <v>197323.14</v>
      </c>
      <c r="F19" s="31" t="s">
        <v>97</v>
      </c>
      <c r="G19" s="31" t="s">
        <v>72</v>
      </c>
      <c r="H19" s="33"/>
      <c r="I19" s="33" t="n">
        <v>204911.46</v>
      </c>
      <c r="J19" s="34"/>
      <c r="K19" s="34"/>
      <c r="L19" s="34"/>
      <c r="M19" s="34"/>
      <c r="N19" s="34"/>
      <c r="O19" s="32"/>
      <c r="P19" s="32" t="s">
        <v>73</v>
      </c>
      <c r="Q19" s="32"/>
      <c r="R19" s="32"/>
      <c r="S19" s="31"/>
    </row>
    <row r="20" customFormat="false" ht="15" hidden="false" customHeight="true" outlineLevel="0" collapsed="false">
      <c r="A20" s="35" t="s">
        <v>92</v>
      </c>
      <c r="B20" s="35" t="s">
        <v>110</v>
      </c>
      <c r="C20" s="36" t="s">
        <v>111</v>
      </c>
      <c r="D20" s="37" t="n">
        <v>163135.45</v>
      </c>
      <c r="E20" s="37" t="n">
        <v>0</v>
      </c>
      <c r="F20" s="35" t="s">
        <v>97</v>
      </c>
      <c r="G20" s="35" t="s">
        <v>72</v>
      </c>
      <c r="H20" s="37"/>
      <c r="I20" s="37" t="n">
        <v>163135.45</v>
      </c>
      <c r="J20" s="38"/>
      <c r="K20" s="38"/>
      <c r="L20" s="38"/>
      <c r="M20" s="38"/>
      <c r="N20" s="38"/>
      <c r="O20" s="36"/>
      <c r="P20" s="36" t="s">
        <v>73</v>
      </c>
      <c r="Q20" s="36"/>
      <c r="R20" s="36"/>
      <c r="S20" s="35"/>
    </row>
    <row r="21" customFormat="false" ht="15" hidden="false" customHeight="true" outlineLevel="0" collapsed="false">
      <c r="A21" s="31" t="s">
        <v>92</v>
      </c>
      <c r="B21" s="31" t="s">
        <v>112</v>
      </c>
      <c r="C21" s="32" t="s">
        <v>113</v>
      </c>
      <c r="D21" s="33" t="n">
        <v>157505.76</v>
      </c>
      <c r="E21" s="33" t="n">
        <v>174568.78</v>
      </c>
      <c r="F21" s="31" t="s">
        <v>97</v>
      </c>
      <c r="G21" s="31" t="s">
        <v>72</v>
      </c>
      <c r="H21" s="33"/>
      <c r="I21" s="33" t="n">
        <v>157505.76</v>
      </c>
      <c r="J21" s="34"/>
      <c r="K21" s="34"/>
      <c r="L21" s="34"/>
      <c r="M21" s="34"/>
      <c r="N21" s="34"/>
      <c r="O21" s="32"/>
      <c r="P21" s="32" t="s">
        <v>73</v>
      </c>
      <c r="Q21" s="32"/>
      <c r="R21" s="32"/>
      <c r="S21" s="31"/>
    </row>
    <row r="22" customFormat="false" ht="15" hidden="false" customHeight="true" outlineLevel="0" collapsed="false">
      <c r="A22" s="35" t="s">
        <v>92</v>
      </c>
      <c r="B22" s="35" t="s">
        <v>114</v>
      </c>
      <c r="C22" s="36" t="s">
        <v>115</v>
      </c>
      <c r="D22" s="37" t="n">
        <v>150347.57</v>
      </c>
      <c r="E22" s="37" t="n">
        <v>99731.71</v>
      </c>
      <c r="F22" s="35" t="s">
        <v>97</v>
      </c>
      <c r="G22" s="35" t="s">
        <v>72</v>
      </c>
      <c r="H22" s="37"/>
      <c r="I22" s="37" t="n">
        <v>150347.57</v>
      </c>
      <c r="J22" s="38"/>
      <c r="K22" s="38"/>
      <c r="L22" s="38"/>
      <c r="M22" s="38"/>
      <c r="N22" s="38"/>
      <c r="O22" s="36"/>
      <c r="P22" s="36" t="s">
        <v>73</v>
      </c>
      <c r="Q22" s="36"/>
      <c r="R22" s="36"/>
      <c r="S22" s="35"/>
    </row>
    <row r="23" customFormat="false" ht="63.75" hidden="false" customHeight="true" outlineLevel="0" collapsed="false">
      <c r="A23" s="31" t="s">
        <v>116</v>
      </c>
      <c r="B23" s="31" t="s">
        <v>117</v>
      </c>
      <c r="C23" s="32" t="s">
        <v>118</v>
      </c>
      <c r="D23" s="33" t="n">
        <v>69232.16</v>
      </c>
      <c r="E23" s="33" t="n">
        <v>65134.88</v>
      </c>
      <c r="F23" s="31" t="s">
        <v>46</v>
      </c>
      <c r="G23" s="31" t="s">
        <v>55</v>
      </c>
      <c r="H23" s="33" t="n">
        <v>69232.16</v>
      </c>
      <c r="I23" s="33" t="n">
        <v>0</v>
      </c>
      <c r="J23" s="34" t="s">
        <v>12</v>
      </c>
      <c r="K23" s="34" t="s">
        <v>12</v>
      </c>
      <c r="L23" s="34" t="s">
        <v>12</v>
      </c>
      <c r="M23" s="34" t="s">
        <v>12</v>
      </c>
      <c r="N23" s="34" t="s">
        <v>12</v>
      </c>
      <c r="O23" s="32" t="s">
        <v>119</v>
      </c>
      <c r="P23" s="32" t="s">
        <v>120</v>
      </c>
      <c r="Q23" s="32" t="s">
        <v>121</v>
      </c>
      <c r="R23" s="32" t="s">
        <v>122</v>
      </c>
      <c r="S23" s="31" t="s">
        <v>123</v>
      </c>
    </row>
    <row r="24" customFormat="false" ht="15" hidden="false" customHeight="true" outlineLevel="0" collapsed="false">
      <c r="A24" s="35" t="s">
        <v>116</v>
      </c>
      <c r="B24" s="35" t="s">
        <v>124</v>
      </c>
      <c r="C24" s="36" t="s">
        <v>125</v>
      </c>
      <c r="D24" s="37" t="n">
        <v>63803.78</v>
      </c>
      <c r="E24" s="37" t="n">
        <v>60788.01</v>
      </c>
      <c r="F24" s="35" t="s">
        <v>46</v>
      </c>
      <c r="G24" s="35" t="s">
        <v>72</v>
      </c>
      <c r="H24" s="37"/>
      <c r="I24" s="37" t="n">
        <v>63803.78</v>
      </c>
      <c r="J24" s="38"/>
      <c r="K24" s="38"/>
      <c r="L24" s="38"/>
      <c r="M24" s="38"/>
      <c r="N24" s="38"/>
      <c r="O24" s="36"/>
      <c r="P24" s="36" t="s">
        <v>73</v>
      </c>
      <c r="Q24" s="36"/>
      <c r="R24" s="36"/>
      <c r="S24" s="35"/>
    </row>
    <row r="25" customFormat="false" ht="15" hidden="false" customHeight="true" outlineLevel="0" collapsed="false">
      <c r="A25" s="31" t="s">
        <v>116</v>
      </c>
      <c r="B25" s="31" t="s">
        <v>126</v>
      </c>
      <c r="C25" s="32" t="s">
        <v>127</v>
      </c>
      <c r="D25" s="33" t="n">
        <v>46010.25</v>
      </c>
      <c r="E25" s="33" t="n">
        <v>44775.05</v>
      </c>
      <c r="F25" s="31" t="s">
        <v>46</v>
      </c>
      <c r="G25" s="31" t="s">
        <v>72</v>
      </c>
      <c r="H25" s="33"/>
      <c r="I25" s="33" t="n">
        <v>46010.25</v>
      </c>
      <c r="J25" s="34"/>
      <c r="K25" s="34"/>
      <c r="L25" s="34"/>
      <c r="M25" s="34"/>
      <c r="N25" s="34"/>
      <c r="O25" s="32"/>
      <c r="P25" s="32" t="s">
        <v>73</v>
      </c>
      <c r="Q25" s="32"/>
      <c r="R25" s="32"/>
      <c r="S25" s="31"/>
    </row>
    <row r="26" customFormat="false" ht="63.75" hidden="false" customHeight="true" outlineLevel="0" collapsed="false">
      <c r="A26" s="35" t="s">
        <v>116</v>
      </c>
      <c r="B26" s="35" t="s">
        <v>128</v>
      </c>
      <c r="C26" s="36" t="s">
        <v>129</v>
      </c>
      <c r="D26" s="37" t="n">
        <v>46003.66</v>
      </c>
      <c r="E26" s="37" t="n">
        <v>45000</v>
      </c>
      <c r="F26" s="35" t="s">
        <v>46</v>
      </c>
      <c r="G26" s="35" t="s">
        <v>47</v>
      </c>
      <c r="H26" s="37" t="n">
        <v>46003.66</v>
      </c>
      <c r="I26" s="37" t="n">
        <v>0</v>
      </c>
      <c r="J26" s="38" t="s">
        <v>11</v>
      </c>
      <c r="K26" s="38" t="s">
        <v>11</v>
      </c>
      <c r="L26" s="38" t="s">
        <v>12</v>
      </c>
      <c r="M26" s="38" t="s">
        <v>12</v>
      </c>
      <c r="N26" s="38" t="s">
        <v>12</v>
      </c>
      <c r="O26" s="36" t="s">
        <v>130</v>
      </c>
      <c r="P26" s="36" t="s">
        <v>131</v>
      </c>
      <c r="Q26" s="36" t="s">
        <v>132</v>
      </c>
      <c r="R26" s="36" t="s">
        <v>133</v>
      </c>
      <c r="S26" s="35" t="s">
        <v>123</v>
      </c>
    </row>
    <row r="27" customFormat="false" ht="15" hidden="false" customHeight="true" outlineLevel="0" collapsed="false">
      <c r="A27" s="31" t="s">
        <v>116</v>
      </c>
      <c r="B27" s="31" t="s">
        <v>134</v>
      </c>
      <c r="C27" s="32" t="s">
        <v>135</v>
      </c>
      <c r="D27" s="33" t="n">
        <v>34840.97</v>
      </c>
      <c r="E27" s="33" t="n">
        <v>3663.8</v>
      </c>
      <c r="F27" s="31" t="s">
        <v>46</v>
      </c>
      <c r="G27" s="31" t="s">
        <v>72</v>
      </c>
      <c r="H27" s="33"/>
      <c r="I27" s="33" t="n">
        <v>34840.97</v>
      </c>
      <c r="J27" s="34"/>
      <c r="K27" s="34"/>
      <c r="L27" s="34"/>
      <c r="M27" s="34"/>
      <c r="N27" s="34"/>
      <c r="O27" s="32"/>
      <c r="P27" s="32" t="s">
        <v>73</v>
      </c>
      <c r="Q27" s="32"/>
      <c r="R27" s="32"/>
      <c r="S27" s="31"/>
    </row>
    <row r="28" customFormat="false" ht="15" hidden="false" customHeight="true" outlineLevel="0" collapsed="false">
      <c r="A28" s="35" t="s">
        <v>116</v>
      </c>
      <c r="B28" s="35" t="s">
        <v>136</v>
      </c>
      <c r="C28" s="36" t="s">
        <v>137</v>
      </c>
      <c r="D28" s="37" t="n">
        <v>27971.77</v>
      </c>
      <c r="E28" s="37" t="n">
        <v>0</v>
      </c>
      <c r="F28" s="35" t="s">
        <v>46</v>
      </c>
      <c r="G28" s="35" t="s">
        <v>72</v>
      </c>
      <c r="H28" s="37"/>
      <c r="I28" s="37" t="n">
        <v>27971.77</v>
      </c>
      <c r="J28" s="38"/>
      <c r="K28" s="38"/>
      <c r="L28" s="38"/>
      <c r="M28" s="38"/>
      <c r="N28" s="38"/>
      <c r="O28" s="36"/>
      <c r="P28" s="36" t="s">
        <v>73</v>
      </c>
      <c r="Q28" s="36"/>
      <c r="R28" s="36"/>
      <c r="S28" s="35"/>
    </row>
    <row r="29" customFormat="false" ht="15" hidden="false" customHeight="true" outlineLevel="0" collapsed="false">
      <c r="A29" s="31" t="s">
        <v>116</v>
      </c>
      <c r="B29" s="31" t="s">
        <v>138</v>
      </c>
      <c r="C29" s="32" t="s">
        <v>139</v>
      </c>
      <c r="D29" s="33" t="n">
        <v>27073.1</v>
      </c>
      <c r="E29" s="33" t="n">
        <v>2624.88</v>
      </c>
      <c r="F29" s="31" t="s">
        <v>46</v>
      </c>
      <c r="G29" s="31" t="s">
        <v>72</v>
      </c>
      <c r="H29" s="33"/>
      <c r="I29" s="33" t="n">
        <v>27073.1</v>
      </c>
      <c r="J29" s="34"/>
      <c r="K29" s="34"/>
      <c r="L29" s="34"/>
      <c r="M29" s="34"/>
      <c r="N29" s="34"/>
      <c r="O29" s="32"/>
      <c r="P29" s="32" t="s">
        <v>73</v>
      </c>
      <c r="Q29" s="32"/>
      <c r="R29" s="32"/>
      <c r="S29" s="31"/>
    </row>
    <row r="30" customFormat="false" ht="63.75" hidden="false" customHeight="true" outlineLevel="0" collapsed="false">
      <c r="A30" s="35" t="s">
        <v>116</v>
      </c>
      <c r="B30" s="35" t="s">
        <v>140</v>
      </c>
      <c r="C30" s="36" t="s">
        <v>141</v>
      </c>
      <c r="D30" s="37" t="n">
        <v>26236.42</v>
      </c>
      <c r="E30" s="37" t="n">
        <v>49051.52</v>
      </c>
      <c r="F30" s="35" t="s">
        <v>46</v>
      </c>
      <c r="G30" s="35" t="s">
        <v>47</v>
      </c>
      <c r="H30" s="37" t="n">
        <v>1059.76</v>
      </c>
      <c r="I30" s="37" t="n">
        <v>25176.66</v>
      </c>
      <c r="J30" s="38" t="s">
        <v>12</v>
      </c>
      <c r="K30" s="38" t="s">
        <v>11</v>
      </c>
      <c r="L30" s="38" t="s">
        <v>12</v>
      </c>
      <c r="M30" s="38" t="s">
        <v>142</v>
      </c>
      <c r="N30" s="38" t="s">
        <v>12</v>
      </c>
      <c r="O30" s="36" t="s">
        <v>143</v>
      </c>
      <c r="P30" s="36" t="s">
        <v>144</v>
      </c>
      <c r="Q30" s="36" t="s">
        <v>145</v>
      </c>
      <c r="R30" s="36" t="s">
        <v>66</v>
      </c>
      <c r="S30" s="35" t="s">
        <v>52</v>
      </c>
    </row>
    <row r="31" customFormat="false" ht="15" hidden="false" customHeight="true" outlineLevel="0" collapsed="false">
      <c r="A31" s="31" t="s">
        <v>116</v>
      </c>
      <c r="B31" s="31" t="s">
        <v>146</v>
      </c>
      <c r="C31" s="32" t="s">
        <v>147</v>
      </c>
      <c r="D31" s="33" t="n">
        <v>25223.19</v>
      </c>
      <c r="E31" s="33" t="n">
        <v>44586.46</v>
      </c>
      <c r="F31" s="31" t="s">
        <v>46</v>
      </c>
      <c r="G31" s="31" t="s">
        <v>72</v>
      </c>
      <c r="H31" s="33"/>
      <c r="I31" s="33" t="n">
        <v>25223.19</v>
      </c>
      <c r="J31" s="34"/>
      <c r="K31" s="34"/>
      <c r="L31" s="34"/>
      <c r="M31" s="34"/>
      <c r="N31" s="34"/>
      <c r="O31" s="32"/>
      <c r="P31" s="32" t="s">
        <v>73</v>
      </c>
      <c r="Q31" s="32"/>
      <c r="R31" s="32"/>
      <c r="S31" s="31"/>
    </row>
    <row r="32" customFormat="false" ht="15" hidden="false" customHeight="true" outlineLevel="0" collapsed="false">
      <c r="A32" s="35" t="s">
        <v>116</v>
      </c>
      <c r="B32" s="35" t="s">
        <v>148</v>
      </c>
      <c r="C32" s="36" t="s">
        <v>149</v>
      </c>
      <c r="D32" s="37" t="n">
        <v>23267.12</v>
      </c>
      <c r="E32" s="37" t="n">
        <v>10492.41</v>
      </c>
      <c r="F32" s="35" t="s">
        <v>46</v>
      </c>
      <c r="G32" s="35" t="s">
        <v>72</v>
      </c>
      <c r="H32" s="37"/>
      <c r="I32" s="37" t="n">
        <v>23267.12</v>
      </c>
      <c r="J32" s="38"/>
      <c r="K32" s="38"/>
      <c r="L32" s="38"/>
      <c r="M32" s="38"/>
      <c r="N32" s="38"/>
      <c r="O32" s="36"/>
      <c r="P32" s="36" t="s">
        <v>73</v>
      </c>
      <c r="Q32" s="36"/>
      <c r="R32" s="36"/>
      <c r="S32" s="35"/>
    </row>
    <row r="33" customFormat="false" ht="15" hidden="false" customHeight="true" outlineLevel="0" collapsed="false">
      <c r="A33" s="31" t="s">
        <v>116</v>
      </c>
      <c r="B33" s="31" t="s">
        <v>150</v>
      </c>
      <c r="C33" s="32" t="s">
        <v>151</v>
      </c>
      <c r="D33" s="33" t="n">
        <v>21876.6</v>
      </c>
      <c r="E33" s="33" t="n">
        <v>1152061.69</v>
      </c>
      <c r="F33" s="31" t="s">
        <v>46</v>
      </c>
      <c r="G33" s="31" t="s">
        <v>72</v>
      </c>
      <c r="H33" s="33"/>
      <c r="I33" s="33" t="n">
        <v>21876.6</v>
      </c>
      <c r="J33" s="34"/>
      <c r="K33" s="34"/>
      <c r="L33" s="34"/>
      <c r="M33" s="34"/>
      <c r="N33" s="34"/>
      <c r="O33" s="32"/>
      <c r="P33" s="32" t="s">
        <v>73</v>
      </c>
      <c r="Q33" s="32"/>
      <c r="R33" s="32"/>
      <c r="S33" s="31"/>
    </row>
    <row r="34" customFormat="false" ht="15" hidden="false" customHeight="true" outlineLevel="0" collapsed="false">
      <c r="A34" s="35" t="s">
        <v>116</v>
      </c>
      <c r="B34" s="35" t="s">
        <v>152</v>
      </c>
      <c r="C34" s="36" t="s">
        <v>153</v>
      </c>
      <c r="D34" s="37" t="n">
        <v>21730</v>
      </c>
      <c r="E34" s="37" t="n">
        <v>0</v>
      </c>
      <c r="F34" s="35" t="s">
        <v>46</v>
      </c>
      <c r="G34" s="35" t="s">
        <v>72</v>
      </c>
      <c r="H34" s="37"/>
      <c r="I34" s="37" t="n">
        <v>21730</v>
      </c>
      <c r="J34" s="38"/>
      <c r="K34" s="38"/>
      <c r="L34" s="38"/>
      <c r="M34" s="38"/>
      <c r="N34" s="38"/>
      <c r="O34" s="36"/>
      <c r="P34" s="36" t="s">
        <v>73</v>
      </c>
      <c r="Q34" s="36"/>
      <c r="R34" s="36"/>
      <c r="S34" s="35"/>
    </row>
    <row r="35" customFormat="false" ht="63.75" hidden="false" customHeight="true" outlineLevel="0" collapsed="false">
      <c r="A35" s="31" t="s">
        <v>116</v>
      </c>
      <c r="B35" s="31" t="s">
        <v>154</v>
      </c>
      <c r="C35" s="32" t="s">
        <v>155</v>
      </c>
      <c r="D35" s="33" t="n">
        <v>17155.73</v>
      </c>
      <c r="E35" s="33" t="n">
        <v>5469.81</v>
      </c>
      <c r="F35" s="31" t="s">
        <v>46</v>
      </c>
      <c r="G35" s="31" t="s">
        <v>47</v>
      </c>
      <c r="H35" s="33" t="n">
        <v>1854.7</v>
      </c>
      <c r="I35" s="33" t="n">
        <v>15301.03</v>
      </c>
      <c r="J35" s="34" t="s">
        <v>11</v>
      </c>
      <c r="K35" s="34" t="s">
        <v>13</v>
      </c>
      <c r="L35" s="34" t="s">
        <v>11</v>
      </c>
      <c r="M35" s="34" t="s">
        <v>11</v>
      </c>
      <c r="N35" s="34" t="s">
        <v>12</v>
      </c>
      <c r="O35" s="32" t="s">
        <v>156</v>
      </c>
      <c r="P35" s="32" t="s">
        <v>157</v>
      </c>
      <c r="Q35" s="32" t="s">
        <v>158</v>
      </c>
      <c r="R35" s="32" t="s">
        <v>159</v>
      </c>
      <c r="S35" s="31" t="s">
        <v>80</v>
      </c>
    </row>
    <row r="36" customFormat="false" ht="15" hidden="false" customHeight="true" outlineLevel="0" collapsed="false">
      <c r="A36" s="35" t="s">
        <v>116</v>
      </c>
      <c r="B36" s="35" t="s">
        <v>160</v>
      </c>
      <c r="C36" s="36" t="s">
        <v>161</v>
      </c>
      <c r="D36" s="37" t="n">
        <v>15477.09</v>
      </c>
      <c r="E36" s="37" t="n">
        <v>0</v>
      </c>
      <c r="F36" s="35" t="s">
        <v>46</v>
      </c>
      <c r="G36" s="35" t="s">
        <v>72</v>
      </c>
      <c r="H36" s="37"/>
      <c r="I36" s="37" t="n">
        <v>15477.09</v>
      </c>
      <c r="J36" s="38"/>
      <c r="K36" s="38"/>
      <c r="L36" s="38"/>
      <c r="M36" s="38"/>
      <c r="N36" s="38"/>
      <c r="O36" s="36"/>
      <c r="P36" s="36" t="s">
        <v>73</v>
      </c>
      <c r="Q36" s="36"/>
      <c r="R36" s="36"/>
      <c r="S36" s="35"/>
    </row>
    <row r="37" customFormat="false" ht="15" hidden="false" customHeight="true" outlineLevel="0" collapsed="false">
      <c r="A37" s="31" t="s">
        <v>116</v>
      </c>
      <c r="B37" s="31" t="s">
        <v>162</v>
      </c>
      <c r="C37" s="32" t="s">
        <v>163</v>
      </c>
      <c r="D37" s="33" t="n">
        <v>13130</v>
      </c>
      <c r="E37" s="33" t="n">
        <v>1640.95</v>
      </c>
      <c r="F37" s="31" t="s">
        <v>46</v>
      </c>
      <c r="G37" s="31" t="s">
        <v>72</v>
      </c>
      <c r="H37" s="33"/>
      <c r="I37" s="33" t="n">
        <v>13130</v>
      </c>
      <c r="J37" s="34"/>
      <c r="K37" s="34"/>
      <c r="L37" s="34"/>
      <c r="M37" s="34"/>
      <c r="N37" s="34"/>
      <c r="O37" s="32"/>
      <c r="P37" s="32" t="s">
        <v>73</v>
      </c>
      <c r="Q37" s="32"/>
      <c r="R37" s="32"/>
      <c r="S37" s="31"/>
    </row>
    <row r="38" customFormat="false" ht="15" hidden="false" customHeight="true" outlineLevel="0" collapsed="false">
      <c r="A38" s="35" t="s">
        <v>116</v>
      </c>
      <c r="B38" s="35" t="s">
        <v>164</v>
      </c>
      <c r="C38" s="36" t="s">
        <v>165</v>
      </c>
      <c r="D38" s="37" t="n">
        <v>11000</v>
      </c>
      <c r="E38" s="37" t="n">
        <v>1934.81</v>
      </c>
      <c r="F38" s="35" t="s">
        <v>46</v>
      </c>
      <c r="G38" s="35" t="s">
        <v>72</v>
      </c>
      <c r="H38" s="37"/>
      <c r="I38" s="37" t="n">
        <v>11000</v>
      </c>
      <c r="J38" s="38"/>
      <c r="K38" s="38"/>
      <c r="L38" s="38"/>
      <c r="M38" s="38"/>
      <c r="N38" s="38"/>
      <c r="O38" s="36"/>
      <c r="P38" s="36" t="s">
        <v>73</v>
      </c>
      <c r="Q38" s="36"/>
      <c r="R38" s="36"/>
      <c r="S38" s="35"/>
    </row>
    <row r="39" customFormat="false" ht="15" hidden="false" customHeight="true" outlineLevel="0" collapsed="false">
      <c r="A39" s="31" t="s">
        <v>116</v>
      </c>
      <c r="B39" s="31" t="s">
        <v>166</v>
      </c>
      <c r="C39" s="32" t="s">
        <v>167</v>
      </c>
      <c r="D39" s="33" t="n">
        <v>10929.72</v>
      </c>
      <c r="E39" s="33" t="n">
        <v>4088.78</v>
      </c>
      <c r="F39" s="31" t="s">
        <v>46</v>
      </c>
      <c r="G39" s="31" t="s">
        <v>72</v>
      </c>
      <c r="H39" s="33"/>
      <c r="I39" s="33" t="n">
        <v>10929.72</v>
      </c>
      <c r="J39" s="34"/>
      <c r="K39" s="34"/>
      <c r="L39" s="34"/>
      <c r="M39" s="34"/>
      <c r="N39" s="34"/>
      <c r="O39" s="32"/>
      <c r="P39" s="32" t="s">
        <v>73</v>
      </c>
      <c r="Q39" s="32"/>
      <c r="R39" s="32"/>
      <c r="S39" s="31"/>
    </row>
    <row r="40" customFormat="false" ht="15" hidden="false" customHeight="true" outlineLevel="0" collapsed="false">
      <c r="A40" s="35" t="s">
        <v>168</v>
      </c>
      <c r="B40" s="35" t="s">
        <v>169</v>
      </c>
      <c r="C40" s="36" t="s">
        <v>170</v>
      </c>
      <c r="D40" s="37" t="n">
        <v>9542.69</v>
      </c>
      <c r="E40" s="37" t="n">
        <v>945.91</v>
      </c>
      <c r="F40" s="35" t="s">
        <v>62</v>
      </c>
      <c r="G40" s="35" t="s">
        <v>72</v>
      </c>
      <c r="H40" s="37"/>
      <c r="I40" s="37" t="n">
        <v>9542.69</v>
      </c>
      <c r="J40" s="38"/>
      <c r="K40" s="38"/>
      <c r="L40" s="38"/>
      <c r="M40" s="38"/>
      <c r="N40" s="38"/>
      <c r="O40" s="36"/>
      <c r="P40" s="36" t="s">
        <v>73</v>
      </c>
      <c r="Q40" s="36"/>
      <c r="R40" s="36"/>
      <c r="S40" s="35"/>
    </row>
    <row r="41" customFormat="false" ht="63.75" hidden="false" customHeight="true" outlineLevel="0" collapsed="false">
      <c r="A41" s="31" t="s">
        <v>168</v>
      </c>
      <c r="B41" s="31" t="s">
        <v>171</v>
      </c>
      <c r="C41" s="32" t="s">
        <v>172</v>
      </c>
      <c r="D41" s="33" t="n">
        <v>9495.37</v>
      </c>
      <c r="E41" s="33" t="n">
        <v>7322.24</v>
      </c>
      <c r="F41" s="31" t="s">
        <v>62</v>
      </c>
      <c r="G41" s="31" t="s">
        <v>55</v>
      </c>
      <c r="H41" s="33" t="n">
        <v>9495.37</v>
      </c>
      <c r="I41" s="33" t="n">
        <v>0</v>
      </c>
      <c r="J41" s="34" t="s">
        <v>11</v>
      </c>
      <c r="K41" s="34" t="s">
        <v>13</v>
      </c>
      <c r="L41" s="34" t="s">
        <v>11</v>
      </c>
      <c r="M41" s="34" t="s">
        <v>11</v>
      </c>
      <c r="N41" s="34" t="s">
        <v>12</v>
      </c>
      <c r="O41" s="32" t="s">
        <v>173</v>
      </c>
      <c r="P41" s="32" t="s">
        <v>174</v>
      </c>
      <c r="Q41" s="32" t="s">
        <v>175</v>
      </c>
      <c r="R41" s="32" t="s">
        <v>66</v>
      </c>
      <c r="S41" s="31" t="s">
        <v>52</v>
      </c>
    </row>
    <row r="42" customFormat="false" ht="15" hidden="false" customHeight="true" outlineLevel="0" collapsed="false">
      <c r="A42" s="35" t="s">
        <v>168</v>
      </c>
      <c r="B42" s="35" t="s">
        <v>176</v>
      </c>
      <c r="C42" s="36" t="s">
        <v>177</v>
      </c>
      <c r="D42" s="37" t="n">
        <v>9075.51</v>
      </c>
      <c r="E42" s="37" t="n">
        <v>0</v>
      </c>
      <c r="F42" s="35" t="s">
        <v>62</v>
      </c>
      <c r="G42" s="35" t="s">
        <v>72</v>
      </c>
      <c r="H42" s="37"/>
      <c r="I42" s="37" t="n">
        <v>9075.51</v>
      </c>
      <c r="J42" s="38"/>
      <c r="K42" s="38"/>
      <c r="L42" s="38"/>
      <c r="M42" s="38"/>
      <c r="N42" s="38"/>
      <c r="O42" s="36"/>
      <c r="P42" s="36" t="s">
        <v>73</v>
      </c>
      <c r="Q42" s="36"/>
      <c r="R42" s="36"/>
      <c r="S42" s="35"/>
    </row>
    <row r="43" customFormat="false" ht="15" hidden="false" customHeight="true" outlineLevel="0" collapsed="false">
      <c r="A43" s="31" t="s">
        <v>168</v>
      </c>
      <c r="B43" s="31" t="s">
        <v>178</v>
      </c>
      <c r="C43" s="32" t="s">
        <v>179</v>
      </c>
      <c r="D43" s="33" t="n">
        <v>8000</v>
      </c>
      <c r="E43" s="33" t="n">
        <v>10443.15</v>
      </c>
      <c r="F43" s="31" t="s">
        <v>62</v>
      </c>
      <c r="G43" s="31" t="s">
        <v>72</v>
      </c>
      <c r="H43" s="33"/>
      <c r="I43" s="33" t="n">
        <v>8000</v>
      </c>
      <c r="J43" s="34"/>
      <c r="K43" s="34"/>
      <c r="L43" s="34"/>
      <c r="M43" s="34"/>
      <c r="N43" s="34"/>
      <c r="O43" s="32"/>
      <c r="P43" s="32" t="s">
        <v>73</v>
      </c>
      <c r="Q43" s="32"/>
      <c r="R43" s="32"/>
      <c r="S43" s="31"/>
    </row>
    <row r="44" customFormat="false" ht="15" hidden="false" customHeight="true" outlineLevel="0" collapsed="false">
      <c r="A44" s="35" t="s">
        <v>168</v>
      </c>
      <c r="B44" s="35" t="s">
        <v>180</v>
      </c>
      <c r="C44" s="36" t="s">
        <v>181</v>
      </c>
      <c r="D44" s="37" t="n">
        <v>6032</v>
      </c>
      <c r="E44" s="37" t="n">
        <v>5469.81</v>
      </c>
      <c r="F44" s="35" t="s">
        <v>62</v>
      </c>
      <c r="G44" s="35" t="s">
        <v>72</v>
      </c>
      <c r="H44" s="37"/>
      <c r="I44" s="37" t="n">
        <v>6032</v>
      </c>
      <c r="J44" s="38"/>
      <c r="K44" s="38"/>
      <c r="L44" s="38"/>
      <c r="M44" s="38"/>
      <c r="N44" s="38"/>
      <c r="O44" s="36"/>
      <c r="P44" s="36" t="s">
        <v>73</v>
      </c>
      <c r="Q44" s="36"/>
      <c r="R44" s="36"/>
      <c r="S44" s="35"/>
    </row>
    <row r="45" customFormat="false" ht="15" hidden="false" customHeight="true" outlineLevel="0" collapsed="false">
      <c r="A45" s="31" t="s">
        <v>168</v>
      </c>
      <c r="B45" s="31" t="s">
        <v>182</v>
      </c>
      <c r="C45" s="32" t="s">
        <v>183</v>
      </c>
      <c r="D45" s="33" t="n">
        <v>5840.65</v>
      </c>
      <c r="E45" s="33" t="n">
        <v>8521.61</v>
      </c>
      <c r="F45" s="31" t="s">
        <v>62</v>
      </c>
      <c r="G45" s="31" t="s">
        <v>72</v>
      </c>
      <c r="H45" s="33"/>
      <c r="I45" s="33" t="n">
        <v>5840.65</v>
      </c>
      <c r="J45" s="34"/>
      <c r="K45" s="34"/>
      <c r="L45" s="34"/>
      <c r="M45" s="34"/>
      <c r="N45" s="34"/>
      <c r="O45" s="32"/>
      <c r="P45" s="32" t="s">
        <v>73</v>
      </c>
      <c r="Q45" s="32"/>
      <c r="R45" s="32"/>
      <c r="S45" s="31"/>
    </row>
    <row r="46" customFormat="false" ht="63.75" hidden="false" customHeight="true" outlineLevel="0" collapsed="false">
      <c r="A46" s="35" t="s">
        <v>168</v>
      </c>
      <c r="B46" s="35" t="s">
        <v>184</v>
      </c>
      <c r="C46" s="36" t="s">
        <v>185</v>
      </c>
      <c r="D46" s="37" t="n">
        <v>5512.55</v>
      </c>
      <c r="E46" s="37" t="n">
        <v>4314.07</v>
      </c>
      <c r="F46" s="35" t="s">
        <v>62</v>
      </c>
      <c r="G46" s="35" t="s">
        <v>55</v>
      </c>
      <c r="H46" s="37" t="n">
        <v>5512.55</v>
      </c>
      <c r="I46" s="37" t="n">
        <v>0</v>
      </c>
      <c r="J46" s="38" t="s">
        <v>12</v>
      </c>
      <c r="K46" s="38" t="s">
        <v>12</v>
      </c>
      <c r="L46" s="38" t="s">
        <v>12</v>
      </c>
      <c r="M46" s="38" t="s">
        <v>12</v>
      </c>
      <c r="N46" s="38" t="s">
        <v>12</v>
      </c>
      <c r="O46" s="36" t="s">
        <v>186</v>
      </c>
      <c r="P46" s="36" t="s">
        <v>187</v>
      </c>
      <c r="Q46" s="36" t="s">
        <v>188</v>
      </c>
      <c r="R46" s="36" t="s">
        <v>189</v>
      </c>
      <c r="S46" s="35" t="s">
        <v>80</v>
      </c>
    </row>
    <row r="47" customFormat="false" ht="63.75" hidden="false" customHeight="true" outlineLevel="0" collapsed="false">
      <c r="A47" s="31" t="s">
        <v>168</v>
      </c>
      <c r="B47" s="31" t="s">
        <v>190</v>
      </c>
      <c r="C47" s="32" t="s">
        <v>191</v>
      </c>
      <c r="D47" s="33" t="n">
        <v>4739</v>
      </c>
      <c r="E47" s="33" t="n">
        <v>0</v>
      </c>
      <c r="F47" s="31" t="s">
        <v>62</v>
      </c>
      <c r="G47" s="31" t="s">
        <v>55</v>
      </c>
      <c r="H47" s="33" t="n">
        <v>4739</v>
      </c>
      <c r="I47" s="33" t="n">
        <v>0</v>
      </c>
      <c r="J47" s="34" t="s">
        <v>11</v>
      </c>
      <c r="K47" s="34" t="s">
        <v>13</v>
      </c>
      <c r="L47" s="34" t="s">
        <v>11</v>
      </c>
      <c r="M47" s="34" t="s">
        <v>11</v>
      </c>
      <c r="N47" s="34" t="s">
        <v>12</v>
      </c>
      <c r="O47" s="32" t="s">
        <v>192</v>
      </c>
      <c r="P47" s="32" t="s">
        <v>193</v>
      </c>
      <c r="Q47" s="32" t="s">
        <v>194</v>
      </c>
      <c r="R47" s="32" t="s">
        <v>195</v>
      </c>
      <c r="S47" s="31" t="s">
        <v>123</v>
      </c>
    </row>
    <row r="48" customFormat="false" ht="15" hidden="false" customHeight="true" outlineLevel="0" collapsed="false">
      <c r="A48" s="35" t="s">
        <v>168</v>
      </c>
      <c r="B48" s="35" t="s">
        <v>196</v>
      </c>
      <c r="C48" s="36" t="s">
        <v>197</v>
      </c>
      <c r="D48" s="37" t="n">
        <v>4580.55</v>
      </c>
      <c r="E48" s="37" t="n">
        <v>10101.86</v>
      </c>
      <c r="F48" s="35" t="s">
        <v>62</v>
      </c>
      <c r="G48" s="35" t="s">
        <v>72</v>
      </c>
      <c r="H48" s="37"/>
      <c r="I48" s="37" t="n">
        <v>4580.55</v>
      </c>
      <c r="J48" s="38"/>
      <c r="K48" s="38"/>
      <c r="L48" s="38"/>
      <c r="M48" s="38"/>
      <c r="N48" s="38"/>
      <c r="O48" s="36"/>
      <c r="P48" s="36" t="s">
        <v>73</v>
      </c>
      <c r="Q48" s="36"/>
      <c r="R48" s="36"/>
      <c r="S48" s="35"/>
    </row>
    <row r="49" customFormat="false" ht="63.75" hidden="false" customHeight="true" outlineLevel="0" collapsed="false">
      <c r="A49" s="31" t="s">
        <v>168</v>
      </c>
      <c r="B49" s="31" t="s">
        <v>198</v>
      </c>
      <c r="C49" s="32" t="s">
        <v>199</v>
      </c>
      <c r="D49" s="33" t="n">
        <v>4267.49</v>
      </c>
      <c r="E49" s="33" t="n">
        <v>3608.47</v>
      </c>
      <c r="F49" s="31" t="s">
        <v>62</v>
      </c>
      <c r="G49" s="31" t="s">
        <v>55</v>
      </c>
      <c r="H49" s="33" t="n">
        <v>4267.49</v>
      </c>
      <c r="I49" s="33" t="n">
        <v>0</v>
      </c>
      <c r="J49" s="34" t="s">
        <v>12</v>
      </c>
      <c r="K49" s="34" t="s">
        <v>12</v>
      </c>
      <c r="L49" s="34" t="s">
        <v>12</v>
      </c>
      <c r="M49" s="34" t="s">
        <v>12</v>
      </c>
      <c r="N49" s="34" t="s">
        <v>12</v>
      </c>
      <c r="O49" s="32" t="s">
        <v>200</v>
      </c>
      <c r="P49" s="32" t="s">
        <v>201</v>
      </c>
      <c r="Q49" s="32" t="s">
        <v>202</v>
      </c>
      <c r="R49" s="32" t="s">
        <v>189</v>
      </c>
      <c r="S49" s="31" t="s">
        <v>80</v>
      </c>
    </row>
    <row r="50" customFormat="false" ht="15" hidden="false" customHeight="true" outlineLevel="0" collapsed="false">
      <c r="A50" s="35" t="s">
        <v>168</v>
      </c>
      <c r="B50" s="35" t="s">
        <v>203</v>
      </c>
      <c r="C50" s="36" t="s">
        <v>204</v>
      </c>
      <c r="D50" s="37" t="n">
        <v>4140.63</v>
      </c>
      <c r="E50" s="37" t="n">
        <v>1044.32</v>
      </c>
      <c r="F50" s="35" t="s">
        <v>62</v>
      </c>
      <c r="G50" s="35" t="s">
        <v>72</v>
      </c>
      <c r="H50" s="37"/>
      <c r="I50" s="37" t="n">
        <v>4140.63</v>
      </c>
      <c r="J50" s="38"/>
      <c r="K50" s="38"/>
      <c r="L50" s="38"/>
      <c r="M50" s="38"/>
      <c r="N50" s="38"/>
      <c r="O50" s="36"/>
      <c r="P50" s="36" t="s">
        <v>73</v>
      </c>
      <c r="Q50" s="36"/>
      <c r="R50" s="36"/>
      <c r="S50" s="35"/>
    </row>
    <row r="51" customFormat="false" ht="15" hidden="false" customHeight="true" outlineLevel="0" collapsed="false">
      <c r="A51" s="31" t="s">
        <v>168</v>
      </c>
      <c r="B51" s="31" t="s">
        <v>205</v>
      </c>
      <c r="C51" s="32" t="s">
        <v>206</v>
      </c>
      <c r="D51" s="33" t="n">
        <v>4047.1</v>
      </c>
      <c r="E51" s="33" t="n">
        <v>0</v>
      </c>
      <c r="F51" s="31" t="s">
        <v>62</v>
      </c>
      <c r="G51" s="31" t="s">
        <v>72</v>
      </c>
      <c r="H51" s="33"/>
      <c r="I51" s="33" t="n">
        <v>4047.1</v>
      </c>
      <c r="J51" s="34"/>
      <c r="K51" s="34"/>
      <c r="L51" s="34"/>
      <c r="M51" s="34"/>
      <c r="N51" s="34"/>
      <c r="O51" s="32"/>
      <c r="P51" s="32" t="s">
        <v>73</v>
      </c>
      <c r="Q51" s="32"/>
      <c r="R51" s="32"/>
      <c r="S51" s="31"/>
    </row>
    <row r="52" customFormat="false" ht="15" hidden="false" customHeight="true" outlineLevel="0" collapsed="false">
      <c r="A52" s="35" t="s">
        <v>168</v>
      </c>
      <c r="B52" s="35" t="s">
        <v>207</v>
      </c>
      <c r="C52" s="36" t="s">
        <v>208</v>
      </c>
      <c r="D52" s="37" t="n">
        <v>3996.8</v>
      </c>
      <c r="E52" s="37" t="n">
        <v>0</v>
      </c>
      <c r="F52" s="35" t="s">
        <v>62</v>
      </c>
      <c r="G52" s="35" t="s">
        <v>72</v>
      </c>
      <c r="H52" s="37"/>
      <c r="I52" s="37" t="n">
        <v>3996.8</v>
      </c>
      <c r="J52" s="38"/>
      <c r="K52" s="38"/>
      <c r="L52" s="38"/>
      <c r="M52" s="38"/>
      <c r="N52" s="38"/>
      <c r="O52" s="36"/>
      <c r="P52" s="36" t="s">
        <v>73</v>
      </c>
      <c r="Q52" s="36"/>
      <c r="R52" s="36"/>
      <c r="S52" s="35"/>
    </row>
    <row r="53" customFormat="false" ht="63.75" hidden="false" customHeight="true" outlineLevel="0" collapsed="false">
      <c r="A53" s="31" t="s">
        <v>168</v>
      </c>
      <c r="B53" s="31" t="s">
        <v>209</v>
      </c>
      <c r="C53" s="32" t="s">
        <v>210</v>
      </c>
      <c r="D53" s="33" t="n">
        <v>3703.03</v>
      </c>
      <c r="E53" s="33" t="n">
        <v>0</v>
      </c>
      <c r="F53" s="31" t="s">
        <v>62</v>
      </c>
      <c r="G53" s="31" t="s">
        <v>47</v>
      </c>
      <c r="H53" s="33" t="n">
        <v>3703.03</v>
      </c>
      <c r="I53" s="33" t="n">
        <v>0</v>
      </c>
      <c r="J53" s="34" t="s">
        <v>11</v>
      </c>
      <c r="K53" s="34" t="s">
        <v>11</v>
      </c>
      <c r="L53" s="34" t="s">
        <v>12</v>
      </c>
      <c r="M53" s="34" t="s">
        <v>12</v>
      </c>
      <c r="N53" s="34" t="s">
        <v>12</v>
      </c>
      <c r="O53" s="32" t="s">
        <v>211</v>
      </c>
      <c r="P53" s="32" t="s">
        <v>212</v>
      </c>
      <c r="Q53" s="32" t="s">
        <v>213</v>
      </c>
      <c r="R53" s="32" t="s">
        <v>214</v>
      </c>
      <c r="S53" s="31" t="s">
        <v>52</v>
      </c>
    </row>
    <row r="54" customFormat="false" ht="15" hidden="false" customHeight="true" outlineLevel="0" collapsed="false">
      <c r="A54" s="35" t="s">
        <v>168</v>
      </c>
      <c r="B54" s="35" t="s">
        <v>215</v>
      </c>
      <c r="C54" s="36" t="s">
        <v>216</v>
      </c>
      <c r="D54" s="37" t="n">
        <v>3682.5</v>
      </c>
      <c r="E54" s="37" t="n">
        <v>8811.98</v>
      </c>
      <c r="F54" s="35" t="s">
        <v>62</v>
      </c>
      <c r="G54" s="35" t="s">
        <v>72</v>
      </c>
      <c r="H54" s="37"/>
      <c r="I54" s="37" t="n">
        <v>3682.5</v>
      </c>
      <c r="J54" s="38"/>
      <c r="K54" s="38"/>
      <c r="L54" s="38"/>
      <c r="M54" s="38"/>
      <c r="N54" s="38"/>
      <c r="O54" s="36"/>
      <c r="P54" s="36" t="s">
        <v>73</v>
      </c>
      <c r="Q54" s="36"/>
      <c r="R54" s="36"/>
      <c r="S54" s="35"/>
    </row>
    <row r="55" customFormat="false" ht="15" hidden="false" customHeight="true" outlineLevel="0" collapsed="false">
      <c r="A55" s="31" t="s">
        <v>168</v>
      </c>
      <c r="B55" s="31" t="s">
        <v>217</v>
      </c>
      <c r="C55" s="32" t="s">
        <v>218</v>
      </c>
      <c r="D55" s="33" t="n">
        <v>2068.21</v>
      </c>
      <c r="E55" s="33" t="n">
        <v>72962.51</v>
      </c>
      <c r="F55" s="31" t="s">
        <v>62</v>
      </c>
      <c r="G55" s="31" t="s">
        <v>72</v>
      </c>
      <c r="H55" s="33"/>
      <c r="I55" s="33" t="n">
        <v>2068.21</v>
      </c>
      <c r="J55" s="34"/>
      <c r="K55" s="34"/>
      <c r="L55" s="34"/>
      <c r="M55" s="34"/>
      <c r="N55" s="34"/>
      <c r="O55" s="32"/>
      <c r="P55" s="32" t="s">
        <v>73</v>
      </c>
      <c r="Q55" s="32"/>
      <c r="R55" s="32"/>
      <c r="S55" s="31"/>
    </row>
    <row r="56" customFormat="false" ht="15" hidden="false" customHeight="true" outlineLevel="0" collapsed="false">
      <c r="A56" s="35" t="s">
        <v>168</v>
      </c>
      <c r="B56" s="35" t="s">
        <v>219</v>
      </c>
      <c r="C56" s="36" t="s">
        <v>220</v>
      </c>
      <c r="D56" s="37" t="n">
        <v>1661.01</v>
      </c>
      <c r="E56" s="37" t="n">
        <v>568.34</v>
      </c>
      <c r="F56" s="35" t="s">
        <v>62</v>
      </c>
      <c r="G56" s="35" t="s">
        <v>72</v>
      </c>
      <c r="H56" s="37"/>
      <c r="I56" s="37" t="n">
        <v>1661.01</v>
      </c>
      <c r="J56" s="38"/>
      <c r="K56" s="38"/>
      <c r="L56" s="38"/>
      <c r="M56" s="38"/>
      <c r="N56" s="38"/>
      <c r="O56" s="36"/>
      <c r="P56" s="36" t="s">
        <v>73</v>
      </c>
      <c r="Q56" s="36"/>
      <c r="R56" s="36"/>
      <c r="S56" s="35"/>
    </row>
    <row r="57" customFormat="false" ht="15" hidden="false" customHeight="true" outlineLevel="0" collapsed="false">
      <c r="A57" s="31" t="s">
        <v>168</v>
      </c>
      <c r="B57" s="31" t="s">
        <v>221</v>
      </c>
      <c r="C57" s="32" t="s">
        <v>222</v>
      </c>
      <c r="D57" s="33" t="n">
        <v>1643.76</v>
      </c>
      <c r="E57" s="33" t="n">
        <v>1627.07</v>
      </c>
      <c r="F57" s="31" t="s">
        <v>62</v>
      </c>
      <c r="G57" s="31" t="s">
        <v>72</v>
      </c>
      <c r="H57" s="33"/>
      <c r="I57" s="33" t="n">
        <v>1643.76</v>
      </c>
      <c r="J57" s="34"/>
      <c r="K57" s="34"/>
      <c r="L57" s="34"/>
      <c r="M57" s="34"/>
      <c r="N57" s="34"/>
      <c r="O57" s="32"/>
      <c r="P57" s="32" t="s">
        <v>73</v>
      </c>
      <c r="Q57" s="32"/>
      <c r="R57" s="32"/>
      <c r="S57" s="31"/>
    </row>
    <row r="58" customFormat="false" ht="15" hidden="false" customHeight="true" outlineLevel="0" collapsed="false">
      <c r="A58" s="35" t="s">
        <v>168</v>
      </c>
      <c r="B58" s="35" t="s">
        <v>223</v>
      </c>
      <c r="C58" s="36" t="s">
        <v>224</v>
      </c>
      <c r="D58" s="37" t="n">
        <v>1576.65</v>
      </c>
      <c r="E58" s="37" t="n">
        <v>1892.98</v>
      </c>
      <c r="F58" s="35" t="s">
        <v>62</v>
      </c>
      <c r="G58" s="35" t="s">
        <v>72</v>
      </c>
      <c r="H58" s="37"/>
      <c r="I58" s="37" t="n">
        <v>1576.65</v>
      </c>
      <c r="J58" s="38"/>
      <c r="K58" s="38"/>
      <c r="L58" s="38"/>
      <c r="M58" s="38"/>
      <c r="N58" s="38"/>
      <c r="O58" s="36"/>
      <c r="P58" s="36" t="s">
        <v>73</v>
      </c>
      <c r="Q58" s="36"/>
      <c r="R58" s="36"/>
      <c r="S58" s="35"/>
    </row>
    <row r="59" customFormat="false" ht="15" hidden="false" customHeight="true" outlineLevel="0" collapsed="false">
      <c r="A59" s="31" t="s">
        <v>168</v>
      </c>
      <c r="B59" s="31" t="s">
        <v>225</v>
      </c>
      <c r="C59" s="32" t="s">
        <v>226</v>
      </c>
      <c r="D59" s="33" t="n">
        <v>1313.28</v>
      </c>
      <c r="E59" s="33" t="n">
        <v>2231.71</v>
      </c>
      <c r="F59" s="31" t="s">
        <v>62</v>
      </c>
      <c r="G59" s="31" t="s">
        <v>72</v>
      </c>
      <c r="H59" s="33"/>
      <c r="I59" s="33" t="n">
        <v>1313.28</v>
      </c>
      <c r="J59" s="34"/>
      <c r="K59" s="34"/>
      <c r="L59" s="34"/>
      <c r="M59" s="34"/>
      <c r="N59" s="34"/>
      <c r="O59" s="32"/>
      <c r="P59" s="32" t="s">
        <v>73</v>
      </c>
      <c r="Q59" s="32"/>
      <c r="R59" s="32"/>
      <c r="S59" s="31"/>
    </row>
    <row r="60" customFormat="false" ht="15" hidden="false" customHeight="true" outlineLevel="0" collapsed="false">
      <c r="A60" s="35" t="s">
        <v>168</v>
      </c>
      <c r="B60" s="35" t="s">
        <v>227</v>
      </c>
      <c r="C60" s="36" t="s">
        <v>228</v>
      </c>
      <c r="D60" s="37" t="n">
        <v>1267.18</v>
      </c>
      <c r="E60" s="37" t="n">
        <v>0</v>
      </c>
      <c r="F60" s="35" t="s">
        <v>62</v>
      </c>
      <c r="G60" s="35" t="s">
        <v>72</v>
      </c>
      <c r="H60" s="37"/>
      <c r="I60" s="37" t="n">
        <v>1267.18</v>
      </c>
      <c r="J60" s="38"/>
      <c r="K60" s="38"/>
      <c r="L60" s="38"/>
      <c r="M60" s="38"/>
      <c r="N60" s="38"/>
      <c r="O60" s="36"/>
      <c r="P60" s="36" t="s">
        <v>73</v>
      </c>
      <c r="Q60" s="36"/>
      <c r="R60" s="36"/>
      <c r="S60" s="35"/>
    </row>
    <row r="61" customFormat="false" ht="15" hidden="false" customHeight="true" outlineLevel="0" collapsed="false">
      <c r="A61" s="31" t="s">
        <v>168</v>
      </c>
      <c r="B61" s="31" t="s">
        <v>229</v>
      </c>
      <c r="C61" s="32" t="s">
        <v>230</v>
      </c>
      <c r="D61" s="33" t="n">
        <v>1246</v>
      </c>
      <c r="E61" s="33" t="n">
        <v>0</v>
      </c>
      <c r="F61" s="31" t="s">
        <v>62</v>
      </c>
      <c r="G61" s="31" t="s">
        <v>72</v>
      </c>
      <c r="H61" s="33"/>
      <c r="I61" s="33" t="n">
        <v>1246</v>
      </c>
      <c r="J61" s="34"/>
      <c r="K61" s="34"/>
      <c r="L61" s="34"/>
      <c r="M61" s="34"/>
      <c r="N61" s="34"/>
      <c r="O61" s="32"/>
      <c r="P61" s="32" t="s">
        <v>73</v>
      </c>
      <c r="Q61" s="32"/>
      <c r="R61" s="32"/>
      <c r="S61" s="31"/>
    </row>
    <row r="62" customFormat="false" ht="15" hidden="false" customHeight="true" outlineLevel="0" collapsed="false">
      <c r="A62" s="35" t="s">
        <v>168</v>
      </c>
      <c r="B62" s="35" t="s">
        <v>231</v>
      </c>
      <c r="C62" s="36" t="s">
        <v>232</v>
      </c>
      <c r="D62" s="37" t="n">
        <v>1137.45</v>
      </c>
      <c r="E62" s="37" t="n">
        <v>0</v>
      </c>
      <c r="F62" s="35" t="s">
        <v>62</v>
      </c>
      <c r="G62" s="35" t="s">
        <v>72</v>
      </c>
      <c r="H62" s="37"/>
      <c r="I62" s="37" t="n">
        <v>1137.45</v>
      </c>
      <c r="J62" s="38"/>
      <c r="K62" s="38"/>
      <c r="L62" s="38"/>
      <c r="M62" s="38"/>
      <c r="N62" s="38"/>
      <c r="O62" s="36"/>
      <c r="P62" s="36" t="s">
        <v>73</v>
      </c>
      <c r="Q62" s="36"/>
      <c r="R62" s="36"/>
      <c r="S62" s="35"/>
    </row>
    <row r="63" customFormat="false" ht="15" hidden="false" customHeight="true" outlineLevel="0" collapsed="false">
      <c r="A63" s="31" t="s">
        <v>168</v>
      </c>
      <c r="B63" s="31" t="s">
        <v>233</v>
      </c>
      <c r="C63" s="32" t="s">
        <v>234</v>
      </c>
      <c r="D63" s="33" t="n">
        <v>1098.04</v>
      </c>
      <c r="E63" s="33" t="n">
        <v>0</v>
      </c>
      <c r="F63" s="31" t="s">
        <v>62</v>
      </c>
      <c r="G63" s="31" t="s">
        <v>72</v>
      </c>
      <c r="H63" s="33"/>
      <c r="I63" s="33" t="n">
        <v>1098.04</v>
      </c>
      <c r="J63" s="34"/>
      <c r="K63" s="34"/>
      <c r="L63" s="34"/>
      <c r="M63" s="34"/>
      <c r="N63" s="34"/>
      <c r="O63" s="32"/>
      <c r="P63" s="32" t="s">
        <v>73</v>
      </c>
      <c r="Q63" s="32"/>
      <c r="R63" s="32"/>
      <c r="S63" s="31"/>
    </row>
    <row r="64" customFormat="false" ht="63.75" hidden="false" customHeight="true" outlineLevel="0" collapsed="false">
      <c r="A64" s="35" t="s">
        <v>168</v>
      </c>
      <c r="B64" s="35" t="s">
        <v>235</v>
      </c>
      <c r="C64" s="36" t="s">
        <v>236</v>
      </c>
      <c r="D64" s="37" t="n">
        <v>1021.7</v>
      </c>
      <c r="E64" s="37" t="n">
        <v>1031.54</v>
      </c>
      <c r="F64" s="35" t="s">
        <v>62</v>
      </c>
      <c r="G64" s="35" t="s">
        <v>55</v>
      </c>
      <c r="H64" s="37" t="n">
        <v>1021.7</v>
      </c>
      <c r="I64" s="37" t="n">
        <v>0</v>
      </c>
      <c r="J64" s="38" t="s">
        <v>11</v>
      </c>
      <c r="K64" s="38" t="s">
        <v>11</v>
      </c>
      <c r="L64" s="38" t="s">
        <v>11</v>
      </c>
      <c r="M64" s="38" t="s">
        <v>11</v>
      </c>
      <c r="N64" s="38" t="s">
        <v>11</v>
      </c>
      <c r="O64" s="36" t="s">
        <v>237</v>
      </c>
      <c r="P64" s="36" t="s">
        <v>238</v>
      </c>
      <c r="Q64" s="36" t="s">
        <v>239</v>
      </c>
      <c r="R64" s="36" t="s">
        <v>240</v>
      </c>
      <c r="S64" s="35" t="s">
        <v>52</v>
      </c>
    </row>
    <row r="65" customFormat="false" ht="15" hidden="false" customHeight="true" outlineLevel="0" collapsed="false">
      <c r="A65" s="31" t="s">
        <v>168</v>
      </c>
      <c r="B65" s="31" t="s">
        <v>241</v>
      </c>
      <c r="C65" s="32" t="s">
        <v>242</v>
      </c>
      <c r="D65" s="33" t="n">
        <v>938.18</v>
      </c>
      <c r="E65" s="33" t="n">
        <v>1168.81</v>
      </c>
      <c r="F65" s="31" t="s">
        <v>243</v>
      </c>
      <c r="G65" s="31" t="s">
        <v>72</v>
      </c>
      <c r="H65" s="33"/>
      <c r="I65" s="33" t="n">
        <v>938.18</v>
      </c>
      <c r="J65" s="34"/>
      <c r="K65" s="34"/>
      <c r="L65" s="34"/>
      <c r="M65" s="34"/>
      <c r="N65" s="34"/>
      <c r="O65" s="32"/>
      <c r="P65" s="32" t="s">
        <v>73</v>
      </c>
      <c r="Q65" s="32"/>
      <c r="R65" s="32"/>
      <c r="S65" s="31"/>
    </row>
    <row r="66" customFormat="false" ht="15" hidden="false" customHeight="true" outlineLevel="0" collapsed="false">
      <c r="A66" s="35" t="s">
        <v>168</v>
      </c>
      <c r="B66" s="35" t="s">
        <v>244</v>
      </c>
      <c r="C66" s="36" t="s">
        <v>245</v>
      </c>
      <c r="D66" s="37" t="n">
        <v>908.99</v>
      </c>
      <c r="E66" s="37" t="n">
        <v>0</v>
      </c>
      <c r="F66" s="35" t="s">
        <v>243</v>
      </c>
      <c r="G66" s="35" t="s">
        <v>72</v>
      </c>
      <c r="H66" s="37"/>
      <c r="I66" s="37" t="n">
        <v>908.99</v>
      </c>
      <c r="J66" s="38"/>
      <c r="K66" s="38"/>
      <c r="L66" s="38"/>
      <c r="M66" s="38"/>
      <c r="N66" s="38"/>
      <c r="O66" s="36"/>
      <c r="P66" s="36" t="s">
        <v>73</v>
      </c>
      <c r="Q66" s="36"/>
      <c r="R66" s="36"/>
      <c r="S66" s="35"/>
    </row>
    <row r="67" customFormat="false" ht="15" hidden="false" customHeight="true" outlineLevel="0" collapsed="false">
      <c r="A67" s="31" t="s">
        <v>168</v>
      </c>
      <c r="B67" s="31" t="s">
        <v>246</v>
      </c>
      <c r="C67" s="32" t="s">
        <v>247</v>
      </c>
      <c r="D67" s="33" t="n">
        <v>816.8</v>
      </c>
      <c r="E67" s="33" t="n">
        <v>0</v>
      </c>
      <c r="F67" s="31" t="s">
        <v>243</v>
      </c>
      <c r="G67" s="31" t="s">
        <v>72</v>
      </c>
      <c r="H67" s="33"/>
      <c r="I67" s="33" t="n">
        <v>816.8</v>
      </c>
      <c r="J67" s="34"/>
      <c r="K67" s="34"/>
      <c r="L67" s="34"/>
      <c r="M67" s="34"/>
      <c r="N67" s="34"/>
      <c r="O67" s="32"/>
      <c r="P67" s="32" t="s">
        <v>73</v>
      </c>
      <c r="Q67" s="32"/>
      <c r="R67" s="32"/>
      <c r="S67" s="31"/>
    </row>
    <row r="68" customFormat="false" ht="15" hidden="false" customHeight="true" outlineLevel="0" collapsed="false">
      <c r="A68" s="35" t="s">
        <v>168</v>
      </c>
      <c r="B68" s="35" t="s">
        <v>248</v>
      </c>
      <c r="C68" s="36" t="s">
        <v>249</v>
      </c>
      <c r="D68" s="37" t="n">
        <v>704.79</v>
      </c>
      <c r="E68" s="37" t="n">
        <v>0</v>
      </c>
      <c r="F68" s="35" t="s">
        <v>243</v>
      </c>
      <c r="G68" s="35" t="s">
        <v>72</v>
      </c>
      <c r="H68" s="37"/>
      <c r="I68" s="37" t="n">
        <v>704.79</v>
      </c>
      <c r="J68" s="38"/>
      <c r="K68" s="38"/>
      <c r="L68" s="38"/>
      <c r="M68" s="38"/>
      <c r="N68" s="38"/>
      <c r="O68" s="36"/>
      <c r="P68" s="36" t="s">
        <v>73</v>
      </c>
      <c r="Q68" s="36"/>
      <c r="R68" s="36"/>
      <c r="S68" s="35"/>
    </row>
    <row r="69" customFormat="false" ht="15" hidden="false" customHeight="true" outlineLevel="0" collapsed="false">
      <c r="A69" s="31" t="s">
        <v>168</v>
      </c>
      <c r="B69" s="31" t="s">
        <v>250</v>
      </c>
      <c r="C69" s="32" t="s">
        <v>251</v>
      </c>
      <c r="D69" s="33" t="n">
        <v>642.14</v>
      </c>
      <c r="E69" s="33" t="n">
        <v>8375.87</v>
      </c>
      <c r="F69" s="31" t="s">
        <v>243</v>
      </c>
      <c r="G69" s="31" t="s">
        <v>72</v>
      </c>
      <c r="H69" s="33"/>
      <c r="I69" s="33" t="n">
        <v>642.14</v>
      </c>
      <c r="J69" s="34"/>
      <c r="K69" s="34"/>
      <c r="L69" s="34"/>
      <c r="M69" s="34"/>
      <c r="N69" s="34"/>
      <c r="O69" s="32"/>
      <c r="P69" s="32" t="s">
        <v>73</v>
      </c>
      <c r="Q69" s="32"/>
      <c r="R69" s="32"/>
      <c r="S69" s="31"/>
    </row>
    <row r="70" customFormat="false" ht="15" hidden="false" customHeight="true" outlineLevel="0" collapsed="false">
      <c r="A70" s="35" t="s">
        <v>168</v>
      </c>
      <c r="B70" s="35" t="s">
        <v>252</v>
      </c>
      <c r="C70" s="36" t="s">
        <v>253</v>
      </c>
      <c r="D70" s="37" t="n">
        <v>487.05</v>
      </c>
      <c r="E70" s="37" t="n">
        <v>0</v>
      </c>
      <c r="F70" s="35" t="s">
        <v>243</v>
      </c>
      <c r="G70" s="35" t="s">
        <v>72</v>
      </c>
      <c r="H70" s="37"/>
      <c r="I70" s="37" t="n">
        <v>487.05</v>
      </c>
      <c r="J70" s="38"/>
      <c r="K70" s="38"/>
      <c r="L70" s="38"/>
      <c r="M70" s="38"/>
      <c r="N70" s="38"/>
      <c r="O70" s="36"/>
      <c r="P70" s="36" t="s">
        <v>73</v>
      </c>
      <c r="Q70" s="36"/>
      <c r="R70" s="36"/>
      <c r="S70" s="35"/>
    </row>
    <row r="71" customFormat="false" ht="15" hidden="false" customHeight="true" outlineLevel="0" collapsed="false">
      <c r="A71" s="31" t="s">
        <v>168</v>
      </c>
      <c r="B71" s="31" t="s">
        <v>254</v>
      </c>
      <c r="C71" s="32" t="s">
        <v>255</v>
      </c>
      <c r="D71" s="33" t="n">
        <v>426.79</v>
      </c>
      <c r="E71" s="33" t="n">
        <v>0</v>
      </c>
      <c r="F71" s="31" t="s">
        <v>243</v>
      </c>
      <c r="G71" s="31" t="s">
        <v>72</v>
      </c>
      <c r="H71" s="33"/>
      <c r="I71" s="33" t="n">
        <v>426.79</v>
      </c>
      <c r="J71" s="34"/>
      <c r="K71" s="34"/>
      <c r="L71" s="34"/>
      <c r="M71" s="34"/>
      <c r="N71" s="34"/>
      <c r="O71" s="32"/>
      <c r="P71" s="32" t="s">
        <v>73</v>
      </c>
      <c r="Q71" s="32"/>
      <c r="R71" s="32"/>
      <c r="S71" s="31"/>
    </row>
    <row r="72" customFormat="false" ht="15" hidden="false" customHeight="true" outlineLevel="0" collapsed="false">
      <c r="A72" s="35" t="s">
        <v>168</v>
      </c>
      <c r="B72" s="35" t="s">
        <v>256</v>
      </c>
      <c r="C72" s="36" t="s">
        <v>257</v>
      </c>
      <c r="D72" s="37" t="n">
        <v>422.1</v>
      </c>
      <c r="E72" s="37" t="n">
        <v>0</v>
      </c>
      <c r="F72" s="35" t="s">
        <v>243</v>
      </c>
      <c r="G72" s="35" t="s">
        <v>72</v>
      </c>
      <c r="H72" s="37"/>
      <c r="I72" s="37" t="n">
        <v>422.1</v>
      </c>
      <c r="J72" s="38"/>
      <c r="K72" s="38"/>
      <c r="L72" s="38"/>
      <c r="M72" s="38"/>
      <c r="N72" s="38"/>
      <c r="O72" s="36"/>
      <c r="P72" s="36" t="s">
        <v>73</v>
      </c>
      <c r="Q72" s="36"/>
      <c r="R72" s="36"/>
      <c r="S72" s="35"/>
    </row>
    <row r="73" customFormat="false" ht="15" hidden="false" customHeight="true" outlineLevel="0" collapsed="false">
      <c r="A73" s="31" t="s">
        <v>168</v>
      </c>
      <c r="B73" s="31" t="s">
        <v>258</v>
      </c>
      <c r="C73" s="32" t="s">
        <v>259</v>
      </c>
      <c r="D73" s="33" t="n">
        <v>384</v>
      </c>
      <c r="E73" s="33" t="n">
        <v>0</v>
      </c>
      <c r="F73" s="31" t="s">
        <v>243</v>
      </c>
      <c r="G73" s="31" t="s">
        <v>72</v>
      </c>
      <c r="H73" s="33"/>
      <c r="I73" s="33" t="n">
        <v>384</v>
      </c>
      <c r="J73" s="34"/>
      <c r="K73" s="34"/>
      <c r="L73" s="34"/>
      <c r="M73" s="34"/>
      <c r="N73" s="34"/>
      <c r="O73" s="32"/>
      <c r="P73" s="32" t="s">
        <v>73</v>
      </c>
      <c r="Q73" s="32"/>
      <c r="R73" s="32"/>
      <c r="S73" s="31"/>
    </row>
    <row r="74" customFormat="false" ht="15" hidden="false" customHeight="true" outlineLevel="0" collapsed="false">
      <c r="A74" s="35" t="s">
        <v>168</v>
      </c>
      <c r="B74" s="35" t="s">
        <v>260</v>
      </c>
      <c r="C74" s="36" t="s">
        <v>261</v>
      </c>
      <c r="D74" s="37" t="n">
        <v>369.81</v>
      </c>
      <c r="E74" s="37" t="n">
        <v>0</v>
      </c>
      <c r="F74" s="35" t="s">
        <v>243</v>
      </c>
      <c r="G74" s="35" t="s">
        <v>72</v>
      </c>
      <c r="H74" s="37"/>
      <c r="I74" s="37" t="n">
        <v>369.81</v>
      </c>
      <c r="J74" s="38"/>
      <c r="K74" s="38"/>
      <c r="L74" s="38"/>
      <c r="M74" s="38"/>
      <c r="N74" s="38"/>
      <c r="O74" s="36"/>
      <c r="P74" s="36" t="s">
        <v>73</v>
      </c>
      <c r="Q74" s="36"/>
      <c r="R74" s="36"/>
      <c r="S74" s="35"/>
    </row>
    <row r="75" customFormat="false" ht="15" hidden="false" customHeight="true" outlineLevel="0" collapsed="false">
      <c r="A75" s="31" t="s">
        <v>168</v>
      </c>
      <c r="B75" s="31" t="s">
        <v>262</v>
      </c>
      <c r="C75" s="32" t="s">
        <v>263</v>
      </c>
      <c r="D75" s="33" t="n">
        <v>337.58</v>
      </c>
      <c r="E75" s="33" t="n">
        <v>0</v>
      </c>
      <c r="F75" s="31" t="s">
        <v>243</v>
      </c>
      <c r="G75" s="31" t="s">
        <v>72</v>
      </c>
      <c r="H75" s="33"/>
      <c r="I75" s="33" t="n">
        <v>337.58</v>
      </c>
      <c r="J75" s="34"/>
      <c r="K75" s="34"/>
      <c r="L75" s="34"/>
      <c r="M75" s="34"/>
      <c r="N75" s="34"/>
      <c r="O75" s="32"/>
      <c r="P75" s="32" t="s">
        <v>73</v>
      </c>
      <c r="Q75" s="32"/>
      <c r="R75" s="32"/>
      <c r="S75" s="31"/>
    </row>
    <row r="76" customFormat="false" ht="15" hidden="false" customHeight="true" outlineLevel="0" collapsed="false">
      <c r="A76" s="35" t="s">
        <v>168</v>
      </c>
      <c r="B76" s="35" t="s">
        <v>264</v>
      </c>
      <c r="C76" s="36" t="s">
        <v>265</v>
      </c>
      <c r="D76" s="37" t="n">
        <v>262.38</v>
      </c>
      <c r="E76" s="37" t="n">
        <v>0</v>
      </c>
      <c r="F76" s="35" t="s">
        <v>243</v>
      </c>
      <c r="G76" s="35" t="s">
        <v>72</v>
      </c>
      <c r="H76" s="37"/>
      <c r="I76" s="37" t="n">
        <v>262.38</v>
      </c>
      <c r="J76" s="38"/>
      <c r="K76" s="38"/>
      <c r="L76" s="38"/>
      <c r="M76" s="38"/>
      <c r="N76" s="38"/>
      <c r="O76" s="36"/>
      <c r="P76" s="36" t="s">
        <v>73</v>
      </c>
      <c r="Q76" s="36"/>
      <c r="R76" s="36"/>
      <c r="S76" s="35"/>
    </row>
    <row r="77" customFormat="false" ht="15" hidden="false" customHeight="true" outlineLevel="0" collapsed="false">
      <c r="A77" s="31" t="s">
        <v>168</v>
      </c>
      <c r="B77" s="31" t="s">
        <v>266</v>
      </c>
      <c r="C77" s="32" t="s">
        <v>267</v>
      </c>
      <c r="D77" s="33" t="n">
        <v>221.41</v>
      </c>
      <c r="E77" s="33" t="n">
        <v>2631.47</v>
      </c>
      <c r="F77" s="31" t="s">
        <v>243</v>
      </c>
      <c r="G77" s="31" t="s">
        <v>72</v>
      </c>
      <c r="H77" s="33"/>
      <c r="I77" s="33" t="n">
        <v>221.41</v>
      </c>
      <c r="J77" s="34"/>
      <c r="K77" s="34"/>
      <c r="L77" s="34"/>
      <c r="M77" s="34"/>
      <c r="N77" s="34"/>
      <c r="O77" s="32"/>
      <c r="P77" s="32" t="s">
        <v>73</v>
      </c>
      <c r="Q77" s="32"/>
      <c r="R77" s="32"/>
      <c r="S77" s="31"/>
    </row>
    <row r="78" customFormat="false" ht="15" hidden="false" customHeight="true" outlineLevel="0" collapsed="false">
      <c r="A78" s="35" t="s">
        <v>168</v>
      </c>
      <c r="B78" s="35" t="s">
        <v>268</v>
      </c>
      <c r="C78" s="36" t="s">
        <v>269</v>
      </c>
      <c r="D78" s="37" t="n">
        <v>207.89</v>
      </c>
      <c r="E78" s="37" t="n">
        <v>0</v>
      </c>
      <c r="F78" s="35" t="s">
        <v>243</v>
      </c>
      <c r="G78" s="35" t="s">
        <v>72</v>
      </c>
      <c r="H78" s="37"/>
      <c r="I78" s="37" t="n">
        <v>207.89</v>
      </c>
      <c r="J78" s="38"/>
      <c r="K78" s="38"/>
      <c r="L78" s="38"/>
      <c r="M78" s="38"/>
      <c r="N78" s="38"/>
      <c r="O78" s="36"/>
      <c r="P78" s="36" t="s">
        <v>73</v>
      </c>
      <c r="Q78" s="36"/>
      <c r="R78" s="36"/>
      <c r="S78" s="35"/>
    </row>
    <row r="79" customFormat="false" ht="15" hidden="false" customHeight="true" outlineLevel="0" collapsed="false">
      <c r="A79" s="31" t="s">
        <v>168</v>
      </c>
      <c r="B79" s="31" t="s">
        <v>270</v>
      </c>
      <c r="C79" s="32" t="s">
        <v>271</v>
      </c>
      <c r="D79" s="33" t="n">
        <v>159.42</v>
      </c>
      <c r="E79" s="33" t="n">
        <v>0</v>
      </c>
      <c r="F79" s="31" t="s">
        <v>243</v>
      </c>
      <c r="G79" s="31" t="s">
        <v>72</v>
      </c>
      <c r="H79" s="33"/>
      <c r="I79" s="33" t="n">
        <v>159.42</v>
      </c>
      <c r="J79" s="34"/>
      <c r="K79" s="34"/>
      <c r="L79" s="34"/>
      <c r="M79" s="34"/>
      <c r="N79" s="34"/>
      <c r="O79" s="32"/>
      <c r="P79" s="32" t="s">
        <v>73</v>
      </c>
      <c r="Q79" s="32"/>
      <c r="R79" s="32"/>
      <c r="S79" s="31"/>
    </row>
    <row r="80" customFormat="false" ht="63.75" hidden="false" customHeight="true" outlineLevel="0" collapsed="false">
      <c r="A80" s="35" t="s">
        <v>168</v>
      </c>
      <c r="B80" s="35" t="s">
        <v>272</v>
      </c>
      <c r="C80" s="36" t="s">
        <v>273</v>
      </c>
      <c r="D80" s="37" t="n">
        <v>139.25</v>
      </c>
      <c r="E80" s="37" t="n">
        <v>0</v>
      </c>
      <c r="F80" s="35" t="s">
        <v>243</v>
      </c>
      <c r="G80" s="35" t="s">
        <v>55</v>
      </c>
      <c r="H80" s="37" t="n">
        <v>139.25</v>
      </c>
      <c r="I80" s="37" t="n">
        <v>0</v>
      </c>
      <c r="J80" s="38" t="s">
        <v>12</v>
      </c>
      <c r="K80" s="38" t="s">
        <v>13</v>
      </c>
      <c r="L80" s="38" t="s">
        <v>12</v>
      </c>
      <c r="M80" s="38" t="s">
        <v>12</v>
      </c>
      <c r="N80" s="38" t="s">
        <v>12</v>
      </c>
      <c r="O80" s="36" t="s">
        <v>274</v>
      </c>
      <c r="P80" s="36" t="s">
        <v>275</v>
      </c>
      <c r="Q80" s="36" t="s">
        <v>276</v>
      </c>
      <c r="R80" s="36" t="s">
        <v>277</v>
      </c>
      <c r="S80" s="35" t="s">
        <v>80</v>
      </c>
    </row>
    <row r="81" customFormat="false" ht="15" hidden="false" customHeight="true" outlineLevel="0" collapsed="false">
      <c r="A81" s="31" t="s">
        <v>168</v>
      </c>
      <c r="B81" s="31" t="s">
        <v>278</v>
      </c>
      <c r="C81" s="32" t="s">
        <v>279</v>
      </c>
      <c r="D81" s="33" t="n">
        <v>108.08</v>
      </c>
      <c r="E81" s="33" t="n">
        <v>0</v>
      </c>
      <c r="F81" s="31" t="s">
        <v>243</v>
      </c>
      <c r="G81" s="31" t="s">
        <v>72</v>
      </c>
      <c r="H81" s="33"/>
      <c r="I81" s="33" t="n">
        <v>108.08</v>
      </c>
      <c r="J81" s="34"/>
      <c r="K81" s="34"/>
      <c r="L81" s="34"/>
      <c r="M81" s="34"/>
      <c r="N81" s="34"/>
      <c r="O81" s="32"/>
      <c r="P81" s="32" t="s">
        <v>73</v>
      </c>
      <c r="Q81" s="32"/>
      <c r="R81" s="32"/>
      <c r="S81" s="31"/>
    </row>
    <row r="82" customFormat="false" ht="15" hidden="false" customHeight="true" outlineLevel="0" collapsed="false">
      <c r="A82" s="35" t="s">
        <v>168</v>
      </c>
      <c r="B82" s="35" t="s">
        <v>280</v>
      </c>
      <c r="C82" s="36" t="s">
        <v>281</v>
      </c>
      <c r="D82" s="37" t="n">
        <v>88.14</v>
      </c>
      <c r="E82" s="37" t="n">
        <v>0</v>
      </c>
      <c r="F82" s="35" t="s">
        <v>243</v>
      </c>
      <c r="G82" s="35" t="s">
        <v>72</v>
      </c>
      <c r="H82" s="37"/>
      <c r="I82" s="37" t="n">
        <v>88.14</v>
      </c>
      <c r="J82" s="38"/>
      <c r="K82" s="38"/>
      <c r="L82" s="38"/>
      <c r="M82" s="38"/>
      <c r="N82" s="38"/>
      <c r="O82" s="36"/>
      <c r="P82" s="36" t="s">
        <v>73</v>
      </c>
      <c r="Q82" s="36"/>
      <c r="R82" s="36"/>
      <c r="S82" s="35"/>
    </row>
    <row r="83" customFormat="false" ht="15" hidden="false" customHeight="true" outlineLevel="0" collapsed="false">
      <c r="A83" s="31" t="s">
        <v>168</v>
      </c>
      <c r="B83" s="31" t="s">
        <v>282</v>
      </c>
      <c r="C83" s="32" t="s">
        <v>283</v>
      </c>
      <c r="D83" s="33" t="n">
        <v>84.06</v>
      </c>
      <c r="E83" s="33" t="n">
        <v>0</v>
      </c>
      <c r="F83" s="31" t="s">
        <v>243</v>
      </c>
      <c r="G83" s="31" t="s">
        <v>72</v>
      </c>
      <c r="H83" s="33"/>
      <c r="I83" s="33" t="n">
        <v>84.06</v>
      </c>
      <c r="J83" s="34"/>
      <c r="K83" s="34"/>
      <c r="L83" s="34"/>
      <c r="M83" s="34"/>
      <c r="N83" s="34"/>
      <c r="O83" s="32"/>
      <c r="P83" s="32" t="s">
        <v>73</v>
      </c>
      <c r="Q83" s="32"/>
      <c r="R83" s="32"/>
      <c r="S83" s="31"/>
    </row>
    <row r="84" customFormat="false" ht="15" hidden="false" customHeight="true" outlineLevel="0" collapsed="false">
      <c r="A84" s="35" t="s">
        <v>168</v>
      </c>
      <c r="B84" s="35" t="s">
        <v>284</v>
      </c>
      <c r="C84" s="36" t="s">
        <v>285</v>
      </c>
      <c r="D84" s="37" t="n">
        <v>14.56</v>
      </c>
      <c r="E84" s="37" t="n">
        <v>0</v>
      </c>
      <c r="F84" s="35" t="s">
        <v>243</v>
      </c>
      <c r="G84" s="35" t="s">
        <v>72</v>
      </c>
      <c r="H84" s="37"/>
      <c r="I84" s="37" t="n">
        <v>14.56</v>
      </c>
      <c r="J84" s="38"/>
      <c r="K84" s="38"/>
      <c r="L84" s="38"/>
      <c r="M84" s="38"/>
      <c r="N84" s="38"/>
      <c r="O84" s="36"/>
      <c r="P84" s="36" t="s">
        <v>73</v>
      </c>
      <c r="Q84" s="36"/>
      <c r="R84" s="36"/>
      <c r="S84" s="35"/>
    </row>
    <row r="85" customFormat="false" ht="15" hidden="false" customHeight="true" outlineLevel="0" collapsed="false">
      <c r="A85" s="31" t="s">
        <v>168</v>
      </c>
      <c r="B85" s="31" t="s">
        <v>286</v>
      </c>
      <c r="C85" s="32" t="s">
        <v>287</v>
      </c>
      <c r="D85" s="33" t="n">
        <v>0.36</v>
      </c>
      <c r="E85" s="33" t="n">
        <v>0</v>
      </c>
      <c r="F85" s="31" t="s">
        <v>243</v>
      </c>
      <c r="G85" s="31" t="s">
        <v>72</v>
      </c>
      <c r="H85" s="33"/>
      <c r="I85" s="33" t="n">
        <v>0.36</v>
      </c>
      <c r="J85" s="34"/>
      <c r="K85" s="34"/>
      <c r="L85" s="34"/>
      <c r="M85" s="34"/>
      <c r="N85" s="34"/>
      <c r="O85" s="32"/>
      <c r="P85" s="32" t="s">
        <v>73</v>
      </c>
      <c r="Q85" s="32"/>
      <c r="R85" s="32"/>
      <c r="S85" s="31"/>
    </row>
    <row r="86" customFormat="false" ht="15" hidden="false" customHeight="true" outlineLevel="0" collapsed="false">
      <c r="A86" s="35" t="s">
        <v>168</v>
      </c>
      <c r="B86" s="35" t="s">
        <v>288</v>
      </c>
      <c r="C86" s="36" t="s">
        <v>289</v>
      </c>
      <c r="D86" s="37" t="n">
        <v>0</v>
      </c>
      <c r="E86" s="37" t="n">
        <v>37464.81</v>
      </c>
      <c r="F86" s="35" t="s">
        <v>290</v>
      </c>
      <c r="G86" s="35" t="s">
        <v>72</v>
      </c>
      <c r="H86" s="37"/>
      <c r="I86" s="37"/>
      <c r="J86" s="38"/>
      <c r="K86" s="38"/>
      <c r="L86" s="38"/>
      <c r="M86" s="38"/>
      <c r="N86" s="38"/>
      <c r="O86" s="36"/>
      <c r="P86" s="36" t="s">
        <v>73</v>
      </c>
      <c r="Q86" s="36"/>
      <c r="R86" s="36"/>
      <c r="S86" s="35"/>
    </row>
    <row r="87" customFormat="false" ht="15" hidden="false" customHeight="true" outlineLevel="0" collapsed="false">
      <c r="A87" s="31" t="s">
        <v>168</v>
      </c>
      <c r="B87" s="31" t="s">
        <v>291</v>
      </c>
      <c r="C87" s="32" t="s">
        <v>292</v>
      </c>
      <c r="D87" s="33" t="n">
        <v>0</v>
      </c>
      <c r="E87" s="33" t="n">
        <v>2231.91</v>
      </c>
      <c r="F87" s="31" t="s">
        <v>290</v>
      </c>
      <c r="G87" s="31" t="s">
        <v>72</v>
      </c>
      <c r="H87" s="33"/>
      <c r="I87" s="33"/>
      <c r="J87" s="34"/>
      <c r="K87" s="34"/>
      <c r="L87" s="34"/>
      <c r="M87" s="34"/>
      <c r="N87" s="34"/>
      <c r="O87" s="32"/>
      <c r="P87" s="32" t="s">
        <v>73</v>
      </c>
      <c r="Q87" s="32"/>
      <c r="R87" s="32"/>
      <c r="S87" s="31"/>
    </row>
    <row r="88" customFormat="false" ht="15" hidden="false" customHeight="true" outlineLevel="0" collapsed="false">
      <c r="A88" s="35" t="s">
        <v>168</v>
      </c>
      <c r="B88" s="35" t="s">
        <v>293</v>
      </c>
      <c r="C88" s="36" t="s">
        <v>294</v>
      </c>
      <c r="D88" s="37" t="n">
        <v>0</v>
      </c>
      <c r="E88" s="37" t="n">
        <v>0</v>
      </c>
      <c r="F88" s="35" t="s">
        <v>290</v>
      </c>
      <c r="G88" s="35" t="s">
        <v>72</v>
      </c>
      <c r="H88" s="37"/>
      <c r="I88" s="37"/>
      <c r="J88" s="38"/>
      <c r="K88" s="38"/>
      <c r="L88" s="38"/>
      <c r="M88" s="38"/>
      <c r="N88" s="38"/>
      <c r="O88" s="36"/>
      <c r="P88" s="36" t="s">
        <v>73</v>
      </c>
      <c r="Q88" s="36"/>
      <c r="R88" s="36"/>
      <c r="S88" s="35"/>
    </row>
    <row r="89" customFormat="false" ht="15" hidden="false" customHeight="true" outlineLevel="0" collapsed="false">
      <c r="A89" s="31" t="s">
        <v>168</v>
      </c>
      <c r="B89" s="31" t="s">
        <v>295</v>
      </c>
      <c r="C89" s="32" t="s">
        <v>296</v>
      </c>
      <c r="D89" s="33" t="n">
        <v>0</v>
      </c>
      <c r="E89" s="33" t="n">
        <v>22407.93</v>
      </c>
      <c r="F89" s="31" t="s">
        <v>290</v>
      </c>
      <c r="G89" s="31" t="s">
        <v>72</v>
      </c>
      <c r="H89" s="33"/>
      <c r="I89" s="33"/>
      <c r="J89" s="34"/>
      <c r="K89" s="34"/>
      <c r="L89" s="34"/>
      <c r="M89" s="34"/>
      <c r="N89" s="34"/>
      <c r="O89" s="32"/>
      <c r="P89" s="32" t="s">
        <v>73</v>
      </c>
      <c r="Q89" s="32"/>
      <c r="R89" s="32"/>
      <c r="S89" s="31"/>
    </row>
    <row r="90" customFormat="false" ht="15" hidden="false" customHeight="true" outlineLevel="0" collapsed="false">
      <c r="A90" s="35" t="s">
        <v>168</v>
      </c>
      <c r="B90" s="35" t="s">
        <v>297</v>
      </c>
      <c r="C90" s="36" t="s">
        <v>298</v>
      </c>
      <c r="D90" s="37" t="n">
        <v>0</v>
      </c>
      <c r="E90" s="37" t="n">
        <v>3281.88</v>
      </c>
      <c r="F90" s="35" t="s">
        <v>290</v>
      </c>
      <c r="G90" s="35" t="s">
        <v>72</v>
      </c>
      <c r="H90" s="37"/>
      <c r="I90" s="37"/>
      <c r="J90" s="38"/>
      <c r="K90" s="38"/>
      <c r="L90" s="38"/>
      <c r="M90" s="38"/>
      <c r="N90" s="38"/>
      <c r="O90" s="36"/>
      <c r="P90" s="36" t="s">
        <v>73</v>
      </c>
      <c r="Q90" s="36"/>
      <c r="R90" s="36"/>
      <c r="S90" s="35"/>
    </row>
    <row r="91" customFormat="false" ht="15" hidden="false" customHeight="true" outlineLevel="0" collapsed="false">
      <c r="A91" s="31" t="s">
        <v>168</v>
      </c>
      <c r="B91" s="31" t="s">
        <v>299</v>
      </c>
      <c r="C91" s="32" t="s">
        <v>300</v>
      </c>
      <c r="D91" s="33" t="n">
        <v>-11680</v>
      </c>
      <c r="E91" s="33" t="n">
        <v>0</v>
      </c>
      <c r="F91" s="31" t="s">
        <v>46</v>
      </c>
      <c r="G91" s="31" t="s">
        <v>72</v>
      </c>
      <c r="H91" s="33"/>
      <c r="I91" s="33" t="n">
        <v>-11680</v>
      </c>
      <c r="J91" s="34"/>
      <c r="K91" s="34"/>
      <c r="L91" s="34"/>
      <c r="M91" s="34"/>
      <c r="N91" s="34"/>
      <c r="O91" s="32"/>
      <c r="P91" s="32" t="s">
        <v>73</v>
      </c>
      <c r="Q91" s="32"/>
      <c r="R91" s="32"/>
      <c r="S91" s="31"/>
    </row>
  </sheetData>
  <autoFilter ref="A4:S91"/>
  <mergeCells count="2">
    <mergeCell ref="A1:S1"/>
    <mergeCell ref="A2:S2"/>
  </mergeCells>
  <conditionalFormatting sqref="J5:N91">
    <cfRule type="cellIs" priority="2" operator="equal" aboveAverage="0" equalAverage="0" bottom="0" percent="0" rank="0" text="" dxfId="11">
      <formula>"GREEN"</formula>
    </cfRule>
    <cfRule type="cellIs" priority="3" operator="equal" aboveAverage="0" equalAverage="0" bottom="0" percent="0" rank="0" text="" dxfId="12">
      <formula>"AMBER"</formula>
    </cfRule>
    <cfRule type="cellIs" priority="4" operator="equal" aboveAverage="0" equalAverage="0" bottom="0" percent="0" rank="0" text="" dxfId="13">
      <formula>"RED"</formula>
    </cfRule>
    <cfRule type="cellIs" priority="5" operator="equal" aboveAverage="0" equalAverage="0" bottom="0" percent="0" rank="0" text="" dxfId="14">
      <formula>"OPENED"</formula>
    </cfRule>
  </conditionalFormatting>
  <conditionalFormatting sqref="G5:G91">
    <cfRule type="cellIs" priority="6" operator="equal" aboveAverage="0" equalAverage="0" bottom="0" percent="0" rank="0" text="" dxfId="15">
      <formula>"Fully reviewed"</formula>
    </cfRule>
    <cfRule type="cellIs" priority="7" operator="equal" aboveAverage="0" equalAverage="0" bottom="0" percent="0" rank="0" text="" dxfId="16">
      <formula>"Partial"</formula>
    </cfRule>
    <cfRule type="cellIs" priority="8" operator="equal" aboveAverage="0" equalAverage="0" bottom="0" percent="0" rank="0" text="" dxfId="14">
      <formula>"Opened"</formula>
    </cfRule>
    <cfRule type="cellIs" priority="9" operator="equal" aboveAverage="0" equalAverage="0" bottom="0" percent="0" rank="0" text="" dxfId="17">
      <formula>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  <col collapsed="false" customWidth="true" hidden="false" outlineLevel="0" max="5" min="5" style="0" width="55"/>
  </cols>
  <sheetData>
    <row r="1" customFormat="false" ht="25.5" hidden="false" customHeight="true" outlineLevel="0" collapsed="false">
      <c r="A1" s="39" t="s">
        <v>301</v>
      </c>
      <c r="B1" s="39"/>
      <c r="C1" s="39"/>
      <c r="D1" s="39"/>
      <c r="E1" s="39"/>
    </row>
    <row r="2" customFormat="false" ht="15" hidden="false" customHeight="true" outlineLevel="0" collapsed="false">
      <c r="A2" s="2" t="s">
        <v>302</v>
      </c>
      <c r="B2" s="2"/>
      <c r="C2" s="2"/>
      <c r="D2" s="2"/>
      <c r="E2" s="2"/>
    </row>
    <row r="4" customFormat="false" ht="15" hidden="false" customHeight="false" outlineLevel="0" collapsed="false">
      <c r="A4" s="30" t="s">
        <v>303</v>
      </c>
      <c r="B4" s="30" t="s">
        <v>304</v>
      </c>
      <c r="C4" s="30" t="s">
        <v>305</v>
      </c>
      <c r="D4" s="30" t="s">
        <v>306</v>
      </c>
      <c r="E4" s="30" t="s">
        <v>307</v>
      </c>
    </row>
    <row r="5" customFormat="false" ht="25.5" hidden="false" customHeight="true" outlineLevel="0" collapsed="false">
      <c r="A5" s="31" t="n">
        <v>1</v>
      </c>
      <c r="B5" s="31" t="s">
        <v>308</v>
      </c>
      <c r="C5" s="31" t="s">
        <v>198</v>
      </c>
      <c r="D5" s="32" t="s">
        <v>309</v>
      </c>
      <c r="E5" s="32" t="s">
        <v>310</v>
      </c>
    </row>
    <row r="6" customFormat="false" ht="25.5" hidden="false" customHeight="true" outlineLevel="0" collapsed="false">
      <c r="A6" s="35" t="n">
        <v>2</v>
      </c>
      <c r="B6" s="35" t="s">
        <v>308</v>
      </c>
      <c r="C6" s="35" t="s">
        <v>198</v>
      </c>
      <c r="D6" s="36" t="s">
        <v>311</v>
      </c>
      <c r="E6" s="36" t="s">
        <v>312</v>
      </c>
    </row>
    <row r="7" customFormat="false" ht="25.5" hidden="false" customHeight="true" outlineLevel="0" collapsed="false">
      <c r="A7" s="31" t="n">
        <v>3</v>
      </c>
      <c r="B7" s="31" t="s">
        <v>308</v>
      </c>
      <c r="C7" s="31" t="s">
        <v>235</v>
      </c>
      <c r="D7" s="32" t="s">
        <v>313</v>
      </c>
      <c r="E7" s="32" t="s">
        <v>314</v>
      </c>
    </row>
    <row r="8" customFormat="false" ht="25.5" hidden="false" customHeight="true" outlineLevel="0" collapsed="false">
      <c r="A8" s="35" t="n">
        <v>4</v>
      </c>
      <c r="B8" s="35" t="s">
        <v>308</v>
      </c>
      <c r="C8" s="35" t="s">
        <v>209</v>
      </c>
      <c r="D8" s="36" t="s">
        <v>315</v>
      </c>
      <c r="E8" s="36" t="s">
        <v>316</v>
      </c>
    </row>
    <row r="9" customFormat="false" ht="25.5" hidden="false" customHeight="true" outlineLevel="0" collapsed="false">
      <c r="A9" s="31" t="n">
        <v>5</v>
      </c>
      <c r="B9" s="31" t="s">
        <v>308</v>
      </c>
      <c r="C9" s="31" t="s">
        <v>53</v>
      </c>
      <c r="D9" s="32" t="s">
        <v>317</v>
      </c>
      <c r="E9" s="32" t="s">
        <v>318</v>
      </c>
    </row>
    <row r="10" customFormat="false" ht="25.5" hidden="false" customHeight="true" outlineLevel="0" collapsed="false">
      <c r="A10" s="35" t="n">
        <v>6</v>
      </c>
      <c r="B10" s="35" t="s">
        <v>308</v>
      </c>
      <c r="C10" s="35" t="s">
        <v>53</v>
      </c>
      <c r="D10" s="36" t="s">
        <v>319</v>
      </c>
      <c r="E10" s="36" t="s">
        <v>320</v>
      </c>
    </row>
    <row r="11" customFormat="false" ht="25.5" hidden="false" customHeight="true" outlineLevel="0" collapsed="false">
      <c r="A11" s="31" t="n">
        <v>7</v>
      </c>
      <c r="B11" s="31" t="s">
        <v>308</v>
      </c>
      <c r="C11" s="31" t="s">
        <v>321</v>
      </c>
      <c r="D11" s="32" t="s">
        <v>322</v>
      </c>
      <c r="E11" s="32" t="s">
        <v>323</v>
      </c>
    </row>
    <row r="12" customFormat="false" ht="25.5" hidden="false" customHeight="true" outlineLevel="0" collapsed="false">
      <c r="A12" s="35" t="n">
        <v>8</v>
      </c>
      <c r="B12" s="35" t="s">
        <v>308</v>
      </c>
      <c r="C12" s="35" t="s">
        <v>154</v>
      </c>
      <c r="D12" s="36" t="s">
        <v>324</v>
      </c>
      <c r="E12" s="36" t="s">
        <v>325</v>
      </c>
    </row>
    <row r="13" customFormat="false" ht="25.5" hidden="false" customHeight="true" outlineLevel="0" collapsed="false">
      <c r="A13" s="31" t="n">
        <v>9</v>
      </c>
      <c r="B13" s="31" t="s">
        <v>308</v>
      </c>
      <c r="C13" s="31" t="s">
        <v>326</v>
      </c>
      <c r="D13" s="32" t="s">
        <v>327</v>
      </c>
      <c r="E13" s="32" t="s">
        <v>328</v>
      </c>
    </row>
    <row r="14" customFormat="false" ht="25.5" hidden="false" customHeight="true" outlineLevel="0" collapsed="false">
      <c r="A14" s="35" t="n">
        <v>10</v>
      </c>
      <c r="B14" s="35" t="s">
        <v>308</v>
      </c>
      <c r="C14" s="35" t="s">
        <v>326</v>
      </c>
      <c r="D14" s="36" t="s">
        <v>329</v>
      </c>
      <c r="E14" s="36" t="s">
        <v>330</v>
      </c>
    </row>
    <row r="15" customFormat="false" ht="25.5" hidden="false" customHeight="true" outlineLevel="0" collapsed="false">
      <c r="A15" s="31" t="n">
        <v>11</v>
      </c>
      <c r="B15" s="31" t="s">
        <v>308</v>
      </c>
      <c r="C15" s="31" t="s">
        <v>184</v>
      </c>
      <c r="D15" s="32" t="s">
        <v>331</v>
      </c>
      <c r="E15" s="32" t="s">
        <v>332</v>
      </c>
    </row>
    <row r="16" customFormat="false" ht="25.5" hidden="false" customHeight="true" outlineLevel="0" collapsed="false">
      <c r="A16" s="35" t="n">
        <v>12</v>
      </c>
      <c r="B16" s="35" t="s">
        <v>308</v>
      </c>
      <c r="C16" s="35" t="s">
        <v>184</v>
      </c>
      <c r="D16" s="36" t="s">
        <v>333</v>
      </c>
      <c r="E16" s="36" t="s">
        <v>332</v>
      </c>
    </row>
    <row r="17" customFormat="false" ht="25.5" hidden="false" customHeight="true" outlineLevel="0" collapsed="false">
      <c r="A17" s="31" t="n">
        <v>13</v>
      </c>
      <c r="B17" s="31" t="s">
        <v>308</v>
      </c>
      <c r="C17" s="31" t="s">
        <v>184</v>
      </c>
      <c r="D17" s="32" t="s">
        <v>334</v>
      </c>
      <c r="E17" s="32" t="s">
        <v>332</v>
      </c>
    </row>
    <row r="18" customFormat="false" ht="25.5" hidden="false" customHeight="true" outlineLevel="0" collapsed="false">
      <c r="A18" s="35" t="n">
        <v>14</v>
      </c>
      <c r="B18" s="35" t="s">
        <v>308</v>
      </c>
      <c r="C18" s="35" t="s">
        <v>184</v>
      </c>
      <c r="D18" s="36" t="s">
        <v>335</v>
      </c>
      <c r="E18" s="36" t="s">
        <v>336</v>
      </c>
    </row>
    <row r="19" customFormat="false" ht="25.5" hidden="false" customHeight="true" outlineLevel="0" collapsed="false">
      <c r="A19" s="31" t="n">
        <v>15</v>
      </c>
      <c r="B19" s="31" t="s">
        <v>308</v>
      </c>
      <c r="C19" s="31" t="s">
        <v>117</v>
      </c>
      <c r="D19" s="32" t="s">
        <v>337</v>
      </c>
      <c r="E19" s="32" t="s">
        <v>338</v>
      </c>
    </row>
    <row r="20" customFormat="false" ht="25.5" hidden="false" customHeight="true" outlineLevel="0" collapsed="false">
      <c r="A20" s="35" t="n">
        <v>16</v>
      </c>
      <c r="B20" s="35" t="s">
        <v>308</v>
      </c>
      <c r="C20" s="35" t="s">
        <v>117</v>
      </c>
      <c r="D20" s="36" t="s">
        <v>339</v>
      </c>
      <c r="E20" s="36" t="s">
        <v>340</v>
      </c>
    </row>
    <row r="21" customFormat="false" ht="25.5" hidden="false" customHeight="true" outlineLevel="0" collapsed="false">
      <c r="A21" s="31" t="n">
        <v>17</v>
      </c>
      <c r="B21" s="31" t="s">
        <v>308</v>
      </c>
      <c r="C21" s="31" t="s">
        <v>117</v>
      </c>
      <c r="D21" s="32" t="s">
        <v>341</v>
      </c>
      <c r="E21" s="32" t="s">
        <v>332</v>
      </c>
    </row>
    <row r="22" customFormat="false" ht="25.5" hidden="false" customHeight="true" outlineLevel="0" collapsed="false">
      <c r="A22" s="35" t="n">
        <v>18</v>
      </c>
      <c r="B22" s="35" t="s">
        <v>308</v>
      </c>
      <c r="C22" s="35" t="s">
        <v>117</v>
      </c>
      <c r="D22" s="36" t="s">
        <v>342</v>
      </c>
      <c r="E22" s="36" t="s">
        <v>343</v>
      </c>
    </row>
    <row r="23" customFormat="false" ht="25.5" hidden="false" customHeight="true" outlineLevel="0" collapsed="false">
      <c r="A23" s="31" t="n">
        <v>19</v>
      </c>
      <c r="B23" s="31" t="s">
        <v>308</v>
      </c>
      <c r="C23" s="31" t="s">
        <v>74</v>
      </c>
      <c r="D23" s="32" t="s">
        <v>344</v>
      </c>
      <c r="E23" s="32" t="s">
        <v>345</v>
      </c>
    </row>
    <row r="24" customFormat="false" ht="25.5" hidden="false" customHeight="true" outlineLevel="0" collapsed="false">
      <c r="A24" s="35" t="n">
        <v>20</v>
      </c>
      <c r="B24" s="35" t="s">
        <v>308</v>
      </c>
      <c r="C24" s="35" t="s">
        <v>74</v>
      </c>
      <c r="D24" s="36" t="s">
        <v>346</v>
      </c>
      <c r="E24" s="36" t="s">
        <v>332</v>
      </c>
    </row>
    <row r="25" customFormat="false" ht="25.5" hidden="false" customHeight="true" outlineLevel="0" collapsed="false">
      <c r="A25" s="31" t="n">
        <v>21</v>
      </c>
      <c r="B25" s="31" t="s">
        <v>308</v>
      </c>
      <c r="C25" s="31" t="s">
        <v>128</v>
      </c>
      <c r="D25" s="32" t="s">
        <v>347</v>
      </c>
      <c r="E25" s="32" t="s">
        <v>348</v>
      </c>
    </row>
    <row r="26" customFormat="false" ht="25.5" hidden="false" customHeight="true" outlineLevel="0" collapsed="false">
      <c r="A26" s="35" t="n">
        <v>22</v>
      </c>
      <c r="B26" s="35" t="s">
        <v>308</v>
      </c>
      <c r="C26" s="35" t="s">
        <v>198</v>
      </c>
      <c r="D26" s="36" t="s">
        <v>349</v>
      </c>
      <c r="E26" s="36" t="s">
        <v>350</v>
      </c>
    </row>
    <row r="27" customFormat="false" ht="25.5" hidden="false" customHeight="true" outlineLevel="0" collapsed="false">
      <c r="A27" s="31" t="n">
        <v>23</v>
      </c>
      <c r="B27" s="31" t="s">
        <v>308</v>
      </c>
      <c r="C27" s="31" t="s">
        <v>81</v>
      </c>
      <c r="D27" s="32" t="s">
        <v>351</v>
      </c>
      <c r="E27" s="32" t="s">
        <v>352</v>
      </c>
    </row>
    <row r="28" customFormat="false" ht="25.5" hidden="false" customHeight="true" outlineLevel="0" collapsed="false">
      <c r="A28" s="35" t="n">
        <v>24</v>
      </c>
      <c r="B28" s="35" t="s">
        <v>353</v>
      </c>
      <c r="C28" s="35" t="s">
        <v>198</v>
      </c>
      <c r="D28" s="36" t="s">
        <v>354</v>
      </c>
      <c r="E28" s="36"/>
    </row>
    <row r="29" customFormat="false" ht="25.5" hidden="false" customHeight="true" outlineLevel="0" collapsed="false">
      <c r="A29" s="31" t="n">
        <v>25</v>
      </c>
      <c r="B29" s="31" t="s">
        <v>353</v>
      </c>
      <c r="C29" s="31" t="s">
        <v>60</v>
      </c>
      <c r="D29" s="32" t="s">
        <v>355</v>
      </c>
      <c r="E29" s="32"/>
    </row>
    <row r="30" customFormat="false" ht="25.5" hidden="false" customHeight="true" outlineLevel="0" collapsed="false">
      <c r="A30" s="35" t="n">
        <v>26</v>
      </c>
      <c r="B30" s="35" t="s">
        <v>353</v>
      </c>
      <c r="C30" s="35" t="s">
        <v>53</v>
      </c>
      <c r="D30" s="36" t="s">
        <v>356</v>
      </c>
      <c r="E30" s="36"/>
    </row>
    <row r="31" customFormat="false" ht="25.5" hidden="false" customHeight="true" outlineLevel="0" collapsed="false">
      <c r="A31" s="31" t="n">
        <v>27</v>
      </c>
      <c r="B31" s="31" t="s">
        <v>353</v>
      </c>
      <c r="C31" s="31" t="s">
        <v>171</v>
      </c>
      <c r="D31" s="32" t="s">
        <v>357</v>
      </c>
      <c r="E31" s="32"/>
    </row>
    <row r="32" customFormat="false" ht="25.5" hidden="false" customHeight="true" outlineLevel="0" collapsed="false">
      <c r="A32" s="35" t="n">
        <v>28</v>
      </c>
      <c r="B32" s="35" t="s">
        <v>353</v>
      </c>
      <c r="C32" s="35" t="s">
        <v>44</v>
      </c>
      <c r="D32" s="36" t="s">
        <v>358</v>
      </c>
      <c r="E32" s="36"/>
    </row>
    <row r="33" customFormat="false" ht="25.5" hidden="false" customHeight="true" outlineLevel="0" collapsed="false">
      <c r="A33" s="31" t="n">
        <v>29</v>
      </c>
      <c r="B33" s="31" t="s">
        <v>353</v>
      </c>
      <c r="C33" s="31" t="s">
        <v>140</v>
      </c>
      <c r="D33" s="32" t="s">
        <v>359</v>
      </c>
      <c r="E33" s="32"/>
    </row>
    <row r="34" customFormat="false" ht="25.5" hidden="false" customHeight="true" outlineLevel="0" collapsed="false">
      <c r="A34" s="35" t="n">
        <v>30</v>
      </c>
      <c r="B34" s="35" t="s">
        <v>353</v>
      </c>
      <c r="C34" s="35" t="s">
        <v>190</v>
      </c>
      <c r="D34" s="36" t="s">
        <v>360</v>
      </c>
      <c r="E34" s="36"/>
    </row>
    <row r="35" customFormat="false" ht="25.5" hidden="false" customHeight="true" outlineLevel="0" collapsed="false">
      <c r="A35" s="31" t="n">
        <v>31</v>
      </c>
      <c r="B35" s="31" t="s">
        <v>353</v>
      </c>
      <c r="C35" s="31" t="s">
        <v>154</v>
      </c>
      <c r="D35" s="32" t="s">
        <v>361</v>
      </c>
      <c r="E35" s="32"/>
    </row>
    <row r="36" customFormat="false" ht="25.5" hidden="false" customHeight="true" outlineLevel="0" collapsed="false">
      <c r="A36" s="35" t="n">
        <v>32</v>
      </c>
      <c r="B36" s="35" t="s">
        <v>353</v>
      </c>
      <c r="C36" s="35" t="s">
        <v>272</v>
      </c>
      <c r="D36" s="36" t="s">
        <v>362</v>
      </c>
      <c r="E36" s="36"/>
    </row>
    <row r="37" customFormat="false" ht="25.5" hidden="false" customHeight="true" outlineLevel="0" collapsed="false">
      <c r="A37" s="31" t="n">
        <v>33</v>
      </c>
      <c r="B37" s="31" t="s">
        <v>353</v>
      </c>
      <c r="C37" s="31" t="s">
        <v>117</v>
      </c>
      <c r="D37" s="32" t="s">
        <v>363</v>
      </c>
      <c r="E37" s="32"/>
    </row>
    <row r="38" customFormat="false" ht="25.5" hidden="false" customHeight="true" outlineLevel="0" collapsed="false">
      <c r="A38" s="35" t="n">
        <v>34</v>
      </c>
      <c r="B38" s="35" t="s">
        <v>353</v>
      </c>
      <c r="C38" s="35" t="s">
        <v>117</v>
      </c>
      <c r="D38" s="36" t="s">
        <v>364</v>
      </c>
      <c r="E38" s="36"/>
    </row>
    <row r="39" customFormat="false" ht="25.5" hidden="false" customHeight="true" outlineLevel="0" collapsed="false">
      <c r="A39" s="31" t="n">
        <v>35</v>
      </c>
      <c r="B39" s="31" t="s">
        <v>353</v>
      </c>
      <c r="C39" s="31" t="s">
        <v>74</v>
      </c>
      <c r="D39" s="32" t="s">
        <v>365</v>
      </c>
      <c r="E39" s="32"/>
    </row>
    <row r="40" customFormat="false" ht="25.5" hidden="false" customHeight="true" outlineLevel="0" collapsed="false">
      <c r="A40" s="35" t="n">
        <v>36</v>
      </c>
      <c r="B40" s="35" t="s">
        <v>353</v>
      </c>
      <c r="C40" s="35" t="s">
        <v>184</v>
      </c>
      <c r="D40" s="36" t="s">
        <v>366</v>
      </c>
      <c r="E40" s="36"/>
    </row>
    <row r="41" customFormat="false" ht="25.5" hidden="false" customHeight="true" outlineLevel="0" collapsed="false">
      <c r="A41" s="31" t="n">
        <v>37</v>
      </c>
      <c r="B41" s="31" t="s">
        <v>353</v>
      </c>
      <c r="C41" s="31" t="s">
        <v>367</v>
      </c>
      <c r="D41" s="32" t="s">
        <v>368</v>
      </c>
      <c r="E41" s="32"/>
    </row>
    <row r="42" customFormat="false" ht="25.5" hidden="false" customHeight="true" outlineLevel="0" collapsed="false">
      <c r="A42" s="35" t="n">
        <v>38</v>
      </c>
      <c r="B42" s="35" t="s">
        <v>369</v>
      </c>
      <c r="C42" s="35"/>
      <c r="D42" s="36" t="s">
        <v>370</v>
      </c>
      <c r="E42" s="36"/>
    </row>
    <row r="43" customFormat="false" ht="25.5" hidden="false" customHeight="true" outlineLevel="0" collapsed="false">
      <c r="A43" s="31" t="n">
        <v>39</v>
      </c>
      <c r="B43" s="31" t="s">
        <v>369</v>
      </c>
      <c r="C43" s="31"/>
      <c r="D43" s="32" t="s">
        <v>371</v>
      </c>
      <c r="E43" s="32"/>
    </row>
    <row r="44" customFormat="false" ht="25.5" hidden="false" customHeight="true" outlineLevel="0" collapsed="false">
      <c r="A44" s="35" t="n">
        <v>40</v>
      </c>
      <c r="B44" s="35" t="s">
        <v>369</v>
      </c>
      <c r="C44" s="35"/>
      <c r="D44" s="36" t="s">
        <v>372</v>
      </c>
      <c r="E44" s="36"/>
    </row>
    <row r="45" customFormat="false" ht="25.5" hidden="false" customHeight="true" outlineLevel="0" collapsed="false">
      <c r="A45" s="31" t="n">
        <v>41</v>
      </c>
      <c r="B45" s="31" t="s">
        <v>369</v>
      </c>
      <c r="C45" s="31"/>
      <c r="D45" s="32" t="s">
        <v>373</v>
      </c>
      <c r="E45" s="32"/>
    </row>
    <row r="46" customFormat="false" ht="25.5" hidden="false" customHeight="true" outlineLevel="0" collapsed="false">
      <c r="A46" s="35" t="n">
        <v>42</v>
      </c>
      <c r="B46" s="35" t="s">
        <v>369</v>
      </c>
      <c r="C46" s="35"/>
      <c r="D46" s="36" t="s">
        <v>374</v>
      </c>
      <c r="E46" s="36"/>
    </row>
    <row r="47" customFormat="false" ht="25.5" hidden="false" customHeight="true" outlineLevel="0" collapsed="false">
      <c r="A47" s="31" t="n">
        <v>43</v>
      </c>
      <c r="B47" s="31" t="s">
        <v>369</v>
      </c>
      <c r="C47" s="31"/>
      <c r="D47" s="32" t="s">
        <v>375</v>
      </c>
      <c r="E47" s="32"/>
    </row>
    <row r="48" customFormat="false" ht="25.5" hidden="false" customHeight="true" outlineLevel="0" collapsed="false">
      <c r="A48" s="35" t="n">
        <v>44</v>
      </c>
      <c r="B48" s="35" t="s">
        <v>369</v>
      </c>
      <c r="C48" s="35"/>
      <c r="D48" s="36" t="s">
        <v>376</v>
      </c>
      <c r="E48" s="36"/>
    </row>
    <row r="49" customFormat="false" ht="25.5" hidden="false" customHeight="true" outlineLevel="0" collapsed="false">
      <c r="A49" s="31" t="n">
        <v>45</v>
      </c>
      <c r="B49" s="31" t="s">
        <v>369</v>
      </c>
      <c r="C49" s="31"/>
      <c r="D49" s="32" t="s">
        <v>377</v>
      </c>
      <c r="E49" s="32"/>
    </row>
    <row r="50" customFormat="false" ht="25.5" hidden="false" customHeight="true" outlineLevel="0" collapsed="false">
      <c r="A50" s="35" t="n">
        <v>46</v>
      </c>
      <c r="B50" s="35" t="s">
        <v>369</v>
      </c>
      <c r="C50" s="35"/>
      <c r="D50" s="36" t="s">
        <v>378</v>
      </c>
      <c r="E50" s="36"/>
    </row>
    <row r="51" customFormat="false" ht="25.5" hidden="false" customHeight="true" outlineLevel="0" collapsed="false">
      <c r="A51" s="31" t="n">
        <v>47</v>
      </c>
      <c r="B51" s="31" t="s">
        <v>369</v>
      </c>
      <c r="C51" s="31"/>
      <c r="D51" s="32" t="s">
        <v>379</v>
      </c>
      <c r="E51" s="32"/>
    </row>
    <row r="52" customFormat="false" ht="25.5" hidden="false" customHeight="true" outlineLevel="0" collapsed="false">
      <c r="A52" s="35" t="n">
        <v>48</v>
      </c>
      <c r="B52" s="35" t="s">
        <v>369</v>
      </c>
      <c r="C52" s="35"/>
      <c r="D52" s="36" t="s">
        <v>380</v>
      </c>
      <c r="E52" s="36"/>
    </row>
    <row r="53" customFormat="false" ht="25.5" hidden="false" customHeight="true" outlineLevel="0" collapsed="false">
      <c r="A53" s="31" t="n">
        <v>49</v>
      </c>
      <c r="B53" s="31" t="s">
        <v>381</v>
      </c>
      <c r="C53" s="31"/>
      <c r="D53" s="32" t="s">
        <v>382</v>
      </c>
      <c r="E53" s="32"/>
    </row>
    <row r="54" customFormat="false" ht="25.5" hidden="false" customHeight="true" outlineLevel="0" collapsed="false">
      <c r="A54" s="35" t="n">
        <v>50</v>
      </c>
      <c r="B54" s="35" t="s">
        <v>381</v>
      </c>
      <c r="C54" s="35"/>
      <c r="D54" s="36" t="s">
        <v>383</v>
      </c>
      <c r="E54" s="36"/>
    </row>
  </sheetData>
  <autoFilter ref="A4:E54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2026-06-10T23:37:30Z</dcterms:created>
  <dc:creator>openpyxl</dc:creator>
  <dc:description/>
  <dc:language>en-US</dc:language>
  <cp:lastModifiedBy/>
  <dcterms:modified xsi:type="dcterms:W3CDTF">2026-06-10T23:38:09Z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