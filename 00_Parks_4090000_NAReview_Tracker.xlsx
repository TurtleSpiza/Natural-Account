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cker" sheetId="1" state="visible" r:id="rId3"/>
  </sheets>
  <definedNames>
    <definedName function="false" hidden="false" localSheetId="0" name="_xlnm.Print_Titles" vbProcedure="false">Tracker!$1:$7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<sst xmlns="http://schemas.openxmlformats.org/spreadsheetml/2006/main" count="482" uniqueCount="237">
  <si>
    <t xml:space="preserve">LCC Parks 4090000  —  NA Review Programme Tracker</t>
  </si>
  <si>
    <t xml:space="preserve">Source SE2 8-Jun-2026  |  Expense type 1, OP O110-O115, FY26 26SLACT p1-12  |  Four-limb: PK / NA / Evidence / Tax  |  Closed=green  Partial=amber  Queued=white</t>
  </si>
  <si>
    <t xml:space="preserve">Accounts in scope</t>
  </si>
  <si>
    <t xml:space="preserve">Total in scope ex-GST</t>
  </si>
  <si>
    <t xml:space="preserve">Closed &amp; reconciled</t>
  </si>
  <si>
    <t xml:space="preserve">Partial: $ untested</t>
  </si>
  <si>
    <t xml:space="preserve">Queued accounts</t>
  </si>
  <si>
    <t xml:space="preserve">Top-4 concentration</t>
  </si>
  <si>
    <t xml:space="preserve">Priority</t>
  </si>
  <si>
    <t xml:space="preserve">NA</t>
  </si>
  <si>
    <t xml:space="preserve">Account name</t>
  </si>
  <si>
    <t xml:space="preserve">Accum Actual</t>
  </si>
  <si>
    <t xml:space="preserve">Annual Budget</t>
  </si>
  <si>
    <t xml:space="preserve">Variance $</t>
  </si>
  <si>
    <t xml:space="preserve">Var %</t>
  </si>
  <si>
    <t xml:space="preserve">Materiality</t>
  </si>
  <si>
    <t xml:space="preserve">Status</t>
  </si>
  <si>
    <t xml:space="preserve">Reviewed $</t>
  </si>
  <si>
    <t xml:space="preserve">Untested $</t>
  </si>
  <si>
    <t xml:space="preserve">Notes</t>
  </si>
  <si>
    <t xml:space="preserve">P1</t>
  </si>
  <si>
    <t xml:space="preserve">72111</t>
  </si>
  <si>
    <t xml:space="preserve">Minor Equipment &amp; Supplies</t>
  </si>
  <si>
    <t xml:space="preserve">$10k-100k</t>
  </si>
  <si>
    <t xml:space="preserve">Partial</t>
  </si>
  <si>
    <t xml:space="preserve">AP pass $2,260 miscoded. Doc46 journal pass recodes $22,028 (OVERLAPS AP, eg Tennyson 27577). TE005091 RED blocker. Held CN-23167.</t>
  </si>
  <si>
    <t xml:space="preserve">73564</t>
  </si>
  <si>
    <t xml:space="preserve">IT Equipment and Applications</t>
  </si>
  <si>
    <t xml:space="preserve">Closed</t>
  </si>
  <si>
    <t xml:space="preserve">Full account reviewed 9-Jun-2026, reconciles $43,393.37 across 36 lines. Software recode 73564&gt;73566 $1,822.45 journal-ready; nine off-home PK lines and SR evidence gaps held in the register. AMBER.</t>
  </si>
  <si>
    <t xml:space="preserve">72312</t>
  </si>
  <si>
    <t xml:space="preserve">Office &amp; Library Equipment</t>
  </si>
  <si>
    <t xml:space="preserve">$1k-10k</t>
  </si>
  <si>
    <t xml:space="preserve">Closed pending Finance (PK000493, format). Recode to 72313 held CN-23167.</t>
  </si>
  <si>
    <t xml:space="preserve">P2</t>
  </si>
  <si>
    <t xml:space="preserve">73126</t>
  </si>
  <si>
    <t xml:space="preserve">Landscapers &amp; Gardeners</t>
  </si>
  <si>
    <t xml:space="preserve">&gt;= $1M</t>
  </si>
  <si>
    <t xml:space="preserve">Queued</t>
  </si>
  <si>
    <t xml:space="preserve">73212</t>
  </si>
  <si>
    <t xml:space="preserve">Major Contracts</t>
  </si>
  <si>
    <t xml:space="preserve">Reclassification pair with 73123. Three section exports reviewed 10-Jun-2026 ($54,242.75: Water Parks $900, Design&amp;Capital $15,100 A1 consultancy recode candidate, s4090230 $38,242.75 with GJ079210 $66,184 open). Remainder of the account untested. | 11-Jun: GJ079210 ($66,184) and GJ076924 ($1,914) backups sighted and CLOSED as balanced PK moves.</t>
  </si>
  <si>
    <t xml:space="preserve">73123</t>
  </si>
  <si>
    <t xml:space="preserve">Maintenance Services</t>
  </si>
  <si>
    <t xml:space="preserve">Opened</t>
  </si>
  <si>
    <t xml:space="preserve">Opened 11-Jun-2026, NOT reconciled: export $3,951,109.43 vs SE2 $3,900,770.79, gap $50,338.64 (suspected export duplication/P12 timing). No line work until resolved. Read with 73212.</t>
  </si>
  <si>
    <t xml:space="preserve">73990</t>
  </si>
  <si>
    <t xml:space="preserve">Expensed capital services</t>
  </si>
  <si>
    <t xml:space="preserve">Capital below threshold expensed via GJ. Known trap.</t>
  </si>
  <si>
    <t xml:space="preserve">P3</t>
  </si>
  <si>
    <t xml:space="preserve">7C111</t>
  </si>
  <si>
    <t xml:space="preserve">Internal - Vehicle/Plant Hire</t>
  </si>
  <si>
    <t xml:space="preserve">7B115</t>
  </si>
  <si>
    <t xml:space="preserve">Internal - Garbage Charges</t>
  </si>
  <si>
    <t xml:space="preserve">$100k-1M</t>
  </si>
  <si>
    <t xml:space="preserve">$871k actual vs $29k budget. Extreme over.</t>
  </si>
  <si>
    <t xml:space="preserve">73121</t>
  </si>
  <si>
    <t xml:space="preserve">Cleaning &amp; Sanitary</t>
  </si>
  <si>
    <t xml:space="preserve">7B112</t>
  </si>
  <si>
    <t xml:space="preserve">Internal - Water Base Charge</t>
  </si>
  <si>
    <t xml:space="preserve">7B113</t>
  </si>
  <si>
    <t xml:space="preserve">Internal - Water Usage Charge</t>
  </si>
  <si>
    <t xml:space="preserve">73124</t>
  </si>
  <si>
    <t xml:space="preserve">Security</t>
  </si>
  <si>
    <t xml:space="preserve">$264k actual vs $5.6k budget.</t>
  </si>
  <si>
    <t xml:space="preserve">73211</t>
  </si>
  <si>
    <t xml:space="preserve">Minor Contracts (below $20,000)</t>
  </si>
  <si>
    <t xml:space="preserve">Reviewed 11-Jun, evidence pass 17-Jun (88.3% sighted); AMBER, F1-F7 + candidates open. SE2 8-Jun basis $236,077.27; register SE2 reconciliation $236,378.27 (+$301 timing, post-8-Jun postings).</t>
  </si>
  <si>
    <t xml:space="preserve">7B114</t>
  </si>
  <si>
    <t xml:space="preserve">Internal - Sewerage Charges</t>
  </si>
  <si>
    <t xml:space="preserve">7C112</t>
  </si>
  <si>
    <t xml:space="preserve">Internal - Miscellaneous Plant Hire</t>
  </si>
  <si>
    <t xml:space="preserve">Cyclone RCM recovery. Zero budget. Known trap.</t>
  </si>
  <si>
    <t xml:space="preserve">73312</t>
  </si>
  <si>
    <t xml:space="preserve">Electricity</t>
  </si>
  <si>
    <t xml:space="preserve">72231</t>
  </si>
  <si>
    <t xml:space="preserve">Landscape Supplies</t>
  </si>
  <si>
    <t xml:space="preserve">P4</t>
  </si>
  <si>
    <t xml:space="preserve">73544</t>
  </si>
  <si>
    <t xml:space="preserve">Training &amp; Development</t>
  </si>
  <si>
    <t xml:space="preserve">Full account reviewed 10-Jun-2026: 41 lines reconcile to $69,232.16. 21 references evidenced; Bendelta/BAL recode candidates held; GSTE-25/26/27 raised; GJ079650 chargeback Limb 1 finding. 11-Jun: PK-split recode staged $2,131.46 (journal-ready). AMBER on the register. (GJ069279 QGATE historic trap noted.)</t>
  </si>
  <si>
    <t xml:space="preserve">73422</t>
  </si>
  <si>
    <t xml:space="preserve">Fire Levy</t>
  </si>
  <si>
    <t xml:space="preserve">73535</t>
  </si>
  <si>
    <t xml:space="preserve">Tollway Charges</t>
  </si>
  <si>
    <t xml:space="preserve">73601</t>
  </si>
  <si>
    <t xml:space="preserve">Management Consultancies</t>
  </si>
  <si>
    <t xml:space="preserve">Opened 11-Jun-2026, reconciles to SE2 exact. Single Org Risk WHS engagement; 1 of 9 invoices sighted; 8 invoices $43,871.03 GAP. AMBER.</t>
  </si>
  <si>
    <t xml:space="preserve">7B111</t>
  </si>
  <si>
    <t xml:space="preserve">Internal - Rates &amp; Charges</t>
  </si>
  <si>
    <t xml:space="preserve">72315</t>
  </si>
  <si>
    <t xml:space="preserve">Parks Assets</t>
  </si>
  <si>
    <t xml:space="preserve">72112</t>
  </si>
  <si>
    <t xml:space="preserve">Chemical, fertiliser &amp; paints</t>
  </si>
  <si>
    <t xml:space="preserve">72114</t>
  </si>
  <si>
    <t xml:space="preserve">Uniforms</t>
  </si>
  <si>
    <t xml:space="preserve">Reali PK split subset (~4%). Full Reali set + GJ source not sighted. Do not close on subset.</t>
  </si>
  <si>
    <t xml:space="preserve">72113</t>
  </si>
  <si>
    <t xml:space="preserve">Safety Equipment &amp; Medical Supplies</t>
  </si>
  <si>
    <t xml:space="preserve">7B122</t>
  </si>
  <si>
    <t xml:space="preserve">Internal - Tip Fees</t>
  </si>
  <si>
    <t xml:space="preserve">73122</t>
  </si>
  <si>
    <t xml:space="preserve">Garbage Collection</t>
  </si>
  <si>
    <t xml:space="preserve">Reviewed 17-Jun (88% by line); coding correct, reconciles SE2 $0.00, NIL recode. AMBER on evidence: 4 of 9 Cleanaway months sighted, ABN not sighted.</t>
  </si>
  <si>
    <t xml:space="preserve">73609</t>
  </si>
  <si>
    <t xml:space="preserve">Other Consultancies</t>
  </si>
  <si>
    <t xml:space="preserve">73128</t>
  </si>
  <si>
    <t xml:space="preserve">Other services</t>
  </si>
  <si>
    <t xml:space="preserve">Depots slice (1-20151-73128) reviewed 10-Jun-2026: $1,854.70 net, 100% milk miscode, recode 73128&gt;73512 journal-ready (122 lines, nets $0.00); 16 GST errors $61.11 (GSTE-07 to GSTE-22) + bond net-nil note. Remainder on other services untested.</t>
  </si>
  <si>
    <t xml:space="preserve">73412</t>
  </si>
  <si>
    <t xml:space="preserve">Refund of Operational Contributions</t>
  </si>
  <si>
    <t xml:space="preserve">7B411</t>
  </si>
  <si>
    <t xml:space="preserve">Internal - IT Equipment &amp; Application</t>
  </si>
  <si>
    <t xml:space="preserve">7B211</t>
  </si>
  <si>
    <t xml:space="preserve">Internal - Property-based Professional S</t>
  </si>
  <si>
    <t xml:space="preserve">7BZ11</t>
  </si>
  <si>
    <t xml:space="preserve">Internal - Community Service Obligations</t>
  </si>
  <si>
    <t xml:space="preserve">P5</t>
  </si>
  <si>
    <t xml:space="preserve">7B123</t>
  </si>
  <si>
    <t xml:space="preserve">Internal - Other fees &amp; Charges</t>
  </si>
  <si>
    <t xml:space="preserve">73563</t>
  </si>
  <si>
    <t xml:space="preserve">Printing &amp; Stationery</t>
  </si>
  <si>
    <t xml:space="preserve">Reconciles 100%. $6,307 miscoded recode held CN-23167. Feb invoice + TE005250 now sighted.</t>
  </si>
  <si>
    <t xml:space="preserve">74189</t>
  </si>
  <si>
    <t xml:space="preserve">Fuel Levy Surcharge</t>
  </si>
  <si>
    <t xml:space="preserve">Fuel levy recode destination, not 73212.</t>
  </si>
  <si>
    <t xml:space="preserve">73111</t>
  </si>
  <si>
    <t xml:space="preserve">Property-based Professional Services</t>
  </si>
  <si>
    <t xml:space="preserve">7B532</t>
  </si>
  <si>
    <t xml:space="preserve">Internal - Spoils</t>
  </si>
  <si>
    <t xml:space="preserve">73545</t>
  </si>
  <si>
    <t xml:space="preserve">Study Assistance Reimbursement</t>
  </si>
  <si>
    <t xml:space="preserve">73512</t>
  </si>
  <si>
    <t xml:space="preserve">Entertainment &amp; Hospitality Non-FBT</t>
  </si>
  <si>
    <t xml:space="preserve">Reviewed 10-Jun-2026 on a 122-line export reconciling to $5,520.97 ex-GST (post-SE2 activity included; SE2 8-Jun actual $5,512.55 carried in cols D/J). 5 of 6 reimbursements evidenced; micro-line population on docs-or-waiver. AMBER.</t>
  </si>
  <si>
    <t xml:space="preserve">73215</t>
  </si>
  <si>
    <t xml:space="preserve">Major Contracts – Partnership</t>
  </si>
  <si>
    <t xml:space="preserve">Reviewed</t>
  </si>
  <si>
    <t xml:space="preserve">Full account reviewed 11-Jun-2026. 100% miscoded into restricted Alliance account; all 3 invoices sighted, exact; recode candidate to 73126 held un-instructed. AMBER.</t>
  </si>
  <si>
    <t xml:space="preserve">73313</t>
  </si>
  <si>
    <t xml:space="preserve">Telecommunication Services</t>
  </si>
  <si>
    <t xml:space="preserve">73511</t>
  </si>
  <si>
    <t xml:space="preserve">Entertainment &amp; Hospitality FBT</t>
  </si>
  <si>
    <t xml:space="preserve">Reviewed 10-Jun-2026 on the annotated export: 126 lines reconcile to $5,384.57 ex-GST (post-SE2 activity included; SE2 8-Jun actual $4,267.49 carried in cols D/J). Candidates $1,530.19 quantified, nothing journalled pending Spero rulings; INV-9747 and Warnholtz GAPs. AMBER.</t>
  </si>
  <si>
    <t xml:space="preserve">73552</t>
  </si>
  <si>
    <t xml:space="preserve">Other Advertising</t>
  </si>
  <si>
    <t xml:space="preserve">72222</t>
  </si>
  <si>
    <t xml:space="preserve">Signs</t>
  </si>
  <si>
    <t xml:space="preserve">7B213</t>
  </si>
  <si>
    <t xml:space="preserve">Internal - Medical Services</t>
  </si>
  <si>
    <t xml:space="preserve">17-Jun MERGE: whole-branch immunisation miscode; svc-PK split staged $3,799.50 nets $0.00 (export $4,861.70; SE2 $3,996.80). Evidence GAP; AMBER.</t>
  </si>
  <si>
    <t xml:space="preserve">73140</t>
  </si>
  <si>
    <t xml:space="preserve">Pre-Employment Background Checks</t>
  </si>
  <si>
    <t xml:space="preserve">Coding correct (CV Check, 21 lines). Evidence/tax limbs open: AP invoices not sighted.</t>
  </si>
  <si>
    <t xml:space="preserve">7B214</t>
  </si>
  <si>
    <t xml:space="preserve">Internal - Maintenance Services</t>
  </si>
  <si>
    <t xml:space="preserve">73127</t>
  </si>
  <si>
    <t xml:space="preserve">Electrical Maintenance</t>
  </si>
  <si>
    <t xml:space="preserve">$2k actual vs $73k budget.</t>
  </si>
  <si>
    <t xml:space="preserve">73311</t>
  </si>
  <si>
    <t xml:space="preserve">Gas</t>
  </si>
  <si>
    <t xml:space="preserve">7B121</t>
  </si>
  <si>
    <t xml:space="preserve">Internal - Trade Waste Charges</t>
  </si>
  <si>
    <t xml:space="preserve">73115</t>
  </si>
  <si>
    <t xml:space="preserve">Medical Services</t>
  </si>
  <si>
    <t xml:space="preserve">72313</t>
  </si>
  <si>
    <t xml:space="preserve">Furniture &amp; Fittings</t>
  </si>
  <si>
    <t xml:space="preserve">73543</t>
  </si>
  <si>
    <t xml:space="preserve">Reference Materials and Subscriptions</t>
  </si>
  <si>
    <t xml:space="preserve">73141</t>
  </si>
  <si>
    <t xml:space="preserve">Drug &amp; Alcohol Testing</t>
  </si>
  <si>
    <t xml:space="preserve">74114</t>
  </si>
  <si>
    <t xml:space="preserve">Water Truck</t>
  </si>
  <si>
    <t xml:space="preserve">73125</t>
  </si>
  <si>
    <t xml:space="preserve">Workplace Health &amp; Safety</t>
  </si>
  <si>
    <t xml:space="preserve">73533</t>
  </si>
  <si>
    <t xml:space="preserve">Interstate Travel and Accommodation</t>
  </si>
  <si>
    <t xml:space="preserve">Confirmed interstate. $6.55 7-Eleven pending receipt (if meal 73511/73512). CN-23167.</t>
  </si>
  <si>
    <t xml:space="preserve">73542</t>
  </si>
  <si>
    <t xml:space="preserve">Professional Membership</t>
  </si>
  <si>
    <t xml:space="preserve">&lt; $1k</t>
  </si>
  <si>
    <t xml:space="preserve">74184</t>
  </si>
  <si>
    <t xml:space="preserve">Oils &amp; Grease</t>
  </si>
  <si>
    <t xml:space="preserve">72411</t>
  </si>
  <si>
    <t xml:space="preserve">Bulk Water</t>
  </si>
  <si>
    <t xml:space="preserve">73513</t>
  </si>
  <si>
    <t xml:space="preserve">Employee Reward and Recognition</t>
  </si>
  <si>
    <t xml:space="preserve">73541</t>
  </si>
  <si>
    <t xml:space="preserve">Conferences &amp; Seminar Fees</t>
  </si>
  <si>
    <t xml:space="preserve">73137</t>
  </si>
  <si>
    <t xml:space="preserve">Excess and Damages Payments-Other</t>
  </si>
  <si>
    <t xml:space="preserve">72211</t>
  </si>
  <si>
    <t xml:space="preserve">Bitumen &amp; Asphalt Products</t>
  </si>
  <si>
    <t xml:space="preserve">7B611</t>
  </si>
  <si>
    <t xml:space="preserve">Internal - Property Leases &amp; Rentals</t>
  </si>
  <si>
    <t xml:space="preserve">7B521</t>
  </si>
  <si>
    <t xml:space="preserve">Internal - Crushed Gravel</t>
  </si>
  <si>
    <t xml:space="preserve">74183</t>
  </si>
  <si>
    <t xml:space="preserve">Fuel</t>
  </si>
  <si>
    <t xml:space="preserve">74187</t>
  </si>
  <si>
    <t xml:space="preserve">Rego, Licences &amp; Third Party</t>
  </si>
  <si>
    <t xml:space="preserve">72214</t>
  </si>
  <si>
    <t xml:space="preserve">Construction Materials</t>
  </si>
  <si>
    <t xml:space="preserve">73531</t>
  </si>
  <si>
    <t xml:space="preserve">Local Travel (SEQ) Cabcharge/Parking</t>
  </si>
  <si>
    <t xml:space="preserve">74161</t>
  </si>
  <si>
    <t xml:space="preserve">Other Plant Hire</t>
  </si>
  <si>
    <t xml:space="preserve">72311</t>
  </si>
  <si>
    <t xml:space="preserve">Other Plant &amp; Equipment</t>
  </si>
  <si>
    <t xml:space="preserve">73433</t>
  </si>
  <si>
    <t xml:space="preserve">Other Fees &amp; Charges</t>
  </si>
  <si>
    <t xml:space="preserve">Two lines reviewed 10-Jun-2026, $139.25 reconciles. QUT parking recode 73433-&gt;73531 journal-ready, in the live journal (file recovered and content-verified 11-Jun); TE004496 blue card receipt GAP. AMBER.</t>
  </si>
  <si>
    <t xml:space="preserve">72118</t>
  </si>
  <si>
    <t xml:space="preserve">Fuel Card - Pending Account</t>
  </si>
  <si>
    <t xml:space="preserve">73561</t>
  </si>
  <si>
    <t xml:space="preserve">Other Administration Costs</t>
  </si>
  <si>
    <t xml:space="preserve">72212</t>
  </si>
  <si>
    <t xml:space="preserve">Concrete</t>
  </si>
  <si>
    <t xml:space="preserve">73553</t>
  </si>
  <si>
    <t xml:space="preserve">Promotional Items</t>
  </si>
  <si>
    <t xml:space="preserve">73421</t>
  </si>
  <si>
    <t xml:space="preserve">Rates &amp; Charges paid</t>
  </si>
  <si>
    <t xml:space="preserve">72221</t>
  </si>
  <si>
    <t xml:space="preserve">Roads &amp; Parks Furniture</t>
  </si>
  <si>
    <t xml:space="preserve">zero / credit</t>
  </si>
  <si>
    <t xml:space="preserve">72248</t>
  </si>
  <si>
    <t xml:space="preserve">Crusher Dust</t>
  </si>
  <si>
    <t xml:space="preserve">73532</t>
  </si>
  <si>
    <t xml:space="preserve">Intrastate Travel and Accommodation</t>
  </si>
  <si>
    <t xml:space="preserve">74141</t>
  </si>
  <si>
    <t xml:space="preserve">Trucks to 8 tonnes G.V.M.</t>
  </si>
  <si>
    <t xml:space="preserve">7B219</t>
  </si>
  <si>
    <t xml:space="preserve">Internal - Other Services</t>
  </si>
  <si>
    <t xml:space="preserve">73213</t>
  </si>
  <si>
    <t xml:space="preserve">Contractor Entitlements</t>
  </si>
  <si>
    <t xml:space="preserve">Credit balance, only negative-actual account.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</si>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</sst>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\$#,##0;&quot;($&quot;#,##0\);\-"/>
    <numFmt numFmtId="167" formatCode="0.0%;[RED]\-0.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Segoe UI"/>
      <family val="0"/>
      <charset val="1"/>
    </font>
    <font>
      <sz val="8"/>
      <color rgb="FF595959"/>
      <name val="Segoe UI"/>
      <family val="0"/>
      <charset val="1"/>
    </font>
    <font>
      <sz val="9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9"/>
      <color rgb="FF1F3864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9"/>
      <color rgb="FF000000"/>
      <name val="Segoe U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2D4D"/>
        <bgColor rgb="FF1F3864"/>
      </patternFill>
    </fill>
    <fill>
      <patternFill patternType="solid">
        <fgColor rgb="FF1A2236"/>
        <bgColor rgb="FF1D2D4D"/>
      </patternFill>
    </fill>
    <fill>
      <patternFill patternType="solid">
        <fgColor rgb="FF6DBEE0"/>
        <bgColor rgb="FF33CCCC"/>
      </patternFill>
    </fill>
    <fill>
      <patternFill patternType="solid">
        <fgColor rgb="FF1F3864"/>
        <bgColor rgb="FF1D2D4D"/>
      </patternFill>
    </fill>
    <fill>
      <patternFill patternType="solid">
        <fgColor rgb="FFC8783C"/>
        <bgColor rgb="FFFF6600"/>
      </patternFill>
    </fill>
    <fill>
      <patternFill patternType="solid">
        <fgColor rgb="FFFFFFFF"/>
        <bgColor rgb="FFF4F6FA"/>
      </patternFill>
    </fill>
    <fill>
      <patternFill patternType="solid">
        <fgColor rgb="FFFFF2CC"/>
        <bgColor rgb="FFF4F6FA"/>
      </patternFill>
    </fill>
    <fill>
      <patternFill patternType="solid">
        <fgColor rgb="FFF4F6FA"/>
        <bgColor rgb="FFFFFFFF"/>
      </patternFill>
    </fill>
    <fill>
      <patternFill patternType="solid">
        <fgColor rgb="FFE2EFDA"/>
        <bgColor rgb="FFF4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4F6FA"/>
      <rgbColor rgb="FF660066"/>
      <rgbColor rgb="FFC878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6DBEE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1A2236"/>
      <rgbColor rgb="FF993300"/>
      <rgbColor rgb="FF993366"/>
      <rgbColor rgb="FF333399"/>
      <rgbColor rgb="FF1D2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34"/>
    <col collapsed="false" customWidth="true" hidden="false" outlineLevel="0" max="5" min="4" style="1" width="15"/>
    <col collapsed="false" customWidth="true" hidden="false" outlineLevel="0" max="6" min="6" style="1" width="14"/>
    <col collapsed="false" customWidth="true" hidden="false" outlineLevel="0" max="7" min="7" style="1" width="8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14"/>
    <col collapsed="false" customWidth="true" hidden="false" outlineLevel="0" max="12" min="12" style="1" width="4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8" hidden="false" customHeight="true" outlineLevel="0" collapsed="false">
      <c r="A5" s="4" t="s">
        <v>2</v>
      </c>
      <c r="B5" s="4"/>
      <c r="C5" s="5" t="s">
        <v>3</v>
      </c>
      <c r="D5" s="5"/>
      <c r="E5" s="6" t="s">
        <v>4</v>
      </c>
      <c r="F5" s="6"/>
      <c r="G5" s="7" t="s">
        <v>5</v>
      </c>
      <c r="H5" s="7"/>
      <c r="I5" s="6" t="s">
        <v>6</v>
      </c>
      <c r="J5" s="6"/>
      <c r="K5" s="6" t="s">
        <v>7</v>
      </c>
      <c r="L5" s="6"/>
    </row>
    <row r="6" customFormat="false" ht="45.75" hidden="false" customHeight="true" outlineLevel="0" collapsed="false">
      <c r="A6" s="8" t="n">
        <f aca="false">COUNTA(B8:B94)</f>
        <v>87</v>
      </c>
      <c r="B6" s="8"/>
      <c r="C6" s="9" t="n">
        <f aca="false">SUM(D8:D94)</f>
        <v>33891610.16</v>
      </c>
      <c r="D6" s="9"/>
      <c r="E6" s="10" t="n">
        <f aca="false">SUMIF(I8:I94,"Closed",D8:D94)</f>
        <v>135523.16</v>
      </c>
      <c r="F6" s="10"/>
      <c r="G6" s="11" t="n">
        <f aca="false">SUMIF(I8:I94,"Partial",K8:K94)</f>
        <v>7815280.62</v>
      </c>
      <c r="H6" s="11"/>
      <c r="I6" s="12" t="n">
        <f aca="false">COUNTIF(I8:I94,"Queued")</f>
        <v>68</v>
      </c>
      <c r="J6" s="12"/>
      <c r="K6" s="13" t="n">
        <f aca="false">(LARGE(D8:D94,1)+LARGE(D8:D94,2)+LARGE(D8:D94,3)+LARGE(D8:D94,4))/SUM(D8:D94)</f>
        <v>0.823697376082411</v>
      </c>
      <c r="L6" s="13"/>
    </row>
    <row r="7" customFormat="false" ht="27.75" hidden="false" customHeight="true" outlineLevel="0" collapsed="false">
      <c r="A7" s="14" t="s">
        <v>8</v>
      </c>
      <c r="B7" s="14" t="s">
        <v>9</v>
      </c>
      <c r="C7" s="14" t="s">
        <v>10</v>
      </c>
      <c r="D7" s="14" t="s">
        <v>11</v>
      </c>
      <c r="E7" s="14" t="s">
        <v>12</v>
      </c>
      <c r="F7" s="14" t="s">
        <v>13</v>
      </c>
      <c r="G7" s="14" t="s">
        <v>14</v>
      </c>
      <c r="H7" s="14" t="s">
        <v>15</v>
      </c>
      <c r="I7" s="14" t="s">
        <v>16</v>
      </c>
      <c r="J7" s="14" t="s">
        <v>17</v>
      </c>
      <c r="K7" s="14" t="s">
        <v>18</v>
      </c>
      <c r="L7" s="14" t="s">
        <v>19</v>
      </c>
    </row>
    <row r="8" customFormat="false" ht="32.25" hidden="false" customHeight="true" outlineLevel="0" collapsed="false">
      <c r="A8" s="15" t="s">
        <v>20</v>
      </c>
      <c r="B8" s="16" t="s">
        <v>21</v>
      </c>
      <c r="C8" s="17" t="s">
        <v>22</v>
      </c>
      <c r="D8" s="18" t="n">
        <v>67055.47</v>
      </c>
      <c r="E8" s="18" t="n">
        <v>97083.52</v>
      </c>
      <c r="F8" s="18" t="n">
        <f aca="false">E8-D8</f>
        <v>30028.05</v>
      </c>
      <c r="G8" s="19" t="n">
        <f aca="false">IF(E8=0,"",(E8-D8)/E8)</f>
        <v>0.309301207867206</v>
      </c>
      <c r="H8" s="17" t="s">
        <v>23</v>
      </c>
      <c r="I8" s="20" t="s">
        <v>24</v>
      </c>
      <c r="J8" s="18" t="n">
        <v>3433.91</v>
      </c>
      <c r="K8" s="18" t="n">
        <v>63621.56</v>
      </c>
      <c r="L8" s="17" t="s">
        <v>25</v>
      </c>
    </row>
    <row r="9" customFormat="false" ht="21.75" hidden="false" customHeight="true" outlineLevel="0" collapsed="false">
      <c r="A9" s="21" t="s">
        <v>20</v>
      </c>
      <c r="B9" s="22" t="s">
        <v>26</v>
      </c>
      <c r="C9" s="23" t="s">
        <v>27</v>
      </c>
      <c r="D9" s="24" t="n">
        <v>43393.37</v>
      </c>
      <c r="E9" s="24" t="n">
        <v>60215.21</v>
      </c>
      <c r="F9" s="24" t="n">
        <f aca="false">E9-D9</f>
        <v>16821.84</v>
      </c>
      <c r="G9" s="25" t="n">
        <f aca="false">IF(E9=0,"",(E9-D9)/E9)</f>
        <v>0.279361975155447</v>
      </c>
      <c r="H9" s="23" t="s">
        <v>23</v>
      </c>
      <c r="I9" s="20" t="s">
        <v>28</v>
      </c>
      <c r="J9" s="24" t="n">
        <v>43393.37</v>
      </c>
      <c r="K9" s="24" t="n">
        <v>0</v>
      </c>
      <c r="L9" s="23" t="s">
        <v>29</v>
      </c>
    </row>
    <row r="10" customFormat="false" ht="21.75" hidden="false" customHeight="true" outlineLevel="0" collapsed="false">
      <c r="A10" s="15" t="s">
        <v>20</v>
      </c>
      <c r="B10" s="16" t="s">
        <v>30</v>
      </c>
      <c r="C10" s="17" t="s">
        <v>31</v>
      </c>
      <c r="D10" s="18" t="n">
        <v>2461.27</v>
      </c>
      <c r="E10" s="18" t="n">
        <v>0</v>
      </c>
      <c r="F10" s="18" t="n">
        <f aca="false">E10-D10</f>
        <v>-2461.27</v>
      </c>
      <c r="G10" s="19" t="str">
        <f aca="false">IF(E10=0,"",(E10-D10)/E10)</f>
        <v/>
      </c>
      <c r="H10" s="17" t="s">
        <v>32</v>
      </c>
      <c r="I10" s="26" t="s">
        <v>28</v>
      </c>
      <c r="J10" s="18" t="n">
        <v>2461.27</v>
      </c>
      <c r="K10" s="18"/>
      <c r="L10" s="17" t="s">
        <v>33</v>
      </c>
    </row>
    <row r="11" customFormat="false" ht="15" hidden="false" customHeight="true" outlineLevel="0" collapsed="false">
      <c r="A11" s="21" t="s">
        <v>34</v>
      </c>
      <c r="B11" s="22" t="s">
        <v>35</v>
      </c>
      <c r="C11" s="23" t="s">
        <v>36</v>
      </c>
      <c r="D11" s="24" t="n">
        <v>13198801.71</v>
      </c>
      <c r="E11" s="24" t="n">
        <v>15381294.96</v>
      </c>
      <c r="F11" s="24" t="n">
        <f aca="false">E11-D11</f>
        <v>2182493.25</v>
      </c>
      <c r="G11" s="25" t="n">
        <f aca="false">IF(E11=0,"",(E11-D11)/E11)</f>
        <v>0.141892685607792</v>
      </c>
      <c r="H11" s="23" t="s">
        <v>37</v>
      </c>
      <c r="I11" s="22" t="s">
        <v>38</v>
      </c>
      <c r="J11" s="24"/>
      <c r="K11" s="24" t="n">
        <v>13198801.71</v>
      </c>
      <c r="L11" s="23"/>
    </row>
    <row r="12" customFormat="false" ht="15" hidden="false" customHeight="true" outlineLevel="0" collapsed="false">
      <c r="A12" s="15" t="s">
        <v>34</v>
      </c>
      <c r="B12" s="16" t="s">
        <v>39</v>
      </c>
      <c r="C12" s="17" t="s">
        <v>40</v>
      </c>
      <c r="D12" s="18" t="n">
        <v>7765424.12</v>
      </c>
      <c r="E12" s="18" t="n">
        <v>5318104.34</v>
      </c>
      <c r="F12" s="18" t="n">
        <f aca="false">E12-D12</f>
        <v>-2447319.78</v>
      </c>
      <c r="G12" s="19" t="n">
        <f aca="false">IF(E12=0,"",(E12-D12)/E12)</f>
        <v>-0.460186491940848</v>
      </c>
      <c r="H12" s="17" t="s">
        <v>37</v>
      </c>
      <c r="I12" s="16" t="s">
        <v>24</v>
      </c>
      <c r="J12" s="18" t="n">
        <v>54242.75</v>
      </c>
      <c r="K12" s="18" t="n">
        <v>7711181.37</v>
      </c>
      <c r="L12" s="17" t="s">
        <v>41</v>
      </c>
    </row>
    <row r="13" customFormat="false" ht="15" hidden="false" customHeight="true" outlineLevel="0" collapsed="false">
      <c r="A13" s="21" t="s">
        <v>34</v>
      </c>
      <c r="B13" s="22" t="s">
        <v>42</v>
      </c>
      <c r="C13" s="23" t="s">
        <v>43</v>
      </c>
      <c r="D13" s="24" t="n">
        <v>3900770.79</v>
      </c>
      <c r="E13" s="24" t="n">
        <v>8330733.3</v>
      </c>
      <c r="F13" s="24" t="n">
        <f aca="false">E13-D13</f>
        <v>4429962.51</v>
      </c>
      <c r="G13" s="25" t="n">
        <f aca="false">IF(E13=0,"",(E13-D13)/E13)</f>
        <v>0.531761412887867</v>
      </c>
      <c r="H13" s="23" t="s">
        <v>37</v>
      </c>
      <c r="I13" s="22" t="s">
        <v>44</v>
      </c>
      <c r="J13" s="24" t="n">
        <v>0</v>
      </c>
      <c r="K13" s="24" t="n">
        <v>3900770.79</v>
      </c>
      <c r="L13" s="23" t="s">
        <v>45</v>
      </c>
    </row>
    <row r="14" customFormat="false" ht="21.75" hidden="false" customHeight="true" outlineLevel="0" collapsed="false">
      <c r="A14" s="15" t="s">
        <v>34</v>
      </c>
      <c r="B14" s="16" t="s">
        <v>46</v>
      </c>
      <c r="C14" s="17" t="s">
        <v>47</v>
      </c>
      <c r="D14" s="18" t="n">
        <v>3051433.74</v>
      </c>
      <c r="E14" s="18" t="n">
        <v>4000000</v>
      </c>
      <c r="F14" s="18" t="n">
        <f aca="false">E14-D14</f>
        <v>948566.26</v>
      </c>
      <c r="G14" s="19" t="n">
        <f aca="false">IF(E14=0,"",(E14-D14)/E14)</f>
        <v>0.237141565</v>
      </c>
      <c r="H14" s="17" t="s">
        <v>37</v>
      </c>
      <c r="I14" s="16" t="s">
        <v>38</v>
      </c>
      <c r="J14" s="18"/>
      <c r="K14" s="18" t="n">
        <v>3051433.74</v>
      </c>
      <c r="L14" s="17" t="s">
        <v>48</v>
      </c>
    </row>
    <row r="15" customFormat="false" ht="15" hidden="false" customHeight="true" outlineLevel="0" collapsed="false">
      <c r="A15" s="21" t="s">
        <v>49</v>
      </c>
      <c r="B15" s="22" t="s">
        <v>50</v>
      </c>
      <c r="C15" s="23" t="s">
        <v>51</v>
      </c>
      <c r="D15" s="24" t="n">
        <v>1844939.64</v>
      </c>
      <c r="E15" s="24" t="n">
        <v>2130960</v>
      </c>
      <c r="F15" s="24" t="n">
        <f aca="false">E15-D15</f>
        <v>286020.36</v>
      </c>
      <c r="G15" s="25" t="n">
        <f aca="false">IF(E15=0,"",(E15-D15)/E15)</f>
        <v>0.134221365018583</v>
      </c>
      <c r="H15" s="23" t="s">
        <v>37</v>
      </c>
      <c r="I15" s="22" t="s">
        <v>38</v>
      </c>
      <c r="J15" s="24"/>
      <c r="K15" s="24" t="n">
        <v>1844939.64</v>
      </c>
      <c r="L15" s="23"/>
    </row>
    <row r="16" customFormat="false" ht="15" hidden="false" customHeight="true" outlineLevel="0" collapsed="false">
      <c r="A16" s="15" t="s">
        <v>49</v>
      </c>
      <c r="B16" s="16" t="s">
        <v>52</v>
      </c>
      <c r="C16" s="17" t="s">
        <v>53</v>
      </c>
      <c r="D16" s="18" t="n">
        <v>871434.07</v>
      </c>
      <c r="E16" s="18" t="n">
        <v>29417.39</v>
      </c>
      <c r="F16" s="18" t="n">
        <f aca="false">E16-D16</f>
        <v>-842016.68</v>
      </c>
      <c r="G16" s="19" t="n">
        <f aca="false">IF(E16=0,"",(E16-D16)/E16)</f>
        <v>-28.6230926672965</v>
      </c>
      <c r="H16" s="17" t="s">
        <v>54</v>
      </c>
      <c r="I16" s="16" t="s">
        <v>38</v>
      </c>
      <c r="J16" s="18"/>
      <c r="K16" s="18" t="n">
        <v>871434.07</v>
      </c>
      <c r="L16" s="17" t="s">
        <v>55</v>
      </c>
    </row>
    <row r="17" customFormat="false" ht="15" hidden="false" customHeight="true" outlineLevel="0" collapsed="false">
      <c r="A17" s="21" t="s">
        <v>49</v>
      </c>
      <c r="B17" s="22" t="s">
        <v>56</v>
      </c>
      <c r="C17" s="23" t="s">
        <v>57</v>
      </c>
      <c r="D17" s="24" t="n">
        <v>668784.41</v>
      </c>
      <c r="E17" s="24" t="n">
        <v>1160178.75</v>
      </c>
      <c r="F17" s="24" t="n">
        <f aca="false">E17-D17</f>
        <v>491394.34</v>
      </c>
      <c r="G17" s="25" t="n">
        <f aca="false">IF(E17=0,"",(E17-D17)/E17)</f>
        <v>0.423550543396869</v>
      </c>
      <c r="H17" s="23" t="s">
        <v>54</v>
      </c>
      <c r="I17" s="22" t="s">
        <v>38</v>
      </c>
      <c r="J17" s="24"/>
      <c r="K17" s="24" t="n">
        <v>668784.41</v>
      </c>
      <c r="L17" s="23"/>
    </row>
    <row r="18" customFormat="false" ht="15" hidden="false" customHeight="true" outlineLevel="0" collapsed="false">
      <c r="A18" s="15" t="s">
        <v>49</v>
      </c>
      <c r="B18" s="16" t="s">
        <v>58</v>
      </c>
      <c r="C18" s="17" t="s">
        <v>59</v>
      </c>
      <c r="D18" s="18" t="n">
        <v>363931.78</v>
      </c>
      <c r="E18" s="18" t="n">
        <v>346422.15</v>
      </c>
      <c r="F18" s="18" t="n">
        <f aca="false">E18-D18</f>
        <v>-17509.63</v>
      </c>
      <c r="G18" s="19" t="n">
        <f aca="false">IF(E18=0,"",(E18-D18)/E18)</f>
        <v>-0.0505441987471067</v>
      </c>
      <c r="H18" s="17" t="s">
        <v>54</v>
      </c>
      <c r="I18" s="16" t="s">
        <v>38</v>
      </c>
      <c r="J18" s="18"/>
      <c r="K18" s="18" t="n">
        <v>363931.78</v>
      </c>
      <c r="L18" s="17"/>
    </row>
    <row r="19" customFormat="false" ht="15" hidden="false" customHeight="true" outlineLevel="0" collapsed="false">
      <c r="A19" s="21" t="s">
        <v>49</v>
      </c>
      <c r="B19" s="22" t="s">
        <v>60</v>
      </c>
      <c r="C19" s="23" t="s">
        <v>61</v>
      </c>
      <c r="D19" s="24" t="n">
        <v>339375.43</v>
      </c>
      <c r="E19" s="24" t="n">
        <v>276596.57</v>
      </c>
      <c r="F19" s="24" t="n">
        <f aca="false">E19-D19</f>
        <v>-62778.86</v>
      </c>
      <c r="G19" s="25" t="n">
        <f aca="false">IF(E19=0,"",(E19-D19)/E19)</f>
        <v>-0.226969047374666</v>
      </c>
      <c r="H19" s="23" t="s">
        <v>54</v>
      </c>
      <c r="I19" s="22" t="s">
        <v>38</v>
      </c>
      <c r="J19" s="24"/>
      <c r="K19" s="24" t="n">
        <v>339375.43</v>
      </c>
      <c r="L19" s="23"/>
    </row>
    <row r="20" customFormat="false" ht="15" hidden="false" customHeight="true" outlineLevel="0" collapsed="false">
      <c r="A20" s="15" t="s">
        <v>49</v>
      </c>
      <c r="B20" s="16" t="s">
        <v>62</v>
      </c>
      <c r="C20" s="17" t="s">
        <v>63</v>
      </c>
      <c r="D20" s="18" t="n">
        <v>264132.36</v>
      </c>
      <c r="E20" s="18" t="n">
        <v>5579.2</v>
      </c>
      <c r="F20" s="18" t="n">
        <f aca="false">E20-D20</f>
        <v>-258553.16</v>
      </c>
      <c r="G20" s="19" t="n">
        <f aca="false">IF(E20=0,"",(E20-D20)/E20)</f>
        <v>-46.3423358187554</v>
      </c>
      <c r="H20" s="17" t="s">
        <v>54</v>
      </c>
      <c r="I20" s="16" t="s">
        <v>38</v>
      </c>
      <c r="J20" s="18"/>
      <c r="K20" s="18" t="n">
        <v>264132.36</v>
      </c>
      <c r="L20" s="17" t="s">
        <v>64</v>
      </c>
    </row>
    <row r="21" customFormat="false" ht="15" hidden="false" customHeight="true" outlineLevel="0" collapsed="false">
      <c r="A21" s="21" t="s">
        <v>49</v>
      </c>
      <c r="B21" s="22" t="s">
        <v>65</v>
      </c>
      <c r="C21" s="23" t="s">
        <v>66</v>
      </c>
      <c r="D21" s="24" t="n">
        <v>236077.27</v>
      </c>
      <c r="E21" s="24" t="n">
        <v>894312.41</v>
      </c>
      <c r="F21" s="24" t="n">
        <f aca="false">E21-D21</f>
        <v>658235.14</v>
      </c>
      <c r="G21" s="25" t="n">
        <f aca="false">IF(E21=0,"",(E21-D21)/E21)</f>
        <v>0.736023712340076</v>
      </c>
      <c r="H21" s="23" t="s">
        <v>54</v>
      </c>
      <c r="I21" s="22" t="s">
        <v>24</v>
      </c>
      <c r="J21" s="24" t="n">
        <v>236077.27</v>
      </c>
      <c r="K21" s="24" t="n">
        <v>0</v>
      </c>
      <c r="L21" s="23" t="s">
        <v>67</v>
      </c>
    </row>
    <row r="22" customFormat="false" ht="15" hidden="false" customHeight="true" outlineLevel="0" collapsed="false">
      <c r="A22" s="15" t="s">
        <v>49</v>
      </c>
      <c r="B22" s="16" t="s">
        <v>68</v>
      </c>
      <c r="C22" s="17" t="s">
        <v>69</v>
      </c>
      <c r="D22" s="18" t="n">
        <v>204911.46</v>
      </c>
      <c r="E22" s="18" t="n">
        <v>197323.14</v>
      </c>
      <c r="F22" s="18" t="n">
        <f aca="false">E22-D22</f>
        <v>-7588.31999999998</v>
      </c>
      <c r="G22" s="19" t="n">
        <f aca="false">IF(E22=0,"",(E22-D22)/E22)</f>
        <v>-0.038456310800649</v>
      </c>
      <c r="H22" s="17" t="s">
        <v>54</v>
      </c>
      <c r="I22" s="16" t="s">
        <v>38</v>
      </c>
      <c r="J22" s="18"/>
      <c r="K22" s="18" t="n">
        <v>204911.46</v>
      </c>
      <c r="L22" s="17"/>
    </row>
    <row r="23" customFormat="false" ht="15" hidden="false" customHeight="true" outlineLevel="0" collapsed="false">
      <c r="A23" s="21" t="s">
        <v>49</v>
      </c>
      <c r="B23" s="22" t="s">
        <v>70</v>
      </c>
      <c r="C23" s="23" t="s">
        <v>71</v>
      </c>
      <c r="D23" s="24" t="n">
        <v>163135.45</v>
      </c>
      <c r="E23" s="24" t="n">
        <v>0</v>
      </c>
      <c r="F23" s="24" t="n">
        <f aca="false">E23-D23</f>
        <v>-163135.45</v>
      </c>
      <c r="G23" s="25" t="str">
        <f aca="false">IF(E23=0,"",(E23-D23)/E23)</f>
        <v/>
      </c>
      <c r="H23" s="23" t="s">
        <v>54</v>
      </c>
      <c r="I23" s="22" t="s">
        <v>38</v>
      </c>
      <c r="J23" s="24"/>
      <c r="K23" s="24" t="n">
        <v>163135.45</v>
      </c>
      <c r="L23" s="23" t="s">
        <v>72</v>
      </c>
    </row>
    <row r="24" customFormat="false" ht="15" hidden="false" customHeight="true" outlineLevel="0" collapsed="false">
      <c r="A24" s="15" t="s">
        <v>49</v>
      </c>
      <c r="B24" s="16" t="s">
        <v>73</v>
      </c>
      <c r="C24" s="17" t="s">
        <v>74</v>
      </c>
      <c r="D24" s="18" t="n">
        <v>157505.76</v>
      </c>
      <c r="E24" s="18" t="n">
        <v>174568.78</v>
      </c>
      <c r="F24" s="18" t="n">
        <f aca="false">E24-D24</f>
        <v>17063.02</v>
      </c>
      <c r="G24" s="19" t="n">
        <f aca="false">IF(E24=0,"",(E24-D24)/E24)</f>
        <v>0.0977438233801026</v>
      </c>
      <c r="H24" s="17" t="s">
        <v>54</v>
      </c>
      <c r="I24" s="16" t="s">
        <v>38</v>
      </c>
      <c r="J24" s="18"/>
      <c r="K24" s="18" t="n">
        <v>157505.76</v>
      </c>
      <c r="L24" s="17"/>
    </row>
    <row r="25" customFormat="false" ht="15" hidden="false" customHeight="true" outlineLevel="0" collapsed="false">
      <c r="A25" s="21" t="s">
        <v>49</v>
      </c>
      <c r="B25" s="22" t="s">
        <v>75</v>
      </c>
      <c r="C25" s="23" t="s">
        <v>76</v>
      </c>
      <c r="D25" s="24" t="n">
        <v>150347.57</v>
      </c>
      <c r="E25" s="24" t="n">
        <v>99731.71</v>
      </c>
      <c r="F25" s="24" t="n">
        <f aca="false">E25-D25</f>
        <v>-50615.86</v>
      </c>
      <c r="G25" s="25" t="n">
        <f aca="false">IF(E25=0,"",(E25-D25)/E25)</f>
        <v>-0.507520226014374</v>
      </c>
      <c r="H25" s="23" t="s">
        <v>54</v>
      </c>
      <c r="I25" s="22" t="s">
        <v>38</v>
      </c>
      <c r="J25" s="24"/>
      <c r="K25" s="24" t="n">
        <v>150347.57</v>
      </c>
      <c r="L25" s="23"/>
    </row>
    <row r="26" customFormat="false" ht="21.75" hidden="false" customHeight="true" outlineLevel="0" collapsed="false">
      <c r="A26" s="15" t="s">
        <v>77</v>
      </c>
      <c r="B26" s="16" t="s">
        <v>78</v>
      </c>
      <c r="C26" s="17" t="s">
        <v>79</v>
      </c>
      <c r="D26" s="18" t="n">
        <v>69232.16</v>
      </c>
      <c r="E26" s="18" t="n">
        <v>65134.88</v>
      </c>
      <c r="F26" s="18" t="n">
        <f aca="false">E26-D26</f>
        <v>-4097.28000000001</v>
      </c>
      <c r="G26" s="19" t="n">
        <f aca="false">IF(E26=0,"",(E26-D26)/E26)</f>
        <v>-0.0629045451530732</v>
      </c>
      <c r="H26" s="17" t="s">
        <v>23</v>
      </c>
      <c r="I26" s="16" t="s">
        <v>28</v>
      </c>
      <c r="J26" s="18" t="n">
        <v>69232.16</v>
      </c>
      <c r="K26" s="18" t="n">
        <v>0</v>
      </c>
      <c r="L26" s="17" t="s">
        <v>80</v>
      </c>
    </row>
    <row r="27" customFormat="false" ht="15" hidden="false" customHeight="true" outlineLevel="0" collapsed="false">
      <c r="A27" s="21" t="s">
        <v>77</v>
      </c>
      <c r="B27" s="22" t="s">
        <v>81</v>
      </c>
      <c r="C27" s="23" t="s">
        <v>82</v>
      </c>
      <c r="D27" s="24" t="n">
        <v>63803.78</v>
      </c>
      <c r="E27" s="24" t="n">
        <v>60788.01</v>
      </c>
      <c r="F27" s="24" t="n">
        <f aca="false">E27-D27</f>
        <v>-3015.77</v>
      </c>
      <c r="G27" s="25" t="n">
        <f aca="false">IF(E27=0,"",(E27-D27)/E27)</f>
        <v>-0.0496112638002132</v>
      </c>
      <c r="H27" s="23" t="s">
        <v>23</v>
      </c>
      <c r="I27" s="22" t="s">
        <v>38</v>
      </c>
      <c r="J27" s="24"/>
      <c r="K27" s="24" t="n">
        <v>63803.78</v>
      </c>
      <c r="L27" s="23"/>
    </row>
    <row r="28" customFormat="false" ht="15" hidden="false" customHeight="true" outlineLevel="0" collapsed="false">
      <c r="A28" s="15" t="s">
        <v>77</v>
      </c>
      <c r="B28" s="16" t="s">
        <v>83</v>
      </c>
      <c r="C28" s="17" t="s">
        <v>84</v>
      </c>
      <c r="D28" s="18" t="n">
        <v>46010.25</v>
      </c>
      <c r="E28" s="18" t="n">
        <v>44775.05</v>
      </c>
      <c r="F28" s="18" t="n">
        <f aca="false">E28-D28</f>
        <v>-1235.2</v>
      </c>
      <c r="G28" s="19" t="n">
        <f aca="false">IF(E28=0,"",(E28-D28)/E28)</f>
        <v>-0.0275867921978869</v>
      </c>
      <c r="H28" s="17" t="s">
        <v>23</v>
      </c>
      <c r="I28" s="16" t="s">
        <v>38</v>
      </c>
      <c r="J28" s="18"/>
      <c r="K28" s="18" t="n">
        <v>46010.25</v>
      </c>
      <c r="L28" s="17"/>
    </row>
    <row r="29" customFormat="false" ht="15" hidden="false" customHeight="true" outlineLevel="0" collapsed="false">
      <c r="A29" s="21" t="s">
        <v>77</v>
      </c>
      <c r="B29" s="22" t="s">
        <v>85</v>
      </c>
      <c r="C29" s="23" t="s">
        <v>86</v>
      </c>
      <c r="D29" s="24" t="n">
        <v>46003.66</v>
      </c>
      <c r="E29" s="24" t="n">
        <v>45000</v>
      </c>
      <c r="F29" s="24" t="n">
        <f aca="false">E29-D29</f>
        <v>-1003.66</v>
      </c>
      <c r="G29" s="25" t="n">
        <f aca="false">IF(E29=0,"",(E29-D29)/E29)</f>
        <v>-0.0223035555555556</v>
      </c>
      <c r="H29" s="23" t="s">
        <v>23</v>
      </c>
      <c r="I29" s="22" t="s">
        <v>24</v>
      </c>
      <c r="J29" s="24" t="n">
        <v>46003.66</v>
      </c>
      <c r="K29" s="24" t="n">
        <v>0</v>
      </c>
      <c r="L29" s="23" t="s">
        <v>87</v>
      </c>
    </row>
    <row r="30" customFormat="false" ht="15" hidden="false" customHeight="true" outlineLevel="0" collapsed="false">
      <c r="A30" s="15" t="s">
        <v>77</v>
      </c>
      <c r="B30" s="16" t="s">
        <v>88</v>
      </c>
      <c r="C30" s="17" t="s">
        <v>89</v>
      </c>
      <c r="D30" s="18" t="n">
        <v>34840.97</v>
      </c>
      <c r="E30" s="18" t="n">
        <v>3663.8</v>
      </c>
      <c r="F30" s="18" t="n">
        <f aca="false">E30-D30</f>
        <v>-31177.17</v>
      </c>
      <c r="G30" s="19" t="n">
        <f aca="false">IF(E30=0,"",(E30-D30)/E30)</f>
        <v>-8.50951744090835</v>
      </c>
      <c r="H30" s="17" t="s">
        <v>23</v>
      </c>
      <c r="I30" s="16" t="s">
        <v>38</v>
      </c>
      <c r="J30" s="18"/>
      <c r="K30" s="18" t="n">
        <v>34840.97</v>
      </c>
      <c r="L30" s="17"/>
    </row>
    <row r="31" customFormat="false" ht="15" hidden="false" customHeight="true" outlineLevel="0" collapsed="false">
      <c r="A31" s="21" t="s">
        <v>77</v>
      </c>
      <c r="B31" s="22" t="s">
        <v>90</v>
      </c>
      <c r="C31" s="23" t="s">
        <v>91</v>
      </c>
      <c r="D31" s="24" t="n">
        <v>27971.77</v>
      </c>
      <c r="E31" s="24" t="n">
        <v>0</v>
      </c>
      <c r="F31" s="24" t="n">
        <f aca="false">E31-D31</f>
        <v>-27971.77</v>
      </c>
      <c r="G31" s="25" t="str">
        <f aca="false">IF(E31=0,"",(E31-D31)/E31)</f>
        <v/>
      </c>
      <c r="H31" s="23" t="s">
        <v>23</v>
      </c>
      <c r="I31" s="22" t="s">
        <v>38</v>
      </c>
      <c r="J31" s="24"/>
      <c r="K31" s="24" t="n">
        <v>27971.77</v>
      </c>
      <c r="L31" s="23"/>
    </row>
    <row r="32" customFormat="false" ht="15" hidden="false" customHeight="true" outlineLevel="0" collapsed="false">
      <c r="A32" s="15" t="s">
        <v>77</v>
      </c>
      <c r="B32" s="16" t="s">
        <v>92</v>
      </c>
      <c r="C32" s="17" t="s">
        <v>93</v>
      </c>
      <c r="D32" s="18" t="n">
        <v>27073.1</v>
      </c>
      <c r="E32" s="18" t="n">
        <v>2624.88</v>
      </c>
      <c r="F32" s="18" t="n">
        <f aca="false">E32-D32</f>
        <v>-24448.22</v>
      </c>
      <c r="G32" s="19" t="n">
        <f aca="false">IF(E32=0,"",(E32-D32)/E32)</f>
        <v>-9.31403340343178</v>
      </c>
      <c r="H32" s="17" t="s">
        <v>23</v>
      </c>
      <c r="I32" s="16" t="s">
        <v>38</v>
      </c>
      <c r="J32" s="18"/>
      <c r="K32" s="18" t="n">
        <v>27073.1</v>
      </c>
      <c r="L32" s="17"/>
    </row>
    <row r="33" customFormat="false" ht="21.75" hidden="false" customHeight="true" outlineLevel="0" collapsed="false">
      <c r="A33" s="21" t="s">
        <v>77</v>
      </c>
      <c r="B33" s="22" t="s">
        <v>94</v>
      </c>
      <c r="C33" s="23" t="s">
        <v>95</v>
      </c>
      <c r="D33" s="24" t="n">
        <v>26236.42</v>
      </c>
      <c r="E33" s="24" t="n">
        <v>49051.52</v>
      </c>
      <c r="F33" s="24" t="n">
        <f aca="false">E33-D33</f>
        <v>22815.1</v>
      </c>
      <c r="G33" s="25" t="n">
        <f aca="false">IF(E33=0,"",(E33-D33)/E33)</f>
        <v>0.465125239747922</v>
      </c>
      <c r="H33" s="23" t="s">
        <v>23</v>
      </c>
      <c r="I33" s="22" t="s">
        <v>24</v>
      </c>
      <c r="J33" s="24" t="n">
        <v>1059.76</v>
      </c>
      <c r="K33" s="24" t="n">
        <v>25176.66</v>
      </c>
      <c r="L33" s="23" t="s">
        <v>96</v>
      </c>
    </row>
    <row r="34" customFormat="false" ht="15" hidden="false" customHeight="true" outlineLevel="0" collapsed="false">
      <c r="A34" s="15" t="s">
        <v>77</v>
      </c>
      <c r="B34" s="16" t="s">
        <v>97</v>
      </c>
      <c r="C34" s="17" t="s">
        <v>98</v>
      </c>
      <c r="D34" s="18" t="n">
        <v>25223.19</v>
      </c>
      <c r="E34" s="18" t="n">
        <v>44586.46</v>
      </c>
      <c r="F34" s="18" t="n">
        <f aca="false">E34-D34</f>
        <v>19363.27</v>
      </c>
      <c r="G34" s="19" t="n">
        <f aca="false">IF(E34=0,"",(E34-D34)/E34)</f>
        <v>0.434285879614574</v>
      </c>
      <c r="H34" s="17" t="s">
        <v>23</v>
      </c>
      <c r="I34" s="16" t="s">
        <v>38</v>
      </c>
      <c r="J34" s="18"/>
      <c r="K34" s="18" t="n">
        <v>25223.19</v>
      </c>
      <c r="L34" s="17"/>
    </row>
    <row r="35" customFormat="false" ht="15" hidden="false" customHeight="true" outlineLevel="0" collapsed="false">
      <c r="A35" s="21" t="s">
        <v>77</v>
      </c>
      <c r="B35" s="22" t="s">
        <v>99</v>
      </c>
      <c r="C35" s="23" t="s">
        <v>100</v>
      </c>
      <c r="D35" s="24" t="n">
        <v>23267.12</v>
      </c>
      <c r="E35" s="24" t="n">
        <v>10492.41</v>
      </c>
      <c r="F35" s="24" t="n">
        <f aca="false">E35-D35</f>
        <v>-12774.71</v>
      </c>
      <c r="G35" s="25" t="n">
        <f aca="false">IF(E35=0,"",(E35-D35)/E35)</f>
        <v>-1.21751914002598</v>
      </c>
      <c r="H35" s="23" t="s">
        <v>23</v>
      </c>
      <c r="I35" s="22" t="s">
        <v>38</v>
      </c>
      <c r="J35" s="24"/>
      <c r="K35" s="24" t="n">
        <v>23267.12</v>
      </c>
      <c r="L35" s="23"/>
    </row>
    <row r="36" customFormat="false" ht="15" hidden="false" customHeight="true" outlineLevel="0" collapsed="false">
      <c r="A36" s="15" t="s">
        <v>77</v>
      </c>
      <c r="B36" s="16" t="s">
        <v>101</v>
      </c>
      <c r="C36" s="17" t="s">
        <v>102</v>
      </c>
      <c r="D36" s="18" t="n">
        <v>21876.6</v>
      </c>
      <c r="E36" s="18" t="n">
        <v>1152061.69</v>
      </c>
      <c r="F36" s="18" t="n">
        <f aca="false">E36-D36</f>
        <v>1130185.09</v>
      </c>
      <c r="G36" s="19" t="n">
        <f aca="false">IF(E36=0,"",(E36-D36)/E36)</f>
        <v>0.981010912705551</v>
      </c>
      <c r="H36" s="17" t="s">
        <v>23</v>
      </c>
      <c r="I36" s="16" t="s">
        <v>24</v>
      </c>
      <c r="J36" s="18" t="n">
        <v>21876.6</v>
      </c>
      <c r="K36" s="18" t="n">
        <v>0</v>
      </c>
      <c r="L36" s="17" t="s">
        <v>103</v>
      </c>
    </row>
    <row r="37" customFormat="false" ht="15" hidden="false" customHeight="true" outlineLevel="0" collapsed="false">
      <c r="A37" s="21" t="s">
        <v>77</v>
      </c>
      <c r="B37" s="22" t="s">
        <v>104</v>
      </c>
      <c r="C37" s="23" t="s">
        <v>105</v>
      </c>
      <c r="D37" s="24" t="n">
        <v>21730</v>
      </c>
      <c r="E37" s="24" t="n">
        <v>0</v>
      </c>
      <c r="F37" s="24" t="n">
        <f aca="false">E37-D37</f>
        <v>-21730</v>
      </c>
      <c r="G37" s="25" t="str">
        <f aca="false">IF(E37=0,"",(E37-D37)/E37)</f>
        <v/>
      </c>
      <c r="H37" s="23" t="s">
        <v>23</v>
      </c>
      <c r="I37" s="22" t="s">
        <v>38</v>
      </c>
      <c r="J37" s="24"/>
      <c r="K37" s="24" t="n">
        <v>21730</v>
      </c>
      <c r="L37" s="23"/>
    </row>
    <row r="38" customFormat="false" ht="15" hidden="false" customHeight="true" outlineLevel="0" collapsed="false">
      <c r="A38" s="15" t="s">
        <v>77</v>
      </c>
      <c r="B38" s="16" t="s">
        <v>106</v>
      </c>
      <c r="C38" s="17" t="s">
        <v>107</v>
      </c>
      <c r="D38" s="18" t="n">
        <v>17155.73</v>
      </c>
      <c r="E38" s="18" t="n">
        <v>5469.81</v>
      </c>
      <c r="F38" s="18" t="n">
        <f aca="false">E38-D38</f>
        <v>-11685.92</v>
      </c>
      <c r="G38" s="19" t="n">
        <f aca="false">IF(E38=0,"",(E38-D38)/E38)</f>
        <v>-2.13643983977506</v>
      </c>
      <c r="H38" s="17" t="s">
        <v>23</v>
      </c>
      <c r="I38" s="16" t="s">
        <v>24</v>
      </c>
      <c r="J38" s="18" t="n">
        <v>1854.7</v>
      </c>
      <c r="K38" s="18" t="n">
        <v>15301.03</v>
      </c>
      <c r="L38" s="17" t="s">
        <v>108</v>
      </c>
    </row>
    <row r="39" customFormat="false" ht="15" hidden="false" customHeight="true" outlineLevel="0" collapsed="false">
      <c r="A39" s="21" t="s">
        <v>77</v>
      </c>
      <c r="B39" s="22" t="s">
        <v>109</v>
      </c>
      <c r="C39" s="23" t="s">
        <v>110</v>
      </c>
      <c r="D39" s="24" t="n">
        <v>15477.09</v>
      </c>
      <c r="E39" s="24" t="n">
        <v>0</v>
      </c>
      <c r="F39" s="24" t="n">
        <f aca="false">E39-D39</f>
        <v>-15477.09</v>
      </c>
      <c r="G39" s="25" t="str">
        <f aca="false">IF(E39=0,"",(E39-D39)/E39)</f>
        <v/>
      </c>
      <c r="H39" s="23" t="s">
        <v>23</v>
      </c>
      <c r="I39" s="22" t="s">
        <v>38</v>
      </c>
      <c r="J39" s="24"/>
      <c r="K39" s="24" t="n">
        <v>15477.09</v>
      </c>
      <c r="L39" s="23"/>
    </row>
    <row r="40" customFormat="false" ht="15" hidden="false" customHeight="true" outlineLevel="0" collapsed="false">
      <c r="A40" s="15" t="s">
        <v>77</v>
      </c>
      <c r="B40" s="16" t="s">
        <v>111</v>
      </c>
      <c r="C40" s="17" t="s">
        <v>112</v>
      </c>
      <c r="D40" s="18" t="n">
        <v>13130</v>
      </c>
      <c r="E40" s="18" t="n">
        <v>1640.95</v>
      </c>
      <c r="F40" s="18" t="n">
        <f aca="false">E40-D40</f>
        <v>-11489.05</v>
      </c>
      <c r="G40" s="19" t="n">
        <f aca="false">IF(E40=0,"",(E40-D40)/E40)</f>
        <v>-7.00146256741522</v>
      </c>
      <c r="H40" s="17" t="s">
        <v>23</v>
      </c>
      <c r="I40" s="16" t="s">
        <v>38</v>
      </c>
      <c r="J40" s="18"/>
      <c r="K40" s="18" t="n">
        <v>13130</v>
      </c>
      <c r="L40" s="17"/>
    </row>
    <row r="41" customFormat="false" ht="15" hidden="false" customHeight="true" outlineLevel="0" collapsed="false">
      <c r="A41" s="21" t="s">
        <v>77</v>
      </c>
      <c r="B41" s="22" t="s">
        <v>113</v>
      </c>
      <c r="C41" s="23" t="s">
        <v>114</v>
      </c>
      <c r="D41" s="24" t="n">
        <v>11000</v>
      </c>
      <c r="E41" s="24" t="n">
        <v>1934.81</v>
      </c>
      <c r="F41" s="24" t="n">
        <f aca="false">E41-D41</f>
        <v>-9065.19</v>
      </c>
      <c r="G41" s="25" t="n">
        <f aca="false">IF(E41=0,"",(E41-D41)/E41)</f>
        <v>-4.68531276972933</v>
      </c>
      <c r="H41" s="23" t="s">
        <v>23</v>
      </c>
      <c r="I41" s="22" t="s">
        <v>38</v>
      </c>
      <c r="J41" s="24"/>
      <c r="K41" s="24" t="n">
        <v>11000</v>
      </c>
      <c r="L41" s="23"/>
    </row>
    <row r="42" customFormat="false" ht="21.75" hidden="false" customHeight="true" outlineLevel="0" collapsed="false">
      <c r="A42" s="15" t="s">
        <v>77</v>
      </c>
      <c r="B42" s="16" t="s">
        <v>115</v>
      </c>
      <c r="C42" s="17" t="s">
        <v>116</v>
      </c>
      <c r="D42" s="18" t="n">
        <v>10929.72</v>
      </c>
      <c r="E42" s="18" t="n">
        <v>4088.78</v>
      </c>
      <c r="F42" s="18" t="n">
        <f aca="false">E42-D42</f>
        <v>-6840.94</v>
      </c>
      <c r="G42" s="19" t="n">
        <f aca="false">IF(E42=0,"",(E42-D42)/E42)</f>
        <v>-1.67310053365552</v>
      </c>
      <c r="H42" s="17" t="s">
        <v>23</v>
      </c>
      <c r="I42" s="16" t="s">
        <v>38</v>
      </c>
      <c r="J42" s="18"/>
      <c r="K42" s="18" t="n">
        <v>10929.72</v>
      </c>
      <c r="L42" s="17"/>
    </row>
    <row r="43" customFormat="false" ht="15" hidden="false" customHeight="true" outlineLevel="0" collapsed="false">
      <c r="A43" s="21" t="s">
        <v>117</v>
      </c>
      <c r="B43" s="22" t="s">
        <v>118</v>
      </c>
      <c r="C43" s="23" t="s">
        <v>119</v>
      </c>
      <c r="D43" s="24" t="n">
        <v>9542.69</v>
      </c>
      <c r="E43" s="24" t="n">
        <v>945.91</v>
      </c>
      <c r="F43" s="24" t="n">
        <f aca="false">E43-D43</f>
        <v>-8596.78</v>
      </c>
      <c r="G43" s="25" t="n">
        <f aca="false">IF(E43=0,"",(E43-D43)/E43)</f>
        <v>-9.08836992948589</v>
      </c>
      <c r="H43" s="23" t="s">
        <v>32</v>
      </c>
      <c r="I43" s="22" t="s">
        <v>38</v>
      </c>
      <c r="J43" s="24"/>
      <c r="K43" s="24" t="n">
        <v>9542.69</v>
      </c>
      <c r="L43" s="23"/>
    </row>
    <row r="44" customFormat="false" ht="21.75" hidden="false" customHeight="true" outlineLevel="0" collapsed="false">
      <c r="A44" s="15" t="s">
        <v>117</v>
      </c>
      <c r="B44" s="16" t="s">
        <v>120</v>
      </c>
      <c r="C44" s="17" t="s">
        <v>121</v>
      </c>
      <c r="D44" s="18" t="n">
        <v>9495.37</v>
      </c>
      <c r="E44" s="18" t="n">
        <v>7322.24</v>
      </c>
      <c r="F44" s="18" t="n">
        <f aca="false">E44-D44</f>
        <v>-2173.13</v>
      </c>
      <c r="G44" s="19" t="n">
        <f aca="false">IF(E44=0,"",(E44-D44)/E44)</f>
        <v>-0.296784863648283</v>
      </c>
      <c r="H44" s="17" t="s">
        <v>32</v>
      </c>
      <c r="I44" s="16" t="s">
        <v>28</v>
      </c>
      <c r="J44" s="18" t="n">
        <v>9495.37</v>
      </c>
      <c r="K44" s="18" t="n">
        <v>0</v>
      </c>
      <c r="L44" s="17" t="s">
        <v>122</v>
      </c>
    </row>
    <row r="45" customFormat="false" ht="15" hidden="false" customHeight="true" outlineLevel="0" collapsed="false">
      <c r="A45" s="21" t="s">
        <v>117</v>
      </c>
      <c r="B45" s="22" t="s">
        <v>123</v>
      </c>
      <c r="C45" s="23" t="s">
        <v>124</v>
      </c>
      <c r="D45" s="24" t="n">
        <v>9075.51</v>
      </c>
      <c r="E45" s="24" t="n">
        <v>0</v>
      </c>
      <c r="F45" s="24" t="n">
        <f aca="false">E45-D45</f>
        <v>-9075.51</v>
      </c>
      <c r="G45" s="25" t="str">
        <f aca="false">IF(E45=0,"",(E45-D45)/E45)</f>
        <v/>
      </c>
      <c r="H45" s="23" t="s">
        <v>32</v>
      </c>
      <c r="I45" s="22" t="s">
        <v>38</v>
      </c>
      <c r="J45" s="24"/>
      <c r="K45" s="24" t="n">
        <v>9075.51</v>
      </c>
      <c r="L45" s="23" t="s">
        <v>125</v>
      </c>
    </row>
    <row r="46" customFormat="false" ht="15" hidden="false" customHeight="true" outlineLevel="0" collapsed="false">
      <c r="A46" s="15" t="s">
        <v>117</v>
      </c>
      <c r="B46" s="16" t="s">
        <v>126</v>
      </c>
      <c r="C46" s="17" t="s">
        <v>127</v>
      </c>
      <c r="D46" s="18" t="n">
        <v>8000</v>
      </c>
      <c r="E46" s="18" t="n">
        <v>10443.15</v>
      </c>
      <c r="F46" s="18" t="n">
        <f aca="false">E46-D46</f>
        <v>2443.15</v>
      </c>
      <c r="G46" s="19" t="n">
        <f aca="false">IF(E46=0,"",(E46-D46)/E46)</f>
        <v>0.233947611592288</v>
      </c>
      <c r="H46" s="17" t="s">
        <v>32</v>
      </c>
      <c r="I46" s="16" t="s">
        <v>38</v>
      </c>
      <c r="J46" s="18"/>
      <c r="K46" s="18" t="n">
        <v>8000</v>
      </c>
      <c r="L46" s="17"/>
    </row>
    <row r="47" customFormat="false" ht="15" hidden="false" customHeight="true" outlineLevel="0" collapsed="false">
      <c r="A47" s="21" t="s">
        <v>117</v>
      </c>
      <c r="B47" s="22" t="s">
        <v>128</v>
      </c>
      <c r="C47" s="23" t="s">
        <v>129</v>
      </c>
      <c r="D47" s="24" t="n">
        <v>6032</v>
      </c>
      <c r="E47" s="24" t="n">
        <v>5469.81</v>
      </c>
      <c r="F47" s="24" t="n">
        <f aca="false">E47-D47</f>
        <v>-562.19</v>
      </c>
      <c r="G47" s="25" t="n">
        <f aca="false">IF(E47=0,"",(E47-D47)/E47)</f>
        <v>-0.102780535338522</v>
      </c>
      <c r="H47" s="23" t="s">
        <v>32</v>
      </c>
      <c r="I47" s="22" t="s">
        <v>38</v>
      </c>
      <c r="J47" s="24"/>
      <c r="K47" s="24" t="n">
        <v>6032</v>
      </c>
      <c r="L47" s="23"/>
    </row>
    <row r="48" customFormat="false" ht="15" hidden="false" customHeight="true" outlineLevel="0" collapsed="false">
      <c r="A48" s="15" t="s">
        <v>117</v>
      </c>
      <c r="B48" s="16" t="s">
        <v>130</v>
      </c>
      <c r="C48" s="17" t="s">
        <v>131</v>
      </c>
      <c r="D48" s="18" t="n">
        <v>5840.65</v>
      </c>
      <c r="E48" s="18" t="n">
        <v>8521.61</v>
      </c>
      <c r="F48" s="18" t="n">
        <f aca="false">E48-D48</f>
        <v>2680.96</v>
      </c>
      <c r="G48" s="19" t="n">
        <f aca="false">IF(E48=0,"",(E48-D48)/E48)</f>
        <v>0.314607216242001</v>
      </c>
      <c r="H48" s="17" t="s">
        <v>32</v>
      </c>
      <c r="I48" s="16" t="s">
        <v>38</v>
      </c>
      <c r="J48" s="18"/>
      <c r="K48" s="18" t="n">
        <v>5840.65</v>
      </c>
      <c r="L48" s="17"/>
    </row>
    <row r="49" customFormat="false" ht="15" hidden="false" customHeight="true" outlineLevel="0" collapsed="false">
      <c r="A49" s="21" t="s">
        <v>117</v>
      </c>
      <c r="B49" s="22" t="s">
        <v>132</v>
      </c>
      <c r="C49" s="23" t="s">
        <v>133</v>
      </c>
      <c r="D49" s="24" t="n">
        <v>5512.55</v>
      </c>
      <c r="E49" s="24" t="n">
        <v>4314.07</v>
      </c>
      <c r="F49" s="24" t="n">
        <f aca="false">E49-D49</f>
        <v>-1198.48</v>
      </c>
      <c r="G49" s="25" t="n">
        <f aca="false">IF(E49=0,"",(E49-D49)/E49)</f>
        <v>-0.277807267846836</v>
      </c>
      <c r="H49" s="23" t="s">
        <v>32</v>
      </c>
      <c r="I49" s="22" t="s">
        <v>28</v>
      </c>
      <c r="J49" s="24" t="n">
        <v>5512.55</v>
      </c>
      <c r="K49" s="24" t="n">
        <v>0</v>
      </c>
      <c r="L49" s="23" t="s">
        <v>134</v>
      </c>
    </row>
    <row r="50" customFormat="false" ht="21.75" hidden="false" customHeight="true" outlineLevel="0" collapsed="false">
      <c r="A50" s="15" t="s">
        <v>117</v>
      </c>
      <c r="B50" s="16" t="s">
        <v>135</v>
      </c>
      <c r="C50" s="17" t="s">
        <v>136</v>
      </c>
      <c r="D50" s="18" t="n">
        <v>4739</v>
      </c>
      <c r="E50" s="18" t="n">
        <v>0</v>
      </c>
      <c r="F50" s="18" t="n">
        <f aca="false">E50-D50</f>
        <v>-4739</v>
      </c>
      <c r="G50" s="19" t="str">
        <f aca="false">IF(E50=0,"",(E50-D50)/E50)</f>
        <v/>
      </c>
      <c r="H50" s="17" t="s">
        <v>32</v>
      </c>
      <c r="I50" s="16" t="s">
        <v>137</v>
      </c>
      <c r="J50" s="18" t="n">
        <v>4739</v>
      </c>
      <c r="K50" s="18" t="n">
        <v>0</v>
      </c>
      <c r="L50" s="17" t="s">
        <v>138</v>
      </c>
    </row>
    <row r="51" customFormat="false" ht="15" hidden="false" customHeight="true" outlineLevel="0" collapsed="false">
      <c r="A51" s="21" t="s">
        <v>117</v>
      </c>
      <c r="B51" s="22" t="s">
        <v>139</v>
      </c>
      <c r="C51" s="23" t="s">
        <v>140</v>
      </c>
      <c r="D51" s="24" t="n">
        <v>4580.55</v>
      </c>
      <c r="E51" s="24" t="n">
        <v>10101.86</v>
      </c>
      <c r="F51" s="24" t="n">
        <f aca="false">E51-D51</f>
        <v>5521.31</v>
      </c>
      <c r="G51" s="25" t="n">
        <f aca="false">IF(E51=0,"",(E51-D51)/E51)</f>
        <v>0.546563702130103</v>
      </c>
      <c r="H51" s="23" t="s">
        <v>32</v>
      </c>
      <c r="I51" s="22" t="s">
        <v>38</v>
      </c>
      <c r="J51" s="24"/>
      <c r="K51" s="24" t="n">
        <v>4580.55</v>
      </c>
      <c r="L51" s="23"/>
    </row>
    <row r="52" customFormat="false" ht="15" hidden="false" customHeight="true" outlineLevel="0" collapsed="false">
      <c r="A52" s="15" t="s">
        <v>117</v>
      </c>
      <c r="B52" s="16" t="s">
        <v>141</v>
      </c>
      <c r="C52" s="17" t="s">
        <v>142</v>
      </c>
      <c r="D52" s="18" t="n">
        <v>4267.49</v>
      </c>
      <c r="E52" s="18" t="n">
        <v>3608.47</v>
      </c>
      <c r="F52" s="18" t="n">
        <f aca="false">E52-D52</f>
        <v>-659.02</v>
      </c>
      <c r="G52" s="19" t="n">
        <f aca="false">IF(E52=0,"",(E52-D52)/E52)</f>
        <v>-0.182631419964694</v>
      </c>
      <c r="H52" s="17" t="s">
        <v>32</v>
      </c>
      <c r="I52" s="16" t="s">
        <v>28</v>
      </c>
      <c r="J52" s="18" t="n">
        <v>4267.49</v>
      </c>
      <c r="K52" s="18" t="n">
        <v>0</v>
      </c>
      <c r="L52" s="17" t="s">
        <v>143</v>
      </c>
    </row>
    <row r="53" customFormat="false" ht="15" hidden="false" customHeight="true" outlineLevel="0" collapsed="false">
      <c r="A53" s="21" t="s">
        <v>117</v>
      </c>
      <c r="B53" s="22" t="s">
        <v>144</v>
      </c>
      <c r="C53" s="23" t="s">
        <v>145</v>
      </c>
      <c r="D53" s="24" t="n">
        <v>4140.63</v>
      </c>
      <c r="E53" s="24" t="n">
        <v>1044.32</v>
      </c>
      <c r="F53" s="24" t="n">
        <f aca="false">E53-D53</f>
        <v>-3096.31</v>
      </c>
      <c r="G53" s="25" t="n">
        <f aca="false">IF(E53=0,"",(E53-D53)/E53)</f>
        <v>-2.96490539298299</v>
      </c>
      <c r="H53" s="23" t="s">
        <v>32</v>
      </c>
      <c r="I53" s="22" t="s">
        <v>38</v>
      </c>
      <c r="J53" s="24"/>
      <c r="K53" s="24" t="n">
        <v>4140.63</v>
      </c>
      <c r="L53" s="23"/>
    </row>
    <row r="54" customFormat="false" ht="15" hidden="false" customHeight="true" outlineLevel="0" collapsed="false">
      <c r="A54" s="15" t="s">
        <v>117</v>
      </c>
      <c r="B54" s="16" t="s">
        <v>146</v>
      </c>
      <c r="C54" s="17" t="s">
        <v>147</v>
      </c>
      <c r="D54" s="18" t="n">
        <v>4047.1</v>
      </c>
      <c r="E54" s="18" t="n">
        <v>0</v>
      </c>
      <c r="F54" s="18" t="n">
        <f aca="false">E54-D54</f>
        <v>-4047.1</v>
      </c>
      <c r="G54" s="19" t="str">
        <f aca="false">IF(E54=0,"",(E54-D54)/E54)</f>
        <v/>
      </c>
      <c r="H54" s="17" t="s">
        <v>32</v>
      </c>
      <c r="I54" s="16" t="s">
        <v>38</v>
      </c>
      <c r="J54" s="18"/>
      <c r="K54" s="18" t="n">
        <v>4047.1</v>
      </c>
      <c r="L54" s="17"/>
    </row>
    <row r="55" customFormat="false" ht="15" hidden="false" customHeight="true" outlineLevel="0" collapsed="false">
      <c r="A55" s="21" t="s">
        <v>117</v>
      </c>
      <c r="B55" s="22" t="s">
        <v>148</v>
      </c>
      <c r="C55" s="23" t="s">
        <v>149</v>
      </c>
      <c r="D55" s="24" t="n">
        <v>3996.8</v>
      </c>
      <c r="E55" s="24" t="n">
        <v>0</v>
      </c>
      <c r="F55" s="24" t="n">
        <f aca="false">E55-D55</f>
        <v>-3996.8</v>
      </c>
      <c r="G55" s="25" t="str">
        <f aca="false">IF(E55=0,"",(E55-D55)/E55)</f>
        <v/>
      </c>
      <c r="H55" s="23" t="s">
        <v>32</v>
      </c>
      <c r="I55" s="22" t="s">
        <v>24</v>
      </c>
      <c r="J55" s="24" t="n">
        <v>3996.8</v>
      </c>
      <c r="K55" s="24" t="n">
        <v>0</v>
      </c>
      <c r="L55" s="23" t="s">
        <v>150</v>
      </c>
    </row>
    <row r="56" customFormat="false" ht="21.75" hidden="false" customHeight="true" outlineLevel="0" collapsed="false">
      <c r="A56" s="15" t="s">
        <v>117</v>
      </c>
      <c r="B56" s="16" t="s">
        <v>151</v>
      </c>
      <c r="C56" s="17" t="s">
        <v>152</v>
      </c>
      <c r="D56" s="18" t="n">
        <v>3703.03</v>
      </c>
      <c r="E56" s="18" t="n">
        <v>0</v>
      </c>
      <c r="F56" s="18" t="n">
        <f aca="false">E56-D56</f>
        <v>-3703.03</v>
      </c>
      <c r="G56" s="19" t="str">
        <f aca="false">IF(E56=0,"",(E56-D56)/E56)</f>
        <v/>
      </c>
      <c r="H56" s="17" t="s">
        <v>32</v>
      </c>
      <c r="I56" s="16" t="s">
        <v>24</v>
      </c>
      <c r="J56" s="18" t="n">
        <v>3703.03</v>
      </c>
      <c r="K56" s="18" t="n">
        <v>0</v>
      </c>
      <c r="L56" s="17" t="s">
        <v>153</v>
      </c>
    </row>
    <row r="57" customFormat="false" ht="15" hidden="false" customHeight="true" outlineLevel="0" collapsed="false">
      <c r="A57" s="21" t="s">
        <v>117</v>
      </c>
      <c r="B57" s="22" t="s">
        <v>154</v>
      </c>
      <c r="C57" s="23" t="s">
        <v>155</v>
      </c>
      <c r="D57" s="24" t="n">
        <v>3682.5</v>
      </c>
      <c r="E57" s="24" t="n">
        <v>8811.98</v>
      </c>
      <c r="F57" s="24" t="n">
        <f aca="false">E57-D57</f>
        <v>5129.48</v>
      </c>
      <c r="G57" s="25" t="n">
        <f aca="false">IF(E57=0,"",(E57-D57)/E57)</f>
        <v>0.5821030006877</v>
      </c>
      <c r="H57" s="23" t="s">
        <v>32</v>
      </c>
      <c r="I57" s="22" t="s">
        <v>38</v>
      </c>
      <c r="J57" s="24"/>
      <c r="K57" s="24" t="n">
        <v>3682.5</v>
      </c>
      <c r="L57" s="23"/>
    </row>
    <row r="58" customFormat="false" ht="15" hidden="false" customHeight="true" outlineLevel="0" collapsed="false">
      <c r="A58" s="15" t="s">
        <v>117</v>
      </c>
      <c r="B58" s="16" t="s">
        <v>156</v>
      </c>
      <c r="C58" s="17" t="s">
        <v>157</v>
      </c>
      <c r="D58" s="18" t="n">
        <v>2068.21</v>
      </c>
      <c r="E58" s="18" t="n">
        <v>72962.51</v>
      </c>
      <c r="F58" s="18" t="n">
        <f aca="false">E58-D58</f>
        <v>70894.3</v>
      </c>
      <c r="G58" s="19" t="n">
        <f aca="false">IF(E58=0,"",(E58-D58)/E58)</f>
        <v>0.971653798642618</v>
      </c>
      <c r="H58" s="17" t="s">
        <v>32</v>
      </c>
      <c r="I58" s="16" t="s">
        <v>38</v>
      </c>
      <c r="J58" s="18"/>
      <c r="K58" s="18" t="n">
        <v>2068.21</v>
      </c>
      <c r="L58" s="17" t="s">
        <v>158</v>
      </c>
    </row>
    <row r="59" customFormat="false" ht="15" hidden="false" customHeight="true" outlineLevel="0" collapsed="false">
      <c r="A59" s="21" t="s">
        <v>117</v>
      </c>
      <c r="B59" s="22" t="s">
        <v>159</v>
      </c>
      <c r="C59" s="23" t="s">
        <v>160</v>
      </c>
      <c r="D59" s="24" t="n">
        <v>1661.01</v>
      </c>
      <c r="E59" s="24" t="n">
        <v>568.34</v>
      </c>
      <c r="F59" s="24" t="n">
        <f aca="false">E59-D59</f>
        <v>-1092.67</v>
      </c>
      <c r="G59" s="25" t="n">
        <f aca="false">IF(E59=0,"",(E59-D59)/E59)</f>
        <v>-1.92256395819404</v>
      </c>
      <c r="H59" s="23" t="s">
        <v>32</v>
      </c>
      <c r="I59" s="22" t="s">
        <v>38</v>
      </c>
      <c r="J59" s="24"/>
      <c r="K59" s="24" t="n">
        <v>1661.01</v>
      </c>
      <c r="L59" s="23"/>
    </row>
    <row r="60" customFormat="false" ht="15" hidden="false" customHeight="true" outlineLevel="0" collapsed="false">
      <c r="A60" s="15" t="s">
        <v>117</v>
      </c>
      <c r="B60" s="16" t="s">
        <v>161</v>
      </c>
      <c r="C60" s="17" t="s">
        <v>162</v>
      </c>
      <c r="D60" s="18" t="n">
        <v>1643.76</v>
      </c>
      <c r="E60" s="18" t="n">
        <v>1627.07</v>
      </c>
      <c r="F60" s="18" t="n">
        <f aca="false">E60-D60</f>
        <v>-16.6900000000001</v>
      </c>
      <c r="G60" s="19" t="n">
        <f aca="false">IF(E60=0,"",(E60-D60)/E60)</f>
        <v>-0.0102577024958976</v>
      </c>
      <c r="H60" s="17" t="s">
        <v>32</v>
      </c>
      <c r="I60" s="16" t="s">
        <v>38</v>
      </c>
      <c r="J60" s="18"/>
      <c r="K60" s="18" t="n">
        <v>1643.76</v>
      </c>
      <c r="L60" s="17"/>
    </row>
    <row r="61" customFormat="false" ht="15" hidden="false" customHeight="true" outlineLevel="0" collapsed="false">
      <c r="A61" s="21" t="s">
        <v>117</v>
      </c>
      <c r="B61" s="22" t="s">
        <v>163</v>
      </c>
      <c r="C61" s="23" t="s">
        <v>164</v>
      </c>
      <c r="D61" s="24" t="n">
        <v>1576.65</v>
      </c>
      <c r="E61" s="24" t="n">
        <v>1892.98</v>
      </c>
      <c r="F61" s="24" t="n">
        <f aca="false">E61-D61</f>
        <v>316.33</v>
      </c>
      <c r="G61" s="25" t="n">
        <f aca="false">IF(E61=0,"",(E61-D61)/E61)</f>
        <v>0.167106889666029</v>
      </c>
      <c r="H61" s="23" t="s">
        <v>32</v>
      </c>
      <c r="I61" s="22" t="s">
        <v>38</v>
      </c>
      <c r="J61" s="24"/>
      <c r="K61" s="24" t="n">
        <v>1576.65</v>
      </c>
      <c r="L61" s="23"/>
    </row>
    <row r="62" customFormat="false" ht="15" hidden="false" customHeight="true" outlineLevel="0" collapsed="false">
      <c r="A62" s="15" t="s">
        <v>117</v>
      </c>
      <c r="B62" s="16" t="s">
        <v>165</v>
      </c>
      <c r="C62" s="17" t="s">
        <v>166</v>
      </c>
      <c r="D62" s="18" t="n">
        <v>1313.28</v>
      </c>
      <c r="E62" s="18" t="n">
        <v>2231.71</v>
      </c>
      <c r="F62" s="18" t="n">
        <f aca="false">E62-D62</f>
        <v>918.43</v>
      </c>
      <c r="G62" s="19" t="n">
        <f aca="false">IF(E62=0,"",(E62-D62)/E62)</f>
        <v>0.411536445147443</v>
      </c>
      <c r="H62" s="17" t="s">
        <v>32</v>
      </c>
      <c r="I62" s="16" t="s">
        <v>38</v>
      </c>
      <c r="J62" s="18"/>
      <c r="K62" s="18" t="n">
        <v>1313.28</v>
      </c>
      <c r="L62" s="17"/>
    </row>
    <row r="63" customFormat="false" ht="15" hidden="false" customHeight="true" outlineLevel="0" collapsed="false">
      <c r="A63" s="21" t="s">
        <v>117</v>
      </c>
      <c r="B63" s="22" t="s">
        <v>167</v>
      </c>
      <c r="C63" s="23" t="s">
        <v>168</v>
      </c>
      <c r="D63" s="24" t="n">
        <v>1267.18</v>
      </c>
      <c r="E63" s="24" t="n">
        <v>0</v>
      </c>
      <c r="F63" s="24" t="n">
        <f aca="false">E63-D63</f>
        <v>-1267.18</v>
      </c>
      <c r="G63" s="25" t="str">
        <f aca="false">IF(E63=0,"",(E63-D63)/E63)</f>
        <v/>
      </c>
      <c r="H63" s="23" t="s">
        <v>32</v>
      </c>
      <c r="I63" s="22" t="s">
        <v>38</v>
      </c>
      <c r="J63" s="24"/>
      <c r="K63" s="24" t="n">
        <v>1267.18</v>
      </c>
      <c r="L63" s="23"/>
    </row>
    <row r="64" customFormat="false" ht="15" hidden="false" customHeight="true" outlineLevel="0" collapsed="false">
      <c r="A64" s="15" t="s">
        <v>117</v>
      </c>
      <c r="B64" s="16" t="s">
        <v>169</v>
      </c>
      <c r="C64" s="17" t="s">
        <v>170</v>
      </c>
      <c r="D64" s="18" t="n">
        <v>1246</v>
      </c>
      <c r="E64" s="18" t="n">
        <v>0</v>
      </c>
      <c r="F64" s="18" t="n">
        <f aca="false">E64-D64</f>
        <v>-1246</v>
      </c>
      <c r="G64" s="19" t="str">
        <f aca="false">IF(E64=0,"",(E64-D64)/E64)</f>
        <v/>
      </c>
      <c r="H64" s="17" t="s">
        <v>32</v>
      </c>
      <c r="I64" s="16" t="s">
        <v>38</v>
      </c>
      <c r="J64" s="18"/>
      <c r="K64" s="18" t="n">
        <v>1246</v>
      </c>
      <c r="L64" s="17"/>
    </row>
    <row r="65" customFormat="false" ht="15" hidden="false" customHeight="true" outlineLevel="0" collapsed="false">
      <c r="A65" s="21" t="s">
        <v>117</v>
      </c>
      <c r="B65" s="22" t="s">
        <v>171</v>
      </c>
      <c r="C65" s="23" t="s">
        <v>172</v>
      </c>
      <c r="D65" s="24" t="n">
        <v>1137.45</v>
      </c>
      <c r="E65" s="24" t="n">
        <v>0</v>
      </c>
      <c r="F65" s="24" t="n">
        <f aca="false">E65-D65</f>
        <v>-1137.45</v>
      </c>
      <c r="G65" s="25" t="str">
        <f aca="false">IF(E65=0,"",(E65-D65)/E65)</f>
        <v/>
      </c>
      <c r="H65" s="23" t="s">
        <v>32</v>
      </c>
      <c r="I65" s="22" t="s">
        <v>38</v>
      </c>
      <c r="J65" s="24"/>
      <c r="K65" s="24" t="n">
        <v>1137.45</v>
      </c>
      <c r="L65" s="23"/>
    </row>
    <row r="66" customFormat="false" ht="15" hidden="false" customHeight="true" outlineLevel="0" collapsed="false">
      <c r="A66" s="15" t="s">
        <v>117</v>
      </c>
      <c r="B66" s="16" t="s">
        <v>173</v>
      </c>
      <c r="C66" s="17" t="s">
        <v>174</v>
      </c>
      <c r="D66" s="18" t="n">
        <v>1098.04</v>
      </c>
      <c r="E66" s="18" t="n">
        <v>0</v>
      </c>
      <c r="F66" s="18" t="n">
        <f aca="false">E66-D66</f>
        <v>-1098.04</v>
      </c>
      <c r="G66" s="19" t="str">
        <f aca="false">IF(E66=0,"",(E66-D66)/E66)</f>
        <v/>
      </c>
      <c r="H66" s="17" t="s">
        <v>32</v>
      </c>
      <c r="I66" s="16" t="s">
        <v>38</v>
      </c>
      <c r="J66" s="18"/>
      <c r="K66" s="18" t="n">
        <v>1098.04</v>
      </c>
      <c r="L66" s="17"/>
    </row>
    <row r="67" customFormat="false" ht="21.75" hidden="false" customHeight="true" outlineLevel="0" collapsed="false">
      <c r="A67" s="21" t="s">
        <v>117</v>
      </c>
      <c r="B67" s="22" t="s">
        <v>175</v>
      </c>
      <c r="C67" s="23" t="s">
        <v>176</v>
      </c>
      <c r="D67" s="24" t="n">
        <v>1021.7</v>
      </c>
      <c r="E67" s="24" t="n">
        <v>1031.54</v>
      </c>
      <c r="F67" s="24" t="n">
        <f aca="false">E67-D67</f>
        <v>9.83999999999992</v>
      </c>
      <c r="G67" s="25" t="n">
        <f aca="false">IF(E67=0,"",(E67-D67)/E67)</f>
        <v>0.00953913566124427</v>
      </c>
      <c r="H67" s="23" t="s">
        <v>32</v>
      </c>
      <c r="I67" s="22" t="s">
        <v>28</v>
      </c>
      <c r="J67" s="24" t="n">
        <v>1021.7</v>
      </c>
      <c r="K67" s="24" t="n">
        <v>0</v>
      </c>
      <c r="L67" s="23" t="s">
        <v>177</v>
      </c>
    </row>
    <row r="68" customFormat="false" ht="15" hidden="false" customHeight="true" outlineLevel="0" collapsed="false">
      <c r="A68" s="15" t="s">
        <v>117</v>
      </c>
      <c r="B68" s="16" t="s">
        <v>178</v>
      </c>
      <c r="C68" s="17" t="s">
        <v>179</v>
      </c>
      <c r="D68" s="18" t="n">
        <v>938.18</v>
      </c>
      <c r="E68" s="18" t="n">
        <v>1168.81</v>
      </c>
      <c r="F68" s="18" t="n">
        <f aca="false">E68-D68</f>
        <v>230.63</v>
      </c>
      <c r="G68" s="19" t="n">
        <f aca="false">IF(E68=0,"",(E68-D68)/E68)</f>
        <v>0.197320351468588</v>
      </c>
      <c r="H68" s="17" t="s">
        <v>180</v>
      </c>
      <c r="I68" s="16" t="s">
        <v>38</v>
      </c>
      <c r="J68" s="18"/>
      <c r="K68" s="18" t="n">
        <v>938.18</v>
      </c>
      <c r="L68" s="17"/>
    </row>
    <row r="69" customFormat="false" ht="15" hidden="false" customHeight="true" outlineLevel="0" collapsed="false">
      <c r="A69" s="21" t="s">
        <v>117</v>
      </c>
      <c r="B69" s="22" t="s">
        <v>181</v>
      </c>
      <c r="C69" s="23" t="s">
        <v>182</v>
      </c>
      <c r="D69" s="24" t="n">
        <v>908.99</v>
      </c>
      <c r="E69" s="24" t="n">
        <v>0</v>
      </c>
      <c r="F69" s="24" t="n">
        <f aca="false">E69-D69</f>
        <v>-908.99</v>
      </c>
      <c r="G69" s="25" t="str">
        <f aca="false">IF(E69=0,"",(E69-D69)/E69)</f>
        <v/>
      </c>
      <c r="H69" s="23" t="s">
        <v>180</v>
      </c>
      <c r="I69" s="22" t="s">
        <v>38</v>
      </c>
      <c r="J69" s="24"/>
      <c r="K69" s="24" t="n">
        <v>908.99</v>
      </c>
      <c r="L69" s="23"/>
    </row>
    <row r="70" customFormat="false" ht="15" hidden="false" customHeight="true" outlineLevel="0" collapsed="false">
      <c r="A70" s="15" t="s">
        <v>117</v>
      </c>
      <c r="B70" s="16" t="s">
        <v>183</v>
      </c>
      <c r="C70" s="17" t="s">
        <v>184</v>
      </c>
      <c r="D70" s="18" t="n">
        <v>816.8</v>
      </c>
      <c r="E70" s="18" t="n">
        <v>0</v>
      </c>
      <c r="F70" s="18" t="n">
        <f aca="false">E70-D70</f>
        <v>-816.8</v>
      </c>
      <c r="G70" s="19" t="str">
        <f aca="false">IF(E70=0,"",(E70-D70)/E70)</f>
        <v/>
      </c>
      <c r="H70" s="17" t="s">
        <v>180</v>
      </c>
      <c r="I70" s="16" t="s">
        <v>38</v>
      </c>
      <c r="J70" s="18"/>
      <c r="K70" s="18" t="n">
        <v>816.8</v>
      </c>
      <c r="L70" s="17"/>
    </row>
    <row r="71" customFormat="false" ht="15" hidden="false" customHeight="true" outlineLevel="0" collapsed="false">
      <c r="A71" s="21" t="s">
        <v>117</v>
      </c>
      <c r="B71" s="22" t="s">
        <v>185</v>
      </c>
      <c r="C71" s="23" t="s">
        <v>186</v>
      </c>
      <c r="D71" s="24" t="n">
        <v>704.79</v>
      </c>
      <c r="E71" s="24" t="n">
        <v>0</v>
      </c>
      <c r="F71" s="24" t="n">
        <f aca="false">E71-D71</f>
        <v>-704.79</v>
      </c>
      <c r="G71" s="25" t="str">
        <f aca="false">IF(E71=0,"",(E71-D71)/E71)</f>
        <v/>
      </c>
      <c r="H71" s="23" t="s">
        <v>180</v>
      </c>
      <c r="I71" s="22" t="s">
        <v>38</v>
      </c>
      <c r="J71" s="24"/>
      <c r="K71" s="24" t="n">
        <v>704.79</v>
      </c>
      <c r="L71" s="23"/>
    </row>
    <row r="72" customFormat="false" ht="15" hidden="false" customHeight="true" outlineLevel="0" collapsed="false">
      <c r="A72" s="15" t="s">
        <v>117</v>
      </c>
      <c r="B72" s="16" t="s">
        <v>187</v>
      </c>
      <c r="C72" s="17" t="s">
        <v>188</v>
      </c>
      <c r="D72" s="18" t="n">
        <v>642.14</v>
      </c>
      <c r="E72" s="18" t="n">
        <v>8375.87</v>
      </c>
      <c r="F72" s="18" t="n">
        <f aca="false">E72-D72</f>
        <v>7733.73</v>
      </c>
      <c r="G72" s="19" t="n">
        <f aca="false">IF(E72=0,"",(E72-D72)/E72)</f>
        <v>0.923334531218847</v>
      </c>
      <c r="H72" s="17" t="s">
        <v>180</v>
      </c>
      <c r="I72" s="16" t="s">
        <v>38</v>
      </c>
      <c r="J72" s="18"/>
      <c r="K72" s="18" t="n">
        <v>642.14</v>
      </c>
      <c r="L72" s="17"/>
    </row>
    <row r="73" customFormat="false" ht="15" hidden="false" customHeight="true" outlineLevel="0" collapsed="false">
      <c r="A73" s="21" t="s">
        <v>117</v>
      </c>
      <c r="B73" s="22" t="s">
        <v>189</v>
      </c>
      <c r="C73" s="23" t="s">
        <v>190</v>
      </c>
      <c r="D73" s="24" t="n">
        <v>487.05</v>
      </c>
      <c r="E73" s="24" t="n">
        <v>0</v>
      </c>
      <c r="F73" s="24" t="n">
        <f aca="false">E73-D73</f>
        <v>-487.05</v>
      </c>
      <c r="G73" s="25" t="str">
        <f aca="false">IF(E73=0,"",(E73-D73)/E73)</f>
        <v/>
      </c>
      <c r="H73" s="23" t="s">
        <v>180</v>
      </c>
      <c r="I73" s="22" t="s">
        <v>38</v>
      </c>
      <c r="J73" s="24"/>
      <c r="K73" s="24" t="n">
        <v>487.05</v>
      </c>
      <c r="L73" s="23"/>
    </row>
    <row r="74" customFormat="false" ht="15" hidden="false" customHeight="true" outlineLevel="0" collapsed="false">
      <c r="A74" s="15" t="s">
        <v>117</v>
      </c>
      <c r="B74" s="16" t="s">
        <v>191</v>
      </c>
      <c r="C74" s="17" t="s">
        <v>192</v>
      </c>
      <c r="D74" s="18" t="n">
        <v>426.79</v>
      </c>
      <c r="E74" s="18" t="n">
        <v>0</v>
      </c>
      <c r="F74" s="18" t="n">
        <f aca="false">E74-D74</f>
        <v>-426.79</v>
      </c>
      <c r="G74" s="19" t="str">
        <f aca="false">IF(E74=0,"",(E74-D74)/E74)</f>
        <v/>
      </c>
      <c r="H74" s="17" t="s">
        <v>180</v>
      </c>
      <c r="I74" s="16" t="s">
        <v>38</v>
      </c>
      <c r="J74" s="18"/>
      <c r="K74" s="18" t="n">
        <v>426.79</v>
      </c>
      <c r="L74" s="17"/>
    </row>
    <row r="75" customFormat="false" ht="15" hidden="false" customHeight="true" outlineLevel="0" collapsed="false">
      <c r="A75" s="21" t="s">
        <v>117</v>
      </c>
      <c r="B75" s="22" t="s">
        <v>193</v>
      </c>
      <c r="C75" s="23" t="s">
        <v>194</v>
      </c>
      <c r="D75" s="24" t="n">
        <v>422.1</v>
      </c>
      <c r="E75" s="24" t="n">
        <v>0</v>
      </c>
      <c r="F75" s="24" t="n">
        <f aca="false">E75-D75</f>
        <v>-422.1</v>
      </c>
      <c r="G75" s="25" t="str">
        <f aca="false">IF(E75=0,"",(E75-D75)/E75)</f>
        <v/>
      </c>
      <c r="H75" s="23" t="s">
        <v>180</v>
      </c>
      <c r="I75" s="22" t="s">
        <v>38</v>
      </c>
      <c r="J75" s="24"/>
      <c r="K75" s="24" t="n">
        <v>422.1</v>
      </c>
      <c r="L75" s="23"/>
    </row>
    <row r="76" customFormat="false" ht="15" hidden="false" customHeight="true" outlineLevel="0" collapsed="false">
      <c r="A76" s="15" t="s">
        <v>117</v>
      </c>
      <c r="B76" s="16" t="s">
        <v>195</v>
      </c>
      <c r="C76" s="17" t="s">
        <v>196</v>
      </c>
      <c r="D76" s="18" t="n">
        <v>384</v>
      </c>
      <c r="E76" s="18" t="n">
        <v>0</v>
      </c>
      <c r="F76" s="18" t="n">
        <f aca="false">E76-D76</f>
        <v>-384</v>
      </c>
      <c r="G76" s="19" t="str">
        <f aca="false">IF(E76=0,"",(E76-D76)/E76)</f>
        <v/>
      </c>
      <c r="H76" s="17" t="s">
        <v>180</v>
      </c>
      <c r="I76" s="16" t="s">
        <v>38</v>
      </c>
      <c r="J76" s="18"/>
      <c r="K76" s="18" t="n">
        <v>384</v>
      </c>
      <c r="L76" s="17"/>
    </row>
    <row r="77" customFormat="false" ht="15" hidden="false" customHeight="true" outlineLevel="0" collapsed="false">
      <c r="A77" s="21" t="s">
        <v>117</v>
      </c>
      <c r="B77" s="22" t="s">
        <v>197</v>
      </c>
      <c r="C77" s="23" t="s">
        <v>198</v>
      </c>
      <c r="D77" s="24" t="n">
        <v>369.81</v>
      </c>
      <c r="E77" s="24" t="n">
        <v>0</v>
      </c>
      <c r="F77" s="24" t="n">
        <f aca="false">E77-D77</f>
        <v>-369.81</v>
      </c>
      <c r="G77" s="25" t="str">
        <f aca="false">IF(E77=0,"",(E77-D77)/E77)</f>
        <v/>
      </c>
      <c r="H77" s="23" t="s">
        <v>180</v>
      </c>
      <c r="I77" s="22" t="s">
        <v>38</v>
      </c>
      <c r="J77" s="24"/>
      <c r="K77" s="24" t="n">
        <v>369.81</v>
      </c>
      <c r="L77" s="23"/>
    </row>
    <row r="78" customFormat="false" ht="15" hidden="false" customHeight="true" outlineLevel="0" collapsed="false">
      <c r="A78" s="15" t="s">
        <v>117</v>
      </c>
      <c r="B78" s="16" t="s">
        <v>199</v>
      </c>
      <c r="C78" s="17" t="s">
        <v>200</v>
      </c>
      <c r="D78" s="18" t="n">
        <v>337.58</v>
      </c>
      <c r="E78" s="18" t="n">
        <v>0</v>
      </c>
      <c r="F78" s="18" t="n">
        <f aca="false">E78-D78</f>
        <v>-337.58</v>
      </c>
      <c r="G78" s="19" t="str">
        <f aca="false">IF(E78=0,"",(E78-D78)/E78)</f>
        <v/>
      </c>
      <c r="H78" s="17" t="s">
        <v>180</v>
      </c>
      <c r="I78" s="16" t="s">
        <v>38</v>
      </c>
      <c r="J78" s="18"/>
      <c r="K78" s="18" t="n">
        <v>337.58</v>
      </c>
      <c r="L78" s="17"/>
    </row>
    <row r="79" customFormat="false" ht="15" hidden="false" customHeight="true" outlineLevel="0" collapsed="false">
      <c r="A79" s="21" t="s">
        <v>117</v>
      </c>
      <c r="B79" s="22" t="s">
        <v>201</v>
      </c>
      <c r="C79" s="23" t="s">
        <v>202</v>
      </c>
      <c r="D79" s="24" t="n">
        <v>262.38</v>
      </c>
      <c r="E79" s="24" t="n">
        <v>0</v>
      </c>
      <c r="F79" s="24" t="n">
        <f aca="false">E79-D79</f>
        <v>-262.38</v>
      </c>
      <c r="G79" s="25" t="str">
        <f aca="false">IF(E79=0,"",(E79-D79)/E79)</f>
        <v/>
      </c>
      <c r="H79" s="23" t="s">
        <v>180</v>
      </c>
      <c r="I79" s="22" t="s">
        <v>38</v>
      </c>
      <c r="J79" s="24"/>
      <c r="K79" s="24" t="n">
        <v>262.38</v>
      </c>
      <c r="L79" s="23"/>
    </row>
    <row r="80" customFormat="false" ht="15" hidden="false" customHeight="true" outlineLevel="0" collapsed="false">
      <c r="A80" s="15" t="s">
        <v>117</v>
      </c>
      <c r="B80" s="16" t="s">
        <v>203</v>
      </c>
      <c r="C80" s="17" t="s">
        <v>204</v>
      </c>
      <c r="D80" s="18" t="n">
        <v>221.41</v>
      </c>
      <c r="E80" s="18" t="n">
        <v>2631.47</v>
      </c>
      <c r="F80" s="18" t="n">
        <f aca="false">E80-D80</f>
        <v>2410.06</v>
      </c>
      <c r="G80" s="19" t="n">
        <f aca="false">IF(E80=0,"",(E80-D80)/E80)</f>
        <v>0.915860716633669</v>
      </c>
      <c r="H80" s="17" t="s">
        <v>180</v>
      </c>
      <c r="I80" s="16" t="s">
        <v>38</v>
      </c>
      <c r="J80" s="18"/>
      <c r="K80" s="18" t="n">
        <v>221.41</v>
      </c>
      <c r="L80" s="17"/>
    </row>
    <row r="81" customFormat="false" ht="15" hidden="false" customHeight="true" outlineLevel="0" collapsed="false">
      <c r="A81" s="21" t="s">
        <v>117</v>
      </c>
      <c r="B81" s="22" t="s">
        <v>205</v>
      </c>
      <c r="C81" s="23" t="s">
        <v>206</v>
      </c>
      <c r="D81" s="24" t="n">
        <v>207.89</v>
      </c>
      <c r="E81" s="24" t="n">
        <v>0</v>
      </c>
      <c r="F81" s="24" t="n">
        <f aca="false">E81-D81</f>
        <v>-207.89</v>
      </c>
      <c r="G81" s="25" t="str">
        <f aca="false">IF(E81=0,"",(E81-D81)/E81)</f>
        <v/>
      </c>
      <c r="H81" s="23" t="s">
        <v>180</v>
      </c>
      <c r="I81" s="22" t="s">
        <v>38</v>
      </c>
      <c r="J81" s="24"/>
      <c r="K81" s="24" t="n">
        <v>207.89</v>
      </c>
      <c r="L81" s="23"/>
    </row>
    <row r="82" customFormat="false" ht="15" hidden="false" customHeight="true" outlineLevel="0" collapsed="false">
      <c r="A82" s="15" t="s">
        <v>117</v>
      </c>
      <c r="B82" s="16" t="s">
        <v>207</v>
      </c>
      <c r="C82" s="17" t="s">
        <v>208</v>
      </c>
      <c r="D82" s="18" t="n">
        <v>159.42</v>
      </c>
      <c r="E82" s="18" t="n">
        <v>0</v>
      </c>
      <c r="F82" s="18" t="n">
        <f aca="false">E82-D82</f>
        <v>-159.42</v>
      </c>
      <c r="G82" s="19" t="str">
        <f aca="false">IF(E82=0,"",(E82-D82)/E82)</f>
        <v/>
      </c>
      <c r="H82" s="17" t="s">
        <v>180</v>
      </c>
      <c r="I82" s="16" t="s">
        <v>38</v>
      </c>
      <c r="J82" s="18"/>
      <c r="K82" s="18" t="n">
        <v>159.42</v>
      </c>
      <c r="L82" s="17"/>
    </row>
    <row r="83" customFormat="false" ht="15" hidden="false" customHeight="true" outlineLevel="0" collapsed="false">
      <c r="A83" s="21" t="s">
        <v>117</v>
      </c>
      <c r="B83" s="22" t="s">
        <v>209</v>
      </c>
      <c r="C83" s="23" t="s">
        <v>210</v>
      </c>
      <c r="D83" s="24" t="n">
        <v>139.25</v>
      </c>
      <c r="E83" s="24" t="n">
        <v>0</v>
      </c>
      <c r="F83" s="24" t="n">
        <f aca="false">E83-D83</f>
        <v>-139.25</v>
      </c>
      <c r="G83" s="25" t="str">
        <f aca="false">IF(E83=0,"",(E83-D83)/E83)</f>
        <v/>
      </c>
      <c r="H83" s="23" t="s">
        <v>180</v>
      </c>
      <c r="I83" s="22" t="s">
        <v>28</v>
      </c>
      <c r="J83" s="24" t="n">
        <v>139.25</v>
      </c>
      <c r="K83" s="24" t="n">
        <v>0</v>
      </c>
      <c r="L83" s="23" t="s">
        <v>211</v>
      </c>
    </row>
    <row r="84" customFormat="false" ht="15" hidden="false" customHeight="true" outlineLevel="0" collapsed="false">
      <c r="A84" s="15" t="s">
        <v>117</v>
      </c>
      <c r="B84" s="16" t="s">
        <v>212</v>
      </c>
      <c r="C84" s="17" t="s">
        <v>213</v>
      </c>
      <c r="D84" s="18" t="n">
        <v>108.08</v>
      </c>
      <c r="E84" s="18" t="n">
        <v>0</v>
      </c>
      <c r="F84" s="18" t="n">
        <f aca="false">E84-D84</f>
        <v>-108.08</v>
      </c>
      <c r="G84" s="19" t="str">
        <f aca="false">IF(E84=0,"",(E84-D84)/E84)</f>
        <v/>
      </c>
      <c r="H84" s="17" t="s">
        <v>180</v>
      </c>
      <c r="I84" s="16" t="s">
        <v>38</v>
      </c>
      <c r="J84" s="18"/>
      <c r="K84" s="18" t="n">
        <v>108.08</v>
      </c>
      <c r="L84" s="17"/>
    </row>
    <row r="85" customFormat="false" ht="15" hidden="false" customHeight="true" outlineLevel="0" collapsed="false">
      <c r="A85" s="21" t="s">
        <v>117</v>
      </c>
      <c r="B85" s="22" t="s">
        <v>214</v>
      </c>
      <c r="C85" s="23" t="s">
        <v>215</v>
      </c>
      <c r="D85" s="24" t="n">
        <v>88.14</v>
      </c>
      <c r="E85" s="24" t="n">
        <v>0</v>
      </c>
      <c r="F85" s="24" t="n">
        <f aca="false">E85-D85</f>
        <v>-88.14</v>
      </c>
      <c r="G85" s="25" t="str">
        <f aca="false">IF(E85=0,"",(E85-D85)/E85)</f>
        <v/>
      </c>
      <c r="H85" s="23" t="s">
        <v>180</v>
      </c>
      <c r="I85" s="22" t="s">
        <v>38</v>
      </c>
      <c r="J85" s="24"/>
      <c r="K85" s="24" t="n">
        <v>88.14</v>
      </c>
      <c r="L85" s="23"/>
    </row>
    <row r="86" customFormat="false" ht="15" hidden="false" customHeight="true" outlineLevel="0" collapsed="false">
      <c r="A86" s="15" t="s">
        <v>117</v>
      </c>
      <c r="B86" s="16" t="s">
        <v>216</v>
      </c>
      <c r="C86" s="17" t="s">
        <v>217</v>
      </c>
      <c r="D86" s="18" t="n">
        <v>84.06</v>
      </c>
      <c r="E86" s="18" t="n">
        <v>0</v>
      </c>
      <c r="F86" s="18" t="n">
        <f aca="false">E86-D86</f>
        <v>-84.06</v>
      </c>
      <c r="G86" s="19" t="str">
        <f aca="false">IF(E86=0,"",(E86-D86)/E86)</f>
        <v/>
      </c>
      <c r="H86" s="17" t="s">
        <v>180</v>
      </c>
      <c r="I86" s="16" t="s">
        <v>38</v>
      </c>
      <c r="J86" s="18"/>
      <c r="K86" s="18" t="n">
        <v>84.06</v>
      </c>
      <c r="L86" s="17"/>
    </row>
    <row r="87" customFormat="false" ht="15" hidden="false" customHeight="true" outlineLevel="0" collapsed="false">
      <c r="A87" s="21" t="s">
        <v>117</v>
      </c>
      <c r="B87" s="22" t="s">
        <v>218</v>
      </c>
      <c r="C87" s="23" t="s">
        <v>219</v>
      </c>
      <c r="D87" s="24" t="n">
        <v>14.56</v>
      </c>
      <c r="E87" s="24" t="n">
        <v>0</v>
      </c>
      <c r="F87" s="24" t="n">
        <f aca="false">E87-D87</f>
        <v>-14.56</v>
      </c>
      <c r="G87" s="25" t="str">
        <f aca="false">IF(E87=0,"",(E87-D87)/E87)</f>
        <v/>
      </c>
      <c r="H87" s="23" t="s">
        <v>180</v>
      </c>
      <c r="I87" s="22" t="s">
        <v>38</v>
      </c>
      <c r="J87" s="24"/>
      <c r="K87" s="24" t="n">
        <v>14.56</v>
      </c>
      <c r="L87" s="23"/>
    </row>
    <row r="88" customFormat="false" ht="15" hidden="false" customHeight="true" outlineLevel="0" collapsed="false">
      <c r="A88" s="15" t="s">
        <v>117</v>
      </c>
      <c r="B88" s="16" t="s">
        <v>220</v>
      </c>
      <c r="C88" s="17" t="s">
        <v>221</v>
      </c>
      <c r="D88" s="18" t="n">
        <v>0.36</v>
      </c>
      <c r="E88" s="18" t="n">
        <v>0</v>
      </c>
      <c r="F88" s="18" t="n">
        <f aca="false">E88-D88</f>
        <v>-0.36</v>
      </c>
      <c r="G88" s="19" t="str">
        <f aca="false">IF(E88=0,"",(E88-D88)/E88)</f>
        <v/>
      </c>
      <c r="H88" s="17" t="s">
        <v>180</v>
      </c>
      <c r="I88" s="16" t="s">
        <v>38</v>
      </c>
      <c r="J88" s="18"/>
      <c r="K88" s="18" t="n">
        <v>0.36</v>
      </c>
      <c r="L88" s="17"/>
    </row>
    <row r="89" customFormat="false" ht="15" hidden="false" customHeight="true" outlineLevel="0" collapsed="false">
      <c r="A89" s="21" t="s">
        <v>117</v>
      </c>
      <c r="B89" s="22" t="s">
        <v>222</v>
      </c>
      <c r="C89" s="23" t="s">
        <v>223</v>
      </c>
      <c r="D89" s="24" t="n">
        <v>0</v>
      </c>
      <c r="E89" s="24" t="n">
        <v>37464.81</v>
      </c>
      <c r="F89" s="24" t="n">
        <f aca="false">E89-D89</f>
        <v>37464.81</v>
      </c>
      <c r="G89" s="25" t="n">
        <f aca="false">IF(E89=0,"",(E89-D89)/E89)</f>
        <v>1</v>
      </c>
      <c r="H89" s="23" t="s">
        <v>224</v>
      </c>
      <c r="I89" s="22" t="s">
        <v>38</v>
      </c>
      <c r="J89" s="24"/>
      <c r="K89" s="24"/>
      <c r="L89" s="23"/>
    </row>
    <row r="90" customFormat="false" ht="15" hidden="false" customHeight="true" outlineLevel="0" collapsed="false">
      <c r="A90" s="15" t="s">
        <v>117</v>
      </c>
      <c r="B90" s="16" t="s">
        <v>225</v>
      </c>
      <c r="C90" s="17" t="s">
        <v>226</v>
      </c>
      <c r="D90" s="18" t="n">
        <v>0</v>
      </c>
      <c r="E90" s="18" t="n">
        <v>2231.91</v>
      </c>
      <c r="F90" s="18" t="n">
        <f aca="false">E90-D90</f>
        <v>2231.91</v>
      </c>
      <c r="G90" s="19" t="n">
        <f aca="false">IF(E90=0,"",(E90-D90)/E90)</f>
        <v>1</v>
      </c>
      <c r="H90" s="17" t="s">
        <v>224</v>
      </c>
      <c r="I90" s="16" t="s">
        <v>38</v>
      </c>
      <c r="J90" s="18"/>
      <c r="K90" s="18"/>
      <c r="L90" s="17"/>
    </row>
    <row r="91" customFormat="false" ht="15" hidden="false" customHeight="true" outlineLevel="0" collapsed="false">
      <c r="A91" s="21" t="s">
        <v>117</v>
      </c>
      <c r="B91" s="22" t="s">
        <v>227</v>
      </c>
      <c r="C91" s="23" t="s">
        <v>228</v>
      </c>
      <c r="D91" s="24" t="n">
        <v>0</v>
      </c>
      <c r="E91" s="24" t="n">
        <v>0</v>
      </c>
      <c r="F91" s="24" t="n">
        <f aca="false">E91-D91</f>
        <v>0</v>
      </c>
      <c r="G91" s="25" t="str">
        <f aca="false">IF(E91=0,"",(E91-D91)/E91)</f>
        <v/>
      </c>
      <c r="H91" s="23" t="s">
        <v>224</v>
      </c>
      <c r="I91" s="22" t="s">
        <v>38</v>
      </c>
      <c r="J91" s="24"/>
      <c r="K91" s="24"/>
      <c r="L91" s="23"/>
    </row>
    <row r="92" customFormat="false" ht="15" hidden="false" customHeight="true" outlineLevel="0" collapsed="false">
      <c r="A92" s="15" t="s">
        <v>117</v>
      </c>
      <c r="B92" s="16" t="s">
        <v>229</v>
      </c>
      <c r="C92" s="17" t="s">
        <v>230</v>
      </c>
      <c r="D92" s="18" t="n">
        <v>0</v>
      </c>
      <c r="E92" s="18" t="n">
        <v>22407.93</v>
      </c>
      <c r="F92" s="18" t="n">
        <f aca="false">E92-D92</f>
        <v>22407.93</v>
      </c>
      <c r="G92" s="19" t="n">
        <f aca="false">IF(E92=0,"",(E92-D92)/E92)</f>
        <v>1</v>
      </c>
      <c r="H92" s="17" t="s">
        <v>224</v>
      </c>
      <c r="I92" s="16" t="s">
        <v>38</v>
      </c>
      <c r="J92" s="18"/>
      <c r="K92" s="18"/>
      <c r="L92" s="17"/>
    </row>
    <row r="93" customFormat="false" ht="15" hidden="false" customHeight="true" outlineLevel="0" collapsed="false">
      <c r="A93" s="21" t="s">
        <v>117</v>
      </c>
      <c r="B93" s="22" t="s">
        <v>231</v>
      </c>
      <c r="C93" s="23" t="s">
        <v>232</v>
      </c>
      <c r="D93" s="24" t="n">
        <v>0</v>
      </c>
      <c r="E93" s="24" t="n">
        <v>3281.88</v>
      </c>
      <c r="F93" s="24" t="n">
        <f aca="false">E93-D93</f>
        <v>3281.88</v>
      </c>
      <c r="G93" s="25" t="n">
        <f aca="false">IF(E93=0,"",(E93-D93)/E93)</f>
        <v>1</v>
      </c>
      <c r="H93" s="23" t="s">
        <v>224</v>
      </c>
      <c r="I93" s="22" t="s">
        <v>38</v>
      </c>
      <c r="J93" s="24"/>
      <c r="K93" s="24"/>
      <c r="L93" s="23"/>
    </row>
    <row r="94" customFormat="false" ht="15" hidden="false" customHeight="true" outlineLevel="0" collapsed="false">
      <c r="A94" s="15" t="s">
        <v>117</v>
      </c>
      <c r="B94" s="16" t="s">
        <v>233</v>
      </c>
      <c r="C94" s="17" t="s">
        <v>234</v>
      </c>
      <c r="D94" s="18" t="n">
        <v>-11680</v>
      </c>
      <c r="E94" s="18" t="n">
        <v>0</v>
      </c>
      <c r="F94" s="18" t="n">
        <f aca="false">E94-D94</f>
        <v>11680</v>
      </c>
      <c r="G94" s="19" t="str">
        <f aca="false">IF(E94=0,"",(E94-D94)/E94)</f>
        <v/>
      </c>
      <c r="H94" s="17" t="s">
        <v>23</v>
      </c>
      <c r="I94" s="16" t="s">
        <v>38</v>
      </c>
      <c r="J94" s="18"/>
      <c r="K94" s="18" t="n">
        <v>-11680</v>
      </c>
      <c r="L94" s="17" t="s">
        <v>235</v>
      </c>
    </row>
    <row r="95" customFormat="false" ht="15" hidden="false" customHeight="true" outlineLevel="0" collapsed="false">
      <c r="A95" s="27"/>
      <c r="B95" s="27"/>
      <c r="C95" s="28" t="s">
        <v>236</v>
      </c>
      <c r="D95" s="29" t="n">
        <f aca="false">SUM(D8:D94)</f>
        <v>33891610.16</v>
      </c>
      <c r="E95" s="29" t="n">
        <f aca="false">SUM(E8:E94)</f>
        <v>40212294.73</v>
      </c>
      <c r="F95" s="29" t="n">
        <f aca="false">SUM(F8:F94)</f>
        <v>6320684.57</v>
      </c>
      <c r="G95" s="30"/>
      <c r="H95" s="30"/>
      <c r="I95" s="30"/>
      <c r="J95" s="29" t="n">
        <f aca="false">SUM(J8:J94)</f>
        <v>512510.64</v>
      </c>
      <c r="K95" s="29" t="n">
        <f aca="false">SUM(K8:K94)</f>
        <v>33379099.52</v>
      </c>
    </row>
  </sheetData>
  <mergeCells count="14">
    <mergeCell ref="A1:L2"/>
    <mergeCell ref="A3:L3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conditionalFormatting sqref="D8:D94">
    <cfRule type="dataBar" priority="2">
      <dataBar showValue="1" minLength="10" maxLength="90">
        <cfvo type="min" val="0"/>
        <cfvo type="max" val="0"/>
        <color rgb="FF7C9CFF"/>
      </dataBar>
      <extLst>
        <ext xmlns:x14="http://schemas.microsoft.com/office/spreadsheetml/2009/9/main" uri="{B025F937-C7B1-47D3-B67F-A62EFF666E3E}">
          <x14:id>{9556604A-47C5-491E-8D7E-1513C6DCE92C}</x14:id>
        </ext>
      </extLst>
    </cfRule>
  </conditionalFormatting>
  <conditionalFormatting sqref="F8:F94">
    <cfRule type="colorScale" priority="3">
      <colorScale>
        <cfvo type="num" val="-2500000"/>
        <cfvo type="num" val="0"/>
        <cfvo type="num" val="2500000"/>
        <color rgb="FFFF6B7A"/>
        <color rgb="FFFFFFFF"/>
        <color rgb="FF5EE0C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56604A-47C5-491E-8D7E-1513C6DCE92C}">
            <x14:dataBar minLength="10" maxLength="90" axisPosition="none" gradient="true">
              <x14:cfvo type="min"/>
              <x14:cfvo type="max"/>
              <x14:negativeFillColor rgb="FF7C9CFF"/>
              <x14:axisColor rgb="FF000000"/>
            </x14:dataBar>
          </x14:cfRule>
          <xm:sqref>D8:D94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2026-06-08T06:05:52Z</dcterms:created>
  <dc:creator>openpyxl</dc:creator>
  <dc:description/>
  <dc:language>en-US</dc:language>
  <cp:lastModifiedBy/>
  <dcterms:modified xsi:type="dcterms:W3CDTF">2026-06-17T04:46:23Z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