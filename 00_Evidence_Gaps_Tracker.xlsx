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idence Gaps" sheetId="1" state="visible" r:id="rId3"/>
    <sheet name="By Account" sheetId="2" state="visible" r:id="rId4"/>
    <sheet name="ABR Queue" sheetId="3" state="visible" r:id="rId5"/>
  </sheets>
  <definedNames>
    <definedName function="false" hidden="false" name="AcctCol" vbProcedure="false">'Evidence Gaps'!$A$8:$A$43</definedName>
    <definedName function="false" hidden="false" name="Amount" vbProcedure="false">'Evidence Gaps'!$E$8:$E$43</definedName>
    <definedName function="false" hidden="false" name="StatusCol" vbProcedure="false">'Evidence Gaps'!$F$8:$F$43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<sst xmlns="http://schemas.openxmlformats.org/spreadsheetml/2006/main" count="299" uniqueCount="138">
  <si>
    <t xml:space="preserve">PARKS 4090000  -  CN-23167 EVIDENCE GAPS TRACKER</t>
  </si>
  <si>
    <t xml:space="preserve">Source: 00_Outstanding_Evidence_and_Actions.md (11-Jun-2026) + Account Review Register. Tick Status to SIGHTED and fill Date sighted to close.  Built 17-Jun-2026.</t>
  </si>
  <si>
    <t xml:space="preserve">Open gap value</t>
  </si>
  <si>
    <t xml:space="preserve">Open items</t>
  </si>
  <si>
    <t xml:space="preserve">Accounts touched</t>
  </si>
  <si>
    <t xml:space="preserve">ABR lookups pending</t>
  </si>
  <si>
    <t xml:space="preserve">18</t>
  </si>
  <si>
    <t xml:space="preserve">Account</t>
  </si>
  <si>
    <t xml:space="preserve">Account name</t>
  </si>
  <si>
    <t xml:space="preserve">Document / item</t>
  </si>
  <si>
    <t xml:space="preserve">Type</t>
  </si>
  <si>
    <t xml:space="preserve">Amount $</t>
  </si>
  <si>
    <t xml:space="preserve">Status</t>
  </si>
  <si>
    <t xml:space="preserve">Source / note</t>
  </si>
  <si>
    <t xml:space="preserve">Date sighted</t>
  </si>
  <si>
    <t xml:space="preserve">73123</t>
  </si>
  <si>
    <t xml:space="preserve">Park Maintenance</t>
  </si>
  <si>
    <t xml:space="preserve">Export-vs-SE2 reconciliation (export $3,951,109.43 vs SE2 $3,900,770.79)</t>
  </si>
  <si>
    <t xml:space="preserve">Reconciliation</t>
  </si>
  <si>
    <t xml:space="preserve">BLOCKER</t>
  </si>
  <si>
    <t xml:space="preserve">Suspected export row duplication / P12 timing. Blocks ALL 73211 line work</t>
  </si>
  <si>
    <t xml:space="preserve">73211</t>
  </si>
  <si>
    <t xml:space="preserve">Minor Contracts</t>
  </si>
  <si>
    <t xml:space="preserve">Invoice 2908705</t>
  </si>
  <si>
    <t xml:space="preserve">Invoice</t>
  </si>
  <si>
    <t xml:space="preserve">SIGHTED</t>
  </si>
  <si>
    <t xml:space="preserve">17-Jun-2026</t>
  </si>
  <si>
    <t xml:space="preserve">TBM 00097461 / 00097583 / 00097626 / 00097780</t>
  </si>
  <si>
    <t xml:space="preserve">Ausecology INV-4029 / INV-4030 (via GJ078960)</t>
  </si>
  <si>
    <t xml:space="preserve">NARROWED</t>
  </si>
  <si>
    <t xml:space="preserve">INV-4029 $8,480 + INV-4030 $6,360 sighted; $450 residual in GJ078960; vendor ABN not on invoice</t>
  </si>
  <si>
    <t xml:space="preserve">17-Jun-2026 part</t>
  </si>
  <si>
    <t xml:space="preserve">Invoice 2906937</t>
  </si>
  <si>
    <t xml:space="preserve">00059013 + 00031055/79/85/86 + 00060617/47 series</t>
  </si>
  <si>
    <t xml:space="preserve">GAP</t>
  </si>
  <si>
    <t xml:space="preserve">INV-38877</t>
  </si>
  <si>
    <t xml:space="preserve">698933AU / 713170AU</t>
  </si>
  <si>
    <t xml:space="preserve">Provac INV-00037183</t>
  </si>
  <si>
    <t xml:space="preserve">T2 3222869 / 3223786</t>
  </si>
  <si>
    <t xml:space="preserve">9016</t>
  </si>
  <si>
    <t xml:space="preserve">Telstra Dec-25 bill</t>
  </si>
  <si>
    <t xml:space="preserve">34828</t>
  </si>
  <si>
    <t xml:space="preserve">00735</t>
  </si>
  <si>
    <t xml:space="preserve">EWN INV-14768</t>
  </si>
  <si>
    <t xml:space="preserve">amount unconfirmed</t>
  </si>
  <si>
    <t xml:space="preserve">73212</t>
  </si>
  <si>
    <t xml:space="preserve">Contract Payments</t>
  </si>
  <si>
    <t xml:space="preserve">s4090230 standing-order vendor invoices (Gen Landscapes PK000369, Contract Roads INV, TBM)</t>
  </si>
  <si>
    <t xml:space="preserve">approx; standing-order run</t>
  </si>
  <si>
    <t xml:space="preserve">Contract docs $20k floor test: LCC-09-2022 Harpley, Aust Care SO, Play Force</t>
  </si>
  <si>
    <t xml:space="preserve">Contract</t>
  </si>
  <si>
    <t xml:space="preserve">floor test</t>
  </si>
  <si>
    <t xml:space="preserve">73601</t>
  </si>
  <si>
    <t xml:space="preserve">Consultancy</t>
  </si>
  <si>
    <t xml:space="preserve">Org Risk Consulting INV-250714, 250811-813, 250910-913 (WHS Gap Analysis)</t>
  </si>
  <si>
    <t xml:space="preserve">single engagement; INV-251010 already exact</t>
  </si>
  <si>
    <t xml:space="preserve">73512</t>
  </si>
  <si>
    <t xml:space="preserve">Catering/FBT</t>
  </si>
  <si>
    <t xml:space="preserve">Quote 5468 vendor tax invoice (vendor unknown - largest unevidenced line)</t>
  </si>
  <si>
    <t xml:space="preserve">Preussner 12052026 receipt</t>
  </si>
  <si>
    <t xml:space="preserve">Receipt</t>
  </si>
  <si>
    <t xml:space="preserve">Salisnew direct-claim receipts (6 refs)</t>
  </si>
  <si>
    <t xml:space="preserve">approx</t>
  </si>
  <si>
    <t xml:space="preserve">Micro-line PCard docs (~100 lines, 1179861-1211218, TE004278-TE005497)</t>
  </si>
  <si>
    <t xml:space="preserve">PCard</t>
  </si>
  <si>
    <t xml:space="preserve">WAIVER-OPTION</t>
  </si>
  <si>
    <t xml:space="preserve">PCard docs or Spero waiver</t>
  </si>
  <si>
    <t xml:space="preserve">73544</t>
  </si>
  <si>
    <t xml:space="preserve">Training</t>
  </si>
  <si>
    <t xml:space="preserve">Internal journal backups x6 (IJ074222, GJ078710, GJ078895, GJ077155, GJ079267, GJ078296)</t>
  </si>
  <si>
    <t xml:space="preserve">Journal backup</t>
  </si>
  <si>
    <t xml:space="preserve">IPWEA part-payment posting trace (39657)</t>
  </si>
  <si>
    <t xml:space="preserve">Trace</t>
  </si>
  <si>
    <t xml:space="preserve">73564</t>
  </si>
  <si>
    <t xml:space="preserve">IT Equipment</t>
  </si>
  <si>
    <t xml:space="preserve">SR219175 (Robertson), SR-0315517 (Fry) backups</t>
  </si>
  <si>
    <t xml:space="preserve">SR backup</t>
  </si>
  <si>
    <t xml:space="preserve">off-home lines</t>
  </si>
  <si>
    <t xml:space="preserve">No-attach SRs + 5 ext inv (2412569490, INAU004378, GJ076194, GJ075813, TE005499)</t>
  </si>
  <si>
    <t xml:space="preserve">six off-home lines open</t>
  </si>
  <si>
    <t xml:space="preserve">7B214</t>
  </si>
  <si>
    <t xml:space="preserve">Roads oncharge</t>
  </si>
  <si>
    <t xml:space="preserve">IJ073869 Transport Operations oncharge backup</t>
  </si>
  <si>
    <t xml:space="preserve">DA/4574 for IJ074845</t>
  </si>
  <si>
    <t xml:space="preserve">73511</t>
  </si>
  <si>
    <t xml:space="preserve">Hospitality</t>
  </si>
  <si>
    <t xml:space="preserve">Warnholtz invoice 001 (payee not in employee map)</t>
  </si>
  <si>
    <t xml:space="preserve">PCard / reimbursement receipts (net population)</t>
  </si>
  <si>
    <t xml:space="preserve">Greenbank $700 room hire trace + $200 bond return</t>
  </si>
  <si>
    <t xml:space="preserve">non-blocking</t>
  </si>
  <si>
    <t xml:space="preserve">62121/62125</t>
  </si>
  <si>
    <t xml:space="preserve">Garside query</t>
  </si>
  <si>
    <t xml:space="preserve">GJ076150 dest legs + inv 505970 ($2,812.73), 506368 ($204.55)</t>
  </si>
  <si>
    <t xml:space="preserve">destination-leg confirmation</t>
  </si>
  <si>
    <t xml:space="preserve">7B532</t>
  </si>
  <si>
    <t xml:space="preserve">Spoil/Bega Rd</t>
  </si>
  <si>
    <t xml:space="preserve">Bega Road week sheets 28-Jul to 3-Aug-2025</t>
  </si>
  <si>
    <t xml:space="preserve">Timesheet</t>
  </si>
  <si>
    <t xml:space="preserve">resolves probable IJ072723 duplicate</t>
  </si>
  <si>
    <t xml:space="preserve">73140</t>
  </si>
  <si>
    <t xml:space="preserve">CV checks</t>
  </si>
  <si>
    <t xml:space="preserve">FY26 73140 ledger extract + CV Check AP sample (5 Kinatico inv held)</t>
  </si>
  <si>
    <t xml:space="preserve">Ledger/Invoice</t>
  </si>
  <si>
    <t xml:space="preserve">invoices in hand, held unapplied</t>
  </si>
  <si>
    <t xml:space="preserve">73541</t>
  </si>
  <si>
    <t xml:space="preserve">Conferences</t>
  </si>
  <si>
    <t xml:space="preserve">Trailbuilders registration backup TE004922 ($626.48 + $15.66 fee)</t>
  </si>
  <si>
    <t xml:space="preserve">73563</t>
  </si>
  <si>
    <t xml:space="preserve">Stationery</t>
  </si>
  <si>
    <t xml:space="preserve">TE005154 (sole residual)</t>
  </si>
  <si>
    <t xml:space="preserve">TE004125 closed 10-Jun</t>
  </si>
  <si>
    <t xml:space="preserve">OPEN GAPS BY ACCOUNT</t>
  </si>
  <si>
    <t xml:space="preserve">Open gap $</t>
  </si>
  <si>
    <t xml:space="preserve">TOTAL</t>
  </si>
  <si>
    <t xml:space="preserve">ABR SUPPLIER-REGISTER SIGHTINGS QUEUE (ABN checksums all PASS)</t>
  </si>
  <si>
    <t xml:space="preserve">Supplier</t>
  </si>
  <si>
    <t xml:space="preserve">Checksum</t>
  </si>
  <si>
    <t xml:space="preserve">ABR register lookup</t>
  </si>
  <si>
    <t xml:space="preserve">Destination Trails</t>
  </si>
  <si>
    <t xml:space="preserve">PASS</t>
  </si>
  <si>
    <t xml:space="preserve">PENDING</t>
  </si>
  <si>
    <t xml:space="preserve">Firesight</t>
  </si>
  <si>
    <t xml:space="preserve">Reactive Generators</t>
  </si>
  <si>
    <t xml:space="preserve">Chronicle Rip</t>
  </si>
  <si>
    <t xml:space="preserve">Play Force</t>
  </si>
  <si>
    <t xml:space="preserve">RST</t>
  </si>
  <si>
    <t xml:space="preserve">CAASie</t>
  </si>
  <si>
    <t xml:space="preserve">Tennyson</t>
  </si>
  <si>
    <t xml:space="preserve">T2</t>
  </si>
  <si>
    <t xml:space="preserve">Lockwise</t>
  </si>
  <si>
    <t xml:space="preserve">IAS</t>
  </si>
  <si>
    <t xml:space="preserve">PSIA</t>
  </si>
  <si>
    <t xml:space="preserve">DDLS</t>
  </si>
  <si>
    <t xml:space="preserve">EWN</t>
  </si>
  <si>
    <t xml:space="preserve">Worssell</t>
  </si>
  <si>
    <t xml:space="preserve">Empire</t>
  </si>
  <si>
    <t xml:space="preserve">Telstra</t>
  </si>
  <si>
    <t xml:space="preserve">Message4U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</si>
</sst>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-$&quot;#,##0;\-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13"/>
      <color rgb="FF1F3864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9"/>
      <name val="Segoe UI"/>
      <family val="0"/>
      <charset val="1"/>
    </font>
    <font>
      <b val="true"/>
      <sz val="9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name val="Segoe UI"/>
      <family val="0"/>
      <charset val="1"/>
    </font>
    <font>
      <b val="true"/>
      <sz val="10"/>
      <color rgb="FF1F3864"/>
      <name val="Segoe U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236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EAEFF7"/>
        <bgColor rgb="FFE2EFDA"/>
      </patternFill>
    </fill>
    <fill>
      <patternFill patternType="solid">
        <fgColor rgb="FFFFFFFF"/>
        <bgColor rgb="FFEAEFF7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EAEFF7"/>
      </patternFill>
    </fill>
    <fill>
      <patternFill patternType="solid">
        <fgColor rgb="FFFFF2CC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34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15.75" hidden="false" customHeight="true" outlineLevel="0" collapsed="false">
      <c r="A5" s="5" t="n">
        <f aca="false">SUM(Amount)-SUMIF(StatusCol,"SIGHTED",Amount)</f>
        <v>192955.83</v>
      </c>
      <c r="B5" s="5"/>
      <c r="C5" s="6" t="n">
        <f aca="false">COUNTIF(StatusCol,"GAP")+COUNTIF(StatusCol,"BLOCKER")+COUNTIF(StatusCol,"WAIVER-OPTION")+COUNTIF(StatusCol,"NARROWED")</f>
        <v>27</v>
      </c>
      <c r="D5" s="6"/>
      <c r="E5" s="6" t="n">
        <f aca="false">SUMPRODUCT(1/COUNTIF(AcctCol,AcctCol))</f>
        <v>14</v>
      </c>
      <c r="F5" s="6"/>
      <c r="G5" s="6" t="s">
        <v>6</v>
      </c>
      <c r="H5" s="6"/>
    </row>
    <row r="7" customFormat="false" ht="19.5" hidden="false" customHeight="true" outlineLevel="0" collapsed="false">
      <c r="A7" s="7" t="s">
        <v>7</v>
      </c>
      <c r="B7" s="7" t="s">
        <v>8</v>
      </c>
      <c r="C7" s="7" t="s">
        <v>9</v>
      </c>
      <c r="D7" s="7" t="s">
        <v>10</v>
      </c>
      <c r="E7" s="8" t="s">
        <v>11</v>
      </c>
      <c r="F7" s="7" t="s">
        <v>12</v>
      </c>
      <c r="G7" s="7" t="s">
        <v>13</v>
      </c>
      <c r="H7" s="7" t="s">
        <v>14</v>
      </c>
    </row>
    <row r="8" customFormat="false" ht="32.25" hidden="false" customHeight="true" outlineLevel="0" collapsed="false">
      <c r="A8" s="9" t="s">
        <v>15</v>
      </c>
      <c r="B8" s="9" t="s">
        <v>16</v>
      </c>
      <c r="C8" s="10" t="s">
        <v>17</v>
      </c>
      <c r="D8" s="9" t="s">
        <v>18</v>
      </c>
      <c r="E8" s="11" t="n">
        <v>50338.64</v>
      </c>
      <c r="F8" s="12" t="s">
        <v>19</v>
      </c>
      <c r="G8" s="10" t="s">
        <v>20</v>
      </c>
      <c r="H8" s="9"/>
    </row>
    <row r="9" customFormat="false" ht="15" hidden="false" customHeight="true" outlineLevel="0" collapsed="false">
      <c r="A9" s="13" t="s">
        <v>21</v>
      </c>
      <c r="B9" s="13" t="s">
        <v>22</v>
      </c>
      <c r="C9" s="14" t="s">
        <v>23</v>
      </c>
      <c r="D9" s="13" t="s">
        <v>24</v>
      </c>
      <c r="E9" s="15" t="n">
        <v>17000</v>
      </c>
      <c r="F9" s="16" t="s">
        <v>25</v>
      </c>
      <c r="G9" s="14"/>
      <c r="H9" s="13" t="s">
        <v>26</v>
      </c>
    </row>
    <row r="10" customFormat="false" ht="15" hidden="false" customHeight="true" outlineLevel="0" collapsed="false">
      <c r="A10" s="9" t="s">
        <v>21</v>
      </c>
      <c r="B10" s="9" t="s">
        <v>22</v>
      </c>
      <c r="C10" s="10" t="s">
        <v>27</v>
      </c>
      <c r="D10" s="9" t="s">
        <v>24</v>
      </c>
      <c r="E10" s="11" t="n">
        <v>15604.11</v>
      </c>
      <c r="F10" s="16" t="s">
        <v>25</v>
      </c>
      <c r="G10" s="10"/>
      <c r="H10" s="9" t="s">
        <v>26</v>
      </c>
    </row>
    <row r="11" customFormat="false" ht="15" hidden="false" customHeight="true" outlineLevel="0" collapsed="false">
      <c r="A11" s="13" t="s">
        <v>21</v>
      </c>
      <c r="B11" s="13" t="s">
        <v>22</v>
      </c>
      <c r="C11" s="14" t="s">
        <v>28</v>
      </c>
      <c r="D11" s="13" t="s">
        <v>24</v>
      </c>
      <c r="E11" s="15" t="n">
        <v>14840</v>
      </c>
      <c r="F11" s="17" t="s">
        <v>29</v>
      </c>
      <c r="G11" s="14" t="s">
        <v>30</v>
      </c>
      <c r="H11" s="13" t="s">
        <v>31</v>
      </c>
    </row>
    <row r="12" customFormat="false" ht="15" hidden="false" customHeight="true" outlineLevel="0" collapsed="false">
      <c r="A12" s="9" t="s">
        <v>21</v>
      </c>
      <c r="B12" s="9" t="s">
        <v>22</v>
      </c>
      <c r="C12" s="10" t="s">
        <v>32</v>
      </c>
      <c r="D12" s="9" t="s">
        <v>24</v>
      </c>
      <c r="E12" s="11" t="n">
        <v>10200</v>
      </c>
      <c r="F12" s="16" t="s">
        <v>25</v>
      </c>
      <c r="G12" s="10"/>
      <c r="H12" s="9" t="s">
        <v>26</v>
      </c>
    </row>
    <row r="13" customFormat="false" ht="21.75" hidden="false" customHeight="true" outlineLevel="0" collapsed="false">
      <c r="A13" s="13" t="s">
        <v>21</v>
      </c>
      <c r="B13" s="13" t="s">
        <v>22</v>
      </c>
      <c r="C13" s="14" t="s">
        <v>33</v>
      </c>
      <c r="D13" s="13" t="s">
        <v>24</v>
      </c>
      <c r="E13" s="15" t="n">
        <v>4106.2</v>
      </c>
      <c r="F13" s="17" t="s">
        <v>34</v>
      </c>
      <c r="G13" s="14"/>
      <c r="H13" s="13"/>
    </row>
    <row r="14" customFormat="false" ht="15" hidden="false" customHeight="true" outlineLevel="0" collapsed="false">
      <c r="A14" s="9" t="s">
        <v>21</v>
      </c>
      <c r="B14" s="9" t="s">
        <v>22</v>
      </c>
      <c r="C14" s="10" t="s">
        <v>35</v>
      </c>
      <c r="D14" s="9" t="s">
        <v>24</v>
      </c>
      <c r="E14" s="11" t="n">
        <v>2250</v>
      </c>
      <c r="F14" s="16" t="s">
        <v>25</v>
      </c>
      <c r="G14" s="10"/>
      <c r="H14" s="9" t="s">
        <v>26</v>
      </c>
    </row>
    <row r="15" customFormat="false" ht="15" hidden="false" customHeight="true" outlineLevel="0" collapsed="false">
      <c r="A15" s="13" t="s">
        <v>21</v>
      </c>
      <c r="B15" s="13" t="s">
        <v>22</v>
      </c>
      <c r="C15" s="14" t="s">
        <v>36</v>
      </c>
      <c r="D15" s="13" t="s">
        <v>24</v>
      </c>
      <c r="E15" s="15" t="n">
        <v>2433.44</v>
      </c>
      <c r="F15" s="16" t="s">
        <v>25</v>
      </c>
      <c r="G15" s="14"/>
      <c r="H15" s="13" t="s">
        <v>26</v>
      </c>
    </row>
    <row r="16" customFormat="false" ht="15" hidden="false" customHeight="true" outlineLevel="0" collapsed="false">
      <c r="A16" s="9" t="s">
        <v>21</v>
      </c>
      <c r="B16" s="9" t="s">
        <v>22</v>
      </c>
      <c r="C16" s="10" t="s">
        <v>37</v>
      </c>
      <c r="D16" s="9" t="s">
        <v>24</v>
      </c>
      <c r="E16" s="11" t="n">
        <v>2050</v>
      </c>
      <c r="F16" s="17" t="s">
        <v>34</v>
      </c>
      <c r="G16" s="10"/>
      <c r="H16" s="9"/>
    </row>
    <row r="17" customFormat="false" ht="15" hidden="false" customHeight="true" outlineLevel="0" collapsed="false">
      <c r="A17" s="13" t="s">
        <v>21</v>
      </c>
      <c r="B17" s="13" t="s">
        <v>22</v>
      </c>
      <c r="C17" s="14" t="s">
        <v>38</v>
      </c>
      <c r="D17" s="13" t="s">
        <v>24</v>
      </c>
      <c r="E17" s="15" t="n">
        <v>1820</v>
      </c>
      <c r="F17" s="16" t="s">
        <v>25</v>
      </c>
      <c r="G17" s="14"/>
      <c r="H17" s="13" t="s">
        <v>26</v>
      </c>
    </row>
    <row r="18" customFormat="false" ht="15" hidden="false" customHeight="true" outlineLevel="0" collapsed="false">
      <c r="A18" s="9" t="s">
        <v>21</v>
      </c>
      <c r="B18" s="9" t="s">
        <v>22</v>
      </c>
      <c r="C18" s="10" t="s">
        <v>39</v>
      </c>
      <c r="D18" s="9" t="s">
        <v>24</v>
      </c>
      <c r="E18" s="11" t="n">
        <v>1710</v>
      </c>
      <c r="F18" s="16" t="s">
        <v>25</v>
      </c>
      <c r="G18" s="10"/>
      <c r="H18" s="9" t="s">
        <v>26</v>
      </c>
    </row>
    <row r="19" customFormat="false" ht="15" hidden="false" customHeight="true" outlineLevel="0" collapsed="false">
      <c r="A19" s="13" t="s">
        <v>21</v>
      </c>
      <c r="B19" s="13" t="s">
        <v>22</v>
      </c>
      <c r="C19" s="14" t="s">
        <v>40</v>
      </c>
      <c r="D19" s="13" t="s">
        <v>24</v>
      </c>
      <c r="E19" s="15" t="n">
        <v>727.95</v>
      </c>
      <c r="F19" s="17" t="s">
        <v>34</v>
      </c>
      <c r="G19" s="14"/>
      <c r="H19" s="13"/>
    </row>
    <row r="20" customFormat="false" ht="15" hidden="false" customHeight="true" outlineLevel="0" collapsed="false">
      <c r="A20" s="9" t="s">
        <v>21</v>
      </c>
      <c r="B20" s="9" t="s">
        <v>22</v>
      </c>
      <c r="C20" s="10" t="s">
        <v>41</v>
      </c>
      <c r="D20" s="9" t="s">
        <v>24</v>
      </c>
      <c r="E20" s="11" t="n">
        <v>546.68</v>
      </c>
      <c r="F20" s="16" t="s">
        <v>25</v>
      </c>
      <c r="G20" s="10"/>
      <c r="H20" s="9" t="s">
        <v>26</v>
      </c>
    </row>
    <row r="21" customFormat="false" ht="15" hidden="false" customHeight="true" outlineLevel="0" collapsed="false">
      <c r="A21" s="13" t="s">
        <v>21</v>
      </c>
      <c r="B21" s="13" t="s">
        <v>22</v>
      </c>
      <c r="C21" s="14" t="s">
        <v>42</v>
      </c>
      <c r="D21" s="13" t="s">
        <v>24</v>
      </c>
      <c r="E21" s="15" t="n">
        <v>200</v>
      </c>
      <c r="F21" s="16" t="s">
        <v>25</v>
      </c>
      <c r="G21" s="14"/>
      <c r="H21" s="13" t="s">
        <v>26</v>
      </c>
    </row>
    <row r="22" customFormat="false" ht="15" hidden="false" customHeight="true" outlineLevel="0" collapsed="false">
      <c r="A22" s="9" t="s">
        <v>21</v>
      </c>
      <c r="B22" s="9" t="s">
        <v>22</v>
      </c>
      <c r="C22" s="10" t="s">
        <v>43</v>
      </c>
      <c r="D22" s="9" t="s">
        <v>24</v>
      </c>
      <c r="E22" s="18"/>
      <c r="F22" s="17" t="s">
        <v>34</v>
      </c>
      <c r="G22" s="10" t="s">
        <v>44</v>
      </c>
      <c r="H22" s="9"/>
    </row>
    <row r="23" customFormat="false" ht="21.75" hidden="false" customHeight="true" outlineLevel="0" collapsed="false">
      <c r="A23" s="13" t="s">
        <v>45</v>
      </c>
      <c r="B23" s="13" t="s">
        <v>46</v>
      </c>
      <c r="C23" s="14" t="s">
        <v>47</v>
      </c>
      <c r="D23" s="13" t="s">
        <v>24</v>
      </c>
      <c r="E23" s="15" t="n">
        <v>30000</v>
      </c>
      <c r="F23" s="17" t="s">
        <v>34</v>
      </c>
      <c r="G23" s="14" t="s">
        <v>48</v>
      </c>
      <c r="H23" s="13"/>
    </row>
    <row r="24" customFormat="false" ht="21.75" hidden="false" customHeight="true" outlineLevel="0" collapsed="false">
      <c r="A24" s="9" t="s">
        <v>45</v>
      </c>
      <c r="B24" s="9" t="s">
        <v>46</v>
      </c>
      <c r="C24" s="10" t="s">
        <v>49</v>
      </c>
      <c r="D24" s="9" t="s">
        <v>50</v>
      </c>
      <c r="E24" s="11" t="n">
        <v>20000</v>
      </c>
      <c r="F24" s="17" t="s">
        <v>34</v>
      </c>
      <c r="G24" s="10" t="s">
        <v>51</v>
      </c>
      <c r="H24" s="9"/>
    </row>
    <row r="25" customFormat="false" ht="21.75" hidden="false" customHeight="true" outlineLevel="0" collapsed="false">
      <c r="A25" s="13" t="s">
        <v>52</v>
      </c>
      <c r="B25" s="13" t="s">
        <v>53</v>
      </c>
      <c r="C25" s="14" t="s">
        <v>54</v>
      </c>
      <c r="D25" s="13" t="s">
        <v>24</v>
      </c>
      <c r="E25" s="15" t="n">
        <v>43871.03</v>
      </c>
      <c r="F25" s="17" t="s">
        <v>34</v>
      </c>
      <c r="G25" s="14" t="s">
        <v>55</v>
      </c>
      <c r="H25" s="13"/>
    </row>
    <row r="26" customFormat="false" ht="21.75" hidden="false" customHeight="true" outlineLevel="0" collapsed="false">
      <c r="A26" s="9" t="s">
        <v>56</v>
      </c>
      <c r="B26" s="9" t="s">
        <v>57</v>
      </c>
      <c r="C26" s="10" t="s">
        <v>58</v>
      </c>
      <c r="D26" s="9" t="s">
        <v>24</v>
      </c>
      <c r="E26" s="11" t="n">
        <v>1656.5</v>
      </c>
      <c r="F26" s="17" t="s">
        <v>34</v>
      </c>
      <c r="G26" s="10"/>
      <c r="H26" s="9"/>
    </row>
    <row r="27" customFormat="false" ht="15" hidden="false" customHeight="true" outlineLevel="0" collapsed="false">
      <c r="A27" s="13" t="s">
        <v>56</v>
      </c>
      <c r="B27" s="13" t="s">
        <v>57</v>
      </c>
      <c r="C27" s="14" t="s">
        <v>59</v>
      </c>
      <c r="D27" s="13" t="s">
        <v>60</v>
      </c>
      <c r="E27" s="15" t="n">
        <v>27.79</v>
      </c>
      <c r="F27" s="17" t="s">
        <v>34</v>
      </c>
      <c r="G27" s="14"/>
      <c r="H27" s="13"/>
    </row>
    <row r="28" customFormat="false" ht="15" hidden="false" customHeight="true" outlineLevel="0" collapsed="false">
      <c r="A28" s="9" t="s">
        <v>56</v>
      </c>
      <c r="B28" s="9" t="s">
        <v>57</v>
      </c>
      <c r="C28" s="10" t="s">
        <v>61</v>
      </c>
      <c r="D28" s="9" t="s">
        <v>60</v>
      </c>
      <c r="E28" s="11" t="n">
        <v>234</v>
      </c>
      <c r="F28" s="17" t="s">
        <v>34</v>
      </c>
      <c r="G28" s="10" t="s">
        <v>62</v>
      </c>
      <c r="H28" s="9"/>
    </row>
    <row r="29" customFormat="false" ht="21.75" hidden="false" customHeight="true" outlineLevel="0" collapsed="false">
      <c r="A29" s="13" t="s">
        <v>56</v>
      </c>
      <c r="B29" s="13" t="s">
        <v>57</v>
      </c>
      <c r="C29" s="14" t="s">
        <v>63</v>
      </c>
      <c r="D29" s="13" t="s">
        <v>64</v>
      </c>
      <c r="E29" s="19"/>
      <c r="F29" s="17" t="s">
        <v>65</v>
      </c>
      <c r="G29" s="14" t="s">
        <v>66</v>
      </c>
      <c r="H29" s="13"/>
    </row>
    <row r="30" customFormat="false" ht="21.75" hidden="false" customHeight="true" outlineLevel="0" collapsed="false">
      <c r="A30" s="9" t="s">
        <v>67</v>
      </c>
      <c r="B30" s="9" t="s">
        <v>68</v>
      </c>
      <c r="C30" s="10" t="s">
        <v>69</v>
      </c>
      <c r="D30" s="9" t="s">
        <v>70</v>
      </c>
      <c r="E30" s="11" t="n">
        <v>10600</v>
      </c>
      <c r="F30" s="17" t="s">
        <v>34</v>
      </c>
      <c r="G30" s="10" t="s">
        <v>62</v>
      </c>
      <c r="H30" s="9"/>
    </row>
    <row r="31" customFormat="false" ht="15" hidden="false" customHeight="true" outlineLevel="0" collapsed="false">
      <c r="A31" s="13" t="s">
        <v>67</v>
      </c>
      <c r="B31" s="13" t="s">
        <v>68</v>
      </c>
      <c r="C31" s="14" t="s">
        <v>71</v>
      </c>
      <c r="D31" s="13" t="s">
        <v>72</v>
      </c>
      <c r="E31" s="15" t="n">
        <v>343.2</v>
      </c>
      <c r="F31" s="17" t="s">
        <v>34</v>
      </c>
      <c r="G31" s="14"/>
      <c r="H31" s="13"/>
    </row>
    <row r="32" customFormat="false" ht="15" hidden="false" customHeight="true" outlineLevel="0" collapsed="false">
      <c r="A32" s="9" t="s">
        <v>73</v>
      </c>
      <c r="B32" s="9" t="s">
        <v>74</v>
      </c>
      <c r="C32" s="10" t="s">
        <v>75</v>
      </c>
      <c r="D32" s="9" t="s">
        <v>76</v>
      </c>
      <c r="E32" s="18"/>
      <c r="F32" s="17" t="s">
        <v>34</v>
      </c>
      <c r="G32" s="10" t="s">
        <v>77</v>
      </c>
      <c r="H32" s="9"/>
    </row>
    <row r="33" customFormat="false" ht="21.75" hidden="false" customHeight="true" outlineLevel="0" collapsed="false">
      <c r="A33" s="13" t="s">
        <v>73</v>
      </c>
      <c r="B33" s="13" t="s">
        <v>74</v>
      </c>
      <c r="C33" s="14" t="s">
        <v>78</v>
      </c>
      <c r="D33" s="13" t="s">
        <v>24</v>
      </c>
      <c r="E33" s="19"/>
      <c r="F33" s="17" t="s">
        <v>34</v>
      </c>
      <c r="G33" s="14" t="s">
        <v>79</v>
      </c>
      <c r="H33" s="13"/>
    </row>
    <row r="34" customFormat="false" ht="15" hidden="false" customHeight="true" outlineLevel="0" collapsed="false">
      <c r="A34" s="9" t="s">
        <v>80</v>
      </c>
      <c r="B34" s="9" t="s">
        <v>81</v>
      </c>
      <c r="C34" s="10" t="s">
        <v>82</v>
      </c>
      <c r="D34" s="9" t="s">
        <v>70</v>
      </c>
      <c r="E34" s="11" t="n">
        <v>3600</v>
      </c>
      <c r="F34" s="17" t="s">
        <v>34</v>
      </c>
      <c r="G34" s="10"/>
      <c r="H34" s="9"/>
    </row>
    <row r="35" customFormat="false" ht="15" hidden="false" customHeight="true" outlineLevel="0" collapsed="false">
      <c r="A35" s="13" t="s">
        <v>80</v>
      </c>
      <c r="B35" s="13" t="s">
        <v>81</v>
      </c>
      <c r="C35" s="14" t="s">
        <v>83</v>
      </c>
      <c r="D35" s="13" t="s">
        <v>70</v>
      </c>
      <c r="E35" s="15" t="n">
        <v>3888</v>
      </c>
      <c r="F35" s="17" t="s">
        <v>34</v>
      </c>
      <c r="G35" s="14"/>
      <c r="H35" s="13"/>
    </row>
    <row r="36" customFormat="false" ht="15" hidden="false" customHeight="true" outlineLevel="0" collapsed="false">
      <c r="A36" s="9" t="s">
        <v>84</v>
      </c>
      <c r="B36" s="9" t="s">
        <v>85</v>
      </c>
      <c r="C36" s="10" t="s">
        <v>86</v>
      </c>
      <c r="D36" s="9" t="s">
        <v>24</v>
      </c>
      <c r="E36" s="11" t="n">
        <v>744.3</v>
      </c>
      <c r="F36" s="17" t="s">
        <v>34</v>
      </c>
      <c r="G36" s="10"/>
      <c r="H36" s="9"/>
    </row>
    <row r="37" customFormat="false" ht="15" hidden="false" customHeight="true" outlineLevel="0" collapsed="false">
      <c r="A37" s="13" t="s">
        <v>84</v>
      </c>
      <c r="B37" s="13" t="s">
        <v>85</v>
      </c>
      <c r="C37" s="14" t="s">
        <v>87</v>
      </c>
      <c r="D37" s="13" t="s">
        <v>60</v>
      </c>
      <c r="E37" s="19"/>
      <c r="F37" s="17" t="s">
        <v>34</v>
      </c>
      <c r="G37" s="14"/>
      <c r="H37" s="13"/>
    </row>
    <row r="38" customFormat="false" ht="21.75" hidden="false" customHeight="true" outlineLevel="0" collapsed="false">
      <c r="A38" s="9" t="s">
        <v>84</v>
      </c>
      <c r="B38" s="9" t="s">
        <v>85</v>
      </c>
      <c r="C38" s="10" t="s">
        <v>88</v>
      </c>
      <c r="D38" s="9" t="s">
        <v>72</v>
      </c>
      <c r="E38" s="11" t="n">
        <v>900</v>
      </c>
      <c r="F38" s="17" t="s">
        <v>34</v>
      </c>
      <c r="G38" s="10" t="s">
        <v>89</v>
      </c>
      <c r="H38" s="9"/>
    </row>
    <row r="39" customFormat="false" ht="21.75" hidden="false" customHeight="true" outlineLevel="0" collapsed="false">
      <c r="A39" s="13" t="s">
        <v>90</v>
      </c>
      <c r="B39" s="13" t="s">
        <v>91</v>
      </c>
      <c r="C39" s="14" t="s">
        <v>92</v>
      </c>
      <c r="D39" s="13" t="s">
        <v>24</v>
      </c>
      <c r="E39" s="15" t="n">
        <v>3017.28</v>
      </c>
      <c r="F39" s="17" t="s">
        <v>34</v>
      </c>
      <c r="G39" s="14" t="s">
        <v>93</v>
      </c>
      <c r="H39" s="13"/>
    </row>
    <row r="40" customFormat="false" ht="15" hidden="false" customHeight="true" outlineLevel="0" collapsed="false">
      <c r="A40" s="9" t="s">
        <v>94</v>
      </c>
      <c r="B40" s="9" t="s">
        <v>95</v>
      </c>
      <c r="C40" s="10" t="s">
        <v>96</v>
      </c>
      <c r="D40" s="9" t="s">
        <v>97</v>
      </c>
      <c r="E40" s="11" t="n">
        <v>1232</v>
      </c>
      <c r="F40" s="17" t="s">
        <v>34</v>
      </c>
      <c r="G40" s="10" t="s">
        <v>98</v>
      </c>
      <c r="H40" s="9"/>
    </row>
    <row r="41" customFormat="false" ht="21.75" hidden="false" customHeight="true" outlineLevel="0" collapsed="false">
      <c r="A41" s="13" t="s">
        <v>99</v>
      </c>
      <c r="B41" s="13" t="s">
        <v>100</v>
      </c>
      <c r="C41" s="14" t="s">
        <v>101</v>
      </c>
      <c r="D41" s="13" t="s">
        <v>102</v>
      </c>
      <c r="E41" s="19"/>
      <c r="F41" s="17" t="s">
        <v>34</v>
      </c>
      <c r="G41" s="14" t="s">
        <v>103</v>
      </c>
      <c r="H41" s="13"/>
    </row>
    <row r="42" customFormat="false" ht="21.75" hidden="false" customHeight="true" outlineLevel="0" collapsed="false">
      <c r="A42" s="9" t="s">
        <v>104</v>
      </c>
      <c r="B42" s="9" t="s">
        <v>105</v>
      </c>
      <c r="C42" s="10" t="s">
        <v>106</v>
      </c>
      <c r="D42" s="9" t="s">
        <v>64</v>
      </c>
      <c r="E42" s="11" t="n">
        <v>642.14</v>
      </c>
      <c r="F42" s="17" t="s">
        <v>34</v>
      </c>
      <c r="G42" s="10"/>
      <c r="H42" s="9"/>
    </row>
    <row r="43" customFormat="false" ht="15" hidden="false" customHeight="true" outlineLevel="0" collapsed="false">
      <c r="A43" s="13" t="s">
        <v>107</v>
      </c>
      <c r="B43" s="13" t="s">
        <v>108</v>
      </c>
      <c r="C43" s="14" t="s">
        <v>109</v>
      </c>
      <c r="D43" s="13" t="s">
        <v>24</v>
      </c>
      <c r="E43" s="15" t="n">
        <v>136.8</v>
      </c>
      <c r="F43" s="17" t="s">
        <v>34</v>
      </c>
      <c r="G43" s="14" t="s">
        <v>110</v>
      </c>
      <c r="H43" s="13"/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6"/>
  </cols>
  <sheetData>
    <row r="1" customFormat="false" ht="21.75" hidden="false" customHeight="true" outlineLevel="0" collapsed="false">
      <c r="A1" s="20" t="s">
        <v>111</v>
      </c>
      <c r="B1" s="20"/>
      <c r="C1" s="20"/>
    </row>
    <row r="3" customFormat="false" ht="15" hidden="false" customHeight="true" outlineLevel="0" collapsed="false">
      <c r="A3" s="21" t="s">
        <v>7</v>
      </c>
      <c r="B3" s="21" t="s">
        <v>3</v>
      </c>
      <c r="C3" s="21" t="s">
        <v>112</v>
      </c>
    </row>
    <row r="4" customFormat="false" ht="15" hidden="false" customHeight="true" outlineLevel="0" collapsed="false">
      <c r="A4" s="22" t="s">
        <v>15</v>
      </c>
      <c r="B4" s="22" t="n">
        <f aca="false">COUNTIF(AcctCol,"73123")</f>
        <v>1</v>
      </c>
      <c r="C4" s="23" t="n">
        <f aca="false">SUMIFS(Amount,AcctCol,"73123",StatusCol,"&lt;&gt;SIGHTED")</f>
        <v>50338.64</v>
      </c>
    </row>
    <row r="5" customFormat="false" ht="15" hidden="false" customHeight="true" outlineLevel="0" collapsed="false">
      <c r="A5" s="24" t="s">
        <v>21</v>
      </c>
      <c r="B5" s="24" t="n">
        <f aca="false">COUNTIF(AcctCol,"73211")</f>
        <v>14</v>
      </c>
      <c r="C5" s="25" t="n">
        <f aca="false">SUMIFS(Amount,AcctCol,"73211",StatusCol,"&lt;&gt;SIGHTED")</f>
        <v>21724.15</v>
      </c>
    </row>
    <row r="6" customFormat="false" ht="15" hidden="false" customHeight="true" outlineLevel="0" collapsed="false">
      <c r="A6" s="22" t="s">
        <v>45</v>
      </c>
      <c r="B6" s="22" t="n">
        <f aca="false">COUNTIF(AcctCol,"73212")</f>
        <v>2</v>
      </c>
      <c r="C6" s="23" t="n">
        <f aca="false">SUMIFS(Amount,AcctCol,"73212",StatusCol,"&lt;&gt;SIGHTED")</f>
        <v>50000</v>
      </c>
    </row>
    <row r="7" customFormat="false" ht="15" hidden="false" customHeight="true" outlineLevel="0" collapsed="false">
      <c r="A7" s="24" t="s">
        <v>52</v>
      </c>
      <c r="B7" s="24" t="n">
        <f aca="false">COUNTIF(AcctCol,"73601")</f>
        <v>1</v>
      </c>
      <c r="C7" s="25" t="n">
        <f aca="false">SUMIFS(Amount,AcctCol,"73601",StatusCol,"&lt;&gt;SIGHTED")</f>
        <v>43871.03</v>
      </c>
    </row>
    <row r="8" customFormat="false" ht="15" hidden="false" customHeight="true" outlineLevel="0" collapsed="false">
      <c r="A8" s="22" t="s">
        <v>56</v>
      </c>
      <c r="B8" s="22" t="n">
        <f aca="false">COUNTIF(AcctCol,"73512")</f>
        <v>4</v>
      </c>
      <c r="C8" s="23" t="n">
        <f aca="false">SUMIFS(Amount,AcctCol,"73512",StatusCol,"&lt;&gt;SIGHTED")</f>
        <v>1918.29</v>
      </c>
    </row>
    <row r="9" customFormat="false" ht="15" hidden="false" customHeight="true" outlineLevel="0" collapsed="false">
      <c r="A9" s="24" t="s">
        <v>67</v>
      </c>
      <c r="B9" s="24" t="n">
        <f aca="false">COUNTIF(AcctCol,"73544")</f>
        <v>2</v>
      </c>
      <c r="C9" s="25" t="n">
        <f aca="false">SUMIFS(Amount,AcctCol,"73544",StatusCol,"&lt;&gt;SIGHTED")</f>
        <v>10943.2</v>
      </c>
    </row>
    <row r="10" customFormat="false" ht="15" hidden="false" customHeight="true" outlineLevel="0" collapsed="false">
      <c r="A10" s="22" t="s">
        <v>73</v>
      </c>
      <c r="B10" s="22" t="n">
        <f aca="false">COUNTIF(AcctCol,"73564")</f>
        <v>2</v>
      </c>
      <c r="C10" s="23" t="n">
        <f aca="false">SUMIFS(Amount,AcctCol,"73564",StatusCol,"&lt;&gt;SIGHTED")</f>
        <v>0</v>
      </c>
    </row>
    <row r="11" customFormat="false" ht="15" hidden="false" customHeight="true" outlineLevel="0" collapsed="false">
      <c r="A11" s="24" t="s">
        <v>80</v>
      </c>
      <c r="B11" s="24" t="n">
        <f aca="false">COUNTIF(AcctCol,"7B214")</f>
        <v>2</v>
      </c>
      <c r="C11" s="25" t="n">
        <f aca="false">SUMIFS(Amount,AcctCol,"7B214",StatusCol,"&lt;&gt;SIGHTED")</f>
        <v>7488</v>
      </c>
    </row>
    <row r="12" customFormat="false" ht="15" hidden="false" customHeight="true" outlineLevel="0" collapsed="false">
      <c r="A12" s="22" t="s">
        <v>84</v>
      </c>
      <c r="B12" s="22" t="n">
        <f aca="false">COUNTIF(AcctCol,"73511")</f>
        <v>3</v>
      </c>
      <c r="C12" s="23" t="n">
        <f aca="false">SUMIFS(Amount,AcctCol,"73511",StatusCol,"&lt;&gt;SIGHTED")</f>
        <v>1644.3</v>
      </c>
    </row>
    <row r="13" customFormat="false" ht="15" hidden="false" customHeight="true" outlineLevel="0" collapsed="false">
      <c r="A13" s="24" t="s">
        <v>90</v>
      </c>
      <c r="B13" s="24" t="n">
        <f aca="false">COUNTIF(AcctCol,"62121/62125")</f>
        <v>1</v>
      </c>
      <c r="C13" s="25" t="n">
        <f aca="false">SUMIFS(Amount,AcctCol,"62121/62125",StatusCol,"&lt;&gt;SIGHTED")</f>
        <v>3017.28</v>
      </c>
    </row>
    <row r="14" customFormat="false" ht="15" hidden="false" customHeight="true" outlineLevel="0" collapsed="false">
      <c r="A14" s="22" t="s">
        <v>94</v>
      </c>
      <c r="B14" s="22" t="n">
        <f aca="false">COUNTIF(AcctCol,"7B532")</f>
        <v>1</v>
      </c>
      <c r="C14" s="23" t="n">
        <f aca="false">SUMIFS(Amount,AcctCol,"7B532",StatusCol,"&lt;&gt;SIGHTED")</f>
        <v>1232</v>
      </c>
    </row>
    <row r="15" customFormat="false" ht="15" hidden="false" customHeight="true" outlineLevel="0" collapsed="false">
      <c r="A15" s="24" t="s">
        <v>99</v>
      </c>
      <c r="B15" s="24" t="n">
        <f aca="false">COUNTIF(AcctCol,"73140")</f>
        <v>1</v>
      </c>
      <c r="C15" s="25" t="n">
        <f aca="false">SUMIFS(Amount,AcctCol,"73140",StatusCol,"&lt;&gt;SIGHTED")</f>
        <v>0</v>
      </c>
    </row>
    <row r="16" customFormat="false" ht="15" hidden="false" customHeight="true" outlineLevel="0" collapsed="false">
      <c r="A16" s="22" t="s">
        <v>104</v>
      </c>
      <c r="B16" s="22" t="n">
        <f aca="false">COUNTIF(AcctCol,"73541")</f>
        <v>1</v>
      </c>
      <c r="C16" s="23" t="n">
        <f aca="false">SUMIFS(Amount,AcctCol,"73541",StatusCol,"&lt;&gt;SIGHTED")</f>
        <v>642.14</v>
      </c>
    </row>
    <row r="17" customFormat="false" ht="15" hidden="false" customHeight="true" outlineLevel="0" collapsed="false">
      <c r="A17" s="24" t="s">
        <v>107</v>
      </c>
      <c r="B17" s="24" t="n">
        <f aca="false">COUNTIF(AcctCol,"73563")</f>
        <v>1</v>
      </c>
      <c r="C17" s="25" t="n">
        <f aca="false">SUMIFS(Amount,AcctCol,"73563",StatusCol,"&lt;&gt;SIGHTED")</f>
        <v>136.8</v>
      </c>
    </row>
    <row r="18" customFormat="false" ht="15" hidden="false" customHeight="true" outlineLevel="0" collapsed="false">
      <c r="A18" s="26" t="s">
        <v>113</v>
      </c>
      <c r="C18" s="27" t="n">
        <f aca="false">SUM(Amount)-SUMIF(StatusCol,"SIGHTED",Amount)</f>
        <v>192955.83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2"/>
  </cols>
  <sheetData>
    <row r="1" customFormat="false" ht="21.75" hidden="false" customHeight="true" outlineLevel="0" collapsed="false">
      <c r="A1" s="20" t="s">
        <v>114</v>
      </c>
      <c r="B1" s="20"/>
      <c r="C1" s="20"/>
      <c r="D1" s="20"/>
    </row>
    <row r="3" customFormat="false" ht="15" hidden="false" customHeight="true" outlineLevel="0" collapsed="false">
      <c r="A3" s="21" t="s">
        <v>115</v>
      </c>
      <c r="B3" s="21" t="s">
        <v>116</v>
      </c>
      <c r="C3" s="21" t="s">
        <v>117</v>
      </c>
      <c r="D3" s="21" t="s">
        <v>14</v>
      </c>
    </row>
    <row r="4" customFormat="false" ht="15" hidden="false" customHeight="true" outlineLevel="0" collapsed="false">
      <c r="A4" s="22" t="s">
        <v>118</v>
      </c>
      <c r="B4" s="22" t="s">
        <v>119</v>
      </c>
      <c r="C4" s="28" t="s">
        <v>120</v>
      </c>
      <c r="D4" s="29"/>
    </row>
    <row r="5" customFormat="false" ht="15" hidden="false" customHeight="true" outlineLevel="0" collapsed="false">
      <c r="A5" s="24" t="s">
        <v>121</v>
      </c>
      <c r="B5" s="24" t="s">
        <v>119</v>
      </c>
      <c r="C5" s="28" t="s">
        <v>120</v>
      </c>
      <c r="D5" s="30"/>
    </row>
    <row r="6" customFormat="false" ht="15" hidden="false" customHeight="true" outlineLevel="0" collapsed="false">
      <c r="A6" s="22" t="s">
        <v>122</v>
      </c>
      <c r="B6" s="22" t="s">
        <v>119</v>
      </c>
      <c r="C6" s="28" t="s">
        <v>120</v>
      </c>
      <c r="D6" s="29"/>
    </row>
    <row r="7" customFormat="false" ht="15" hidden="false" customHeight="true" outlineLevel="0" collapsed="false">
      <c r="A7" s="24" t="s">
        <v>123</v>
      </c>
      <c r="B7" s="24" t="s">
        <v>119</v>
      </c>
      <c r="C7" s="28" t="s">
        <v>120</v>
      </c>
      <c r="D7" s="30"/>
    </row>
    <row r="8" customFormat="false" ht="15" hidden="false" customHeight="true" outlineLevel="0" collapsed="false">
      <c r="A8" s="22" t="s">
        <v>124</v>
      </c>
      <c r="B8" s="22" t="s">
        <v>119</v>
      </c>
      <c r="C8" s="28" t="s">
        <v>120</v>
      </c>
      <c r="D8" s="29"/>
    </row>
    <row r="9" customFormat="false" ht="15" hidden="false" customHeight="true" outlineLevel="0" collapsed="false">
      <c r="A9" s="24" t="s">
        <v>125</v>
      </c>
      <c r="B9" s="24" t="s">
        <v>119</v>
      </c>
      <c r="C9" s="28" t="s">
        <v>120</v>
      </c>
      <c r="D9" s="30"/>
    </row>
    <row r="10" customFormat="false" ht="15" hidden="false" customHeight="true" outlineLevel="0" collapsed="false">
      <c r="A10" s="22" t="s">
        <v>126</v>
      </c>
      <c r="B10" s="22" t="s">
        <v>119</v>
      </c>
      <c r="C10" s="28" t="s">
        <v>120</v>
      </c>
      <c r="D10" s="29"/>
    </row>
    <row r="11" customFormat="false" ht="15" hidden="false" customHeight="true" outlineLevel="0" collapsed="false">
      <c r="A11" s="24" t="s">
        <v>127</v>
      </c>
      <c r="B11" s="24" t="s">
        <v>119</v>
      </c>
      <c r="C11" s="28" t="s">
        <v>120</v>
      </c>
      <c r="D11" s="30"/>
    </row>
    <row r="12" customFormat="false" ht="15" hidden="false" customHeight="true" outlineLevel="0" collapsed="false">
      <c r="A12" s="22" t="s">
        <v>128</v>
      </c>
      <c r="B12" s="22" t="s">
        <v>119</v>
      </c>
      <c r="C12" s="28" t="s">
        <v>120</v>
      </c>
      <c r="D12" s="29"/>
    </row>
    <row r="13" customFormat="false" ht="15" hidden="false" customHeight="true" outlineLevel="0" collapsed="false">
      <c r="A13" s="24" t="s">
        <v>129</v>
      </c>
      <c r="B13" s="24" t="s">
        <v>119</v>
      </c>
      <c r="C13" s="28" t="s">
        <v>120</v>
      </c>
      <c r="D13" s="30"/>
    </row>
    <row r="14" customFormat="false" ht="15" hidden="false" customHeight="true" outlineLevel="0" collapsed="false">
      <c r="A14" s="22" t="s">
        <v>130</v>
      </c>
      <c r="B14" s="22" t="s">
        <v>119</v>
      </c>
      <c r="C14" s="28" t="s">
        <v>120</v>
      </c>
      <c r="D14" s="29"/>
    </row>
    <row r="15" customFormat="false" ht="15" hidden="false" customHeight="true" outlineLevel="0" collapsed="false">
      <c r="A15" s="24" t="s">
        <v>131</v>
      </c>
      <c r="B15" s="24" t="s">
        <v>119</v>
      </c>
      <c r="C15" s="28" t="s">
        <v>120</v>
      </c>
      <c r="D15" s="30"/>
    </row>
    <row r="16" customFormat="false" ht="15" hidden="false" customHeight="true" outlineLevel="0" collapsed="false">
      <c r="A16" s="22" t="s">
        <v>132</v>
      </c>
      <c r="B16" s="22" t="s">
        <v>119</v>
      </c>
      <c r="C16" s="28" t="s">
        <v>120</v>
      </c>
      <c r="D16" s="29"/>
    </row>
    <row r="17" customFormat="false" ht="15" hidden="false" customHeight="true" outlineLevel="0" collapsed="false">
      <c r="A17" s="24" t="s">
        <v>133</v>
      </c>
      <c r="B17" s="24" t="s">
        <v>119</v>
      </c>
      <c r="C17" s="28" t="s">
        <v>120</v>
      </c>
      <c r="D17" s="30"/>
    </row>
    <row r="18" customFormat="false" ht="15" hidden="false" customHeight="true" outlineLevel="0" collapsed="false">
      <c r="A18" s="22" t="s">
        <v>134</v>
      </c>
      <c r="B18" s="22" t="s">
        <v>119</v>
      </c>
      <c r="C18" s="28" t="s">
        <v>120</v>
      </c>
      <c r="D18" s="29"/>
    </row>
    <row r="19" customFormat="false" ht="15" hidden="false" customHeight="true" outlineLevel="0" collapsed="false">
      <c r="A19" s="24" t="s">
        <v>135</v>
      </c>
      <c r="B19" s="24" t="s">
        <v>119</v>
      </c>
      <c r="C19" s="28" t="s">
        <v>120</v>
      </c>
      <c r="D19" s="30"/>
    </row>
    <row r="20" customFormat="false" ht="15" hidden="false" customHeight="true" outlineLevel="0" collapsed="false">
      <c r="A20" s="22" t="s">
        <v>136</v>
      </c>
      <c r="B20" s="22" t="s">
        <v>119</v>
      </c>
      <c r="C20" s="28" t="s">
        <v>120</v>
      </c>
      <c r="D20" s="29"/>
    </row>
    <row r="21" customFormat="false" ht="15" hidden="false" customHeight="true" outlineLevel="0" collapsed="false">
      <c r="A21" s="24" t="s">
        <v>137</v>
      </c>
      <c r="B21" s="24" t="s">
        <v>119</v>
      </c>
      <c r="C21" s="28" t="s">
        <v>120</v>
      </c>
      <c r="D21" s="3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2026-06-16T23:25:00Z</dcterms:created>
  <dc:creator>openpyxl</dc:creator>
  <dc:description/>
  <dc:language>en-US</dc:language>
  <cp:lastModifiedBy/>
  <dcterms:modified xsi:type="dcterms:W3CDTF">2026-06-16T23:44:06Z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