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logancity-my.sharepoint.com/personal/tanyaswan_logan_qld_gov_au/Documents/Downloads/"/>
    </mc:Choice>
  </mc:AlternateContent>
  <xr:revisionPtr revIDLastSave="23" documentId="11_19C9EBD46269BE0828197C871DB7B1C93F525868" xr6:coauthVersionLast="47" xr6:coauthVersionMax="47" xr10:uidLastSave="{50DE2BCA-1DAC-40F1-A105-63A56475512D}"/>
  <bookViews>
    <workbookView xWindow="-57720" yWindow="-120" windowWidth="29040" windowHeight="15720" xr2:uid="{00000000-000D-0000-FFFF-FFFF00000000}"/>
  </bookViews>
  <sheets>
    <sheet name="Adhoc Transactions 25-26" sheetId="3" r:id="rId1"/>
  </sheets>
  <externalReferences>
    <externalReference r:id="rId2"/>
  </externalReferences>
  <definedNames>
    <definedName name="_xlnm._FilterDatabase" localSheetId="0" hidden="1">'Adhoc Transactions 25-26'!$A$2:$L$332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2" i="3" l="1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G1" i="3"/>
</calcChain>
</file>

<file path=xl/sharedStrings.xml><?xml version="1.0" encoding="utf-8"?>
<sst xmlns="http://schemas.openxmlformats.org/spreadsheetml/2006/main" count="2008" uniqueCount="626">
  <si>
    <t>Amount</t>
  </si>
  <si>
    <t>SL</t>
  </si>
  <si>
    <t>Precision 7680</t>
  </si>
  <si>
    <t>1-14084-73564</t>
  </si>
  <si>
    <t>27" Monitor</t>
  </si>
  <si>
    <t>1-14081-73564</t>
  </si>
  <si>
    <t>24" Monitor</t>
  </si>
  <si>
    <t>24" Monitor with inbuilt dock</t>
  </si>
  <si>
    <t>1-14085-73564</t>
  </si>
  <si>
    <t>Poly Voyager 4320 - USB-C</t>
  </si>
  <si>
    <t>1-14081-7B411</t>
  </si>
  <si>
    <t>Microsoft Project Plan 3</t>
  </si>
  <si>
    <t>1-11111-7B411</t>
  </si>
  <si>
    <t>Adobe Acrobat DC</t>
  </si>
  <si>
    <t>1-11551-73564</t>
  </si>
  <si>
    <t>Wired Mouse USB-A</t>
  </si>
  <si>
    <t>1-11681-73564</t>
  </si>
  <si>
    <t>27" Monitor with inbuilt dock</t>
  </si>
  <si>
    <t>Standard Wireless Keyboard and Mouse</t>
  </si>
  <si>
    <t>Poly Voyager 4320 - USB-A</t>
  </si>
  <si>
    <t>1-11511-73564</t>
  </si>
  <si>
    <t>1-10291-73564</t>
  </si>
  <si>
    <t>1-10241-73564</t>
  </si>
  <si>
    <t>Poly Blackwire 8225 - USB-A/C</t>
  </si>
  <si>
    <t>2-F0047-73564</t>
  </si>
  <si>
    <t>1-31091-7B411</t>
  </si>
  <si>
    <t>Latitude 5450 laptop</t>
  </si>
  <si>
    <t>Latitude 5450</t>
  </si>
  <si>
    <t>1-11531-73564</t>
  </si>
  <si>
    <t>Blackwire 8225 - USB-A/C</t>
  </si>
  <si>
    <t>1-31091-73564</t>
  </si>
  <si>
    <t>Shared Mailbox</t>
  </si>
  <si>
    <t>Microsoft Visio</t>
  </si>
  <si>
    <t>Azure DevOps Basic + Test</t>
  </si>
  <si>
    <t>1-F0259-7B411</t>
  </si>
  <si>
    <t xml:space="preserve">Microsoft Teams Rooms Pro </t>
  </si>
  <si>
    <t>1-F0241-7B411</t>
  </si>
  <si>
    <t>1-12021-7B411</t>
  </si>
  <si>
    <t>SOCAlerts - Shared Mailbox</t>
  </si>
  <si>
    <t>1-31051-7B411</t>
  </si>
  <si>
    <t>MS Project Plan 1</t>
  </si>
  <si>
    <t>1-14201-73564</t>
  </si>
  <si>
    <t>Voyager 4310 Wireless Headset</t>
  </si>
  <si>
    <t>WD19TB4 Docking Station.</t>
  </si>
  <si>
    <t>1-14851-73564</t>
  </si>
  <si>
    <t>1-14501-73564</t>
  </si>
  <si>
    <t>1-14591-73564</t>
  </si>
  <si>
    <t>1-14561-73564</t>
  </si>
  <si>
    <t>1-17261-73564</t>
  </si>
  <si>
    <t>iPhone 16 Pro - Case Protector</t>
  </si>
  <si>
    <t>iPhone 16 Pro - Glass Front Cover</t>
  </si>
  <si>
    <t>1-14851-7B411</t>
  </si>
  <si>
    <t>1-17281-7B411</t>
  </si>
  <si>
    <t>1-14561-7B411</t>
  </si>
  <si>
    <t>Bluebeam Core</t>
  </si>
  <si>
    <t>1-17091-73564</t>
  </si>
  <si>
    <t>1-50002-73564</t>
  </si>
  <si>
    <t>USB-A to Lightning Charge Cable</t>
  </si>
  <si>
    <t>1-17011-73564</t>
  </si>
  <si>
    <t>1-17101-73564</t>
  </si>
  <si>
    <t>USB-C to USB-C 2m Monitor Cable</t>
  </si>
  <si>
    <t>Laptop Charger - Car - USB-C</t>
  </si>
  <si>
    <t>1-E0139-7B411</t>
  </si>
  <si>
    <t>Latitude 5450 Laptop</t>
  </si>
  <si>
    <t>1-E0033-73564</t>
  </si>
  <si>
    <t>1-E0139-73564</t>
  </si>
  <si>
    <t>Laptop Charger - 90W - USB-C</t>
  </si>
  <si>
    <t>1-E0035-73564</t>
  </si>
  <si>
    <t>1-E0033-7B411</t>
  </si>
  <si>
    <t>1-E0035-7B411</t>
  </si>
  <si>
    <t>1-E0027-7B411</t>
  </si>
  <si>
    <t>1-30512-73564</t>
  </si>
  <si>
    <t>Premier Wireless Keyboard and Mouse</t>
  </si>
  <si>
    <t>1-30512-7B411</t>
  </si>
  <si>
    <t>Microsoft CoPilot</t>
  </si>
  <si>
    <t>1-16501-7B411</t>
  </si>
  <si>
    <t>1-S0087-7B411</t>
  </si>
  <si>
    <t>Precision 3680</t>
  </si>
  <si>
    <t>Dell Pro Max Tower T2 FCT2250</t>
  </si>
  <si>
    <t>1-17001-73564</t>
  </si>
  <si>
    <t>1-17901-73564</t>
  </si>
  <si>
    <t xml:space="preserve">1-S0815-73564 </t>
  </si>
  <si>
    <t>1-17971-73564</t>
  </si>
  <si>
    <t>1-19991-7B411</t>
  </si>
  <si>
    <t xml:space="preserve">Upgrade to F5 Security &amp; Compliance Add-On </t>
  </si>
  <si>
    <t>1-S0815-7B411</t>
  </si>
  <si>
    <t xml:space="preserve">Upgrade to E5 license </t>
  </si>
  <si>
    <t>1-17711-73564</t>
  </si>
  <si>
    <t>1-S0001-73564</t>
  </si>
  <si>
    <t>Laptop Backpack</t>
  </si>
  <si>
    <t>1-S0100-73564</t>
  </si>
  <si>
    <t>1-S0500-73564</t>
  </si>
  <si>
    <t>iPhone 14 Pro - Glass Front Cover</t>
  </si>
  <si>
    <t>Standard Wireless Keyboard &amp; Mouse</t>
  </si>
  <si>
    <t>1-S0018-73564</t>
  </si>
  <si>
    <t>iPhone 15 Pro - Glass Front Cover</t>
  </si>
  <si>
    <t>iPhone 15 Pro - Case Protector</t>
  </si>
  <si>
    <t>Poly Sync 20+ Conference Speaker</t>
  </si>
  <si>
    <t>1-18501-73564</t>
  </si>
  <si>
    <t>PK</t>
  </si>
  <si>
    <t>Poly Focus 2 - USB-C</t>
  </si>
  <si>
    <t xml:space="preserve">24" Monitor </t>
  </si>
  <si>
    <t>Parks Planning - Shared Mailbox</t>
  </si>
  <si>
    <t>Telstra New Number</t>
  </si>
  <si>
    <t>Apple iPhone SE, Case &amp; Screen Protector</t>
  </si>
  <si>
    <t>1-19301-73564</t>
  </si>
  <si>
    <t xml:space="preserve">1-30241-73564 </t>
  </si>
  <si>
    <t>1-30241-73564</t>
  </si>
  <si>
    <t>1-30161-7B411</t>
  </si>
  <si>
    <t>Pro Plus 14 PB14250 Laptop</t>
  </si>
  <si>
    <t>1-30161-73564</t>
  </si>
  <si>
    <t>1-19551-73564</t>
  </si>
  <si>
    <t>1-19511-7B411</t>
  </si>
  <si>
    <t xml:space="preserve">Bluebeam Core </t>
  </si>
  <si>
    <t>R</t>
  </si>
  <si>
    <t>D00-30-000-73564</t>
  </si>
  <si>
    <t>Samsung Galaxy A34 Case Protector</t>
  </si>
  <si>
    <t>D00-32-000-73564</t>
  </si>
  <si>
    <t>D00-30-000-7B411</t>
  </si>
  <si>
    <t>topsplanning@logan.qld.gov.au</t>
  </si>
  <si>
    <t>D00-30-000-73313</t>
  </si>
  <si>
    <t>Telstra New Connection</t>
  </si>
  <si>
    <t>1-30001-7B411</t>
  </si>
  <si>
    <t>Dell Pro Plus 14 2 in 1 PB14250 Laptop</t>
  </si>
  <si>
    <t>Dell Pro Max 16 Laptop</t>
  </si>
  <si>
    <t>Bluebeam Complete</t>
  </si>
  <si>
    <t>1-13051-7B411</t>
  </si>
  <si>
    <t>Latitude 7350</t>
  </si>
  <si>
    <t>1-13051-73564</t>
  </si>
  <si>
    <t>Commercial Grade Case for Latitude 7350</t>
  </si>
  <si>
    <t>1-13001-73564</t>
  </si>
  <si>
    <t>1-13001-7B411</t>
  </si>
  <si>
    <t>1-10141-73564</t>
  </si>
  <si>
    <t>1-12541-7B411</t>
  </si>
  <si>
    <t>Microsoft Project Plan 1</t>
  </si>
  <si>
    <t>1-17501-73564</t>
  </si>
  <si>
    <t>1-17501-7B411</t>
  </si>
  <si>
    <t>Adobe Creative Cloud</t>
  </si>
  <si>
    <t>1-17511-73313</t>
  </si>
  <si>
    <t>1-18201-7B411</t>
  </si>
  <si>
    <t>Dell Pro Max 18 Plus (MB18250)</t>
  </si>
  <si>
    <t>1-18211-7B411</t>
  </si>
  <si>
    <t>Dell Pro Plus 14 PB14250 Laptop</t>
  </si>
  <si>
    <t>1-18211-73564</t>
  </si>
  <si>
    <t>1-11141-73564</t>
  </si>
  <si>
    <t>1-18201-73564</t>
  </si>
  <si>
    <t xml:space="preserve">27" Standard Monitor </t>
  </si>
  <si>
    <t>PS</t>
  </si>
  <si>
    <t>100209-200-7B411</t>
  </si>
  <si>
    <t xml:space="preserve">Latitude 5350 Laptop </t>
  </si>
  <si>
    <t xml:space="preserve">Latitude 5450 </t>
  </si>
  <si>
    <t>100209-200-73564</t>
  </si>
  <si>
    <t>Premiere Wireless Keyboard &amp; Mouse</t>
  </si>
  <si>
    <t>Premiere Stylus Pen</t>
  </si>
  <si>
    <t>Samsung Galaxy A35, case and screen protector</t>
  </si>
  <si>
    <t>Poly Focus 2 - USB-A</t>
  </si>
  <si>
    <t>Samsung Galaxy A35 - Glass Front Cover</t>
  </si>
  <si>
    <t>WS</t>
  </si>
  <si>
    <t xml:space="preserve">Wired Keyboard </t>
  </si>
  <si>
    <t>Apple iPhone SE, case &amp; Screen Protector</t>
  </si>
  <si>
    <t>USB-C to USB-C Charge Cable</t>
  </si>
  <si>
    <t>Galaxy A34 - Glass Front Cover</t>
  </si>
  <si>
    <t>Apple Iphone 16 Pro, Case &amp; screen protector</t>
  </si>
  <si>
    <t>AutoCAD</t>
  </si>
  <si>
    <t>Crystal Report 2020</t>
  </si>
  <si>
    <t>AGOL</t>
  </si>
  <si>
    <t>100209-200-73313</t>
  </si>
  <si>
    <t>100003-200-7B411</t>
  </si>
  <si>
    <t>WaterInternalComms</t>
  </si>
  <si>
    <t>Upgrade to Voice Service</t>
  </si>
  <si>
    <t>Month</t>
  </si>
  <si>
    <t>Ledger Code</t>
  </si>
  <si>
    <t>Account number</t>
  </si>
  <si>
    <t>Quantity</t>
  </si>
  <si>
    <t>Narration 1 
(max 40 characters)</t>
  </si>
  <si>
    <t>Narration 2 
(max 40 characters)</t>
  </si>
  <si>
    <t>Narration 3 
(max 40 characters)</t>
  </si>
  <si>
    <t>IT Comments</t>
  </si>
  <si>
    <t>Processing Period</t>
  </si>
  <si>
    <t>SR# 229012</t>
  </si>
  <si>
    <t>Cherie Pugh (EPMO)</t>
  </si>
  <si>
    <t>SR# 229773</t>
  </si>
  <si>
    <t>Jaid Matfin (EPMO)</t>
  </si>
  <si>
    <t>SR# 235088</t>
  </si>
  <si>
    <t>Emma Willmann (EPMO)</t>
  </si>
  <si>
    <t>SR# 234085</t>
  </si>
  <si>
    <t>LCC: 0301210</t>
  </si>
  <si>
    <t>Michael Cars (CP)</t>
  </si>
  <si>
    <t>SR: 0301778</t>
  </si>
  <si>
    <t>Naomi Blair (CP)</t>
  </si>
  <si>
    <t>SR# 232581</t>
  </si>
  <si>
    <t>Karen Kirwan (FI)</t>
  </si>
  <si>
    <t>SR# 236640</t>
  </si>
  <si>
    <t>Sharon Clarke (FI)</t>
  </si>
  <si>
    <t>SR# 236643</t>
  </si>
  <si>
    <t>SR# 236644</t>
  </si>
  <si>
    <t>SR# 236831</t>
  </si>
  <si>
    <t>Theresa Tong (FI)</t>
  </si>
  <si>
    <t>SR# 231277</t>
  </si>
  <si>
    <t>Andrew Read (CG)</t>
  </si>
  <si>
    <t>SR# 234338</t>
  </si>
  <si>
    <t>Brodie Cooper (CG)</t>
  </si>
  <si>
    <t>SR# 236541</t>
  </si>
  <si>
    <t>Bianca Smith (CG)</t>
  </si>
  <si>
    <t>SR# 225101</t>
  </si>
  <si>
    <t>Kerrie Stevenson (LW OGM)</t>
  </si>
  <si>
    <t>PC replacement - IT Services</t>
  </si>
  <si>
    <t>SR# 230111</t>
  </si>
  <si>
    <t>Timothy Burns (DTP)</t>
  </si>
  <si>
    <t>SR# 233469</t>
  </si>
  <si>
    <t>Timothy Burns (IT)</t>
  </si>
  <si>
    <t>SR# 228969</t>
  </si>
  <si>
    <t>Robyn-Paul Hamilton (IT)</t>
  </si>
  <si>
    <t>SR# 230420</t>
  </si>
  <si>
    <t>SR# 233543</t>
  </si>
  <si>
    <t>SR# 225007</t>
  </si>
  <si>
    <t>Vanessa Grocott (DTP)</t>
  </si>
  <si>
    <t>ERP Operations</t>
  </si>
  <si>
    <t>SR# 227546</t>
  </si>
  <si>
    <t>Divita Devi (DTP)</t>
  </si>
  <si>
    <t>SR# 230128</t>
  </si>
  <si>
    <t>Ben Fleming (DTP)</t>
  </si>
  <si>
    <t>SR# 230712</t>
  </si>
  <si>
    <t>Nancy Evans (IT)</t>
  </si>
  <si>
    <t>SR# 231782</t>
  </si>
  <si>
    <t>Martin Rady (IT)</t>
  </si>
  <si>
    <t>SR# 232055</t>
  </si>
  <si>
    <t>SR# 232645</t>
  </si>
  <si>
    <t>Adam Hijazi (DTP)</t>
  </si>
  <si>
    <t>SR# 232951</t>
  </si>
  <si>
    <t>Joe Dunlea (IT)</t>
  </si>
  <si>
    <t>SR# 234504</t>
  </si>
  <si>
    <t>Tim Caruana (IT)</t>
  </si>
  <si>
    <t>SR# 234511</t>
  </si>
  <si>
    <t>Bart Kowalski (IT)</t>
  </si>
  <si>
    <t>SR# 237051</t>
  </si>
  <si>
    <t>Duncan Clarke (IT)</t>
  </si>
  <si>
    <t>SR# 230268</t>
  </si>
  <si>
    <t>Cara Saverin (PE)</t>
  </si>
  <si>
    <t xml:space="preserve">On behalf of Directors </t>
  </si>
  <si>
    <t>SR# 233816</t>
  </si>
  <si>
    <t>David Hansen (GES)</t>
  </si>
  <si>
    <t>SR# 229618</t>
  </si>
  <si>
    <t>Sophea Madison (DA)</t>
  </si>
  <si>
    <t>SR# 229682</t>
  </si>
  <si>
    <t>SR# 230383</t>
  </si>
  <si>
    <t>Lily Hollonds (DA)</t>
  </si>
  <si>
    <t>SR# 231274</t>
  </si>
  <si>
    <t>SR# 231997</t>
  </si>
  <si>
    <t>SR# 232507</t>
  </si>
  <si>
    <t>SR# 232709</t>
  </si>
  <si>
    <t>SR# 235422</t>
  </si>
  <si>
    <t>SR# 235922</t>
  </si>
  <si>
    <t>SR# 228392</t>
  </si>
  <si>
    <t>SR# 231161</t>
  </si>
  <si>
    <t>Nik Brammall (DA)</t>
  </si>
  <si>
    <t>SR# 231634</t>
  </si>
  <si>
    <t>Anton  Immaraj (DA)</t>
  </si>
  <si>
    <t>SR# 232092</t>
  </si>
  <si>
    <t>SR# 232675</t>
  </si>
  <si>
    <t>SR# 235809</t>
  </si>
  <si>
    <t>Abaseen Kakar (DA)</t>
  </si>
  <si>
    <t>SR# 236687</t>
  </si>
  <si>
    <t>Sherry Zadeh (DA)</t>
  </si>
  <si>
    <t>LCC:0300317</t>
  </si>
  <si>
    <t>Sam Mason (HES)</t>
  </si>
  <si>
    <t>SR# 230459</t>
  </si>
  <si>
    <t>Brad Jeffers (HES)</t>
  </si>
  <si>
    <t>SR# 230823</t>
  </si>
  <si>
    <t>Lacey Tina (HES)</t>
  </si>
  <si>
    <t>Updated from 14851 to 170011 as at 03/02/2026</t>
  </si>
  <si>
    <t>SR# 234699</t>
  </si>
  <si>
    <t>Thomas Hancock (HES)</t>
  </si>
  <si>
    <t>SR# 234981</t>
  </si>
  <si>
    <t>Sophea Madison (HES)</t>
  </si>
  <si>
    <t>SR# 235093</t>
  </si>
  <si>
    <t>Carla Ogle (HES)</t>
  </si>
  <si>
    <t>SR# 236234</t>
  </si>
  <si>
    <t>Dianne Gowlett (HES)</t>
  </si>
  <si>
    <t>SR# 226244</t>
  </si>
  <si>
    <t>Ella Du Plessis (CPECD)</t>
  </si>
  <si>
    <t>SR# 228966</t>
  </si>
  <si>
    <t>Cavendish Maia (CPECD)</t>
  </si>
  <si>
    <t>SR# 228983</t>
  </si>
  <si>
    <t>Sridevi Abhilash (CPECD)</t>
  </si>
  <si>
    <t>SR# 233646</t>
  </si>
  <si>
    <t>Kaylee Booth (CPECD)</t>
  </si>
  <si>
    <t>SR# 233518</t>
  </si>
  <si>
    <t>Melissa Cooke (CPECD)</t>
  </si>
  <si>
    <t>SR# 233751</t>
  </si>
  <si>
    <t>David Radich (CPECD)</t>
  </si>
  <si>
    <t xml:space="preserve">SR# 236942 </t>
  </si>
  <si>
    <t>Wai Hoi (CPECD)</t>
  </si>
  <si>
    <t>SR# 236948</t>
  </si>
  <si>
    <t>Keneil  Rajeev Shah (CPECD)</t>
  </si>
  <si>
    <t>SR# 230880</t>
  </si>
  <si>
    <t>Filiaci Tom (WRR)</t>
  </si>
  <si>
    <t>SR# 230881</t>
  </si>
  <si>
    <t>Damien Guard (WRR)</t>
  </si>
  <si>
    <t>SR# 232103</t>
  </si>
  <si>
    <t>$ 523 To be processed Feb 2026</t>
  </si>
  <si>
    <t>SR# 229610</t>
  </si>
  <si>
    <t>Bradley White (CL)</t>
  </si>
  <si>
    <t>SR# 220667</t>
  </si>
  <si>
    <t>Jacqueline Batchelor (CSL)</t>
  </si>
  <si>
    <t>Evaluation unit replacing Precision 3680</t>
  </si>
  <si>
    <t>SR# 236509</t>
  </si>
  <si>
    <t>Zoe Lovell (CSL)</t>
  </si>
  <si>
    <t>SR# 228247</t>
  </si>
  <si>
    <t>Brianna Vanbreemen (VE)</t>
  </si>
  <si>
    <t>SR# 232784</t>
  </si>
  <si>
    <t>SR# 233520</t>
  </si>
  <si>
    <t>SR# 228252</t>
  </si>
  <si>
    <t>Kim Jae (VE)</t>
  </si>
  <si>
    <t>SR# 230185</t>
  </si>
  <si>
    <t>Noah VanLeeuwen (VE)</t>
  </si>
  <si>
    <t>SR# 227639</t>
  </si>
  <si>
    <t>Gabriel Cigotti (SCI)</t>
  </si>
  <si>
    <t>SR# 231489</t>
  </si>
  <si>
    <t>Melissa Kaminski (SCI)</t>
  </si>
  <si>
    <t>SR# 232473</t>
  </si>
  <si>
    <t>Melissa Taege (SCI)</t>
  </si>
  <si>
    <t>SR# 232546</t>
  </si>
  <si>
    <t>SR# 232551</t>
  </si>
  <si>
    <t>SR# 232930</t>
  </si>
  <si>
    <t>Sharon Mills (SCI)</t>
  </si>
  <si>
    <t>SR# 233246</t>
  </si>
  <si>
    <t>SR# 234180</t>
  </si>
  <si>
    <t>Melissa Kaminski (CL)</t>
  </si>
  <si>
    <t>SR# 234210</t>
  </si>
  <si>
    <t>SR# 236417</t>
  </si>
  <si>
    <t>SR# 236517</t>
  </si>
  <si>
    <t>Isabella Mander (SCI)</t>
  </si>
  <si>
    <t>SR# 229920</t>
  </si>
  <si>
    <t>Kellie Ketter (LCI)</t>
  </si>
  <si>
    <t>PK000087-7B411</t>
  </si>
  <si>
    <t>SR# 223154</t>
  </si>
  <si>
    <t>Anne-Marie King (PA)</t>
  </si>
  <si>
    <t>PK000082-7B411</t>
  </si>
  <si>
    <t>SR# 225450</t>
  </si>
  <si>
    <t>PK00001-7B411</t>
  </si>
  <si>
    <t>SR# 226782</t>
  </si>
  <si>
    <t>Anita Moore (PA)</t>
  </si>
  <si>
    <t>PK000086-73564</t>
  </si>
  <si>
    <t>SR# 229152</t>
  </si>
  <si>
    <t>Duen Jaemjamrat (PA)</t>
  </si>
  <si>
    <t>PK000087-73564</t>
  </si>
  <si>
    <t>SR# 229160</t>
  </si>
  <si>
    <t>Efstathiadis Spero (PA)</t>
  </si>
  <si>
    <t>PK000001-73564</t>
  </si>
  <si>
    <t>SR# 229226</t>
  </si>
  <si>
    <t>Georgia Legg (PA)</t>
  </si>
  <si>
    <t>SR# 231148</t>
  </si>
  <si>
    <t>PK000082-73564</t>
  </si>
  <si>
    <t>SR# 235810</t>
  </si>
  <si>
    <t>Sara Dresman (PK)</t>
  </si>
  <si>
    <t>PK000086-7B411</t>
  </si>
  <si>
    <t>SR# 227213</t>
  </si>
  <si>
    <t>Provins Jill (PA)</t>
  </si>
  <si>
    <t>SR# 230560</t>
  </si>
  <si>
    <t>SR# 230690</t>
  </si>
  <si>
    <t>PK00082-7B411</t>
  </si>
  <si>
    <t>SR# 235008</t>
  </si>
  <si>
    <t>Susannah  Harvey Jamieson (PA)</t>
  </si>
  <si>
    <t>PK000001-73313</t>
  </si>
  <si>
    <t>SR# 229110</t>
  </si>
  <si>
    <t>Mathew Mibin (PA)</t>
  </si>
  <si>
    <t>SR# 235323</t>
  </si>
  <si>
    <t>Sherry Paterson (CEO)</t>
  </si>
  <si>
    <t>SR# 235331</t>
  </si>
  <si>
    <t>LCC:0300899</t>
  </si>
  <si>
    <t>Kylie Drapala (TPA)</t>
  </si>
  <si>
    <t>SR# 227797</t>
  </si>
  <si>
    <t>Shane Collier (TPA)</t>
  </si>
  <si>
    <t>SR# 230052</t>
  </si>
  <si>
    <t>Anoosha Yerramsetti (TPA)</t>
  </si>
  <si>
    <t>SR# 230438</t>
  </si>
  <si>
    <t>Sanjeeve Jayasuriya (TPA)</t>
  </si>
  <si>
    <t>SR# 236586</t>
  </si>
  <si>
    <t>SR# 231906</t>
  </si>
  <si>
    <t>Chris McCanna (TPA)</t>
  </si>
  <si>
    <t>SR# 227551</t>
  </si>
  <si>
    <t>Chris Huynh (TO)</t>
  </si>
  <si>
    <t>SR# 236766</t>
  </si>
  <si>
    <t>Sharon Filipo (TO)</t>
  </si>
  <si>
    <t>SR# 230929</t>
  </si>
  <si>
    <t>Anne-Lise Saluni (TO)</t>
  </si>
  <si>
    <t>SR# 233801</t>
  </si>
  <si>
    <t>Kumbhani Mitul (TO)</t>
  </si>
  <si>
    <t>SR# 234924</t>
  </si>
  <si>
    <t>Alexander Tam (TO)</t>
  </si>
  <si>
    <t>SR# 235743</t>
  </si>
  <si>
    <t>Raeina Manumua (TO)</t>
  </si>
  <si>
    <t>SR: 0301747</t>
  </si>
  <si>
    <t>Muhammad Khan (TO)</t>
  </si>
  <si>
    <t>SR# 224725</t>
  </si>
  <si>
    <t>SR# 224745</t>
  </si>
  <si>
    <t>Andy Huang (TO)</t>
  </si>
  <si>
    <t>SR# 219276</t>
  </si>
  <si>
    <t>Ursula Kemp (TD)</t>
  </si>
  <si>
    <t>LCC:0301420</t>
  </si>
  <si>
    <t>Suzanne Hambly (RID)</t>
  </si>
  <si>
    <t>SR# 227667</t>
  </si>
  <si>
    <t>Harvey Travis (TD)</t>
  </si>
  <si>
    <t>SR# 228026</t>
  </si>
  <si>
    <t>Kimberley Barnes (TD)</t>
  </si>
  <si>
    <t>SR# 228038</t>
  </si>
  <si>
    <t>Suzanne Hambly (TD)</t>
  </si>
  <si>
    <t>SR# 228661</t>
  </si>
  <si>
    <t>SR# 232596</t>
  </si>
  <si>
    <t>Kotapati Srikanth (TD)</t>
  </si>
  <si>
    <t>SR# 232684</t>
  </si>
  <si>
    <t>Sriya Fernando (TD)</t>
  </si>
  <si>
    <t>SR# 235372</t>
  </si>
  <si>
    <t>Parajuli Sanjay (TD)</t>
  </si>
  <si>
    <t>SR# 228848</t>
  </si>
  <si>
    <t>Richard Thompson (CF)</t>
  </si>
  <si>
    <t>SR# 233893</t>
  </si>
  <si>
    <t>Chris Blake (CF)</t>
  </si>
  <si>
    <t>SR# 233896</t>
  </si>
  <si>
    <t>SR# 233902</t>
  </si>
  <si>
    <t>SR# 230377</t>
  </si>
  <si>
    <t>Kayla Taberner (CF)</t>
  </si>
  <si>
    <t>SR# 233825</t>
  </si>
  <si>
    <t>Neho Stephanie (CF)</t>
  </si>
  <si>
    <t>SR# 226619</t>
  </si>
  <si>
    <t>Dodds Hunter (PC)</t>
  </si>
  <si>
    <t>Reversal</t>
  </si>
  <si>
    <t>SR# 230759</t>
  </si>
  <si>
    <t>Geoff Watson (PC)</t>
  </si>
  <si>
    <t>For Mailbox - learning@logan.qld.gov.au</t>
  </si>
  <si>
    <t>SR# 227780</t>
  </si>
  <si>
    <t>Emma Nikolic (CC)</t>
  </si>
  <si>
    <t>SR# 229383</t>
  </si>
  <si>
    <t>Fazeli Asal (CC)</t>
  </si>
  <si>
    <t>SR# 229387</t>
  </si>
  <si>
    <t>Katrina Hall (CC)</t>
  </si>
  <si>
    <t>SR# 231650</t>
  </si>
  <si>
    <t>Chloe Paterson (CC)</t>
  </si>
  <si>
    <t>SR# 234737</t>
  </si>
  <si>
    <t>Manning Christopher (CC)</t>
  </si>
  <si>
    <t>SR# 234738</t>
  </si>
  <si>
    <t>SR# 230706</t>
  </si>
  <si>
    <t>James West (CSI)</t>
  </si>
  <si>
    <t>Non- Standard Laptop approved by Cliff for New General Manager.</t>
  </si>
  <si>
    <t>SR# 233379</t>
  </si>
  <si>
    <t>Allison Fegan (CSI)</t>
  </si>
  <si>
    <t>SR# 233527</t>
  </si>
  <si>
    <t>SR# 228283</t>
  </si>
  <si>
    <t>SR# 229266</t>
  </si>
  <si>
    <t>Meryl Bourke (CSI)</t>
  </si>
  <si>
    <t>SR# 229415</t>
  </si>
  <si>
    <t>Serena Todd (CSI)</t>
  </si>
  <si>
    <t>SR# 229416</t>
  </si>
  <si>
    <t>SR# 230274</t>
  </si>
  <si>
    <t>SR# 235288</t>
  </si>
  <si>
    <t>Louisa Spraggon (CSI)</t>
  </si>
  <si>
    <t>SR# 235366</t>
  </si>
  <si>
    <t>SR# 235375</t>
  </si>
  <si>
    <t>SR# 235452</t>
  </si>
  <si>
    <t>Mary Tavita (CSI)</t>
  </si>
  <si>
    <t>LCC: 0300995</t>
  </si>
  <si>
    <t>William Cunnington (WIS)</t>
  </si>
  <si>
    <t>LCC: 0301070</t>
  </si>
  <si>
    <t>Tapara Reid-Hiakita (WIS)</t>
  </si>
  <si>
    <t>new Manager Water Quality Sustainability &amp; Environment (Water Service Performance branch)</t>
  </si>
  <si>
    <t>LCC: 0301129</t>
  </si>
  <si>
    <t>Jasmin Ollerenshaw (WSP)</t>
  </si>
  <si>
    <t>LCC:0301012</t>
  </si>
  <si>
    <t>Monique Arrabal (WSD)</t>
  </si>
  <si>
    <t>LCC:0301048</t>
  </si>
  <si>
    <t>Gefion Jepsen (WIS)</t>
  </si>
  <si>
    <t>SR# 224482</t>
  </si>
  <si>
    <t>Paul Russo (WIS)</t>
  </si>
  <si>
    <t>SR# 225247</t>
  </si>
  <si>
    <t>SR# 226374</t>
  </si>
  <si>
    <t>Kristina Hanley (WIS)</t>
  </si>
  <si>
    <t>SR# 226795</t>
  </si>
  <si>
    <t>SR# 227415</t>
  </si>
  <si>
    <t>Benjamin Court (WIS)</t>
  </si>
  <si>
    <t>SR# 228961</t>
  </si>
  <si>
    <t>SR# 228973</t>
  </si>
  <si>
    <t>SR# 229067</t>
  </si>
  <si>
    <t>SR# 229355</t>
  </si>
  <si>
    <t>SR# 229519</t>
  </si>
  <si>
    <t>SR# 229597</t>
  </si>
  <si>
    <t>SR# 229744</t>
  </si>
  <si>
    <t>Shaun Cummerford (WSD)</t>
  </si>
  <si>
    <t>SR# 229759</t>
  </si>
  <si>
    <t>Justice Thomas (WSD)</t>
  </si>
  <si>
    <t>SR# 230392</t>
  </si>
  <si>
    <t>Harrison Scott (VE)</t>
  </si>
  <si>
    <t>SR# 230756</t>
  </si>
  <si>
    <t>Peter Pennell (WIS)</t>
  </si>
  <si>
    <t>SR# 231628</t>
  </si>
  <si>
    <t>Liam Horsey (WSD)</t>
  </si>
  <si>
    <t>SR# 231754</t>
  </si>
  <si>
    <t>SR# 231759</t>
  </si>
  <si>
    <t>SR# 233225</t>
  </si>
  <si>
    <t>Sean Mayne (WIS)</t>
  </si>
  <si>
    <t>SR# 233464</t>
  </si>
  <si>
    <t>SR# 233536</t>
  </si>
  <si>
    <t>SR# 233551</t>
  </si>
  <si>
    <t>SR# 233842</t>
  </si>
  <si>
    <t>Larissa  Naismith (WIS)</t>
  </si>
  <si>
    <t>SR# 234540</t>
  </si>
  <si>
    <t>SR: 0301619</t>
  </si>
  <si>
    <t>Oliviah Warren (WIS)</t>
  </si>
  <si>
    <t>LCC:0301008</t>
  </si>
  <si>
    <t>SR# 227482</t>
  </si>
  <si>
    <t>SR# 227483</t>
  </si>
  <si>
    <t>SR# 227820</t>
  </si>
  <si>
    <t>Phil Hemsworth (WSD)</t>
  </si>
  <si>
    <t>SR# 228006</t>
  </si>
  <si>
    <t>SR# 228803</t>
  </si>
  <si>
    <t>SR# 228825</t>
  </si>
  <si>
    <t>SR# 229083</t>
  </si>
  <si>
    <t>SR# 229224</t>
  </si>
  <si>
    <t>SR# 229273</t>
  </si>
  <si>
    <t>SR# 229293</t>
  </si>
  <si>
    <t>SR# 229324</t>
  </si>
  <si>
    <t>SR# 229391</t>
  </si>
  <si>
    <t>SR# 229440</t>
  </si>
  <si>
    <t>SR# 229543</t>
  </si>
  <si>
    <t>SR# 229887</t>
  </si>
  <si>
    <t>Harrison Scott (WIS)</t>
  </si>
  <si>
    <t>SR# 230091</t>
  </si>
  <si>
    <t>SR# 230217</t>
  </si>
  <si>
    <t>SR# 230302</t>
  </si>
  <si>
    <t>SR# 230728</t>
  </si>
  <si>
    <t>SR# 230731</t>
  </si>
  <si>
    <t>WS00000865-73564</t>
  </si>
  <si>
    <t>SR# 231193</t>
  </si>
  <si>
    <t>Colin Barton (WSD)</t>
  </si>
  <si>
    <t>SR# 231211</t>
  </si>
  <si>
    <t>SR# 231216</t>
  </si>
  <si>
    <t>SR# 231358</t>
  </si>
  <si>
    <t>SR# 231473</t>
  </si>
  <si>
    <t>SR# 231687</t>
  </si>
  <si>
    <t>SR# 231802</t>
  </si>
  <si>
    <t>Ange Hayes (WIS)</t>
  </si>
  <si>
    <t>SR# 231809</t>
  </si>
  <si>
    <t>Paul Scalia (OGM)</t>
  </si>
  <si>
    <t>SR# 232987</t>
  </si>
  <si>
    <t>Jaimeson Smith (WSD)</t>
  </si>
  <si>
    <t>SR# 233067</t>
  </si>
  <si>
    <t>SR# 233075</t>
  </si>
  <si>
    <t>SR# 233534</t>
  </si>
  <si>
    <t>SR# 233639</t>
  </si>
  <si>
    <t>SR# 233861</t>
  </si>
  <si>
    <t>SR# 233862</t>
  </si>
  <si>
    <t>SR# 234098</t>
  </si>
  <si>
    <t>WS00000863-73564</t>
  </si>
  <si>
    <t>SR# 234136</t>
  </si>
  <si>
    <t>Nicholas MacKellar (WSD)</t>
  </si>
  <si>
    <t>SR# 234220</t>
  </si>
  <si>
    <t>SR# 234373</t>
  </si>
  <si>
    <t>Troy Edward (WSD)</t>
  </si>
  <si>
    <t>SR# 235135</t>
  </si>
  <si>
    <t>SR# 235137</t>
  </si>
  <si>
    <t>SR# 235186</t>
  </si>
  <si>
    <t>SR# 235189</t>
  </si>
  <si>
    <t>SR# 235192</t>
  </si>
  <si>
    <t>SR# 235194</t>
  </si>
  <si>
    <t>SR# 235235</t>
  </si>
  <si>
    <t>SR# 235318</t>
  </si>
  <si>
    <t>SR# 235320</t>
  </si>
  <si>
    <t>SR# 235402</t>
  </si>
  <si>
    <t>SR# 235813</t>
  </si>
  <si>
    <t>SR# 235814</t>
  </si>
  <si>
    <t>SR# 235882</t>
  </si>
  <si>
    <t>Jason Word (WSD)</t>
  </si>
  <si>
    <t>SR# 235979</t>
  </si>
  <si>
    <t>Alireza Sotoudehfar (WIS)</t>
  </si>
  <si>
    <t>SR# 236060</t>
  </si>
  <si>
    <t>Monique Arrabal (WIS)</t>
  </si>
  <si>
    <t>SR# 236396</t>
  </si>
  <si>
    <t>SR# 236401</t>
  </si>
  <si>
    <t>SR# 236709</t>
  </si>
  <si>
    <t>SR# 236852</t>
  </si>
  <si>
    <t>LCC:0300946</t>
  </si>
  <si>
    <t>SR# 218899</t>
  </si>
  <si>
    <t>Samuel Hutchinson (WSP)</t>
  </si>
  <si>
    <t>SR# 227760</t>
  </si>
  <si>
    <t>Priyanthi Samarakoon (WSD)</t>
  </si>
  <si>
    <t>SR# 229557</t>
  </si>
  <si>
    <t>SR# 230531</t>
  </si>
  <si>
    <t>Thomas McQuinlan (WSD)</t>
  </si>
  <si>
    <t>SR# 230908</t>
  </si>
  <si>
    <t>SR# 231220</t>
  </si>
  <si>
    <t>Harry Roberts (WSD)</t>
  </si>
  <si>
    <t>SR# 231722</t>
  </si>
  <si>
    <t>Jaclyn Hohrmann (LW)</t>
  </si>
  <si>
    <t>SR# 231731</t>
  </si>
  <si>
    <t>SR# 231758</t>
  </si>
  <si>
    <t>Dalton Hobbs (WSD)</t>
  </si>
  <si>
    <t>SR# 232048</t>
  </si>
  <si>
    <t>SR# 232286</t>
  </si>
  <si>
    <t>Lee Shaun (WIS)</t>
  </si>
  <si>
    <t>SR# 232606</t>
  </si>
  <si>
    <t>SR# 232627</t>
  </si>
  <si>
    <t>Hindushree Patel (WIS)</t>
  </si>
  <si>
    <t>SR# 233565</t>
  </si>
  <si>
    <t>Finn Jespersen (WIS)</t>
  </si>
  <si>
    <t>SR# 235328</t>
  </si>
  <si>
    <t>SR# 235850</t>
  </si>
  <si>
    <t>Matthew Kirk (WIS)</t>
  </si>
  <si>
    <t>SR# 236078</t>
  </si>
  <si>
    <t>Stefan Hall (WIS)</t>
  </si>
  <si>
    <t>SR: 0301398</t>
  </si>
  <si>
    <t>Natalia Zakrzewski (LW)</t>
  </si>
  <si>
    <t>WS00000865-73313</t>
  </si>
  <si>
    <t>SR# 231229</t>
  </si>
  <si>
    <t>SR# 231233</t>
  </si>
  <si>
    <t>SR# 231848</t>
  </si>
  <si>
    <t>Thomas Justice (WSD)</t>
  </si>
  <si>
    <t>SR# 231867</t>
  </si>
  <si>
    <t>SR# 233794</t>
  </si>
  <si>
    <t>SR# 235887</t>
  </si>
  <si>
    <t>Branch Service Requests 2025/26</t>
  </si>
  <si>
    <t>Branch</t>
  </si>
  <si>
    <t>IT Category</t>
  </si>
  <si>
    <t>Software</t>
  </si>
  <si>
    <t>Hardware</t>
  </si>
  <si>
    <t>Minor IT Equipment</t>
  </si>
  <si>
    <t>Telephony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</si>
</sst>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</numFmts>
  <fonts count="12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rgb="FF9C0006"/>
      <name val="Arial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0" xfId="1" applyFont="1" applyFill="1" applyAlignment="1">
      <alignment horizontal="left" vertical="top"/>
    </xf>
    <xf numFmtId="0" fontId="2" fillId="3" borderId="0" xfId="1" applyFont="1" applyFill="1" applyAlignment="1">
      <alignment horizontal="centerContinuous" vertical="top"/>
    </xf>
    <xf numFmtId="0" fontId="2" fillId="3" borderId="0" xfId="1" applyFont="1" applyFill="1" applyAlignment="1">
      <alignment horizontal="left" vertical="top"/>
    </xf>
    <xf numFmtId="0" fontId="2" fillId="3" borderId="0" xfId="1" applyFont="1" applyFill="1" applyAlignment="1">
      <alignment horizontal="center" vertical="top"/>
    </xf>
    <xf numFmtId="164" fontId="3" fillId="3" borderId="0" xfId="2" applyFont="1" applyFill="1" applyAlignment="1">
      <alignment horizontal="center" vertical="top"/>
    </xf>
    <xf numFmtId="164" fontId="2" fillId="3" borderId="0" xfId="1" applyNumberFormat="1" applyFont="1" applyFill="1" applyAlignment="1">
      <alignment horizontal="centerContinuous" vertical="top"/>
    </xf>
    <xf numFmtId="164" fontId="2" fillId="2" borderId="0" xfId="1" applyNumberFormat="1" applyFont="1" applyFill="1" applyAlignment="1">
      <alignment horizontal="center" vertical="top"/>
    </xf>
    <xf numFmtId="0" fontId="1" fillId="0" borderId="0" xfId="1" applyAlignment="1">
      <alignment vertical="top"/>
    </xf>
    <xf numFmtId="0" fontId="4" fillId="2" borderId="0" xfId="1" applyFont="1" applyFill="1" applyAlignment="1">
      <alignment horizontal="left" vertical="top" wrapText="1"/>
    </xf>
    <xf numFmtId="0" fontId="4" fillId="3" borderId="0" xfId="1" applyFont="1" applyFill="1" applyAlignment="1">
      <alignment horizontal="left" vertical="top" wrapText="1"/>
    </xf>
    <xf numFmtId="0" fontId="5" fillId="3" borderId="0" xfId="1" applyFont="1" applyFill="1" applyAlignment="1">
      <alignment horizontal="center" vertical="top" wrapText="1"/>
    </xf>
    <xf numFmtId="0" fontId="5" fillId="3" borderId="0" xfId="1" applyFont="1" applyFill="1" applyAlignment="1">
      <alignment horizontal="left" vertical="top" wrapText="1"/>
    </xf>
    <xf numFmtId="165" fontId="5" fillId="3" borderId="0" xfId="3" applyFont="1" applyFill="1" applyAlignment="1">
      <alignment horizontal="right" vertical="top" wrapText="1"/>
    </xf>
    <xf numFmtId="0" fontId="5" fillId="3" borderId="0" xfId="1" applyFont="1" applyFill="1" applyAlignment="1">
      <alignment vertical="top" wrapText="1"/>
    </xf>
    <xf numFmtId="0" fontId="6" fillId="0" borderId="0" xfId="1" applyFont="1" applyAlignment="1">
      <alignment vertical="top" wrapText="1"/>
    </xf>
    <xf numFmtId="0" fontId="8" fillId="0" borderId="1" xfId="1" applyFont="1" applyBorder="1" applyAlignment="1">
      <alignment horizontal="center" vertical="top"/>
    </xf>
    <xf numFmtId="0" fontId="7" fillId="2" borderId="1" xfId="1" applyFont="1" applyFill="1" applyBorder="1" applyAlignment="1">
      <alignment horizontal="left" vertical="top"/>
    </xf>
    <xf numFmtId="0" fontId="8" fillId="0" borderId="1" xfId="1" applyFont="1" applyBorder="1" applyAlignment="1">
      <alignment vertical="top"/>
    </xf>
    <xf numFmtId="17" fontId="8" fillId="0" borderId="1" xfId="1" applyNumberFormat="1" applyFont="1" applyBorder="1" applyAlignment="1">
      <alignment vertical="top"/>
    </xf>
    <xf numFmtId="166" fontId="8" fillId="0" borderId="1" xfId="1" applyNumberFormat="1" applyFont="1" applyBorder="1" applyAlignment="1">
      <alignment vertical="top"/>
    </xf>
    <xf numFmtId="17" fontId="9" fillId="0" borderId="1" xfId="1" applyNumberFormat="1" applyFont="1" applyBorder="1" applyAlignment="1">
      <alignment vertical="top"/>
    </xf>
    <xf numFmtId="0" fontId="7" fillId="0" borderId="1" xfId="1" applyFont="1" applyBorder="1" applyAlignment="1">
      <alignment horizontal="left" vertical="top"/>
    </xf>
    <xf numFmtId="0" fontId="9" fillId="0" borderId="1" xfId="1" applyFont="1" applyBorder="1" applyAlignment="1">
      <alignment horizontal="center" vertical="top"/>
    </xf>
    <xf numFmtId="0" fontId="9" fillId="0" borderId="1" xfId="1" applyFont="1" applyBorder="1" applyAlignment="1">
      <alignment vertical="top"/>
    </xf>
    <xf numFmtId="165" fontId="9" fillId="0" borderId="1" xfId="3" applyFont="1" applyFill="1" applyBorder="1" applyAlignment="1">
      <alignment vertical="top"/>
    </xf>
    <xf numFmtId="165" fontId="8" fillId="0" borderId="1" xfId="3" applyFont="1" applyFill="1" applyBorder="1" applyAlignment="1">
      <alignment vertical="top"/>
    </xf>
    <xf numFmtId="0" fontId="9" fillId="0" borderId="1" xfId="1" applyFont="1" applyBorder="1" applyAlignment="1">
      <alignment horizontal="left" vertical="top"/>
    </xf>
    <xf numFmtId="0" fontId="10" fillId="0" borderId="1" xfId="1" applyFont="1" applyBorder="1" applyAlignment="1">
      <alignment vertical="top"/>
    </xf>
    <xf numFmtId="0" fontId="11" fillId="0" borderId="1" xfId="1" applyFont="1" applyBorder="1" applyAlignment="1">
      <alignment vertical="top"/>
    </xf>
    <xf numFmtId="0" fontId="8" fillId="0" borderId="1" xfId="1" applyFont="1" applyBorder="1" applyAlignment="1">
      <alignment vertical="top" wrapText="1"/>
    </xf>
    <xf numFmtId="0" fontId="1" fillId="0" borderId="0" xfId="1" applyAlignment="1">
      <alignment horizontal="left" vertical="top"/>
    </xf>
    <xf numFmtId="0" fontId="1" fillId="0" borderId="0" xfId="1" applyAlignment="1">
      <alignment horizontal="center" vertical="top"/>
    </xf>
    <xf numFmtId="165" fontId="0" fillId="0" borderId="0" xfId="3" applyFont="1" applyFill="1" applyAlignment="1">
      <alignment vertical="top"/>
    </xf>
  </cellXfs>
  <cellStyles count="4">
    <cellStyle name="Comma 2" xfId="3" xr:uid="{C196D9BB-0677-44AD-A1D7-D202BB505B4B}"/>
    <cellStyle name="Currency 2" xfId="2" xr:uid="{6ED615DF-469D-47F9-A3A2-2449F0472A83}"/>
    <cellStyle name="Normal" xfId="0" builtinId="0"/>
    <cellStyle name="Normal 2" xfId="1" xr:uid="{5905CFE1-CE1C-465A-8E7F-61DB9DFB61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gancity.sharepoint.com/sites/ISGovernance/Shared%20Documents/6.0%20IT%20Finance/2025-26%20Budget%20docs/IT%20adhcos%2025-26/2050000%20-%202025%2026%20-%20IT%20Adhoc%20work%20paper.XLSX" TargetMode="External"/><Relationship Id="rId1" Type="http://schemas.openxmlformats.org/officeDocument/2006/relationships/externalLinkPath" Target="https://logancity.sharepoint.com/sites/ISGovernance/Shared%20Documents/6.0%20IT%20Finance/2025-26%20Budget%20docs/IT%20adhcos%2025-26/2050000%20-%202025%2026%20-%20IT%20Adhoc%20work%20pap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udre"/>
      <sheetName val="Adhoc Transactions 25-26"/>
      <sheetName val="Removed Transactions"/>
      <sheetName val="Copilot"/>
      <sheetName val="Summary - Branches EOM Journal"/>
      <sheetName val="EOM Journal template"/>
      <sheetName val="Summary YTD - All Branches"/>
      <sheetName val="List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Service No.</v>
          </cell>
          <cell r="C1" t="str">
            <v>Description</v>
          </cell>
          <cell r="D1" t="str">
            <v>Branch</v>
          </cell>
        </row>
        <row r="2">
          <cell r="B2" t="str">
            <v>10136</v>
          </cell>
          <cell r="C2" t="str">
            <v xml:space="preserve">Councillor Advisors </v>
          </cell>
          <cell r="D2" t="str">
            <v>1010000</v>
          </cell>
        </row>
        <row r="3">
          <cell r="B3" t="str">
            <v>10521</v>
          </cell>
          <cell r="C3" t="str">
            <v xml:space="preserve">EPMS Programs </v>
          </cell>
          <cell r="D3" t="str">
            <v>1010000</v>
          </cell>
        </row>
        <row r="4">
          <cell r="B4" t="str">
            <v>14001</v>
          </cell>
          <cell r="C4" t="str">
            <v xml:space="preserve">CEO Directorate </v>
          </cell>
          <cell r="D4" t="str">
            <v>1010000</v>
          </cell>
        </row>
        <row r="5">
          <cell r="B5" t="str">
            <v>14011</v>
          </cell>
          <cell r="C5" t="str">
            <v xml:space="preserve">ELT Coordination </v>
          </cell>
          <cell r="D5" t="str">
            <v>1010000</v>
          </cell>
        </row>
        <row r="6">
          <cell r="B6" t="str">
            <v>14021</v>
          </cell>
          <cell r="C6" t="str">
            <v xml:space="preserve">Special Projects </v>
          </cell>
          <cell r="D6" t="str">
            <v>1010000</v>
          </cell>
        </row>
        <row r="7">
          <cell r="B7" t="str">
            <v>14041</v>
          </cell>
          <cell r="C7" t="str">
            <v xml:space="preserve">Strategic Initiatives </v>
          </cell>
          <cell r="D7" t="str">
            <v>1010000</v>
          </cell>
        </row>
        <row r="8">
          <cell r="B8" t="str">
            <v>14071</v>
          </cell>
          <cell r="C8" t="str">
            <v xml:space="preserve">Office of CEO COVID-19 </v>
          </cell>
          <cell r="D8" t="str">
            <v>1010000</v>
          </cell>
        </row>
        <row r="9">
          <cell r="B9" t="str">
            <v>16521</v>
          </cell>
          <cell r="C9" t="str">
            <v xml:space="preserve">Leadership Values Group </v>
          </cell>
          <cell r="D9" t="str">
            <v>1010000</v>
          </cell>
        </row>
        <row r="10">
          <cell r="B10" t="str">
            <v>22351</v>
          </cell>
          <cell r="C10" t="str">
            <v xml:space="preserve">Mayor’s Team </v>
          </cell>
          <cell r="D10" t="str">
            <v>1010000</v>
          </cell>
        </row>
        <row r="11">
          <cell r="B11" t="str">
            <v>10137</v>
          </cell>
          <cell r="C11" t="str">
            <v xml:space="preserve">Councillor Support </v>
          </cell>
          <cell r="D11" t="str">
            <v>1010000</v>
          </cell>
        </row>
        <row r="12">
          <cell r="B12" t="str">
            <v>14081</v>
          </cell>
          <cell r="C12" t="str">
            <v xml:space="preserve">EPMO Administration and Management </v>
          </cell>
          <cell r="D12" t="str">
            <v>1030000</v>
          </cell>
        </row>
        <row r="13">
          <cell r="B13" t="str">
            <v>23002</v>
          </cell>
          <cell r="C13" t="str">
            <v xml:space="preserve">BT COVID-19 </v>
          </cell>
          <cell r="D13" t="str">
            <v>1030000</v>
          </cell>
        </row>
        <row r="14">
          <cell r="B14" t="str">
            <v>14086</v>
          </cell>
          <cell r="C14" t="str">
            <v xml:space="preserve">Strategic Data &amp; Asset Management </v>
          </cell>
          <cell r="D14" t="str">
            <v>1030000</v>
          </cell>
        </row>
        <row r="15">
          <cell r="B15" t="str">
            <v>16021</v>
          </cell>
          <cell r="C15" t="str">
            <v xml:space="preserve">Corporate Strategy and Performance Reporting </v>
          </cell>
          <cell r="D15" t="str">
            <v>1030000</v>
          </cell>
        </row>
        <row r="16">
          <cell r="B16" t="str">
            <v>16031</v>
          </cell>
          <cell r="C16" t="str">
            <v xml:space="preserve">Corporate Asset Management </v>
          </cell>
          <cell r="D16" t="str">
            <v>1030000</v>
          </cell>
        </row>
        <row r="17">
          <cell r="B17" t="str">
            <v>23101</v>
          </cell>
          <cell r="C17" t="str">
            <v xml:space="preserve">Community Visioning </v>
          </cell>
          <cell r="D17" t="str">
            <v>1030000</v>
          </cell>
        </row>
        <row r="18">
          <cell r="B18" t="str">
            <v>14082</v>
          </cell>
          <cell r="C18" t="str">
            <v xml:space="preserve">Service Reviews </v>
          </cell>
          <cell r="D18" t="str">
            <v>1030000</v>
          </cell>
        </row>
        <row r="19">
          <cell r="B19" t="str">
            <v>14084</v>
          </cell>
          <cell r="C19" t="str">
            <v xml:space="preserve">Business Optimisation Program </v>
          </cell>
          <cell r="D19" t="str">
            <v>1030000</v>
          </cell>
        </row>
        <row r="20">
          <cell r="B20" t="str">
            <v>21301</v>
          </cell>
          <cell r="C20" t="str">
            <v xml:space="preserve">Corproate Innovation </v>
          </cell>
          <cell r="D20" t="str">
            <v>1030000</v>
          </cell>
        </row>
        <row r="21">
          <cell r="B21" t="str">
            <v>14085</v>
          </cell>
          <cell r="C21" t="str">
            <v xml:space="preserve">Portfolio Planning and Investment </v>
          </cell>
          <cell r="D21" t="str">
            <v>1030000</v>
          </cell>
        </row>
        <row r="22">
          <cell r="B22" t="str">
            <v>21211</v>
          </cell>
          <cell r="C22" t="str">
            <v xml:space="preserve">Corporate Efficiency </v>
          </cell>
          <cell r="D22" t="str">
            <v>1030000</v>
          </cell>
        </row>
        <row r="23">
          <cell r="B23" t="str">
            <v>10136</v>
          </cell>
          <cell r="C23" t="str">
            <v xml:space="preserve">Councillor Advisors </v>
          </cell>
          <cell r="D23" t="str">
            <v>1010000</v>
          </cell>
        </row>
        <row r="24">
          <cell r="B24" t="str">
            <v>10521</v>
          </cell>
          <cell r="C24" t="str">
            <v xml:space="preserve">EPMS Programs </v>
          </cell>
          <cell r="D24" t="str">
            <v>1010000</v>
          </cell>
        </row>
        <row r="25">
          <cell r="B25" t="str">
            <v>14001</v>
          </cell>
          <cell r="C25" t="str">
            <v xml:space="preserve">CEO Directorate </v>
          </cell>
          <cell r="D25" t="str">
            <v>1010000</v>
          </cell>
        </row>
        <row r="26">
          <cell r="B26" t="str">
            <v>14011</v>
          </cell>
          <cell r="C26" t="str">
            <v xml:space="preserve">ELT Coordination </v>
          </cell>
          <cell r="D26" t="str">
            <v>1010000</v>
          </cell>
        </row>
        <row r="27">
          <cell r="B27" t="str">
            <v>14021</v>
          </cell>
          <cell r="C27" t="str">
            <v xml:space="preserve">Special Projects </v>
          </cell>
          <cell r="D27" t="str">
            <v>1010000</v>
          </cell>
        </row>
        <row r="28">
          <cell r="B28" t="str">
            <v>14041</v>
          </cell>
          <cell r="C28" t="str">
            <v xml:space="preserve">Strategic Initiatives </v>
          </cell>
          <cell r="D28" t="str">
            <v>1010000</v>
          </cell>
        </row>
        <row r="29">
          <cell r="B29" t="str">
            <v>14071</v>
          </cell>
          <cell r="C29" t="str">
            <v xml:space="preserve">Office of CEO COVID-19 </v>
          </cell>
          <cell r="D29" t="str">
            <v>1010000</v>
          </cell>
        </row>
        <row r="30">
          <cell r="B30" t="str">
            <v>16521</v>
          </cell>
          <cell r="C30" t="str">
            <v xml:space="preserve">Leadership Values Group </v>
          </cell>
          <cell r="D30" t="str">
            <v>1010000</v>
          </cell>
        </row>
        <row r="31">
          <cell r="B31" t="str">
            <v>22351</v>
          </cell>
          <cell r="C31" t="str">
            <v xml:space="preserve">Mayor’s Team </v>
          </cell>
          <cell r="D31" t="str">
            <v>1010000</v>
          </cell>
        </row>
        <row r="32">
          <cell r="B32" t="str">
            <v>10137</v>
          </cell>
          <cell r="C32" t="str">
            <v xml:space="preserve">Councillor Support </v>
          </cell>
          <cell r="D32" t="str">
            <v>1010000</v>
          </cell>
        </row>
        <row r="33">
          <cell r="B33" t="str">
            <v>14081</v>
          </cell>
          <cell r="C33" t="str">
            <v xml:space="preserve">EPMO Administration and Management </v>
          </cell>
          <cell r="D33" t="str">
            <v>1030000</v>
          </cell>
        </row>
        <row r="34">
          <cell r="B34" t="str">
            <v>23002</v>
          </cell>
          <cell r="C34" t="str">
            <v xml:space="preserve">BT COVID-19 </v>
          </cell>
          <cell r="D34" t="str">
            <v>1030000</v>
          </cell>
        </row>
        <row r="35">
          <cell r="B35" t="str">
            <v>14086</v>
          </cell>
          <cell r="C35" t="str">
            <v xml:space="preserve">Strategic Data &amp; Asset Management </v>
          </cell>
          <cell r="D35" t="str">
            <v>1030000</v>
          </cell>
        </row>
        <row r="36">
          <cell r="B36" t="str">
            <v>16021</v>
          </cell>
          <cell r="C36" t="str">
            <v xml:space="preserve">Corporate Strategy and Performance Reporting </v>
          </cell>
          <cell r="D36" t="str">
            <v>1030000</v>
          </cell>
        </row>
        <row r="37">
          <cell r="B37" t="str">
            <v>16031</v>
          </cell>
          <cell r="C37" t="str">
            <v xml:space="preserve">Corporate Asset Management </v>
          </cell>
          <cell r="D37" t="str">
            <v>1030000</v>
          </cell>
        </row>
        <row r="38">
          <cell r="B38" t="str">
            <v>23101</v>
          </cell>
          <cell r="C38" t="str">
            <v xml:space="preserve">Community Visioning </v>
          </cell>
          <cell r="D38" t="str">
            <v>1030000</v>
          </cell>
        </row>
        <row r="39">
          <cell r="B39" t="str">
            <v>14082</v>
          </cell>
          <cell r="C39" t="str">
            <v xml:space="preserve">Service Reviews </v>
          </cell>
          <cell r="D39" t="str">
            <v>1030000</v>
          </cell>
        </row>
        <row r="40">
          <cell r="B40" t="str">
            <v>14084</v>
          </cell>
          <cell r="C40" t="str">
            <v xml:space="preserve">Business Optimisation Program </v>
          </cell>
          <cell r="D40" t="str">
            <v>1030000</v>
          </cell>
        </row>
        <row r="41">
          <cell r="B41" t="str">
            <v>21301</v>
          </cell>
          <cell r="C41" t="str">
            <v xml:space="preserve">Corproate Innovation </v>
          </cell>
          <cell r="D41" t="str">
            <v>1030000</v>
          </cell>
        </row>
        <row r="42">
          <cell r="B42" t="str">
            <v>14085</v>
          </cell>
          <cell r="C42" t="str">
            <v xml:space="preserve">Portfolio Planning and Investment </v>
          </cell>
          <cell r="D42" t="str">
            <v>1030000</v>
          </cell>
        </row>
        <row r="43">
          <cell r="B43" t="str">
            <v>21211</v>
          </cell>
          <cell r="C43" t="str">
            <v xml:space="preserve">Corporate Efficiency </v>
          </cell>
          <cell r="D43" t="str">
            <v>1030000</v>
          </cell>
        </row>
        <row r="44">
          <cell r="B44" t="str">
            <v>10571</v>
          </cell>
          <cell r="C44" t="str">
            <v xml:space="preserve">Provsion Legal Services </v>
          </cell>
          <cell r="D44" t="str">
            <v>1040000</v>
          </cell>
        </row>
        <row r="45">
          <cell r="B45" t="str">
            <v>13411</v>
          </cell>
          <cell r="C45" t="str">
            <v xml:space="preserve">City Safety and Liveability Legal Costs </v>
          </cell>
          <cell r="D45" t="str">
            <v>1040000</v>
          </cell>
        </row>
        <row r="46">
          <cell r="B46" t="str">
            <v>13412</v>
          </cell>
          <cell r="C46" t="str">
            <v xml:space="preserve">Road Infrastructure Planning Legal Costs </v>
          </cell>
          <cell r="D46" t="str">
            <v>1040000</v>
          </cell>
        </row>
        <row r="47">
          <cell r="B47" t="str">
            <v>13413</v>
          </cell>
          <cell r="C47" t="str">
            <v xml:space="preserve">Roads Office of the Director Legal Costs </v>
          </cell>
          <cell r="D47" t="str">
            <v>1040000</v>
          </cell>
        </row>
        <row r="48">
          <cell r="B48" t="str">
            <v>13414</v>
          </cell>
          <cell r="C48" t="str">
            <v xml:space="preserve">Sports Community and Infrastructure Legal Costs </v>
          </cell>
          <cell r="D48" t="str">
            <v>1040000</v>
          </cell>
        </row>
        <row r="49">
          <cell r="B49" t="str">
            <v>13415</v>
          </cell>
          <cell r="C49" t="str">
            <v xml:space="preserve">Venues and Events Legal Costs </v>
          </cell>
          <cell r="D49" t="str">
            <v>1040000</v>
          </cell>
        </row>
        <row r="50">
          <cell r="B50" t="str">
            <v>13421</v>
          </cell>
          <cell r="C50" t="str">
            <v xml:space="preserve">Corporate Communications Legal Costs </v>
          </cell>
          <cell r="D50" t="str">
            <v>1040000</v>
          </cell>
        </row>
        <row r="51">
          <cell r="B51" t="str">
            <v>13431</v>
          </cell>
          <cell r="C51" t="str">
            <v xml:space="preserve">Corporate Governance Legal Costs </v>
          </cell>
          <cell r="D51" t="str">
            <v>1040000</v>
          </cell>
        </row>
        <row r="52">
          <cell r="B52" t="str">
            <v>13441</v>
          </cell>
          <cell r="C52" t="str">
            <v xml:space="preserve">Corporate Property Legal Costs </v>
          </cell>
          <cell r="D52" t="str">
            <v>1040000</v>
          </cell>
        </row>
        <row r="53">
          <cell r="B53" t="str">
            <v>13451</v>
          </cell>
          <cell r="C53" t="str">
            <v xml:space="preserve">Development Assessment Legal Costs </v>
          </cell>
          <cell r="D53" t="str">
            <v>1040000</v>
          </cell>
        </row>
        <row r="54">
          <cell r="B54" t="str">
            <v>13461</v>
          </cell>
          <cell r="C54" t="str">
            <v xml:space="preserve">Economic Development and City Planning Legal Costs </v>
          </cell>
          <cell r="D54" t="str">
            <v>1040000</v>
          </cell>
        </row>
        <row r="55">
          <cell r="B55" t="str">
            <v>13471</v>
          </cell>
          <cell r="C55" t="str">
            <v xml:space="preserve">Finance Legal Costs </v>
          </cell>
          <cell r="D55" t="str">
            <v>1040000</v>
          </cell>
        </row>
        <row r="56">
          <cell r="B56" t="str">
            <v>13481</v>
          </cell>
          <cell r="C56" t="str">
            <v xml:space="preserve">Health Climate and Conservation Legal Costs </v>
          </cell>
          <cell r="D56" t="str">
            <v>1040000</v>
          </cell>
        </row>
        <row r="57">
          <cell r="B57" t="str">
            <v>13491</v>
          </cell>
          <cell r="C57" t="str">
            <v xml:space="preserve">Legal Services Legal Costs </v>
          </cell>
          <cell r="D57" t="str">
            <v>1040000</v>
          </cell>
        </row>
        <row r="58">
          <cell r="B58" t="str">
            <v>13501</v>
          </cell>
          <cell r="C58" t="str">
            <v xml:space="preserve">Parks Legal Costs </v>
          </cell>
          <cell r="D58" t="str">
            <v>1040000</v>
          </cell>
        </row>
        <row r="59">
          <cell r="B59" t="str">
            <v>13511</v>
          </cell>
          <cell r="C59" t="str">
            <v xml:space="preserve">People and Culture Legal Costs </v>
          </cell>
          <cell r="D59" t="str">
            <v>1040000</v>
          </cell>
        </row>
        <row r="60">
          <cell r="B60" t="str">
            <v>13521</v>
          </cell>
          <cell r="C60" t="str">
            <v xml:space="preserve">People and Engagement Legal Costs </v>
          </cell>
          <cell r="D60" t="str">
            <v>1040000</v>
          </cell>
        </row>
        <row r="61">
          <cell r="B61" t="str">
            <v>10501</v>
          </cell>
          <cell r="C61" t="str">
            <v xml:space="preserve">Organisational Services Directorate </v>
          </cell>
          <cell r="D61" t="str">
            <v>2010000</v>
          </cell>
        </row>
        <row r="62">
          <cell r="B62" t="str">
            <v>10561</v>
          </cell>
          <cell r="C62" t="str">
            <v xml:space="preserve">OS Office of Director COVID-19 </v>
          </cell>
          <cell r="D62" t="str">
            <v>2010000</v>
          </cell>
        </row>
        <row r="63">
          <cell r="B63" t="str">
            <v>10551</v>
          </cell>
          <cell r="C63" t="str">
            <v xml:space="preserve">2017 Ex-Cyclone Debbie </v>
          </cell>
          <cell r="D63" t="str">
            <v>2020000</v>
          </cell>
        </row>
        <row r="64">
          <cell r="B64" t="str">
            <v>11001</v>
          </cell>
          <cell r="C64" t="str">
            <v xml:space="preserve">CP Administration and Management </v>
          </cell>
          <cell r="D64" t="str">
            <v>2020000</v>
          </cell>
        </row>
        <row r="65">
          <cell r="B65" t="str">
            <v>11171</v>
          </cell>
          <cell r="C65" t="str">
            <v xml:space="preserve">CP Admin COVID-19 </v>
          </cell>
          <cell r="D65" t="str">
            <v>2020000</v>
          </cell>
        </row>
        <row r="66">
          <cell r="B66" t="str">
            <v>11111</v>
          </cell>
          <cell r="C66" t="str">
            <v xml:space="preserve">CP Property Management </v>
          </cell>
          <cell r="D66" t="str">
            <v>2020000</v>
          </cell>
        </row>
        <row r="67">
          <cell r="B67" t="str">
            <v>11161</v>
          </cell>
          <cell r="C67" t="str">
            <v xml:space="preserve">Invest Logan proposed land sales cost </v>
          </cell>
          <cell r="D67" t="str">
            <v>2020000</v>
          </cell>
        </row>
        <row r="68">
          <cell r="B68" t="str">
            <v>A1053</v>
          </cell>
          <cell r="C68" t="str">
            <v xml:space="preserve">1/133-145 Brisbane Street, Jimboomba </v>
          </cell>
          <cell r="D68" t="str">
            <v>2020000</v>
          </cell>
        </row>
        <row r="69">
          <cell r="B69" t="str">
            <v>A1057</v>
          </cell>
          <cell r="C69" t="str">
            <v xml:space="preserve">York Street Precint </v>
          </cell>
          <cell r="D69" t="str">
            <v>2020000</v>
          </cell>
        </row>
        <row r="70">
          <cell r="B70" t="str">
            <v>P0000</v>
          </cell>
          <cell r="C70" t="str">
            <v xml:space="preserve">Agistments </v>
          </cell>
          <cell r="D70" t="str">
            <v>2020000</v>
          </cell>
        </row>
        <row r="71">
          <cell r="B71" t="str">
            <v>P0001</v>
          </cell>
          <cell r="C71" t="str">
            <v xml:space="preserve">Agistment - Reserve in Trust </v>
          </cell>
          <cell r="D71" t="str">
            <v>2020000</v>
          </cell>
        </row>
        <row r="72">
          <cell r="B72" t="str">
            <v>P0002</v>
          </cell>
          <cell r="C72" t="str">
            <v xml:space="preserve">Mowing/Slashing of Misc Council Land </v>
          </cell>
          <cell r="D72" t="str">
            <v>2020000</v>
          </cell>
        </row>
        <row r="73">
          <cell r="B73" t="str">
            <v>P0003</v>
          </cell>
          <cell r="C73" t="str">
            <v xml:space="preserve">Strategic Land Holdings </v>
          </cell>
          <cell r="D73" t="str">
            <v>2020000</v>
          </cell>
        </row>
        <row r="74">
          <cell r="B74" t="str">
            <v>P0011</v>
          </cell>
          <cell r="C74" t="str">
            <v xml:space="preserve">Unit 1, 1 Laurinda Crescent, Springwood </v>
          </cell>
          <cell r="D74" t="str">
            <v>2020000</v>
          </cell>
        </row>
        <row r="75">
          <cell r="B75" t="str">
            <v>P0012</v>
          </cell>
          <cell r="C75" t="str">
            <v xml:space="preserve">Unit 2, 1 Laurinda Crescent, Springwood </v>
          </cell>
          <cell r="D75" t="str">
            <v>2020000</v>
          </cell>
        </row>
        <row r="76">
          <cell r="B76" t="str">
            <v>P0013</v>
          </cell>
          <cell r="C76" t="str">
            <v xml:space="preserve">184 Wembley Road - Residence </v>
          </cell>
          <cell r="D76" t="str">
            <v>2020000</v>
          </cell>
        </row>
        <row r="77">
          <cell r="B77" t="str">
            <v>P0014</v>
          </cell>
          <cell r="C77" t="str">
            <v xml:space="preserve">Residence to 58-64 Derby Road, Logan Reserve </v>
          </cell>
          <cell r="D77" t="str">
            <v>2020000</v>
          </cell>
        </row>
        <row r="78">
          <cell r="B78" t="str">
            <v>P0015</v>
          </cell>
          <cell r="C78" t="str">
            <v xml:space="preserve">150 Chetwynd Street, Loganholme </v>
          </cell>
          <cell r="D78" t="str">
            <v>2020000</v>
          </cell>
        </row>
        <row r="79">
          <cell r="B79" t="str">
            <v>P0017</v>
          </cell>
          <cell r="C79" t="str">
            <v xml:space="preserve">1-31 Commercial Drive, Shailer Park </v>
          </cell>
          <cell r="D79" t="str">
            <v>2020000</v>
          </cell>
        </row>
        <row r="80">
          <cell r="B80" t="str">
            <v>P0018</v>
          </cell>
          <cell r="C80" t="str">
            <v xml:space="preserve">Logan Central PCYC, Democracy Way, Logan Central </v>
          </cell>
          <cell r="D80" t="str">
            <v>2020000</v>
          </cell>
        </row>
        <row r="81">
          <cell r="B81" t="str">
            <v>P0019</v>
          </cell>
          <cell r="C81" t="str">
            <v xml:space="preserve">Building, 1 Laurinda Crescent, Springwood </v>
          </cell>
          <cell r="D81" t="str">
            <v>2020000</v>
          </cell>
        </row>
        <row r="82">
          <cell r="B82" t="str">
            <v>P0020</v>
          </cell>
          <cell r="C82" t="str">
            <v xml:space="preserve">3 Laurinda Crescent, Springwood </v>
          </cell>
          <cell r="D82" t="str">
            <v>2020000</v>
          </cell>
        </row>
        <row r="83">
          <cell r="B83" t="str">
            <v>P0021</v>
          </cell>
          <cell r="C83" t="str">
            <v xml:space="preserve">15 Vanessa Boulevard, Springwood </v>
          </cell>
          <cell r="D83" t="str">
            <v>2020000</v>
          </cell>
        </row>
        <row r="84">
          <cell r="B84" t="str">
            <v>P0023</v>
          </cell>
          <cell r="C84" t="str">
            <v xml:space="preserve">129 - 139 Koplick Road, Park Ridge </v>
          </cell>
          <cell r="D84" t="str">
            <v>2020000</v>
          </cell>
        </row>
        <row r="85">
          <cell r="B85" t="str">
            <v>P0024</v>
          </cell>
          <cell r="C85" t="str">
            <v xml:space="preserve">10 Kent Street, Beenleigh </v>
          </cell>
          <cell r="D85" t="str">
            <v>2020000</v>
          </cell>
        </row>
        <row r="86">
          <cell r="B86" t="str">
            <v>P0025</v>
          </cell>
          <cell r="C86" t="str">
            <v xml:space="preserve">Unit 1, 2 Main Street, Beenleigh </v>
          </cell>
          <cell r="D86" t="str">
            <v>2020000</v>
          </cell>
        </row>
        <row r="87">
          <cell r="B87" t="str">
            <v>P0026</v>
          </cell>
          <cell r="C87" t="str">
            <v xml:space="preserve">Unit 2, 2 Main Street, Beenleigh </v>
          </cell>
          <cell r="D87" t="str">
            <v>2020000</v>
          </cell>
        </row>
        <row r="88">
          <cell r="B88" t="str">
            <v>P0027</v>
          </cell>
          <cell r="C88" t="str">
            <v xml:space="preserve">Building, 2 Main Street, Beenleigh </v>
          </cell>
          <cell r="D88" t="str">
            <v>2020000</v>
          </cell>
        </row>
        <row r="89">
          <cell r="B89" t="str">
            <v>P0028</v>
          </cell>
          <cell r="C89" t="str">
            <v xml:space="preserve">Billboard Leases </v>
          </cell>
          <cell r="D89" t="str">
            <v>2020000</v>
          </cell>
        </row>
        <row r="90">
          <cell r="B90" t="str">
            <v>P0029</v>
          </cell>
          <cell r="C90" t="str">
            <v xml:space="preserve">4144 - 4152 Pacific Highway, Loganholme </v>
          </cell>
          <cell r="D90" t="str">
            <v>2020000</v>
          </cell>
        </row>
        <row r="91">
          <cell r="B91" t="str">
            <v>P0034</v>
          </cell>
          <cell r="C91" t="str">
            <v xml:space="preserve">975-987 Chambers Flat Road, Chambers Flat </v>
          </cell>
          <cell r="D91" t="str">
            <v>2020000</v>
          </cell>
        </row>
        <row r="92">
          <cell r="B92" t="str">
            <v>P0035</v>
          </cell>
          <cell r="C92" t="str">
            <v xml:space="preserve">599-609 Logan Reserve Road, Logan Reserve </v>
          </cell>
          <cell r="D92" t="str">
            <v>2020000</v>
          </cell>
        </row>
        <row r="93">
          <cell r="B93" t="str">
            <v>P0037</v>
          </cell>
          <cell r="C93" t="str">
            <v xml:space="preserve">33 Mawarra Street, Kingston </v>
          </cell>
          <cell r="D93" t="str">
            <v>2020000</v>
          </cell>
        </row>
        <row r="94">
          <cell r="B94" t="str">
            <v>P0038</v>
          </cell>
          <cell r="C94" t="str">
            <v xml:space="preserve">22 Wilbur Street - part of Commercial Lease </v>
          </cell>
          <cell r="D94" t="str">
            <v>2020000</v>
          </cell>
        </row>
        <row r="95">
          <cell r="B95" t="str">
            <v>P0039</v>
          </cell>
          <cell r="C95" t="str">
            <v xml:space="preserve">20 Murrajong Road, Springwood </v>
          </cell>
          <cell r="D95" t="str">
            <v>2020000</v>
          </cell>
        </row>
        <row r="96">
          <cell r="B96" t="str">
            <v>P0040</v>
          </cell>
          <cell r="C96" t="str">
            <v xml:space="preserve">22 Murrajong Road, Springwood </v>
          </cell>
          <cell r="D96" t="str">
            <v>2020000</v>
          </cell>
        </row>
        <row r="97">
          <cell r="B97" t="str">
            <v>P0041</v>
          </cell>
          <cell r="C97" t="str">
            <v xml:space="preserve">Telecommunication Facilities - Freehold Land </v>
          </cell>
          <cell r="D97" t="str">
            <v>2020000</v>
          </cell>
        </row>
        <row r="98">
          <cell r="B98" t="str">
            <v>P0042</v>
          </cell>
          <cell r="C98" t="str">
            <v xml:space="preserve">Telecommunication Facilities - Crown Reserve Land </v>
          </cell>
          <cell r="D98" t="str">
            <v>2020000</v>
          </cell>
        </row>
        <row r="99">
          <cell r="B99" t="str">
            <v>P0043</v>
          </cell>
          <cell r="C99" t="str">
            <v xml:space="preserve">509-525 Stoney Camp Road, Greenbank </v>
          </cell>
          <cell r="D99" t="str">
            <v>2020000</v>
          </cell>
        </row>
        <row r="100">
          <cell r="B100" t="str">
            <v>P0044</v>
          </cell>
          <cell r="C100" t="str">
            <v xml:space="preserve">619-631 Logan Reserve Road, Logan Reserve </v>
          </cell>
          <cell r="D100" t="str">
            <v>2020000</v>
          </cell>
        </row>
        <row r="101">
          <cell r="B101" t="str">
            <v>P0045</v>
          </cell>
          <cell r="C101" t="str">
            <v xml:space="preserve">2-8 River Street, Logan Village </v>
          </cell>
          <cell r="D101" t="str">
            <v>2020000</v>
          </cell>
        </row>
        <row r="102">
          <cell r="B102" t="str">
            <v>P0046</v>
          </cell>
          <cell r="C102" t="str">
            <v xml:space="preserve">4154-4166 Pacific Hwy, Loganholme </v>
          </cell>
          <cell r="D102" t="str">
            <v>2020000</v>
          </cell>
        </row>
        <row r="103">
          <cell r="B103" t="str">
            <v>P0047</v>
          </cell>
          <cell r="C103" t="str">
            <v xml:space="preserve">36 Martens Street, Beenleigh </v>
          </cell>
          <cell r="D103" t="str">
            <v>2020000</v>
          </cell>
        </row>
        <row r="104">
          <cell r="B104" t="str">
            <v>P0048</v>
          </cell>
          <cell r="C104" t="str">
            <v xml:space="preserve">12 Main Street, Beenleigh </v>
          </cell>
          <cell r="D104" t="str">
            <v>2020000</v>
          </cell>
        </row>
        <row r="105">
          <cell r="B105" t="str">
            <v>P0049</v>
          </cell>
          <cell r="C105" t="str">
            <v xml:space="preserve">14 Main Street, Beenleigh </v>
          </cell>
          <cell r="D105" t="str">
            <v>2020000</v>
          </cell>
        </row>
        <row r="106">
          <cell r="B106" t="str">
            <v>P0050</v>
          </cell>
          <cell r="C106" t="str">
            <v xml:space="preserve">4-6 Sports Drive, Underwood </v>
          </cell>
          <cell r="D106" t="str">
            <v>2020000</v>
          </cell>
        </row>
        <row r="107">
          <cell r="B107" t="str">
            <v>P0051</v>
          </cell>
          <cell r="C107" t="str">
            <v xml:space="preserve">150 Wembley Road, Logan Central (Communications Site Licence </v>
          </cell>
          <cell r="D107" t="str">
            <v>2020000</v>
          </cell>
        </row>
        <row r="108">
          <cell r="B108" t="str">
            <v>P0052</v>
          </cell>
          <cell r="C108" t="str">
            <v xml:space="preserve">66-78 Derby Road, Logan Reserve </v>
          </cell>
          <cell r="D108" t="str">
            <v>2020000</v>
          </cell>
        </row>
        <row r="109">
          <cell r="B109" t="str">
            <v>P0053</v>
          </cell>
          <cell r="C109" t="str">
            <v xml:space="preserve">339-355 Browns Plains Road, Heritage Park (Telco) </v>
          </cell>
          <cell r="D109" t="str">
            <v>2020000</v>
          </cell>
        </row>
        <row r="110">
          <cell r="B110" t="str">
            <v>P0054</v>
          </cell>
          <cell r="C110" t="str">
            <v xml:space="preserve">503-547 Park Ridge Road, Park Ridge </v>
          </cell>
          <cell r="D110" t="str">
            <v>2020000</v>
          </cell>
        </row>
        <row r="111">
          <cell r="B111" t="str">
            <v>P0055</v>
          </cell>
          <cell r="C111" t="str">
            <v xml:space="preserve">Telecommunication Facility - 17 Deen Street, Rochedale South </v>
          </cell>
          <cell r="D111" t="str">
            <v>2020000</v>
          </cell>
        </row>
        <row r="112">
          <cell r="B112" t="str">
            <v>P0056</v>
          </cell>
          <cell r="C112" t="str">
            <v xml:space="preserve">Telecommunication Facility - 68 Rosehill Court, Mundoolun </v>
          </cell>
          <cell r="D112" t="str">
            <v>2020000</v>
          </cell>
        </row>
        <row r="113">
          <cell r="B113" t="str">
            <v>P0057</v>
          </cell>
          <cell r="C113" t="str">
            <v xml:space="preserve">Telecommunication Facility -10-18 Loane Drive, Edens Landing </v>
          </cell>
          <cell r="D113" t="str">
            <v>2020000</v>
          </cell>
        </row>
        <row r="114">
          <cell r="B114" t="str">
            <v>P0058</v>
          </cell>
          <cell r="C114" t="str">
            <v xml:space="preserve">Telecommunication Facility - Compton Road, Woodridge </v>
          </cell>
          <cell r="D114" t="str">
            <v>2020000</v>
          </cell>
        </row>
        <row r="115">
          <cell r="B115" t="str">
            <v>P0059</v>
          </cell>
          <cell r="C115" t="str">
            <v xml:space="preserve">26-36 Winnetts Road, Daisy Hill - Telecommunication Facility </v>
          </cell>
          <cell r="D115" t="str">
            <v>2020000</v>
          </cell>
        </row>
        <row r="116">
          <cell r="B116" t="str">
            <v>P0060</v>
          </cell>
          <cell r="C116" t="str">
            <v xml:space="preserve">690-692 Middle Rd, Greenbank </v>
          </cell>
          <cell r="D116" t="str">
            <v>2020000</v>
          </cell>
        </row>
        <row r="117">
          <cell r="B117" t="str">
            <v>P0061</v>
          </cell>
          <cell r="C117" t="str">
            <v xml:space="preserve">1 Tina Avenue, Springwood </v>
          </cell>
          <cell r="D117" t="str">
            <v>2020000</v>
          </cell>
        </row>
        <row r="118">
          <cell r="B118" t="str">
            <v>P0062</v>
          </cell>
          <cell r="C118" t="str">
            <v xml:space="preserve">611-617 Logan Reserve Road, Logan Reserve </v>
          </cell>
          <cell r="D118" t="str">
            <v>2020000</v>
          </cell>
        </row>
        <row r="119">
          <cell r="B119" t="str">
            <v>P0063</v>
          </cell>
          <cell r="C119" t="str">
            <v xml:space="preserve">66-72 Third Avenue, Marsden </v>
          </cell>
          <cell r="D119" t="str">
            <v>2020000</v>
          </cell>
        </row>
        <row r="120">
          <cell r="B120" t="str">
            <v>P0065</v>
          </cell>
          <cell r="C120" t="str">
            <v xml:space="preserve">34 Vanessa Boulevard, Springwood </v>
          </cell>
          <cell r="D120" t="str">
            <v>2020000</v>
          </cell>
        </row>
        <row r="121">
          <cell r="B121" t="str">
            <v>P0066</v>
          </cell>
          <cell r="C121" t="str">
            <v xml:space="preserve">Johanna Street, Jimboomba </v>
          </cell>
          <cell r="D121" t="str">
            <v>2020000</v>
          </cell>
        </row>
        <row r="122">
          <cell r="B122" t="str">
            <v>P0067</v>
          </cell>
          <cell r="C122" t="str">
            <v>8-42 Sunningdale Avenue, Rochedale South Rochedale Community Child Care Centre</v>
          </cell>
          <cell r="D122" t="str">
            <v>2020000</v>
          </cell>
        </row>
        <row r="123">
          <cell r="B123" t="str">
            <v>P0068</v>
          </cell>
          <cell r="C123" t="str">
            <v xml:space="preserve">686-688 Middle Rd, Greenbank </v>
          </cell>
          <cell r="D123" t="str">
            <v>2020000</v>
          </cell>
        </row>
        <row r="124">
          <cell r="B124" t="str">
            <v>P0069</v>
          </cell>
          <cell r="C124" t="str">
            <v>41 Kent Street, Beenleigh Beenleigh Community Preschooling Centre Inc.</v>
          </cell>
          <cell r="D124" t="str">
            <v>2020000</v>
          </cell>
        </row>
        <row r="125">
          <cell r="B125" t="str">
            <v>P0070</v>
          </cell>
          <cell r="C125" t="str">
            <v>14-16 Honora Street, Jimboomba Jimboomba Community Kindergarten</v>
          </cell>
          <cell r="D125" t="str">
            <v>2020000</v>
          </cell>
        </row>
        <row r="126">
          <cell r="B126" t="str">
            <v>P0071</v>
          </cell>
          <cell r="C126" t="str">
            <v>151 Teviot Road, Greenbank James Smith Recreation Res/Area, Greenbank Community Prescho</v>
          </cell>
          <cell r="D126" t="str">
            <v>2020000</v>
          </cell>
        </row>
        <row r="127">
          <cell r="B127" t="str">
            <v>P0072</v>
          </cell>
          <cell r="C127" t="str">
            <v>25 Jacaranda Avenue, Logan Central Burragah Aboriginal &amp; Islander Advancement Co-op</v>
          </cell>
          <cell r="D127" t="str">
            <v>2020000</v>
          </cell>
        </row>
        <row r="128">
          <cell r="B128" t="str">
            <v>P0073</v>
          </cell>
          <cell r="C128" t="str">
            <v xml:space="preserve">10A Pendrey Court, Woodridge </v>
          </cell>
          <cell r="D128" t="str">
            <v>2020000</v>
          </cell>
        </row>
        <row r="129">
          <cell r="B129" t="str">
            <v>P0074</v>
          </cell>
          <cell r="C129" t="str">
            <v xml:space="preserve">96 &amp; 98 York Street, Beenleigh (Carparks) </v>
          </cell>
          <cell r="D129" t="str">
            <v>2020000</v>
          </cell>
        </row>
        <row r="130">
          <cell r="B130" t="str">
            <v>P0075</v>
          </cell>
          <cell r="C130" t="str">
            <v xml:space="preserve">2 Bernice Street, Loganlea </v>
          </cell>
          <cell r="D130" t="str">
            <v>2020000</v>
          </cell>
        </row>
        <row r="131">
          <cell r="B131" t="str">
            <v>P0076</v>
          </cell>
          <cell r="C131" t="str">
            <v xml:space="preserve">180 Wembley Road, Logan Central </v>
          </cell>
          <cell r="D131" t="str">
            <v>2020000</v>
          </cell>
        </row>
        <row r="132">
          <cell r="B132" t="str">
            <v>P0077</v>
          </cell>
          <cell r="C132" t="str">
            <v xml:space="preserve">180-188 Crowson Lane, North Maclean </v>
          </cell>
          <cell r="D132" t="str">
            <v>2020000</v>
          </cell>
        </row>
        <row r="133">
          <cell r="B133" t="str">
            <v>P0078</v>
          </cell>
          <cell r="C133" t="str">
            <v xml:space="preserve">4120-4132 Pacific Highway </v>
          </cell>
          <cell r="D133" t="str">
            <v>2020000</v>
          </cell>
        </row>
        <row r="134">
          <cell r="B134" t="str">
            <v>P0080</v>
          </cell>
          <cell r="C134" t="str">
            <v xml:space="preserve">501-507 Stoney Camp Road, Greenbank </v>
          </cell>
          <cell r="D134" t="str">
            <v>2020000</v>
          </cell>
        </row>
        <row r="135">
          <cell r="B135" t="str">
            <v>P0081</v>
          </cell>
          <cell r="C135" t="str">
            <v xml:space="preserve">2-30 Noffke Court, Logan Reserve </v>
          </cell>
          <cell r="D135" t="str">
            <v>2020000</v>
          </cell>
        </row>
        <row r="136">
          <cell r="B136" t="str">
            <v>P0082</v>
          </cell>
          <cell r="C136" t="str">
            <v xml:space="preserve">180-186 Wayne Goss Drive BBERRINBA (Southwest 1 - Lot 35) </v>
          </cell>
          <cell r="D136" t="str">
            <v>2020000</v>
          </cell>
        </row>
        <row r="137">
          <cell r="B137" t="str">
            <v>P0083</v>
          </cell>
          <cell r="C137" t="str">
            <v>105 George Street, Beenleigh Beenleigh Customer Service Office</v>
          </cell>
          <cell r="D137" t="str">
            <v>2020000</v>
          </cell>
        </row>
        <row r="138">
          <cell r="B138" t="str">
            <v>P0084</v>
          </cell>
          <cell r="C138" t="str">
            <v xml:space="preserve">84-88 John Markell Parade Daisy Hill </v>
          </cell>
          <cell r="D138" t="str">
            <v>2020000</v>
          </cell>
        </row>
        <row r="139">
          <cell r="B139" t="str">
            <v>P0085</v>
          </cell>
          <cell r="C139" t="str">
            <v xml:space="preserve">Native Title Claims </v>
          </cell>
          <cell r="D139" t="str">
            <v>2020000</v>
          </cell>
        </row>
        <row r="140">
          <cell r="B140" t="str">
            <v>P0086</v>
          </cell>
          <cell r="C140" t="str">
            <v xml:space="preserve">33-35 Victor Street, Boronia Heights </v>
          </cell>
          <cell r="D140" t="str">
            <v>2020000</v>
          </cell>
        </row>
        <row r="141">
          <cell r="B141" t="str">
            <v>P0087</v>
          </cell>
          <cell r="C141" t="str">
            <v xml:space="preserve">16-18 River Street, Logan Village </v>
          </cell>
          <cell r="D141" t="str">
            <v>2020000</v>
          </cell>
        </row>
        <row r="142">
          <cell r="B142" t="str">
            <v>P0089</v>
          </cell>
          <cell r="C142" t="str">
            <v xml:space="preserve">Meadowbrook Golf Course </v>
          </cell>
          <cell r="D142" t="str">
            <v>2020000</v>
          </cell>
        </row>
        <row r="143">
          <cell r="B143" t="str">
            <v>P0090</v>
          </cell>
          <cell r="C143" t="str">
            <v xml:space="preserve">QPS Fryar Road </v>
          </cell>
          <cell r="D143" t="str">
            <v>2020000</v>
          </cell>
        </row>
        <row r="144">
          <cell r="B144" t="str">
            <v>P0091</v>
          </cell>
          <cell r="C144" t="str">
            <v xml:space="preserve">QPS Logan Village Green </v>
          </cell>
          <cell r="D144" t="str">
            <v>2020000</v>
          </cell>
        </row>
        <row r="145">
          <cell r="B145" t="str">
            <v>P0092</v>
          </cell>
          <cell r="C145" t="str">
            <v xml:space="preserve">68 Rosehill Court, Mundoolun (nbn) </v>
          </cell>
          <cell r="D145" t="str">
            <v>2020000</v>
          </cell>
        </row>
        <row r="146">
          <cell r="B146" t="str">
            <v>P0093</v>
          </cell>
          <cell r="C146" t="str">
            <v xml:space="preserve">Logan North (nbn) </v>
          </cell>
          <cell r="D146" t="str">
            <v>2020000</v>
          </cell>
        </row>
        <row r="147">
          <cell r="B147" t="str">
            <v>P0094</v>
          </cell>
          <cell r="C147" t="str">
            <v xml:space="preserve">Flood Buy Back </v>
          </cell>
          <cell r="D147" t="str">
            <v>2020000</v>
          </cell>
        </row>
        <row r="148">
          <cell r="B148" t="str">
            <v>P0096</v>
          </cell>
          <cell r="C148" t="str">
            <v xml:space="preserve">27-35 Jacaranda Avenue Logan Central </v>
          </cell>
          <cell r="D148" t="str">
            <v>2020000</v>
          </cell>
        </row>
        <row r="149">
          <cell r="B149" t="str">
            <v>P0097</v>
          </cell>
          <cell r="C149" t="str">
            <v xml:space="preserve">66 Pleasant View Road </v>
          </cell>
          <cell r="D149" t="str">
            <v>2020000</v>
          </cell>
        </row>
        <row r="150">
          <cell r="B150" t="str">
            <v>P0098</v>
          </cell>
          <cell r="C150" t="str">
            <v xml:space="preserve">1 Briggs Road, Springwood </v>
          </cell>
          <cell r="D150" t="str">
            <v>2020000</v>
          </cell>
        </row>
        <row r="151">
          <cell r="B151" t="str">
            <v>P0099</v>
          </cell>
          <cell r="C151" t="str">
            <v>35-41 Abell Road, Jimboomba Corporate Property Program</v>
          </cell>
          <cell r="D151" t="str">
            <v>2020000</v>
          </cell>
        </row>
        <row r="152">
          <cell r="B152" t="str">
            <v>P0100</v>
          </cell>
          <cell r="C152" t="str">
            <v>Land Parcels Transferred from Road Infrastructure Planning Branch</v>
          </cell>
          <cell r="D152" t="str">
            <v>2020000</v>
          </cell>
        </row>
        <row r="153">
          <cell r="B153" t="str">
            <v>P0101</v>
          </cell>
          <cell r="C153" t="str">
            <v>Telecommunication Facility – Daisy Hill SES Reserve Branch</v>
          </cell>
          <cell r="D153" t="str">
            <v>2020000</v>
          </cell>
        </row>
        <row r="154">
          <cell r="B154" t="str">
            <v>P0102</v>
          </cell>
          <cell r="C154" t="str">
            <v xml:space="preserve">CP Commercial Leasing Maintenance </v>
          </cell>
          <cell r="D154" t="str">
            <v>2020000</v>
          </cell>
        </row>
        <row r="155">
          <cell r="B155" t="str">
            <v>11021</v>
          </cell>
          <cell r="C155" t="str">
            <v xml:space="preserve">CP Administration Facilities </v>
          </cell>
          <cell r="D155" t="str">
            <v>2020000</v>
          </cell>
        </row>
        <row r="156">
          <cell r="B156" t="str">
            <v>11071</v>
          </cell>
          <cell r="C156" t="str">
            <v xml:space="preserve">CP Building Maintenance </v>
          </cell>
          <cell r="D156" t="str">
            <v>2020000</v>
          </cell>
        </row>
        <row r="157">
          <cell r="B157" t="str">
            <v>11081</v>
          </cell>
          <cell r="C157" t="str">
            <v xml:space="preserve">CP Precinct Maintenance </v>
          </cell>
          <cell r="D157" t="str">
            <v>2020000</v>
          </cell>
        </row>
        <row r="158">
          <cell r="B158" t="str">
            <v>11191</v>
          </cell>
          <cell r="C158" t="str">
            <v xml:space="preserve">CAC Precinct Safety Cameras </v>
          </cell>
          <cell r="D158" t="str">
            <v>2020000</v>
          </cell>
        </row>
        <row r="159">
          <cell r="B159" t="str">
            <v>11211</v>
          </cell>
          <cell r="C159" t="str">
            <v xml:space="preserve">Beenleigh Depot </v>
          </cell>
          <cell r="D159" t="str">
            <v>2020000</v>
          </cell>
        </row>
        <row r="160">
          <cell r="B160" t="str">
            <v>11221</v>
          </cell>
          <cell r="C160" t="str">
            <v xml:space="preserve">Marsden Depot - Parks </v>
          </cell>
          <cell r="D160" t="str">
            <v>2020000</v>
          </cell>
        </row>
        <row r="161">
          <cell r="B161" t="str">
            <v>11231</v>
          </cell>
          <cell r="C161" t="str">
            <v xml:space="preserve">Queens Road Depot </v>
          </cell>
          <cell r="D161" t="str">
            <v>2020000</v>
          </cell>
        </row>
        <row r="162">
          <cell r="B162" t="str">
            <v>11241</v>
          </cell>
          <cell r="C162" t="str">
            <v xml:space="preserve">Munruben Depot </v>
          </cell>
          <cell r="D162" t="str">
            <v>2020000</v>
          </cell>
        </row>
        <row r="163">
          <cell r="B163" t="str">
            <v>11251</v>
          </cell>
          <cell r="C163" t="str">
            <v xml:space="preserve">Trinder Park - Archive Facility </v>
          </cell>
          <cell r="D163" t="str">
            <v>2020000</v>
          </cell>
        </row>
        <row r="164">
          <cell r="B164" t="str">
            <v>11261</v>
          </cell>
          <cell r="C164" t="str">
            <v xml:space="preserve">Marsden Depot - RCM </v>
          </cell>
          <cell r="D164" t="str">
            <v>2020000</v>
          </cell>
        </row>
        <row r="165">
          <cell r="B165" t="str">
            <v>11271</v>
          </cell>
          <cell r="C165" t="str">
            <v xml:space="preserve">Anzac Day Ceremony </v>
          </cell>
          <cell r="D165" t="str">
            <v>2020000</v>
          </cell>
        </row>
        <row r="166">
          <cell r="B166" t="str">
            <v>11281</v>
          </cell>
          <cell r="C166" t="str">
            <v xml:space="preserve">Beenleigh Customer Service Office </v>
          </cell>
          <cell r="D166" t="str">
            <v>2020000</v>
          </cell>
        </row>
        <row r="167">
          <cell r="B167" t="str">
            <v>11291</v>
          </cell>
          <cell r="C167" t="str">
            <v xml:space="preserve">Loganholme Tourism Precinct (LTP) 4144-4152 Pacific Motorway </v>
          </cell>
          <cell r="D167" t="str">
            <v>2020000</v>
          </cell>
        </row>
        <row r="168">
          <cell r="B168" t="str">
            <v>A0051</v>
          </cell>
          <cell r="C168" t="str">
            <v xml:space="preserve">East Level 4 &amp; 5 Refurb </v>
          </cell>
          <cell r="D168" t="str">
            <v>2020000</v>
          </cell>
        </row>
        <row r="169">
          <cell r="B169" t="str">
            <v>A1022</v>
          </cell>
          <cell r="C169" t="str">
            <v xml:space="preserve">22 Wilbur St, Logan Central </v>
          </cell>
          <cell r="D169" t="str">
            <v>2020000</v>
          </cell>
        </row>
        <row r="170">
          <cell r="B170" t="str">
            <v>A1035</v>
          </cell>
          <cell r="C170" t="str">
            <v xml:space="preserve">Access Control System </v>
          </cell>
          <cell r="D170" t="str">
            <v>2020000</v>
          </cell>
        </row>
        <row r="171">
          <cell r="B171" t="str">
            <v>A1036</v>
          </cell>
          <cell r="C171" t="str">
            <v xml:space="preserve">Manila Street Security Upgrade </v>
          </cell>
          <cell r="D171" t="str">
            <v>2020000</v>
          </cell>
        </row>
        <row r="172">
          <cell r="B172" t="str">
            <v>A1037</v>
          </cell>
          <cell r="C172" t="str">
            <v xml:space="preserve">End of Trip </v>
          </cell>
          <cell r="D172" t="str">
            <v>2020000</v>
          </cell>
        </row>
        <row r="173">
          <cell r="B173" t="str">
            <v>A1038</v>
          </cell>
          <cell r="C173" t="str">
            <v xml:space="preserve">Pedestrian Crossing </v>
          </cell>
          <cell r="D173" t="str">
            <v>2020000</v>
          </cell>
        </row>
        <row r="174">
          <cell r="B174" t="str">
            <v>A1040</v>
          </cell>
          <cell r="C174" t="str">
            <v xml:space="preserve">CAC Main Entry Project </v>
          </cell>
          <cell r="D174" t="str">
            <v>2020000</v>
          </cell>
        </row>
        <row r="175">
          <cell r="B175" t="str">
            <v>A1044</v>
          </cell>
          <cell r="C175" t="str">
            <v xml:space="preserve">Refurb - Councillors </v>
          </cell>
          <cell r="D175" t="str">
            <v>2020000</v>
          </cell>
        </row>
        <row r="176">
          <cell r="B176" t="str">
            <v>A1047</v>
          </cell>
          <cell r="C176" t="str">
            <v xml:space="preserve">CAC - Audio Visual Equipment </v>
          </cell>
          <cell r="D176" t="str">
            <v>2020000</v>
          </cell>
        </row>
        <row r="177">
          <cell r="B177" t="str">
            <v>A1048</v>
          </cell>
          <cell r="C177" t="str">
            <v xml:space="preserve">City Administration - Air Conditioning </v>
          </cell>
          <cell r="D177" t="str">
            <v>2020000</v>
          </cell>
        </row>
        <row r="178">
          <cell r="B178" t="str">
            <v>A1049</v>
          </cell>
          <cell r="C178" t="str">
            <v xml:space="preserve">CAC - Fire Safety Equipment </v>
          </cell>
          <cell r="D178" t="str">
            <v>2020000</v>
          </cell>
        </row>
        <row r="179">
          <cell r="B179" t="str">
            <v>A1050</v>
          </cell>
          <cell r="C179" t="str">
            <v xml:space="preserve">CAC - Lifts </v>
          </cell>
          <cell r="D179" t="str">
            <v>2020000</v>
          </cell>
        </row>
        <row r="180">
          <cell r="B180" t="str">
            <v>A1051</v>
          </cell>
          <cell r="C180" t="str">
            <v xml:space="preserve">DA Refurb </v>
          </cell>
          <cell r="D180" t="str">
            <v>2020000</v>
          </cell>
        </row>
        <row r="181">
          <cell r="B181" t="str">
            <v>A1052</v>
          </cell>
          <cell r="C181" t="str">
            <v xml:space="preserve">Logan Memorial Garden </v>
          </cell>
          <cell r="D181" t="str">
            <v>2020000</v>
          </cell>
        </row>
        <row r="182">
          <cell r="B182" t="str">
            <v>A1054</v>
          </cell>
          <cell r="C182" t="str">
            <v xml:space="preserve">Strategic Accommodation </v>
          </cell>
          <cell r="D182" t="str">
            <v>2020000</v>
          </cell>
        </row>
        <row r="183">
          <cell r="B183" t="str">
            <v>A1055</v>
          </cell>
          <cell r="C183" t="str">
            <v xml:space="preserve">PFS Fit out and fittings </v>
          </cell>
          <cell r="D183" t="str">
            <v>2020000</v>
          </cell>
        </row>
        <row r="184">
          <cell r="B184" t="str">
            <v>A1056</v>
          </cell>
          <cell r="C184" t="str">
            <v xml:space="preserve">Enhanced Security Controls Framework </v>
          </cell>
          <cell r="D184" t="str">
            <v>2020000</v>
          </cell>
        </row>
        <row r="185">
          <cell r="B185" t="str">
            <v>A1058</v>
          </cell>
          <cell r="C185" t="str">
            <v xml:space="preserve">Carpool Fence </v>
          </cell>
          <cell r="D185" t="str">
            <v>2020000</v>
          </cell>
        </row>
        <row r="186">
          <cell r="B186" t="str">
            <v>A1059</v>
          </cell>
          <cell r="C186" t="str">
            <v xml:space="preserve">General Maintenance </v>
          </cell>
          <cell r="D186" t="str">
            <v>2020000</v>
          </cell>
        </row>
        <row r="187">
          <cell r="B187" t="str">
            <v>A1060</v>
          </cell>
          <cell r="C187" t="str">
            <v xml:space="preserve">Lift Maintenance </v>
          </cell>
          <cell r="D187" t="str">
            <v>2020000</v>
          </cell>
        </row>
        <row r="188">
          <cell r="B188" t="str">
            <v>A1061</v>
          </cell>
          <cell r="C188" t="str">
            <v xml:space="preserve">Audio Visual </v>
          </cell>
          <cell r="D188" t="str">
            <v>2020000</v>
          </cell>
        </row>
        <row r="189">
          <cell r="B189" t="str">
            <v>A1062</v>
          </cell>
          <cell r="C189" t="str">
            <v xml:space="preserve">South West Depot </v>
          </cell>
          <cell r="D189" t="str">
            <v>2020000</v>
          </cell>
        </row>
        <row r="190">
          <cell r="B190" t="str">
            <v>A1063</v>
          </cell>
          <cell r="C190" t="str">
            <v xml:space="preserve">Key management and Vehicle booking system </v>
          </cell>
          <cell r="D190" t="str">
            <v>2020000</v>
          </cell>
        </row>
        <row r="191">
          <cell r="B191" t="str">
            <v>A1064</v>
          </cell>
          <cell r="C191" t="str">
            <v xml:space="preserve">Kingston Quarry </v>
          </cell>
          <cell r="D191" t="str">
            <v>2020000</v>
          </cell>
        </row>
        <row r="192">
          <cell r="B192" t="str">
            <v>A1065</v>
          </cell>
          <cell r="C192" t="str">
            <v xml:space="preserve">Marsden Depot - Stores </v>
          </cell>
          <cell r="D192" t="str">
            <v>2020000</v>
          </cell>
        </row>
        <row r="193">
          <cell r="B193" t="str">
            <v>A1066</v>
          </cell>
          <cell r="C193" t="str">
            <v xml:space="preserve">Marsden Depot - PFS </v>
          </cell>
          <cell r="D193" t="str">
            <v>2020000</v>
          </cell>
        </row>
        <row r="194">
          <cell r="B194" t="str">
            <v>A1067</v>
          </cell>
          <cell r="C194" t="str">
            <v xml:space="preserve">SCI Security </v>
          </cell>
          <cell r="D194" t="str">
            <v>2020000</v>
          </cell>
        </row>
        <row r="195">
          <cell r="B195" t="str">
            <v>P0111</v>
          </cell>
          <cell r="C195" t="str">
            <v xml:space="preserve">Logan SES HQ - 26-36 Winnetts Rd Daisy Hill </v>
          </cell>
          <cell r="D195" t="str">
            <v>2020000</v>
          </cell>
        </row>
        <row r="196">
          <cell r="B196" t="str">
            <v>P0121</v>
          </cell>
          <cell r="C196" t="str">
            <v xml:space="preserve">Logan Central Group -5 Garfield St, Woodridge </v>
          </cell>
          <cell r="D196" t="str">
            <v>2020000</v>
          </cell>
        </row>
        <row r="197">
          <cell r="B197" t="str">
            <v>P0131</v>
          </cell>
          <cell r="C197" t="str">
            <v xml:space="preserve">Beenleigh Group - 36 Martens Rd, Beenleigh </v>
          </cell>
          <cell r="D197" t="str">
            <v>2020000</v>
          </cell>
        </row>
        <row r="198">
          <cell r="B198" t="str">
            <v>P0141</v>
          </cell>
          <cell r="C198" t="str">
            <v xml:space="preserve">Logan West Group - 3820 Mt Lindsay Hwy, Park Ridge </v>
          </cell>
          <cell r="D198" t="str">
            <v>2020000</v>
          </cell>
        </row>
        <row r="199">
          <cell r="B199" t="str">
            <v>P0151</v>
          </cell>
          <cell r="C199" t="str">
            <v xml:space="preserve">Jimboomba Group - 37 Matt Ct, Jimboomba </v>
          </cell>
          <cell r="D199" t="str">
            <v>2020000</v>
          </cell>
        </row>
        <row r="200">
          <cell r="B200" t="str">
            <v>P0161</v>
          </cell>
          <cell r="C200" t="str">
            <v>Logan Village Group - 1464 Waterford-Tamborine Rd, Logan Vil lage</v>
          </cell>
          <cell r="D200" t="str">
            <v>2020000</v>
          </cell>
        </row>
        <row r="201">
          <cell r="B201" t="str">
            <v>11501</v>
          </cell>
          <cell r="C201" t="str">
            <v xml:space="preserve">Finance Management </v>
          </cell>
          <cell r="D201" t="str">
            <v>2030000</v>
          </cell>
        </row>
        <row r="202">
          <cell r="B202" t="str">
            <v>11691</v>
          </cell>
          <cell r="C202" t="str">
            <v xml:space="preserve">Finance COVID-19 </v>
          </cell>
          <cell r="D202" t="str">
            <v>2030000</v>
          </cell>
        </row>
        <row r="203">
          <cell r="B203" t="str">
            <v>11521</v>
          </cell>
          <cell r="C203" t="str">
            <v xml:space="preserve">Financial Accounting </v>
          </cell>
          <cell r="D203" t="str">
            <v>2030000</v>
          </cell>
        </row>
        <row r="204">
          <cell r="B204" t="str">
            <v>11511</v>
          </cell>
          <cell r="C204" t="str">
            <v xml:space="preserve">Corporate Accounting </v>
          </cell>
          <cell r="D204" t="str">
            <v>2030000</v>
          </cell>
        </row>
        <row r="205">
          <cell r="B205" t="str">
            <v>11541</v>
          </cell>
          <cell r="C205" t="str">
            <v xml:space="preserve">Accounts Payable </v>
          </cell>
          <cell r="D205" t="str">
            <v>2030000</v>
          </cell>
        </row>
        <row r="206">
          <cell r="B206" t="str">
            <v>11551</v>
          </cell>
          <cell r="C206" t="str">
            <v xml:space="preserve">Payroll Services </v>
          </cell>
          <cell r="D206" t="str">
            <v>2030000</v>
          </cell>
        </row>
        <row r="207">
          <cell r="B207" t="str">
            <v>11561</v>
          </cell>
          <cell r="C207" t="str">
            <v xml:space="preserve">Accounts Receivable </v>
          </cell>
          <cell r="D207" t="str">
            <v>2030000</v>
          </cell>
        </row>
        <row r="208">
          <cell r="B208" t="str">
            <v>11631</v>
          </cell>
          <cell r="C208" t="str">
            <v xml:space="preserve">Payroll - Workcare </v>
          </cell>
          <cell r="D208" t="str">
            <v>2030000</v>
          </cell>
        </row>
        <row r="209">
          <cell r="B209" t="str">
            <v>11671</v>
          </cell>
          <cell r="C209" t="str">
            <v xml:space="preserve">Banking </v>
          </cell>
          <cell r="D209" t="str">
            <v>2030000</v>
          </cell>
        </row>
        <row r="210">
          <cell r="B210" t="str">
            <v>11681</v>
          </cell>
          <cell r="C210" t="str">
            <v xml:space="preserve">Financial Operations </v>
          </cell>
          <cell r="D210" t="str">
            <v>2030000</v>
          </cell>
        </row>
        <row r="211">
          <cell r="B211" t="str">
            <v>11091</v>
          </cell>
          <cell r="C211" t="str">
            <v xml:space="preserve">FI Procurement </v>
          </cell>
          <cell r="D211" t="str">
            <v>2030000</v>
          </cell>
        </row>
        <row r="212">
          <cell r="B212" t="str">
            <v>11121</v>
          </cell>
          <cell r="C212" t="str">
            <v xml:space="preserve">FI Purchasing </v>
          </cell>
          <cell r="D212" t="str">
            <v>2030000</v>
          </cell>
        </row>
        <row r="213">
          <cell r="B213" t="str">
            <v>11131</v>
          </cell>
          <cell r="C213" t="str">
            <v xml:space="preserve">FI Inventory Management </v>
          </cell>
          <cell r="D213" t="str">
            <v>2030000</v>
          </cell>
        </row>
        <row r="214">
          <cell r="B214" t="str">
            <v>31111</v>
          </cell>
          <cell r="C214" t="str">
            <v xml:space="preserve">South West Depot </v>
          </cell>
          <cell r="D214" t="str">
            <v>2030000</v>
          </cell>
        </row>
        <row r="215">
          <cell r="B215" t="str">
            <v>11571</v>
          </cell>
          <cell r="C215" t="str">
            <v xml:space="preserve">Revenue Accounting </v>
          </cell>
          <cell r="D215" t="str">
            <v>2030000</v>
          </cell>
        </row>
        <row r="216">
          <cell r="B216" t="str">
            <v>11581</v>
          </cell>
          <cell r="C216" t="str">
            <v xml:space="preserve">Debt Collection </v>
          </cell>
          <cell r="D216" t="str">
            <v>2030000</v>
          </cell>
        </row>
        <row r="217">
          <cell r="B217" t="str">
            <v>11591</v>
          </cell>
          <cell r="C217" t="str">
            <v xml:space="preserve">Revenue Management </v>
          </cell>
          <cell r="D217" t="str">
            <v>2030000</v>
          </cell>
        </row>
        <row r="218">
          <cell r="B218" t="str">
            <v>11661</v>
          </cell>
          <cell r="C218" t="str">
            <v xml:space="preserve">Searches </v>
          </cell>
          <cell r="D218" t="str">
            <v>2030000</v>
          </cell>
        </row>
        <row r="219">
          <cell r="B219" t="str">
            <v>10001</v>
          </cell>
          <cell r="C219" t="str">
            <v xml:space="preserve">Mayor </v>
          </cell>
          <cell r="D219" t="str">
            <v>2040000</v>
          </cell>
        </row>
        <row r="220">
          <cell r="B220" t="str">
            <v>10011</v>
          </cell>
          <cell r="C220" t="str">
            <v xml:space="preserve">Division One </v>
          </cell>
          <cell r="D220" t="str">
            <v>2040000</v>
          </cell>
        </row>
        <row r="221">
          <cell r="B221" t="str">
            <v>10021</v>
          </cell>
          <cell r="C221" t="str">
            <v xml:space="preserve">Division Two </v>
          </cell>
          <cell r="D221" t="str">
            <v>2040000</v>
          </cell>
        </row>
        <row r="222">
          <cell r="B222" t="str">
            <v>10031</v>
          </cell>
          <cell r="C222" t="str">
            <v xml:space="preserve">Division Three </v>
          </cell>
          <cell r="D222" t="str">
            <v>2040000</v>
          </cell>
        </row>
        <row r="223">
          <cell r="B223" t="str">
            <v>10041</v>
          </cell>
          <cell r="C223" t="str">
            <v xml:space="preserve">Division Four </v>
          </cell>
          <cell r="D223" t="str">
            <v>2040000</v>
          </cell>
        </row>
        <row r="224">
          <cell r="B224" t="str">
            <v>10051</v>
          </cell>
          <cell r="C224" t="str">
            <v xml:space="preserve">Division Five </v>
          </cell>
          <cell r="D224" t="str">
            <v>2040000</v>
          </cell>
        </row>
        <row r="225">
          <cell r="B225" t="str">
            <v>10061</v>
          </cell>
          <cell r="C225" t="str">
            <v xml:space="preserve">Division Six </v>
          </cell>
          <cell r="D225" t="str">
            <v>2040000</v>
          </cell>
        </row>
        <row r="226">
          <cell r="B226" t="str">
            <v>10071</v>
          </cell>
          <cell r="C226" t="str">
            <v xml:space="preserve">Division Seven </v>
          </cell>
          <cell r="D226" t="str">
            <v>2040000</v>
          </cell>
        </row>
        <row r="227">
          <cell r="B227" t="str">
            <v>10081</v>
          </cell>
          <cell r="C227" t="str">
            <v xml:space="preserve">Division Eight </v>
          </cell>
          <cell r="D227" t="str">
            <v>2040000</v>
          </cell>
        </row>
        <row r="228">
          <cell r="B228" t="str">
            <v>10091</v>
          </cell>
          <cell r="C228" t="str">
            <v xml:space="preserve">Division Nine </v>
          </cell>
          <cell r="D228" t="str">
            <v>2040000</v>
          </cell>
        </row>
        <row r="229">
          <cell r="B229" t="str">
            <v>10101</v>
          </cell>
          <cell r="C229" t="str">
            <v xml:space="preserve">Division Ten </v>
          </cell>
          <cell r="D229" t="str">
            <v>2040000</v>
          </cell>
        </row>
        <row r="230">
          <cell r="B230" t="str">
            <v>10111</v>
          </cell>
          <cell r="C230" t="str">
            <v xml:space="preserve">Division Eleven </v>
          </cell>
          <cell r="D230" t="str">
            <v>2040000</v>
          </cell>
        </row>
        <row r="231">
          <cell r="B231" t="str">
            <v>10121</v>
          </cell>
          <cell r="C231" t="str">
            <v xml:space="preserve">Division Twelve </v>
          </cell>
          <cell r="D231" t="str">
            <v>2040000</v>
          </cell>
        </row>
        <row r="232">
          <cell r="B232" t="str">
            <v>10201</v>
          </cell>
          <cell r="C232" t="str">
            <v xml:space="preserve">Governance Branch Management </v>
          </cell>
          <cell r="D232" t="str">
            <v>2040000</v>
          </cell>
        </row>
        <row r="233">
          <cell r="B233" t="str">
            <v>10211</v>
          </cell>
          <cell r="C233" t="str">
            <v xml:space="preserve">Councillor Administration </v>
          </cell>
          <cell r="D233" t="str">
            <v>2040000</v>
          </cell>
        </row>
        <row r="234">
          <cell r="B234" t="str">
            <v>10221</v>
          </cell>
          <cell r="C234" t="str">
            <v xml:space="preserve">Elections </v>
          </cell>
          <cell r="D234" t="str">
            <v>2040000</v>
          </cell>
        </row>
        <row r="235">
          <cell r="B235" t="str">
            <v>10231</v>
          </cell>
          <cell r="C235" t="str">
            <v xml:space="preserve">Councillor Advisors Expenses </v>
          </cell>
          <cell r="D235" t="str">
            <v>2040000</v>
          </cell>
        </row>
        <row r="236">
          <cell r="B236" t="str">
            <v>10321</v>
          </cell>
          <cell r="C236" t="str">
            <v xml:space="preserve">Councillor Expenses &amp; Entitlements </v>
          </cell>
          <cell r="D236" t="str">
            <v>2040000</v>
          </cell>
        </row>
        <row r="237">
          <cell r="B237" t="str">
            <v>10331</v>
          </cell>
          <cell r="C237" t="str">
            <v xml:space="preserve">Governance COVID-19 </v>
          </cell>
          <cell r="D237" t="str">
            <v>2040000</v>
          </cell>
        </row>
        <row r="238">
          <cell r="B238" t="str">
            <v>14051</v>
          </cell>
          <cell r="C238" t="str">
            <v xml:space="preserve">Local Government Association of Queensland </v>
          </cell>
          <cell r="D238" t="str">
            <v>2040000</v>
          </cell>
        </row>
        <row r="239">
          <cell r="B239" t="str">
            <v>14061</v>
          </cell>
          <cell r="C239" t="str">
            <v xml:space="preserve">Transition to Council </v>
          </cell>
          <cell r="D239" t="str">
            <v>2040000</v>
          </cell>
        </row>
        <row r="240">
          <cell r="B240" t="str">
            <v>16041</v>
          </cell>
          <cell r="C240" t="str">
            <v xml:space="preserve">Corporate Support </v>
          </cell>
          <cell r="D240" t="str">
            <v>2040000</v>
          </cell>
        </row>
        <row r="241">
          <cell r="B241" t="str">
            <v>21161</v>
          </cell>
          <cell r="C241" t="str">
            <v xml:space="preserve">Mayor’s Office </v>
          </cell>
          <cell r="D241" t="str">
            <v>2040000</v>
          </cell>
        </row>
        <row r="242">
          <cell r="B242" t="str">
            <v>10241</v>
          </cell>
          <cell r="C242" t="str">
            <v xml:space="preserve">Integrity &amp; Information </v>
          </cell>
          <cell r="D242" t="str">
            <v>2040000</v>
          </cell>
        </row>
        <row r="243">
          <cell r="B243" t="str">
            <v>10271</v>
          </cell>
          <cell r="C243" t="str">
            <v xml:space="preserve">Corporate Meetings </v>
          </cell>
          <cell r="D243" t="str">
            <v>2040000</v>
          </cell>
        </row>
        <row r="244">
          <cell r="B244" t="str">
            <v>10291</v>
          </cell>
          <cell r="C244" t="str">
            <v xml:space="preserve">Governance, Compliance and Risk </v>
          </cell>
          <cell r="D244" t="str">
            <v>2040000</v>
          </cell>
        </row>
        <row r="245">
          <cell r="B245" t="str">
            <v>11101</v>
          </cell>
          <cell r="C245" t="str">
            <v xml:space="preserve">Insurance </v>
          </cell>
          <cell r="D245" t="str">
            <v>2040000</v>
          </cell>
        </row>
        <row r="246">
          <cell r="B246" t="str">
            <v>14031</v>
          </cell>
          <cell r="C246" t="str">
            <v xml:space="preserve">Internal Audit </v>
          </cell>
          <cell r="D246" t="str">
            <v>2040000</v>
          </cell>
        </row>
        <row r="247">
          <cell r="B247" t="str">
            <v>W0001</v>
          </cell>
          <cell r="C247" t="str">
            <v xml:space="preserve">End of Financial Year Tfr to Reserve </v>
          </cell>
          <cell r="D247" t="str">
            <v>2040000</v>
          </cell>
        </row>
        <row r="248">
          <cell r="B248" t="str">
            <v>W1020</v>
          </cell>
          <cell r="C248" t="str">
            <v>Governance Insurance Damages - Insurance Program Use Only</v>
          </cell>
          <cell r="D248" t="str">
            <v>2040000</v>
          </cell>
        </row>
        <row r="249">
          <cell r="B249" t="str">
            <v>W1050</v>
          </cell>
          <cell r="C249" t="str">
            <v>Organisational Services Directorate Insurance Damages - Insurance Program Use Only</v>
          </cell>
          <cell r="D249" t="str">
            <v>2040000</v>
          </cell>
        </row>
        <row r="250">
          <cell r="B250" t="str">
            <v>W1100</v>
          </cell>
          <cell r="C250" t="str">
            <v>Administration Insurance Damages - Insurance Program Use Only</v>
          </cell>
          <cell r="D250" t="str">
            <v>2040000</v>
          </cell>
        </row>
        <row r="251">
          <cell r="B251" t="str">
            <v>W1150</v>
          </cell>
          <cell r="C251" t="str">
            <v>Finance Insurance Damages - Insurance Program Use Only</v>
          </cell>
          <cell r="D251" t="str">
            <v>2040000</v>
          </cell>
        </row>
        <row r="252">
          <cell r="B252" t="str">
            <v>W1200</v>
          </cell>
          <cell r="C252" t="str">
            <v>Information Services Insurance Damages - Insurance Program Use Only</v>
          </cell>
          <cell r="D252" t="str">
            <v>2040000</v>
          </cell>
        </row>
        <row r="253">
          <cell r="B253" t="str">
            <v>W1250</v>
          </cell>
          <cell r="C253" t="str">
            <v>People &amp; Culture Insurance Damages - Insurance Program Use Only</v>
          </cell>
          <cell r="D253" t="str">
            <v>2040000</v>
          </cell>
        </row>
        <row r="254">
          <cell r="B254" t="str">
            <v>W1300</v>
          </cell>
          <cell r="C254" t="str">
            <v>Plant Fleet Services Insurance Damages - Insurance Program Use Only</v>
          </cell>
          <cell r="D254" t="str">
            <v>2040000</v>
          </cell>
        </row>
        <row r="255">
          <cell r="B255" t="str">
            <v>W1400</v>
          </cell>
          <cell r="C255" t="str">
            <v>Chief Executive Officer Insurance Damages - Insurance Program Use Only</v>
          </cell>
          <cell r="D255" t="str">
            <v>2040000</v>
          </cell>
        </row>
        <row r="256">
          <cell r="B256" t="str">
            <v>W1420</v>
          </cell>
          <cell r="C256" t="str">
            <v>Strategy &amp; Sustainability Directorate Insurance Damages - Insurance Program Use Only</v>
          </cell>
          <cell r="D256" t="str">
            <v>2040000</v>
          </cell>
        </row>
        <row r="257">
          <cell r="B257" t="str">
            <v>W1450</v>
          </cell>
          <cell r="C257" t="str">
            <v>Development Assessment Insurance Damages - Insurance Program Use Only</v>
          </cell>
          <cell r="D257" t="str">
            <v>2040000</v>
          </cell>
        </row>
        <row r="258">
          <cell r="B258" t="str">
            <v>W1550</v>
          </cell>
          <cell r="C258" t="str">
            <v>Economic Development Insurance Damages - Insurance Program Use Only</v>
          </cell>
          <cell r="D258" t="str">
            <v>2040000</v>
          </cell>
        </row>
        <row r="259">
          <cell r="B259" t="str">
            <v>W1570</v>
          </cell>
          <cell r="C259" t="str">
            <v>Environment &amp; Sustainability Insurance Damages - Insurance Program Use Only</v>
          </cell>
          <cell r="D259" t="str">
            <v>2040000</v>
          </cell>
        </row>
        <row r="260">
          <cell r="B260" t="str">
            <v>W1600</v>
          </cell>
          <cell r="C260" t="str">
            <v>Outcomes &amp; Performance Insurance Damages - Insurance Program Use Only</v>
          </cell>
          <cell r="D260" t="str">
            <v>2040000</v>
          </cell>
        </row>
        <row r="261">
          <cell r="B261" t="str">
            <v>W1615</v>
          </cell>
          <cell r="C261" t="str">
            <v>Strategy &amp; Planning Insurance Damages - Insurance Program Use Only</v>
          </cell>
          <cell r="D261" t="str">
            <v>2040000</v>
          </cell>
        </row>
        <row r="262">
          <cell r="B262" t="str">
            <v>W1650</v>
          </cell>
          <cell r="C262" t="str">
            <v>Community &amp; Customer Services Directorate Insurance Damages - Insurance Program Use Only</v>
          </cell>
          <cell r="D262" t="str">
            <v>2040000</v>
          </cell>
        </row>
        <row r="263">
          <cell r="B263" t="str">
            <v>W1660</v>
          </cell>
          <cell r="C263" t="str">
            <v>Animal &amp; Pest Services Insurance Damages - Insurance Program Use Only</v>
          </cell>
          <cell r="D263" t="str">
            <v>2040000</v>
          </cell>
        </row>
        <row r="264">
          <cell r="B264" t="str">
            <v>W1700</v>
          </cell>
          <cell r="C264" t="str">
            <v>City Standards Insurance Damages - Insurance Program Use Only</v>
          </cell>
          <cell r="D264" t="str">
            <v>2040000</v>
          </cell>
        </row>
        <row r="265">
          <cell r="B265" t="str">
            <v>W1750</v>
          </cell>
          <cell r="C265" t="str">
            <v>Community Engagement &amp; Marketing Insurance Damages - Insurance Program Use Only</v>
          </cell>
          <cell r="D265" t="str">
            <v>2040000</v>
          </cell>
        </row>
        <row r="266">
          <cell r="B266" t="str">
            <v>W1770</v>
          </cell>
          <cell r="C266" t="str">
            <v>Major Venues and Facilities Insurance Damages - Insurance Program Use Only</v>
          </cell>
          <cell r="D266" t="str">
            <v>2040000</v>
          </cell>
        </row>
        <row r="267">
          <cell r="B267" t="str">
            <v>W1800</v>
          </cell>
          <cell r="C267" t="str">
            <v>Community Services Insurance Damages - Insurance Program Use Only</v>
          </cell>
          <cell r="D267" t="str">
            <v>2040000</v>
          </cell>
        </row>
        <row r="268">
          <cell r="B268" t="str">
            <v>W1820</v>
          </cell>
          <cell r="C268" t="str">
            <v>Customer Service Insurance Damages - Insurance Program Use Only</v>
          </cell>
          <cell r="D268" t="str">
            <v>2040000</v>
          </cell>
        </row>
        <row r="269">
          <cell r="B269" t="str">
            <v>W1850</v>
          </cell>
          <cell r="C269" t="str">
            <v>Libraries &amp; Cultural Services Insurance Damages - Insurance Program Use Only</v>
          </cell>
          <cell r="D269" t="str">
            <v>2040000</v>
          </cell>
        </row>
        <row r="270">
          <cell r="B270" t="str">
            <v>W1930</v>
          </cell>
          <cell r="C270" t="str">
            <v>Road &amp; Water Infrastructure Directorate Insurance Damages - Insurance Program Use Only</v>
          </cell>
          <cell r="D270" t="str">
            <v>2040000</v>
          </cell>
        </row>
        <row r="271">
          <cell r="B271" t="str">
            <v>W1950</v>
          </cell>
          <cell r="C271" t="str">
            <v>Road Infrastructure Planning Insurance Damages - Insurance Program Use Only</v>
          </cell>
          <cell r="D271" t="str">
            <v>2040000</v>
          </cell>
        </row>
        <row r="272">
          <cell r="B272" t="str">
            <v>W2000</v>
          </cell>
          <cell r="C272" t="str">
            <v>Parks Insurance Damages - Insurance Program Use Only</v>
          </cell>
          <cell r="D272" t="str">
            <v>2040000</v>
          </cell>
        </row>
        <row r="273">
          <cell r="B273" t="str">
            <v>W2071</v>
          </cell>
          <cell r="C273" t="str">
            <v>Road Construction &amp; Maintenance Insurance Damages - Insurance Program Use Only</v>
          </cell>
          <cell r="D273" t="str">
            <v>2040000</v>
          </cell>
        </row>
        <row r="274">
          <cell r="B274" t="str">
            <v>W3000</v>
          </cell>
          <cell r="C274" t="str">
            <v>Road Infrastructure Delivery Insurance Damages - Insurance Program Use Only</v>
          </cell>
          <cell r="D274" t="str">
            <v>2040000</v>
          </cell>
        </row>
        <row r="275">
          <cell r="B275" t="str">
            <v>W3028</v>
          </cell>
          <cell r="C275" t="str">
            <v>Disaster Management &amp; Specialist Engineering Support Service Insurance Damages - Insurance Program Use Only</v>
          </cell>
          <cell r="D275" t="str">
            <v>2040000</v>
          </cell>
        </row>
        <row r="276">
          <cell r="B276" t="str">
            <v>W4039</v>
          </cell>
          <cell r="C276" t="str">
            <v>Water Operations Insurance Damages - Insurance Program Use Only</v>
          </cell>
          <cell r="D276" t="str">
            <v>2040000</v>
          </cell>
        </row>
        <row r="277">
          <cell r="B277" t="str">
            <v>W4147</v>
          </cell>
          <cell r="C277" t="str">
            <v>Water Business Insurance Damages - Insurance Program Use Only</v>
          </cell>
          <cell r="D277" t="str">
            <v>2040000</v>
          </cell>
        </row>
        <row r="278">
          <cell r="B278" t="str">
            <v>12001</v>
          </cell>
          <cell r="C278" t="str">
            <v xml:space="preserve">Information Services Branch Management </v>
          </cell>
          <cell r="D278" t="str">
            <v>2050000</v>
          </cell>
        </row>
        <row r="279">
          <cell r="B279" t="str">
            <v>F0208</v>
          </cell>
          <cell r="C279" t="str">
            <v xml:space="preserve">Third Party IT Services </v>
          </cell>
          <cell r="D279" t="str">
            <v>2050000</v>
          </cell>
        </row>
        <row r="280">
          <cell r="B280" t="str">
            <v>F0286</v>
          </cell>
          <cell r="C280" t="str">
            <v xml:space="preserve">IT CCTV Management </v>
          </cell>
          <cell r="D280" t="str">
            <v>2050000</v>
          </cell>
        </row>
        <row r="281">
          <cell r="B281" t="str">
            <v>12021</v>
          </cell>
          <cell r="C281" t="str">
            <v xml:space="preserve">Digital Infrastructure </v>
          </cell>
          <cell r="D281" t="str">
            <v>2050000</v>
          </cell>
        </row>
        <row r="282">
          <cell r="B282" t="str">
            <v>12061</v>
          </cell>
          <cell r="C282" t="str">
            <v xml:space="preserve">Water IT equipment </v>
          </cell>
          <cell r="D282" t="str">
            <v>2050000</v>
          </cell>
        </row>
        <row r="283">
          <cell r="B283" t="str">
            <v>F0040</v>
          </cell>
          <cell r="C283" t="str">
            <v xml:space="preserve">NAR Project </v>
          </cell>
          <cell r="D283" t="str">
            <v>2050000</v>
          </cell>
        </row>
        <row r="284">
          <cell r="B284" t="str">
            <v>F0045</v>
          </cell>
          <cell r="C284" t="str">
            <v xml:space="preserve">Cyber Uplift Phase 3 2023/24 </v>
          </cell>
          <cell r="D284" t="str">
            <v>2050000</v>
          </cell>
        </row>
        <row r="285">
          <cell r="B285" t="str">
            <v>F0046</v>
          </cell>
          <cell r="C285" t="str">
            <v xml:space="preserve">IT Network Transition 2023/24 </v>
          </cell>
          <cell r="D285" t="str">
            <v>2050000</v>
          </cell>
        </row>
        <row r="286">
          <cell r="B286" t="str">
            <v>F0053</v>
          </cell>
          <cell r="C286" t="str">
            <v xml:space="preserve">SCADA Network Segregation 2023/24 </v>
          </cell>
          <cell r="D286" t="str">
            <v>2050000</v>
          </cell>
        </row>
        <row r="287">
          <cell r="B287" t="str">
            <v>F0054</v>
          </cell>
          <cell r="C287" t="str">
            <v xml:space="preserve">Cybersecurity BAU </v>
          </cell>
          <cell r="D287" t="str">
            <v>2050000</v>
          </cell>
        </row>
        <row r="288">
          <cell r="B288" t="str">
            <v>F0055</v>
          </cell>
          <cell r="C288" t="str">
            <v xml:space="preserve">Foundation Services Hardware Replacement </v>
          </cell>
          <cell r="D288" t="str">
            <v>2050000</v>
          </cell>
        </row>
        <row r="289">
          <cell r="B289" t="str">
            <v>F0058</v>
          </cell>
          <cell r="C289" t="str">
            <v xml:space="preserve">Data Loss Prevention </v>
          </cell>
          <cell r="D289" t="str">
            <v>2050000</v>
          </cell>
        </row>
        <row r="290">
          <cell r="B290" t="str">
            <v>F0072</v>
          </cell>
          <cell r="C290" t="str">
            <v xml:space="preserve">On-Premise Exchange Decommissioning </v>
          </cell>
          <cell r="D290" t="str">
            <v>2050000</v>
          </cell>
        </row>
        <row r="291">
          <cell r="B291" t="str">
            <v>F0115</v>
          </cell>
          <cell r="C291" t="str">
            <v xml:space="preserve">Cyber Security ISMS </v>
          </cell>
          <cell r="D291" t="str">
            <v>2050000</v>
          </cell>
        </row>
        <row r="292">
          <cell r="B292" t="str">
            <v>F0119</v>
          </cell>
          <cell r="C292" t="str">
            <v xml:space="preserve">2025 TC Weather Event </v>
          </cell>
          <cell r="D292" t="str">
            <v>2050000</v>
          </cell>
        </row>
        <row r="293">
          <cell r="B293" t="str">
            <v>F0121</v>
          </cell>
          <cell r="C293" t="str">
            <v xml:space="preserve">Network Maintenance </v>
          </cell>
          <cell r="D293" t="str">
            <v>2050000</v>
          </cell>
        </row>
        <row r="294">
          <cell r="B294" t="str">
            <v>F0135</v>
          </cell>
          <cell r="C294" t="str">
            <v xml:space="preserve">Content Management Roadmap </v>
          </cell>
          <cell r="D294" t="str">
            <v>2050000</v>
          </cell>
        </row>
        <row r="295">
          <cell r="B295" t="str">
            <v>F0212</v>
          </cell>
          <cell r="C295" t="str">
            <v xml:space="preserve">Network Architecture Uplift </v>
          </cell>
          <cell r="D295" t="str">
            <v>2050000</v>
          </cell>
        </row>
        <row r="296">
          <cell r="B296" t="str">
            <v>F0213</v>
          </cell>
          <cell r="C296" t="str">
            <v xml:space="preserve">Azure Archeture </v>
          </cell>
          <cell r="D296" t="str">
            <v>2050000</v>
          </cell>
        </row>
        <row r="297">
          <cell r="B297" t="str">
            <v>F0216</v>
          </cell>
          <cell r="C297" t="str">
            <v xml:space="preserve">LSCP Network </v>
          </cell>
          <cell r="D297" t="str">
            <v>2050000</v>
          </cell>
        </row>
        <row r="298">
          <cell r="B298" t="str">
            <v>F0250</v>
          </cell>
          <cell r="C298" t="str">
            <v xml:space="preserve">Network Hardware Replacements </v>
          </cell>
          <cell r="D298" t="str">
            <v>2050000</v>
          </cell>
        </row>
        <row r="299">
          <cell r="B299" t="str">
            <v>F0252</v>
          </cell>
          <cell r="C299" t="str">
            <v xml:space="preserve">System Monitoring Solution </v>
          </cell>
          <cell r="D299" t="str">
            <v>2050000</v>
          </cell>
        </row>
        <row r="300">
          <cell r="B300" t="str">
            <v>F0287</v>
          </cell>
          <cell r="C300" t="str">
            <v xml:space="preserve">Safety Camera Service Modernisation Project </v>
          </cell>
          <cell r="D300" t="str">
            <v>2050000</v>
          </cell>
        </row>
        <row r="301">
          <cell r="B301" t="str">
            <v>F0289</v>
          </cell>
          <cell r="C301" t="str">
            <v xml:space="preserve">ITS Environment </v>
          </cell>
          <cell r="D301" t="str">
            <v>2050000</v>
          </cell>
        </row>
        <row r="302">
          <cell r="B302" t="str">
            <v>F2100</v>
          </cell>
          <cell r="C302" t="str">
            <v xml:space="preserve">Ad Hoc Requests from Departments </v>
          </cell>
          <cell r="D302" t="str">
            <v>2050000</v>
          </cell>
        </row>
        <row r="303">
          <cell r="B303" t="str">
            <v>12031</v>
          </cell>
          <cell r="C303" t="str">
            <v xml:space="preserve">Service Management </v>
          </cell>
          <cell r="D303" t="str">
            <v>2050000</v>
          </cell>
        </row>
        <row r="304">
          <cell r="B304" t="str">
            <v>F0042</v>
          </cell>
          <cell r="C304" t="str">
            <v xml:space="preserve">Mobility Device Management 2023/24 </v>
          </cell>
          <cell r="D304" t="str">
            <v>2050000</v>
          </cell>
        </row>
        <row r="305">
          <cell r="B305" t="str">
            <v>F0047</v>
          </cell>
          <cell r="C305" t="str">
            <v xml:space="preserve">Annual PC Replacement </v>
          </cell>
          <cell r="D305" t="str">
            <v>2050000</v>
          </cell>
        </row>
        <row r="306">
          <cell r="B306" t="str">
            <v>F0049</v>
          </cell>
          <cell r="C306" t="str">
            <v xml:space="preserve">Managed Operating Environment (MOE) </v>
          </cell>
          <cell r="D306" t="str">
            <v>2050000</v>
          </cell>
        </row>
        <row r="307">
          <cell r="B307" t="str">
            <v>F0051</v>
          </cell>
          <cell r="C307" t="str">
            <v xml:space="preserve">IT Service Management Platform </v>
          </cell>
          <cell r="D307" t="str">
            <v>2050000</v>
          </cell>
        </row>
        <row r="308">
          <cell r="B308" t="str">
            <v>F0052</v>
          </cell>
          <cell r="C308" t="str">
            <v xml:space="preserve">SD Automation </v>
          </cell>
          <cell r="D308" t="str">
            <v>2050000</v>
          </cell>
        </row>
        <row r="309">
          <cell r="B309" t="str">
            <v>F0234</v>
          </cell>
          <cell r="C309" t="str">
            <v xml:space="preserve">End User Services Consultancy </v>
          </cell>
          <cell r="D309" t="str">
            <v>2050000</v>
          </cell>
        </row>
        <row r="310">
          <cell r="B310" t="str">
            <v>F0241</v>
          </cell>
          <cell r="C310" t="str">
            <v xml:space="preserve">Ad-Hoc Purchases </v>
          </cell>
          <cell r="D310" t="str">
            <v>2050000</v>
          </cell>
        </row>
        <row r="311">
          <cell r="B311" t="str">
            <v>F0259</v>
          </cell>
          <cell r="C311" t="str">
            <v xml:space="preserve">Meeting Room </v>
          </cell>
          <cell r="D311" t="str">
            <v>2050000</v>
          </cell>
        </row>
        <row r="312">
          <cell r="B312" t="str">
            <v>F0265</v>
          </cell>
          <cell r="C312" t="str">
            <v xml:space="preserve">Annual mobile replacement </v>
          </cell>
          <cell r="D312" t="str">
            <v>2050000</v>
          </cell>
        </row>
        <row r="313">
          <cell r="B313" t="str">
            <v>11531</v>
          </cell>
          <cell r="C313" t="str">
            <v xml:space="preserve">Enterprise IT Solutions </v>
          </cell>
          <cell r="D313" t="str">
            <v>2050000</v>
          </cell>
        </row>
        <row r="314">
          <cell r="B314" t="str">
            <v>F0218</v>
          </cell>
          <cell r="C314" t="str">
            <v xml:space="preserve">Techone AMS consulting </v>
          </cell>
          <cell r="D314" t="str">
            <v>2050000</v>
          </cell>
        </row>
        <row r="315">
          <cell r="B315" t="str">
            <v>F0220</v>
          </cell>
          <cell r="C315" t="str">
            <v xml:space="preserve">Enterprise Solutions Delivery </v>
          </cell>
          <cell r="D315" t="str">
            <v>2050000</v>
          </cell>
        </row>
        <row r="316">
          <cell r="B316" t="str">
            <v>F0221</v>
          </cell>
          <cell r="C316" t="str">
            <v xml:space="preserve">Platform Health Check and Innovation </v>
          </cell>
          <cell r="D316" t="str">
            <v>2050000</v>
          </cell>
        </row>
        <row r="317">
          <cell r="B317" t="str">
            <v>F0222</v>
          </cell>
          <cell r="C317" t="str">
            <v xml:space="preserve">Power Platform Uplift </v>
          </cell>
          <cell r="D317" t="str">
            <v>2050000</v>
          </cell>
        </row>
        <row r="318">
          <cell r="B318" t="str">
            <v>F0225</v>
          </cell>
          <cell r="C318" t="str">
            <v xml:space="preserve">SharePoint Platform Uplift </v>
          </cell>
          <cell r="D318" t="str">
            <v>2050000</v>
          </cell>
        </row>
        <row r="319">
          <cell r="B319" t="str">
            <v>F0228</v>
          </cell>
          <cell r="C319" t="str">
            <v xml:space="preserve">Artificial Intelligence Uplift </v>
          </cell>
          <cell r="D319" t="str">
            <v>2050000</v>
          </cell>
        </row>
        <row r="320">
          <cell r="B320" t="str">
            <v>F0253</v>
          </cell>
          <cell r="C320" t="str">
            <v xml:space="preserve">Vendor Professional Services </v>
          </cell>
          <cell r="D320" t="str">
            <v>2050000</v>
          </cell>
        </row>
        <row r="321">
          <cell r="B321" t="str">
            <v>12051</v>
          </cell>
          <cell r="C321" t="str">
            <v xml:space="preserve">IT Strategy and Governance </v>
          </cell>
          <cell r="D321" t="str">
            <v>2050000</v>
          </cell>
        </row>
        <row r="322">
          <cell r="B322" t="str">
            <v>F0288</v>
          </cell>
          <cell r="C322" t="str">
            <v xml:space="preserve">ISMS Phase 2 </v>
          </cell>
          <cell r="D322" t="str">
            <v>2050000</v>
          </cell>
        </row>
        <row r="323">
          <cell r="B323" t="str">
            <v>14083</v>
          </cell>
          <cell r="C323" t="str">
            <v xml:space="preserve">Digital Transformation Program Management </v>
          </cell>
          <cell r="D323" t="str">
            <v>2050000</v>
          </cell>
        </row>
        <row r="324">
          <cell r="B324" t="str">
            <v>14087</v>
          </cell>
          <cell r="C324" t="str">
            <v xml:space="preserve">Finance System Restructure Project </v>
          </cell>
          <cell r="D324" t="str">
            <v>2050000</v>
          </cell>
        </row>
        <row r="325">
          <cell r="B325" t="str">
            <v>14088</v>
          </cell>
          <cell r="C325" t="str">
            <v xml:space="preserve">Technical Team </v>
          </cell>
          <cell r="D325" t="str">
            <v>2050000</v>
          </cell>
        </row>
        <row r="326">
          <cell r="B326" t="str">
            <v>14089</v>
          </cell>
          <cell r="C326" t="str">
            <v xml:space="preserve">Integration </v>
          </cell>
          <cell r="D326" t="str">
            <v>2050000</v>
          </cell>
        </row>
        <row r="327">
          <cell r="B327" t="str">
            <v>14090</v>
          </cell>
          <cell r="C327" t="str">
            <v xml:space="preserve">Architecture </v>
          </cell>
          <cell r="D327" t="str">
            <v>2050000</v>
          </cell>
        </row>
        <row r="328">
          <cell r="B328" t="str">
            <v>14091</v>
          </cell>
          <cell r="C328" t="str">
            <v xml:space="preserve">Testing </v>
          </cell>
          <cell r="D328" t="str">
            <v>2050000</v>
          </cell>
        </row>
        <row r="329">
          <cell r="B329" t="str">
            <v>20861</v>
          </cell>
          <cell r="C329" t="str">
            <v xml:space="preserve">HR Service Project </v>
          </cell>
          <cell r="D329" t="str">
            <v>2050000</v>
          </cell>
        </row>
        <row r="330">
          <cell r="B330" t="str">
            <v>20871</v>
          </cell>
          <cell r="C330" t="str">
            <v xml:space="preserve">Business Readiness </v>
          </cell>
          <cell r="D330" t="str">
            <v>2050000</v>
          </cell>
        </row>
        <row r="331">
          <cell r="B331" t="str">
            <v>21171</v>
          </cell>
          <cell r="C331" t="str">
            <v xml:space="preserve">GIS Phase 2 </v>
          </cell>
          <cell r="D331" t="str">
            <v>2050000</v>
          </cell>
        </row>
        <row r="332">
          <cell r="B332" t="str">
            <v>21181</v>
          </cell>
          <cell r="C332" t="str">
            <v xml:space="preserve">Discovery R2 and R3 </v>
          </cell>
          <cell r="D332" t="str">
            <v>2050000</v>
          </cell>
        </row>
        <row r="333">
          <cell r="B333" t="str">
            <v>30951</v>
          </cell>
          <cell r="C333" t="str">
            <v xml:space="preserve">Training </v>
          </cell>
          <cell r="D333" t="str">
            <v>2050000</v>
          </cell>
        </row>
        <row r="334">
          <cell r="B334" t="str">
            <v>30961</v>
          </cell>
          <cell r="C334" t="str">
            <v xml:space="preserve">ECM </v>
          </cell>
          <cell r="D334" t="str">
            <v>2050000</v>
          </cell>
        </row>
        <row r="335">
          <cell r="B335" t="str">
            <v>30981</v>
          </cell>
          <cell r="C335" t="str">
            <v xml:space="preserve">Data Migration </v>
          </cell>
          <cell r="D335" t="str">
            <v>2050000</v>
          </cell>
        </row>
        <row r="336">
          <cell r="B336" t="str">
            <v>31001</v>
          </cell>
          <cell r="C336" t="str">
            <v xml:space="preserve">ESRI (GIS) </v>
          </cell>
          <cell r="D336" t="str">
            <v>2050000</v>
          </cell>
        </row>
        <row r="337">
          <cell r="B337" t="str">
            <v>31011</v>
          </cell>
          <cell r="C337" t="str">
            <v xml:space="preserve">Cloud Analytics Platform </v>
          </cell>
          <cell r="D337" t="str">
            <v>2050000</v>
          </cell>
        </row>
        <row r="338">
          <cell r="B338" t="str">
            <v>31021</v>
          </cell>
          <cell r="C338" t="str">
            <v xml:space="preserve">e-Doc </v>
          </cell>
          <cell r="D338" t="str">
            <v>2050000</v>
          </cell>
        </row>
        <row r="339">
          <cell r="B339" t="str">
            <v>31031</v>
          </cell>
          <cell r="C339" t="str">
            <v xml:space="preserve">DXP </v>
          </cell>
          <cell r="D339" t="str">
            <v>2050000</v>
          </cell>
        </row>
        <row r="340">
          <cell r="B340" t="str">
            <v>31041</v>
          </cell>
          <cell r="C340" t="str">
            <v xml:space="preserve">Spatial </v>
          </cell>
          <cell r="D340" t="str">
            <v>2050000</v>
          </cell>
        </row>
        <row r="341">
          <cell r="B341" t="str">
            <v>31051</v>
          </cell>
          <cell r="C341" t="str">
            <v xml:space="preserve">Property and Rating </v>
          </cell>
          <cell r="D341" t="str">
            <v>2050000</v>
          </cell>
        </row>
        <row r="342">
          <cell r="B342" t="str">
            <v>31061</v>
          </cell>
          <cell r="C342" t="str">
            <v xml:space="preserve">HRP (Phase 2) </v>
          </cell>
          <cell r="D342" t="str">
            <v>2050000</v>
          </cell>
        </row>
        <row r="343">
          <cell r="B343" t="str">
            <v>31091</v>
          </cell>
          <cell r="C343" t="str">
            <v xml:space="preserve">Licence Fee </v>
          </cell>
          <cell r="D343" t="str">
            <v>2050000</v>
          </cell>
        </row>
        <row r="344">
          <cell r="B344" t="str">
            <v>F0015</v>
          </cell>
          <cell r="C344" t="str">
            <v xml:space="preserve">Enterprise Asset Management Solutions </v>
          </cell>
          <cell r="D344" t="str">
            <v>2050000</v>
          </cell>
        </row>
        <row r="345">
          <cell r="B345" t="str">
            <v>11621</v>
          </cell>
          <cell r="C345" t="str">
            <v xml:space="preserve">Accounts Receivable - Recoverable Works </v>
          </cell>
          <cell r="D345" t="str">
            <v>2080000</v>
          </cell>
        </row>
        <row r="346">
          <cell r="B346" t="str">
            <v>11651</v>
          </cell>
          <cell r="C346" t="str">
            <v xml:space="preserve">Leasing </v>
          </cell>
          <cell r="D346" t="str">
            <v>2080000</v>
          </cell>
        </row>
        <row r="347">
          <cell r="B347" t="str">
            <v>13301</v>
          </cell>
          <cell r="C347" t="str">
            <v xml:space="preserve">Corporate Finance </v>
          </cell>
          <cell r="D347" t="str">
            <v>2080000</v>
          </cell>
        </row>
        <row r="348">
          <cell r="B348" t="str">
            <v>13311</v>
          </cell>
          <cell r="C348" t="str">
            <v xml:space="preserve">Invest Logan </v>
          </cell>
          <cell r="D348" t="str">
            <v>2080000</v>
          </cell>
        </row>
        <row r="349">
          <cell r="B349" t="str">
            <v>13331</v>
          </cell>
          <cell r="C349" t="str">
            <v xml:space="preserve">LCC excess and damages charges </v>
          </cell>
          <cell r="D349" t="str">
            <v>2080000</v>
          </cell>
        </row>
        <row r="350">
          <cell r="B350" t="str">
            <v>13341</v>
          </cell>
          <cell r="C350" t="str">
            <v xml:space="preserve">Corp Finance COVID-19 </v>
          </cell>
          <cell r="D350" t="str">
            <v>2080000</v>
          </cell>
        </row>
        <row r="351">
          <cell r="B351" t="str">
            <v>13351</v>
          </cell>
          <cell r="C351" t="str">
            <v xml:space="preserve">Value for Money Strategic Reserve </v>
          </cell>
          <cell r="D351" t="str">
            <v>2080000</v>
          </cell>
        </row>
        <row r="352">
          <cell r="B352" t="str">
            <v>13381</v>
          </cell>
          <cell r="C352" t="str">
            <v xml:space="preserve">City of Logan Charitable Trust </v>
          </cell>
          <cell r="D352" t="str">
            <v>2080000</v>
          </cell>
        </row>
        <row r="353">
          <cell r="B353" t="str">
            <v>20851</v>
          </cell>
          <cell r="C353" t="str">
            <v xml:space="preserve">Underwood Innovation Lab </v>
          </cell>
          <cell r="D353" t="str">
            <v>2080000</v>
          </cell>
        </row>
        <row r="354">
          <cell r="B354" t="str">
            <v>99991</v>
          </cell>
          <cell r="C354" t="str">
            <v xml:space="preserve">Suspense Account </v>
          </cell>
          <cell r="D354" t="str">
            <v>2080000</v>
          </cell>
        </row>
        <row r="355">
          <cell r="B355" t="str">
            <v>X0031</v>
          </cell>
          <cell r="C355" t="str">
            <v xml:space="preserve">Sale of LCC Uniform </v>
          </cell>
          <cell r="D355" t="str">
            <v>2080000</v>
          </cell>
        </row>
        <row r="356">
          <cell r="B356" t="str">
            <v>14201</v>
          </cell>
          <cell r="C356" t="str">
            <v xml:space="preserve">Growth, Economy and Sustainability Branch Management </v>
          </cell>
          <cell r="D356" t="str">
            <v>3010000</v>
          </cell>
        </row>
        <row r="357">
          <cell r="B357" t="str">
            <v>14501</v>
          </cell>
          <cell r="C357" t="str">
            <v xml:space="preserve">Development Assessment Branch Management </v>
          </cell>
          <cell r="D357" t="str">
            <v>3020000</v>
          </cell>
        </row>
        <row r="358">
          <cell r="B358" t="str">
            <v>14502</v>
          </cell>
          <cell r="C358" t="str">
            <v xml:space="preserve">DA COVID-19 </v>
          </cell>
          <cell r="D358" t="str">
            <v>3020000</v>
          </cell>
        </row>
        <row r="359">
          <cell r="B359" t="str">
            <v>14511</v>
          </cell>
          <cell r="C359" t="str">
            <v xml:space="preserve">Planning Assessment Administration </v>
          </cell>
          <cell r="D359" t="str">
            <v>3020000</v>
          </cell>
        </row>
        <row r="360">
          <cell r="B360" t="str">
            <v>14561</v>
          </cell>
          <cell r="C360" t="str">
            <v xml:space="preserve">Application Assessment </v>
          </cell>
          <cell r="D360" t="str">
            <v>3020000</v>
          </cell>
        </row>
        <row r="361">
          <cell r="B361" t="str">
            <v>14591</v>
          </cell>
          <cell r="C361" t="str">
            <v xml:space="preserve">Technical Services </v>
          </cell>
          <cell r="D361" t="str">
            <v>3020000</v>
          </cell>
        </row>
        <row r="362">
          <cell r="B362" t="str">
            <v>15041</v>
          </cell>
          <cell r="C362" t="str">
            <v xml:space="preserve">Development Enquiries </v>
          </cell>
          <cell r="D362" t="str">
            <v>3020000</v>
          </cell>
        </row>
        <row r="363">
          <cell r="B363" t="str">
            <v>17291</v>
          </cell>
          <cell r="C363" t="str">
            <v xml:space="preserve">Domestic Assessment </v>
          </cell>
          <cell r="D363" t="str">
            <v>3020000</v>
          </cell>
        </row>
        <row r="364">
          <cell r="B364" t="str">
            <v>17301</v>
          </cell>
          <cell r="C364" t="str">
            <v xml:space="preserve">Prelodgement </v>
          </cell>
          <cell r="D364" t="str">
            <v>3020000</v>
          </cell>
        </row>
        <row r="365">
          <cell r="B365" t="str">
            <v>15081</v>
          </cell>
          <cell r="C365" t="str">
            <v xml:space="preserve">Development Operations Program Management </v>
          </cell>
          <cell r="D365" t="str">
            <v>3020000</v>
          </cell>
        </row>
        <row r="366">
          <cell r="B366" t="str">
            <v>17181</v>
          </cell>
          <cell r="C366" t="str">
            <v xml:space="preserve">Business Operations </v>
          </cell>
          <cell r="D366" t="str">
            <v>3020000</v>
          </cell>
        </row>
        <row r="367">
          <cell r="B367" t="str">
            <v>14601</v>
          </cell>
          <cell r="C367" t="str">
            <v xml:space="preserve">Plumbing Inspections </v>
          </cell>
          <cell r="D367" t="str">
            <v>3020000</v>
          </cell>
        </row>
        <row r="368">
          <cell r="B368" t="str">
            <v>14841</v>
          </cell>
          <cell r="C368" t="str">
            <v xml:space="preserve">Development Engineering Program Management </v>
          </cell>
          <cell r="D368" t="str">
            <v>3020000</v>
          </cell>
        </row>
        <row r="369">
          <cell r="B369" t="str">
            <v>14851</v>
          </cell>
          <cell r="C369" t="str">
            <v xml:space="preserve">Plumbing Assessment </v>
          </cell>
          <cell r="D369" t="str">
            <v>3020000</v>
          </cell>
        </row>
        <row r="370">
          <cell r="B370" t="str">
            <v>14891</v>
          </cell>
          <cell r="C370" t="str">
            <v xml:space="preserve">Backflow Prevention Devices </v>
          </cell>
          <cell r="D370" t="str">
            <v>3020000</v>
          </cell>
        </row>
        <row r="371">
          <cell r="B371" t="str">
            <v>14931</v>
          </cell>
          <cell r="C371" t="str">
            <v xml:space="preserve">Plumbing Investigation </v>
          </cell>
          <cell r="D371" t="str">
            <v>3020000</v>
          </cell>
        </row>
        <row r="372">
          <cell r="B372" t="str">
            <v>15051</v>
          </cell>
          <cell r="C372" t="str">
            <v xml:space="preserve">Notifiable Work Form 4 Audits </v>
          </cell>
          <cell r="D372" t="str">
            <v>3020000</v>
          </cell>
        </row>
        <row r="373">
          <cell r="B373" t="str">
            <v>17261</v>
          </cell>
          <cell r="C373" t="str">
            <v xml:space="preserve">Construction Taskforce </v>
          </cell>
          <cell r="D373" t="str">
            <v>3020000</v>
          </cell>
        </row>
        <row r="374">
          <cell r="B374" t="str">
            <v>17271</v>
          </cell>
          <cell r="C374" t="str">
            <v xml:space="preserve">Engineering Assessment </v>
          </cell>
          <cell r="D374" t="str">
            <v>3020000</v>
          </cell>
        </row>
        <row r="375">
          <cell r="B375" t="str">
            <v>17281</v>
          </cell>
          <cell r="C375" t="str">
            <v xml:space="preserve">Development Engineering Delivery </v>
          </cell>
          <cell r="D375" t="str">
            <v>3020000</v>
          </cell>
        </row>
        <row r="376">
          <cell r="B376" t="str">
            <v>14521</v>
          </cell>
          <cell r="C376" t="str">
            <v xml:space="preserve">Business Services </v>
          </cell>
          <cell r="D376" t="str">
            <v>3020000</v>
          </cell>
        </row>
        <row r="377">
          <cell r="B377" t="str">
            <v>15261</v>
          </cell>
          <cell r="C377" t="str">
            <v xml:space="preserve">Major Develop &amp; Appeals Program Management </v>
          </cell>
          <cell r="D377" t="str">
            <v>3020000</v>
          </cell>
        </row>
        <row r="378">
          <cell r="B378" t="str">
            <v>15361</v>
          </cell>
          <cell r="C378" t="str">
            <v xml:space="preserve">Major New Developments </v>
          </cell>
          <cell r="D378" t="str">
            <v>3020000</v>
          </cell>
        </row>
        <row r="379">
          <cell r="B379" t="str">
            <v>15461</v>
          </cell>
          <cell r="C379" t="str">
            <v xml:space="preserve">Plan Sealing </v>
          </cell>
          <cell r="D379" t="str">
            <v>3020000</v>
          </cell>
        </row>
        <row r="380">
          <cell r="B380" t="str">
            <v>15471</v>
          </cell>
          <cell r="C380" t="str">
            <v xml:space="preserve">Appeals </v>
          </cell>
          <cell r="D380" t="str">
            <v>3020000</v>
          </cell>
        </row>
        <row r="381">
          <cell r="B381" t="str">
            <v>17031</v>
          </cell>
          <cell r="C381" t="str">
            <v xml:space="preserve">Certified Building Applications Archival </v>
          </cell>
          <cell r="D381" t="str">
            <v>3020000</v>
          </cell>
        </row>
        <row r="382">
          <cell r="B382" t="str">
            <v>17041</v>
          </cell>
          <cell r="C382" t="str">
            <v xml:space="preserve">Sale of Building Permit Documents </v>
          </cell>
          <cell r="D382" t="str">
            <v>3020000</v>
          </cell>
        </row>
        <row r="383">
          <cell r="B383" t="str">
            <v>17051</v>
          </cell>
          <cell r="C383" t="str">
            <v xml:space="preserve">Building Approvals Report </v>
          </cell>
          <cell r="D383" t="str">
            <v>3020000</v>
          </cell>
        </row>
        <row r="384">
          <cell r="B384" t="str">
            <v>17061</v>
          </cell>
          <cell r="C384" t="str">
            <v xml:space="preserve">Copy of Certificate of Classification </v>
          </cell>
          <cell r="D384" t="str">
            <v>3020000</v>
          </cell>
        </row>
        <row r="385">
          <cell r="B385" t="str">
            <v>17221</v>
          </cell>
          <cell r="C385" t="str">
            <v xml:space="preserve">Plan &amp; Development Certificates </v>
          </cell>
          <cell r="D385" t="str">
            <v>3020000</v>
          </cell>
        </row>
        <row r="386">
          <cell r="B386" t="str">
            <v>50001</v>
          </cell>
          <cell r="C386" t="str">
            <v xml:space="preserve">Health, Environment and Sustainability Branch Management </v>
          </cell>
          <cell r="D386" t="str">
            <v>3040000</v>
          </cell>
        </row>
        <row r="387">
          <cell r="B387" t="str">
            <v>50033</v>
          </cell>
          <cell r="C387" t="str">
            <v xml:space="preserve">Business Improvement </v>
          </cell>
          <cell r="D387" t="str">
            <v>3040000</v>
          </cell>
        </row>
        <row r="388">
          <cell r="B388" t="str">
            <v>50002</v>
          </cell>
          <cell r="C388" t="str">
            <v xml:space="preserve">Natural Environment Program Management </v>
          </cell>
          <cell r="D388" t="str">
            <v>3040000</v>
          </cell>
        </row>
        <row r="389">
          <cell r="B389" t="str">
            <v>50005</v>
          </cell>
          <cell r="C389" t="str">
            <v xml:space="preserve">Environmental Planning </v>
          </cell>
          <cell r="D389" t="str">
            <v>3040000</v>
          </cell>
        </row>
        <row r="390">
          <cell r="B390" t="str">
            <v>50006</v>
          </cell>
          <cell r="C390" t="str">
            <v xml:space="preserve">Logan River Vision </v>
          </cell>
          <cell r="D390" t="str">
            <v>3040000</v>
          </cell>
        </row>
        <row r="391">
          <cell r="B391" t="str">
            <v>50007</v>
          </cell>
          <cell r="C391" t="str">
            <v xml:space="preserve">Environmental Projects </v>
          </cell>
          <cell r="D391" t="str">
            <v>3040000</v>
          </cell>
        </row>
        <row r="392">
          <cell r="B392" t="str">
            <v>50008</v>
          </cell>
          <cell r="C392" t="str">
            <v xml:space="preserve">Environmental Services </v>
          </cell>
          <cell r="D392" t="str">
            <v>3040000</v>
          </cell>
        </row>
        <row r="393">
          <cell r="B393" t="str">
            <v>50011</v>
          </cell>
          <cell r="C393" t="str">
            <v xml:space="preserve">Carbon and Energy Management </v>
          </cell>
          <cell r="D393" t="str">
            <v>3040000</v>
          </cell>
        </row>
        <row r="394">
          <cell r="B394" t="str">
            <v>50017</v>
          </cell>
          <cell r="C394" t="str">
            <v xml:space="preserve">Blackwell Street Wetland </v>
          </cell>
          <cell r="D394" t="str">
            <v>3040000</v>
          </cell>
        </row>
        <row r="395">
          <cell r="B395" t="str">
            <v>50018</v>
          </cell>
          <cell r="C395" t="str">
            <v xml:space="preserve">Slacks Creek Recovery </v>
          </cell>
          <cell r="D395" t="str">
            <v>3040000</v>
          </cell>
        </row>
        <row r="396">
          <cell r="B396" t="str">
            <v>50023</v>
          </cell>
          <cell r="C396" t="str">
            <v xml:space="preserve">Community Energy Efficiency Program </v>
          </cell>
          <cell r="D396" t="str">
            <v>3040000</v>
          </cell>
        </row>
        <row r="397">
          <cell r="B397" t="str">
            <v>50024</v>
          </cell>
          <cell r="C397" t="str">
            <v xml:space="preserve">Environmental Offsets </v>
          </cell>
          <cell r="D397" t="str">
            <v>3040000</v>
          </cell>
        </row>
        <row r="398">
          <cell r="B398" t="str">
            <v>50027</v>
          </cell>
          <cell r="C398" t="str">
            <v xml:space="preserve">Rural Landholder Engagement </v>
          </cell>
          <cell r="D398" t="str">
            <v>3040000</v>
          </cell>
        </row>
        <row r="399">
          <cell r="B399" t="str">
            <v>50028</v>
          </cell>
          <cell r="C399" t="str">
            <v xml:space="preserve">Waterbody Asset Management Framework </v>
          </cell>
          <cell r="D399" t="str">
            <v>3040000</v>
          </cell>
        </row>
        <row r="400">
          <cell r="B400" t="str">
            <v>50031</v>
          </cell>
          <cell r="C400" t="str">
            <v xml:space="preserve">Disaster Recovery </v>
          </cell>
          <cell r="D400" t="str">
            <v>3040000</v>
          </cell>
        </row>
        <row r="401">
          <cell r="B401" t="str">
            <v>50032</v>
          </cell>
          <cell r="C401" t="str">
            <v xml:space="preserve">Albert River Visions </v>
          </cell>
          <cell r="D401" t="str">
            <v>3040000</v>
          </cell>
        </row>
        <row r="402">
          <cell r="B402" t="str">
            <v>50034</v>
          </cell>
          <cell r="C402" t="str">
            <v xml:space="preserve">Scrubby Creek </v>
          </cell>
          <cell r="D402" t="str">
            <v>3040000</v>
          </cell>
        </row>
        <row r="403">
          <cell r="B403" t="str">
            <v>50038</v>
          </cell>
          <cell r="C403" t="str">
            <v xml:space="preserve">Riverine Discovery Centre </v>
          </cell>
          <cell r="D403" t="str">
            <v>3040000</v>
          </cell>
        </row>
        <row r="404">
          <cell r="B404" t="str">
            <v>50039</v>
          </cell>
          <cell r="C404" t="str">
            <v xml:space="preserve">Koala Habitat Offset Delivery </v>
          </cell>
          <cell r="D404" t="str">
            <v>3040000</v>
          </cell>
        </row>
        <row r="405">
          <cell r="B405" t="str">
            <v>50040</v>
          </cell>
          <cell r="C405" t="str">
            <v xml:space="preserve">Upper Oxley Creek </v>
          </cell>
          <cell r="D405" t="str">
            <v>3040000</v>
          </cell>
        </row>
        <row r="406">
          <cell r="B406" t="str">
            <v>50041</v>
          </cell>
          <cell r="C406" t="str">
            <v xml:space="preserve">Wildlife Movement Solutions </v>
          </cell>
          <cell r="D406" t="str">
            <v>3040000</v>
          </cell>
        </row>
        <row r="407">
          <cell r="B407" t="str">
            <v>50042</v>
          </cell>
          <cell r="C407" t="str">
            <v xml:space="preserve">Logan Environmental Enhancement Fund (LEEF) </v>
          </cell>
          <cell r="D407" t="str">
            <v>3040000</v>
          </cell>
        </row>
        <row r="408">
          <cell r="B408" t="str">
            <v>51001</v>
          </cell>
          <cell r="C408" t="str">
            <v xml:space="preserve">Solar Installation 20/21 </v>
          </cell>
          <cell r="D408" t="str">
            <v>3040000</v>
          </cell>
        </row>
        <row r="409">
          <cell r="B409" t="str">
            <v>51002</v>
          </cell>
          <cell r="C409" t="str">
            <v xml:space="preserve">NES LIP </v>
          </cell>
          <cell r="D409" t="str">
            <v>3040000</v>
          </cell>
        </row>
        <row r="410">
          <cell r="B410" t="str">
            <v>13391</v>
          </cell>
          <cell r="C410" t="str">
            <v xml:space="preserve">Immunisation - School Program </v>
          </cell>
          <cell r="D410" t="str">
            <v>3040000</v>
          </cell>
        </row>
        <row r="411">
          <cell r="B411" t="str">
            <v>13401</v>
          </cell>
          <cell r="C411" t="str">
            <v xml:space="preserve">Immunisation - Communities Program </v>
          </cell>
          <cell r="D411" t="str">
            <v>3040000</v>
          </cell>
        </row>
        <row r="412">
          <cell r="B412" t="str">
            <v>16641</v>
          </cell>
          <cell r="C412" t="str">
            <v xml:space="preserve">Immunisation </v>
          </cell>
          <cell r="D412" t="str">
            <v>3040000</v>
          </cell>
        </row>
        <row r="413">
          <cell r="B413" t="str">
            <v>17101</v>
          </cell>
          <cell r="C413" t="str">
            <v xml:space="preserve">Environmental Health Services </v>
          </cell>
          <cell r="D413" t="str">
            <v>3040000</v>
          </cell>
        </row>
        <row r="414">
          <cell r="B414" t="str">
            <v>17111</v>
          </cell>
          <cell r="C414" t="str">
            <v xml:space="preserve">ERA Environmental Authorities </v>
          </cell>
          <cell r="D414" t="str">
            <v>3040000</v>
          </cell>
        </row>
        <row r="415">
          <cell r="B415" t="str">
            <v>17121</v>
          </cell>
          <cell r="C415" t="str">
            <v xml:space="preserve">Other Environmental Health Licences </v>
          </cell>
          <cell r="D415" t="str">
            <v>3040000</v>
          </cell>
        </row>
        <row r="416">
          <cell r="B416" t="str">
            <v>17131</v>
          </cell>
          <cell r="C416" t="str">
            <v xml:space="preserve">Food Businesses </v>
          </cell>
          <cell r="D416" t="str">
            <v>3040000</v>
          </cell>
        </row>
        <row r="417">
          <cell r="B417" t="str">
            <v>17401</v>
          </cell>
          <cell r="C417" t="str">
            <v xml:space="preserve">Environmental Health Program Management </v>
          </cell>
          <cell r="D417" t="str">
            <v>3040000</v>
          </cell>
        </row>
        <row r="418">
          <cell r="B418" t="str">
            <v>50100</v>
          </cell>
          <cell r="C418" t="str">
            <v xml:space="preserve">Asbestos clean-up cost </v>
          </cell>
          <cell r="D418" t="str">
            <v>3040000</v>
          </cell>
        </row>
        <row r="419">
          <cell r="B419" t="str">
            <v>15481</v>
          </cell>
          <cell r="C419" t="str">
            <v xml:space="preserve">Building &amp; Business Services Program Management </v>
          </cell>
          <cell r="D419" t="str">
            <v>3040000</v>
          </cell>
        </row>
        <row r="420">
          <cell r="B420" t="str">
            <v>17011</v>
          </cell>
          <cell r="C420" t="str">
            <v xml:space="preserve">Building Investigation </v>
          </cell>
          <cell r="D420" t="str">
            <v>3040000</v>
          </cell>
        </row>
        <row r="421">
          <cell r="B421" t="str">
            <v>17021</v>
          </cell>
          <cell r="C421" t="str">
            <v xml:space="preserve">Other Building Compliance Services </v>
          </cell>
          <cell r="D421" t="str">
            <v>3040000</v>
          </cell>
        </row>
        <row r="422">
          <cell r="B422" t="str">
            <v>17081</v>
          </cell>
          <cell r="C422" t="str">
            <v xml:space="preserve">Property Inspection Reports </v>
          </cell>
          <cell r="D422" t="str">
            <v>3040000</v>
          </cell>
        </row>
        <row r="423">
          <cell r="B423" t="str">
            <v>17091</v>
          </cell>
          <cell r="C423" t="str">
            <v xml:space="preserve">Land Use Investigations </v>
          </cell>
          <cell r="D423" t="str">
            <v>3040000</v>
          </cell>
        </row>
        <row r="424">
          <cell r="B424" t="str">
            <v>16151</v>
          </cell>
          <cell r="C424" t="str">
            <v xml:space="preserve">Strategy and Planning Branch Management </v>
          </cell>
          <cell r="D424" t="str">
            <v>3060000</v>
          </cell>
        </row>
        <row r="425">
          <cell r="B425" t="str">
            <v>E0035</v>
          </cell>
          <cell r="C425" t="str">
            <v xml:space="preserve">City Planning, Economic and Community Development Branch </v>
          </cell>
          <cell r="D425" t="str">
            <v>3060000</v>
          </cell>
        </row>
        <row r="426">
          <cell r="B426" t="str">
            <v>E0050</v>
          </cell>
          <cell r="C426" t="str">
            <v xml:space="preserve">Business Improvement </v>
          </cell>
          <cell r="D426" t="str">
            <v>3060000</v>
          </cell>
        </row>
        <row r="427">
          <cell r="B427" t="str">
            <v>E0075</v>
          </cell>
          <cell r="C427" t="str">
            <v xml:space="preserve">ED&amp;S COVID-19 </v>
          </cell>
          <cell r="D427" t="str">
            <v>3060000</v>
          </cell>
        </row>
        <row r="428">
          <cell r="B428" t="str">
            <v>16131</v>
          </cell>
          <cell r="C428" t="str">
            <v xml:space="preserve">Infrastructure Charging </v>
          </cell>
          <cell r="D428" t="str">
            <v>3060000</v>
          </cell>
        </row>
        <row r="429">
          <cell r="B429" t="str">
            <v>E0027</v>
          </cell>
          <cell r="C429" t="str">
            <v xml:space="preserve">Infrastructure Coordination &amp; Strategy </v>
          </cell>
          <cell r="D429" t="str">
            <v>3060000</v>
          </cell>
        </row>
        <row r="430">
          <cell r="B430" t="str">
            <v>E0056</v>
          </cell>
          <cell r="C430" t="str">
            <v xml:space="preserve">City Planning </v>
          </cell>
          <cell r="D430" t="str">
            <v>3060000</v>
          </cell>
        </row>
        <row r="431">
          <cell r="B431" t="str">
            <v>E0057</v>
          </cell>
          <cell r="C431" t="str">
            <v xml:space="preserve">Urban Research &amp; Monitoring </v>
          </cell>
          <cell r="D431" t="str">
            <v>3060000</v>
          </cell>
        </row>
        <row r="432">
          <cell r="B432" t="str">
            <v>E0058</v>
          </cell>
          <cell r="C432" t="str">
            <v xml:space="preserve">Strategic Land Use Planning </v>
          </cell>
          <cell r="D432" t="str">
            <v>3060000</v>
          </cell>
        </row>
        <row r="433">
          <cell r="B433" t="str">
            <v>E0130</v>
          </cell>
          <cell r="C433" t="str">
            <v xml:space="preserve">Logan Plan 2025 </v>
          </cell>
          <cell r="D433" t="str">
            <v>3060000</v>
          </cell>
        </row>
        <row r="434">
          <cell r="B434" t="str">
            <v>16091</v>
          </cell>
          <cell r="C434" t="str">
            <v xml:space="preserve">EDS Economic Development </v>
          </cell>
          <cell r="D434" t="str">
            <v>3060000</v>
          </cell>
        </row>
        <row r="435">
          <cell r="B435" t="str">
            <v>21101</v>
          </cell>
          <cell r="C435" t="str">
            <v xml:space="preserve">705 - City Transformation - OLD </v>
          </cell>
          <cell r="D435" t="str">
            <v>3060000</v>
          </cell>
        </row>
        <row r="436">
          <cell r="B436" t="str">
            <v>21151</v>
          </cell>
          <cell r="C436" t="str">
            <v xml:space="preserve">705 - Catapult - OLD </v>
          </cell>
          <cell r="D436" t="str">
            <v>3060000</v>
          </cell>
        </row>
        <row r="437">
          <cell r="B437" t="str">
            <v>21271</v>
          </cell>
          <cell r="C437" t="str">
            <v xml:space="preserve">City Studio </v>
          </cell>
          <cell r="D437" t="str">
            <v>3060000</v>
          </cell>
        </row>
        <row r="438">
          <cell r="B438" t="str">
            <v>21272</v>
          </cell>
          <cell r="C438" t="str">
            <v xml:space="preserve">Advance QLD - QLD Connect Grant </v>
          </cell>
          <cell r="D438" t="str">
            <v>3060000</v>
          </cell>
        </row>
        <row r="439">
          <cell r="B439" t="str">
            <v>E0052</v>
          </cell>
          <cell r="C439" t="str">
            <v xml:space="preserve">Economic Development Management </v>
          </cell>
          <cell r="D439" t="str">
            <v>3060000</v>
          </cell>
        </row>
        <row r="440">
          <cell r="B440" t="str">
            <v>E0053</v>
          </cell>
          <cell r="C440" t="str">
            <v xml:space="preserve">Business Attraction &amp; Support </v>
          </cell>
          <cell r="D440" t="str">
            <v>3060000</v>
          </cell>
        </row>
        <row r="441">
          <cell r="B441" t="str">
            <v>E0055</v>
          </cell>
          <cell r="C441" t="str">
            <v xml:space="preserve">Global Connections </v>
          </cell>
          <cell r="D441" t="str">
            <v>3060000</v>
          </cell>
        </row>
        <row r="442">
          <cell r="B442" t="str">
            <v>E0079</v>
          </cell>
          <cell r="C442" t="str">
            <v xml:space="preserve">Strategic Land Acquisition </v>
          </cell>
          <cell r="D442" t="str">
            <v>3060000</v>
          </cell>
        </row>
        <row r="443">
          <cell r="B443" t="str">
            <v>E0080</v>
          </cell>
          <cell r="C443" t="str">
            <v xml:space="preserve">Destination Management </v>
          </cell>
          <cell r="D443" t="str">
            <v>3060000</v>
          </cell>
        </row>
        <row r="444">
          <cell r="B444" t="str">
            <v>E0096</v>
          </cell>
          <cell r="C444" t="str">
            <v xml:space="preserve">School to Work Program </v>
          </cell>
          <cell r="D444" t="str">
            <v>3060000</v>
          </cell>
        </row>
        <row r="445">
          <cell r="B445" t="str">
            <v>E0121</v>
          </cell>
          <cell r="C445" t="str">
            <v xml:space="preserve">City Transformation </v>
          </cell>
          <cell r="D445" t="str">
            <v>3060000</v>
          </cell>
        </row>
        <row r="446">
          <cell r="B446" t="str">
            <v>E0122</v>
          </cell>
          <cell r="C446" t="str">
            <v xml:space="preserve">Employment Pathways </v>
          </cell>
          <cell r="D446" t="str">
            <v>3060000</v>
          </cell>
        </row>
        <row r="447">
          <cell r="B447" t="str">
            <v>E0124</v>
          </cell>
          <cell r="C447" t="str">
            <v xml:space="preserve">Locally Led Recovery </v>
          </cell>
          <cell r="D447" t="str">
            <v>3060000</v>
          </cell>
        </row>
        <row r="448">
          <cell r="B448" t="str">
            <v>E0133</v>
          </cell>
          <cell r="C448" t="str">
            <v xml:space="preserve">Major Economic Development Initiatives </v>
          </cell>
          <cell r="D448" t="str">
            <v>3060000</v>
          </cell>
        </row>
        <row r="449">
          <cell r="B449" t="str">
            <v>14241</v>
          </cell>
          <cell r="C449" t="str">
            <v xml:space="preserve">Strategic Land Acquisition and Development </v>
          </cell>
          <cell r="D449" t="str">
            <v>3060000</v>
          </cell>
        </row>
        <row r="450">
          <cell r="B450" t="str">
            <v>15521</v>
          </cell>
          <cell r="C450" t="str">
            <v xml:space="preserve">Property Development </v>
          </cell>
          <cell r="D450" t="str">
            <v>3060000</v>
          </cell>
        </row>
        <row r="451">
          <cell r="B451" t="str">
            <v>16101</v>
          </cell>
          <cell r="C451" t="str">
            <v xml:space="preserve">Strategic Planning Program </v>
          </cell>
          <cell r="D451" t="str">
            <v>3060000</v>
          </cell>
        </row>
        <row r="452">
          <cell r="B452" t="str">
            <v>E0033</v>
          </cell>
          <cell r="C452" t="str">
            <v xml:space="preserve">Place Making &amp; Urban Design </v>
          </cell>
          <cell r="D452" t="str">
            <v>3060000</v>
          </cell>
        </row>
        <row r="453">
          <cell r="B453" t="str">
            <v>E0034</v>
          </cell>
          <cell r="C453" t="str">
            <v xml:space="preserve">Centres Activation through Tactical Urbanism </v>
          </cell>
          <cell r="D453" t="str">
            <v>3060000</v>
          </cell>
        </row>
        <row r="454">
          <cell r="B454" t="str">
            <v>E0041</v>
          </cell>
          <cell r="C454" t="str">
            <v xml:space="preserve">Beenleigh Town Square – General </v>
          </cell>
          <cell r="D454" t="str">
            <v>3060000</v>
          </cell>
        </row>
        <row r="455">
          <cell r="B455" t="str">
            <v>E0054</v>
          </cell>
          <cell r="C455" t="str">
            <v xml:space="preserve">Springwood Implementation Plan </v>
          </cell>
          <cell r="D455" t="str">
            <v>3060000</v>
          </cell>
        </row>
        <row r="456">
          <cell r="B456" t="str">
            <v>E0059</v>
          </cell>
          <cell r="C456" t="str">
            <v xml:space="preserve">Streetscape Master Plan </v>
          </cell>
          <cell r="D456" t="str">
            <v>3060000</v>
          </cell>
        </row>
        <row r="457">
          <cell r="B457" t="str">
            <v>E0060</v>
          </cell>
          <cell r="C457" t="str">
            <v xml:space="preserve">Carol Ave Laurinda Cres Shared Pathway </v>
          </cell>
          <cell r="D457" t="str">
            <v>3060000</v>
          </cell>
        </row>
        <row r="458">
          <cell r="B458" t="str">
            <v>E0061</v>
          </cell>
          <cell r="C458" t="str">
            <v xml:space="preserve">BTS Shade Solution Design Competition </v>
          </cell>
          <cell r="D458" t="str">
            <v>3060000</v>
          </cell>
        </row>
        <row r="459">
          <cell r="B459" t="str">
            <v>E0062</v>
          </cell>
          <cell r="C459" t="str">
            <v xml:space="preserve">Springwood Park Free Wifi </v>
          </cell>
          <cell r="D459" t="str">
            <v>3060000</v>
          </cell>
        </row>
        <row r="460">
          <cell r="B460" t="str">
            <v>E0063</v>
          </cell>
          <cell r="C460" t="str">
            <v xml:space="preserve">Slacks Creek Moss St to Baker Street Green link </v>
          </cell>
          <cell r="D460" t="str">
            <v>3060000</v>
          </cell>
        </row>
        <row r="461">
          <cell r="B461" t="str">
            <v>E0064</v>
          </cell>
          <cell r="C461" t="str">
            <v xml:space="preserve">Murrajong Briggs Paxton Rd &amp; Carol Ave Green link </v>
          </cell>
          <cell r="D461" t="str">
            <v>3060000</v>
          </cell>
        </row>
        <row r="462">
          <cell r="B462" t="str">
            <v>E0065</v>
          </cell>
          <cell r="C462" t="str">
            <v xml:space="preserve">BTS Big Screen </v>
          </cell>
          <cell r="D462" t="str">
            <v>3060000</v>
          </cell>
        </row>
        <row r="463">
          <cell r="B463" t="str">
            <v>E0066</v>
          </cell>
          <cell r="C463" t="str">
            <v xml:space="preserve">Springwood SS Dennis Rd Carol Ave Shared Pathway </v>
          </cell>
          <cell r="D463" t="str">
            <v>3060000</v>
          </cell>
        </row>
        <row r="464">
          <cell r="B464" t="str">
            <v>E0067</v>
          </cell>
          <cell r="C464" t="str">
            <v xml:space="preserve">Wayfinding &amp; Directional Signage </v>
          </cell>
          <cell r="D464" t="str">
            <v>3060000</v>
          </cell>
        </row>
        <row r="465">
          <cell r="B465" t="str">
            <v>E0068</v>
          </cell>
          <cell r="C465" t="str">
            <v xml:space="preserve">Beenleigh Implementation Plan </v>
          </cell>
          <cell r="D465" t="str">
            <v>3060000</v>
          </cell>
        </row>
        <row r="466">
          <cell r="B466" t="str">
            <v>E0069</v>
          </cell>
          <cell r="C466" t="str">
            <v xml:space="preserve">Logan Village Implementation Plan </v>
          </cell>
          <cell r="D466" t="str">
            <v>3060000</v>
          </cell>
        </row>
        <row r="467">
          <cell r="B467" t="str">
            <v>E0071</v>
          </cell>
          <cell r="C467" t="str">
            <v xml:space="preserve">BTS Plug-In Container </v>
          </cell>
          <cell r="D467" t="str">
            <v>3060000</v>
          </cell>
        </row>
        <row r="468">
          <cell r="B468" t="str">
            <v>E0072</v>
          </cell>
          <cell r="C468" t="str">
            <v xml:space="preserve">BTS Wi-Fi </v>
          </cell>
          <cell r="D468" t="str">
            <v>3060000</v>
          </cell>
        </row>
        <row r="469">
          <cell r="B469" t="str">
            <v>E0073</v>
          </cell>
          <cell r="C469" t="str">
            <v xml:space="preserve">BTS Smart Parking </v>
          </cell>
          <cell r="D469" t="str">
            <v>3060000</v>
          </cell>
        </row>
        <row r="470">
          <cell r="B470" t="str">
            <v>E0074</v>
          </cell>
          <cell r="C470" t="str">
            <v xml:space="preserve">Logan Village to Yarrabilba Rail Trail </v>
          </cell>
          <cell r="D470" t="str">
            <v>3060000</v>
          </cell>
        </row>
        <row r="471">
          <cell r="B471" t="str">
            <v>E0076</v>
          </cell>
          <cell r="C471" t="str">
            <v xml:space="preserve">Slacks Creek Greenlink - Stage 2 Moss St to Park Rd </v>
          </cell>
          <cell r="D471" t="str">
            <v>3060000</v>
          </cell>
        </row>
        <row r="472">
          <cell r="B472" t="str">
            <v>E0077</v>
          </cell>
          <cell r="C472" t="str">
            <v xml:space="preserve">Logan Village Green Drainage Upgrades </v>
          </cell>
          <cell r="D472" t="str">
            <v>3060000</v>
          </cell>
        </row>
        <row r="473">
          <cell r="B473" t="str">
            <v>E0078</v>
          </cell>
          <cell r="C473" t="str">
            <v xml:space="preserve">Logan Village Skate park </v>
          </cell>
          <cell r="D473" t="str">
            <v>3060000</v>
          </cell>
        </row>
        <row r="474">
          <cell r="B474" t="str">
            <v>E0081</v>
          </cell>
          <cell r="C474" t="str">
            <v xml:space="preserve">Logan Village to Jimboomba Rail Trail </v>
          </cell>
          <cell r="D474" t="str">
            <v>3060000</v>
          </cell>
        </row>
        <row r="475">
          <cell r="B475" t="str">
            <v>E0090</v>
          </cell>
          <cell r="C475" t="str">
            <v xml:space="preserve">Logan Central Civic and Community Precinct Enabling Works </v>
          </cell>
          <cell r="D475" t="str">
            <v>3060000</v>
          </cell>
        </row>
        <row r="476">
          <cell r="B476" t="str">
            <v>E0091</v>
          </cell>
          <cell r="C476" t="str">
            <v xml:space="preserve">LC Civic &amp; Community Precinct Works </v>
          </cell>
          <cell r="D476" t="str">
            <v>3060000</v>
          </cell>
        </row>
        <row r="477">
          <cell r="B477" t="str">
            <v>E0092</v>
          </cell>
          <cell r="C477" t="str">
            <v xml:space="preserve">LC Croydon Rd Precinct Works </v>
          </cell>
          <cell r="D477" t="str">
            <v>3060000</v>
          </cell>
        </row>
        <row r="478">
          <cell r="B478" t="str">
            <v>E0093</v>
          </cell>
          <cell r="C478" t="str">
            <v xml:space="preserve">LC Public WiFi &amp; Smart Tech </v>
          </cell>
          <cell r="D478" t="str">
            <v>3060000</v>
          </cell>
        </row>
        <row r="479">
          <cell r="B479" t="str">
            <v>E0094</v>
          </cell>
          <cell r="C479" t="str">
            <v xml:space="preserve">LC Public Place Branding Strategy </v>
          </cell>
          <cell r="D479" t="str">
            <v>3060000</v>
          </cell>
        </row>
        <row r="480">
          <cell r="B480" t="str">
            <v>E0095</v>
          </cell>
          <cell r="C480" t="str">
            <v xml:space="preserve">LC Activation Strategy </v>
          </cell>
          <cell r="D480" t="str">
            <v>3060000</v>
          </cell>
        </row>
        <row r="481">
          <cell r="B481" t="str">
            <v>E0100</v>
          </cell>
          <cell r="C481" t="str">
            <v xml:space="preserve">Meadowbrook Implementation Fund </v>
          </cell>
          <cell r="D481" t="str">
            <v>3060000</v>
          </cell>
        </row>
        <row r="482">
          <cell r="B482" t="str">
            <v>E0101</v>
          </cell>
          <cell r="C482" t="str">
            <v xml:space="preserve">Loganlea Rd Healthy Street Stage 1 and 2 </v>
          </cell>
          <cell r="D482" t="str">
            <v>3060000</v>
          </cell>
        </row>
        <row r="483">
          <cell r="B483" t="str">
            <v>E0102</v>
          </cell>
          <cell r="C483" t="str">
            <v xml:space="preserve">Car parking &amp; demand travel strategy </v>
          </cell>
          <cell r="D483" t="str">
            <v>3060000</v>
          </cell>
        </row>
        <row r="484">
          <cell r="B484" t="str">
            <v>E0103</v>
          </cell>
          <cell r="C484" t="str">
            <v xml:space="preserve">Precinct Identity &amp; Place Branding </v>
          </cell>
          <cell r="D484" t="str">
            <v>3060000</v>
          </cell>
        </row>
        <row r="485">
          <cell r="B485" t="str">
            <v>E0104</v>
          </cell>
          <cell r="C485" t="str">
            <v xml:space="preserve">MB Leadership Group </v>
          </cell>
          <cell r="D485" t="str">
            <v>3060000</v>
          </cell>
        </row>
        <row r="486">
          <cell r="B486" t="str">
            <v>E0105</v>
          </cell>
          <cell r="C486" t="str">
            <v xml:space="preserve">MB Safer City Strategy </v>
          </cell>
          <cell r="D486" t="str">
            <v>3060000</v>
          </cell>
        </row>
        <row r="487">
          <cell r="B487" t="str">
            <v>E0106</v>
          </cell>
          <cell r="C487" t="str">
            <v xml:space="preserve">Street Art Activation Project </v>
          </cell>
          <cell r="D487" t="str">
            <v>3060000</v>
          </cell>
        </row>
        <row r="488">
          <cell r="B488" t="str">
            <v>E0110</v>
          </cell>
          <cell r="C488" t="str">
            <v xml:space="preserve">Jimboomba Implementation Fund </v>
          </cell>
          <cell r="D488" t="str">
            <v>3060000</v>
          </cell>
        </row>
        <row r="489">
          <cell r="B489" t="str">
            <v>E0111</v>
          </cell>
          <cell r="C489" t="str">
            <v xml:space="preserve">Springwood Town Square </v>
          </cell>
          <cell r="D489" t="str">
            <v>3060000</v>
          </cell>
        </row>
        <row r="490">
          <cell r="B490" t="str">
            <v>E0112</v>
          </cell>
          <cell r="C490" t="str">
            <v xml:space="preserve">My Home and the River </v>
          </cell>
          <cell r="D490" t="str">
            <v>3060000</v>
          </cell>
        </row>
        <row r="491">
          <cell r="B491" t="str">
            <v>E0113</v>
          </cell>
          <cell r="C491" t="str">
            <v xml:space="preserve">Streetscape Masterplan Jimboomba </v>
          </cell>
          <cell r="D491" t="str">
            <v>3060000</v>
          </cell>
        </row>
        <row r="492">
          <cell r="B492" t="str">
            <v>E0114</v>
          </cell>
          <cell r="C492" t="str">
            <v xml:space="preserve">Decorative Lighting Cusack Lane </v>
          </cell>
          <cell r="D492" t="str">
            <v>3060000</v>
          </cell>
        </row>
        <row r="493">
          <cell r="B493" t="str">
            <v>E0115</v>
          </cell>
          <cell r="C493" t="str">
            <v xml:space="preserve">Improve Footpath Dining </v>
          </cell>
          <cell r="D493" t="str">
            <v>3060000</v>
          </cell>
        </row>
        <row r="494">
          <cell r="B494" t="str">
            <v>E0116</v>
          </cell>
          <cell r="C494" t="str">
            <v xml:space="preserve">Revitalise Railway Corridor </v>
          </cell>
          <cell r="D494" t="str">
            <v>3060000</v>
          </cell>
        </row>
        <row r="495">
          <cell r="B495" t="str">
            <v>E0117</v>
          </cell>
          <cell r="C495" t="str">
            <v xml:space="preserve">Upgrade Wayfinding Signage in Jimboomba Town Centre </v>
          </cell>
          <cell r="D495" t="str">
            <v>3060000</v>
          </cell>
        </row>
        <row r="496">
          <cell r="B496" t="str">
            <v>E0118</v>
          </cell>
          <cell r="C496" t="str">
            <v xml:space="preserve">Place Activation &amp; Night Time Economy Strategy </v>
          </cell>
          <cell r="D496" t="str">
            <v>3060000</v>
          </cell>
        </row>
        <row r="497">
          <cell r="B497" t="str">
            <v>E0119</v>
          </cell>
          <cell r="C497" t="str">
            <v xml:space="preserve">Place Branding Strategy </v>
          </cell>
          <cell r="D497" t="str">
            <v>3060000</v>
          </cell>
        </row>
        <row r="498">
          <cell r="B498" t="str">
            <v>E0120</v>
          </cell>
          <cell r="C498" t="str">
            <v xml:space="preserve">Jimboomba Town Centre Working Group </v>
          </cell>
          <cell r="D498" t="str">
            <v>3060000</v>
          </cell>
        </row>
        <row r="499">
          <cell r="B499" t="str">
            <v>E0123</v>
          </cell>
          <cell r="C499" t="str">
            <v xml:space="preserve">Place Activation and Community Engagement </v>
          </cell>
          <cell r="D499" t="str">
            <v>3060000</v>
          </cell>
        </row>
        <row r="500">
          <cell r="B500" t="str">
            <v>E0131</v>
          </cell>
          <cell r="C500" t="str">
            <v xml:space="preserve">Place Making Incentive Fund </v>
          </cell>
          <cell r="D500" t="str">
            <v>3060000</v>
          </cell>
        </row>
        <row r="501">
          <cell r="B501" t="str">
            <v>E0132</v>
          </cell>
          <cell r="C501" t="str">
            <v xml:space="preserve">Meadowbrook City Deal </v>
          </cell>
          <cell r="D501" t="str">
            <v>3060000</v>
          </cell>
        </row>
        <row r="502">
          <cell r="B502" t="str">
            <v>E0134</v>
          </cell>
          <cell r="C502" t="str">
            <v>Streetscape Upgrades, active transport and place making proj ects</v>
          </cell>
          <cell r="D502" t="str">
            <v>3060000</v>
          </cell>
        </row>
        <row r="503">
          <cell r="B503" t="str">
            <v>E0135</v>
          </cell>
          <cell r="C503" t="str">
            <v xml:space="preserve">Staydar Crescent to Armstrong Road connection </v>
          </cell>
          <cell r="D503" t="str">
            <v>3060000</v>
          </cell>
        </row>
        <row r="504">
          <cell r="B504" t="str">
            <v>E0136</v>
          </cell>
          <cell r="C504" t="str">
            <v xml:space="preserve">Signalisation of Intersection </v>
          </cell>
          <cell r="D504" t="str">
            <v>3060000</v>
          </cell>
        </row>
        <row r="505">
          <cell r="B505" t="str">
            <v>E0137</v>
          </cell>
          <cell r="C505" t="str">
            <v xml:space="preserve">Loganlea Road Healthy Streets Projects (Stage 3) </v>
          </cell>
          <cell r="D505" t="str">
            <v>3060000</v>
          </cell>
        </row>
        <row r="506">
          <cell r="B506" t="str">
            <v>E0138</v>
          </cell>
          <cell r="C506" t="str">
            <v xml:space="preserve">SEQ City Deal Public Art Initiative </v>
          </cell>
          <cell r="D506" t="str">
            <v>3060000</v>
          </cell>
        </row>
        <row r="507">
          <cell r="B507" t="str">
            <v>E0139</v>
          </cell>
          <cell r="C507" t="str">
            <v xml:space="preserve">Logan and Gold Coast Faster Rail (LGC) Project </v>
          </cell>
          <cell r="D507" t="str">
            <v>3060000</v>
          </cell>
        </row>
        <row r="508">
          <cell r="B508" t="str">
            <v>13371</v>
          </cell>
          <cell r="C508" t="str">
            <v xml:space="preserve">Active Women and Girls </v>
          </cell>
          <cell r="D508" t="str">
            <v>3060000</v>
          </cell>
        </row>
        <row r="509">
          <cell r="B509" t="str">
            <v>18031</v>
          </cell>
          <cell r="C509" t="str">
            <v xml:space="preserve">Community Capacity Building </v>
          </cell>
          <cell r="D509" t="str">
            <v>3060000</v>
          </cell>
        </row>
        <row r="510">
          <cell r="B510" t="str">
            <v>31101</v>
          </cell>
          <cell r="C510" t="str">
            <v xml:space="preserve">Returned grant funds from prior years </v>
          </cell>
          <cell r="D510" t="str">
            <v>3060000</v>
          </cell>
        </row>
        <row r="511">
          <cell r="B511" t="str">
            <v>S0002</v>
          </cell>
          <cell r="C511" t="str">
            <v xml:space="preserve">Community Development </v>
          </cell>
          <cell r="D511" t="str">
            <v>3060000</v>
          </cell>
        </row>
        <row r="512">
          <cell r="B512" t="str">
            <v>S0003</v>
          </cell>
          <cell r="C512" t="str">
            <v xml:space="preserve">Community Connect </v>
          </cell>
          <cell r="D512" t="str">
            <v>3060000</v>
          </cell>
        </row>
        <row r="513">
          <cell r="B513" t="str">
            <v>S0005</v>
          </cell>
          <cell r="C513" t="str">
            <v xml:space="preserve">Get Out Get Active </v>
          </cell>
          <cell r="D513" t="str">
            <v>3060000</v>
          </cell>
        </row>
        <row r="514">
          <cell r="B514" t="str">
            <v>S0006</v>
          </cell>
          <cell r="C514" t="str">
            <v xml:space="preserve">We Are Qld </v>
          </cell>
          <cell r="D514" t="str">
            <v>3060000</v>
          </cell>
        </row>
        <row r="515">
          <cell r="B515" t="str">
            <v>S0059</v>
          </cell>
          <cell r="C515" t="str">
            <v xml:space="preserve">Strong Swimming in Multicultural Community </v>
          </cell>
          <cell r="D515" t="str">
            <v>3060000</v>
          </cell>
        </row>
        <row r="516">
          <cell r="B516" t="str">
            <v>S0071</v>
          </cell>
          <cell r="C516" t="str">
            <v xml:space="preserve">Community Development Funding </v>
          </cell>
          <cell r="D516" t="str">
            <v>3060000</v>
          </cell>
        </row>
        <row r="517">
          <cell r="B517" t="str">
            <v>S0072</v>
          </cell>
          <cell r="C517" t="str">
            <v xml:space="preserve">KRANK </v>
          </cell>
          <cell r="D517" t="str">
            <v>3060000</v>
          </cell>
        </row>
        <row r="518">
          <cell r="B518" t="str">
            <v>S0080</v>
          </cell>
          <cell r="C518" t="str">
            <v xml:space="preserve">Active and Healthy Programs </v>
          </cell>
          <cell r="D518" t="str">
            <v>3060000</v>
          </cell>
        </row>
        <row r="519">
          <cell r="B519" t="str">
            <v>S0081</v>
          </cell>
          <cell r="C519" t="str">
            <v xml:space="preserve">Community Development Officer </v>
          </cell>
          <cell r="D519" t="str">
            <v>3060000</v>
          </cell>
        </row>
        <row r="520">
          <cell r="B520" t="str">
            <v>S0096</v>
          </cell>
          <cell r="C520" t="str">
            <v xml:space="preserve">Swim Logan </v>
          </cell>
          <cell r="D520" t="str">
            <v>3060000</v>
          </cell>
        </row>
        <row r="521">
          <cell r="B521" t="str">
            <v>S0099</v>
          </cell>
          <cell r="C521" t="str">
            <v xml:space="preserve">Waste Concessions (CSO) </v>
          </cell>
          <cell r="D521" t="str">
            <v>3060000</v>
          </cell>
        </row>
        <row r="522">
          <cell r="B522" t="str">
            <v>S0118</v>
          </cell>
          <cell r="C522" t="str">
            <v xml:space="preserve">Move It Logan </v>
          </cell>
          <cell r="D522" t="str">
            <v>3060000</v>
          </cell>
        </row>
        <row r="523">
          <cell r="B523" t="str">
            <v>S0119</v>
          </cell>
          <cell r="C523" t="str">
            <v xml:space="preserve">Grants Capacity Building </v>
          </cell>
          <cell r="D523" t="str">
            <v>3060000</v>
          </cell>
        </row>
        <row r="524">
          <cell r="B524" t="str">
            <v>S0120</v>
          </cell>
          <cell r="C524" t="str">
            <v xml:space="preserve">Emergency Relief Fund </v>
          </cell>
          <cell r="D524" t="str">
            <v>3060000</v>
          </cell>
        </row>
        <row r="525">
          <cell r="B525" t="str">
            <v>S0123</v>
          </cell>
          <cell r="C525" t="str">
            <v xml:space="preserve">Stories from the Kitchen </v>
          </cell>
          <cell r="D525" t="str">
            <v>3060000</v>
          </cell>
        </row>
        <row r="526">
          <cell r="B526" t="str">
            <v>S0138</v>
          </cell>
          <cell r="C526" t="str">
            <v xml:space="preserve">Community Training Program </v>
          </cell>
          <cell r="D526" t="str">
            <v>3060000</v>
          </cell>
        </row>
        <row r="527">
          <cell r="B527" t="str">
            <v>S0140</v>
          </cell>
          <cell r="C527" t="str">
            <v xml:space="preserve">CBF Mayor </v>
          </cell>
          <cell r="D527" t="str">
            <v>3060000</v>
          </cell>
        </row>
        <row r="528">
          <cell r="B528" t="str">
            <v>S0141</v>
          </cell>
          <cell r="C528" t="str">
            <v xml:space="preserve">CBF Division 1 </v>
          </cell>
          <cell r="D528" t="str">
            <v>3060000</v>
          </cell>
        </row>
        <row r="529">
          <cell r="B529" t="str">
            <v>S0142</v>
          </cell>
          <cell r="C529" t="str">
            <v xml:space="preserve">CBF Division 2 </v>
          </cell>
          <cell r="D529" t="str">
            <v>3060000</v>
          </cell>
        </row>
        <row r="530">
          <cell r="B530" t="str">
            <v>S0143</v>
          </cell>
          <cell r="C530" t="str">
            <v xml:space="preserve">CBF Division 3 </v>
          </cell>
          <cell r="D530" t="str">
            <v>3060000</v>
          </cell>
        </row>
        <row r="531">
          <cell r="B531" t="str">
            <v>S0144</v>
          </cell>
          <cell r="C531" t="str">
            <v xml:space="preserve">CBF Division 4 </v>
          </cell>
          <cell r="D531" t="str">
            <v>3060000</v>
          </cell>
        </row>
        <row r="532">
          <cell r="B532" t="str">
            <v>S0145</v>
          </cell>
          <cell r="C532" t="str">
            <v xml:space="preserve">CBF Division 5 </v>
          </cell>
          <cell r="D532" t="str">
            <v>3060000</v>
          </cell>
        </row>
        <row r="533">
          <cell r="B533" t="str">
            <v>S0146</v>
          </cell>
          <cell r="C533" t="str">
            <v xml:space="preserve">CBF Division 6 </v>
          </cell>
          <cell r="D533" t="str">
            <v>3060000</v>
          </cell>
        </row>
        <row r="534">
          <cell r="B534" t="str">
            <v>S0147</v>
          </cell>
          <cell r="C534" t="str">
            <v xml:space="preserve">CBF Division 7 </v>
          </cell>
          <cell r="D534" t="str">
            <v>3060000</v>
          </cell>
        </row>
        <row r="535">
          <cell r="B535" t="str">
            <v>S0148</v>
          </cell>
          <cell r="C535" t="str">
            <v xml:space="preserve">CBF Division 8 </v>
          </cell>
          <cell r="D535" t="str">
            <v>3060000</v>
          </cell>
        </row>
        <row r="536">
          <cell r="B536" t="str">
            <v>S0149</v>
          </cell>
          <cell r="C536" t="str">
            <v xml:space="preserve">CBF Division 9 </v>
          </cell>
          <cell r="D536" t="str">
            <v>3060000</v>
          </cell>
        </row>
        <row r="537">
          <cell r="B537" t="str">
            <v>S0150</v>
          </cell>
          <cell r="C537" t="str">
            <v xml:space="preserve">CBF Division 10 </v>
          </cell>
          <cell r="D537" t="str">
            <v>3060000</v>
          </cell>
        </row>
        <row r="538">
          <cell r="B538" t="str">
            <v>S0151</v>
          </cell>
          <cell r="C538" t="str">
            <v xml:space="preserve">CBF Division 11 </v>
          </cell>
          <cell r="D538" t="str">
            <v>3060000</v>
          </cell>
        </row>
        <row r="539">
          <cell r="B539" t="str">
            <v>S0152</v>
          </cell>
          <cell r="C539" t="str">
            <v xml:space="preserve">CBF Division 12 </v>
          </cell>
          <cell r="D539" t="str">
            <v>3060000</v>
          </cell>
        </row>
        <row r="540">
          <cell r="B540" t="str">
            <v>S0153</v>
          </cell>
          <cell r="C540" t="str">
            <v xml:space="preserve">Community Event Funding </v>
          </cell>
          <cell r="D540" t="str">
            <v>3060000</v>
          </cell>
        </row>
        <row r="541">
          <cell r="B541" t="str">
            <v>S0154</v>
          </cell>
          <cell r="C541" t="str">
            <v xml:space="preserve">Community Development Funding </v>
          </cell>
          <cell r="D541" t="str">
            <v>3060000</v>
          </cell>
        </row>
        <row r="542">
          <cell r="B542" t="str">
            <v>S0156</v>
          </cell>
          <cell r="C542" t="str">
            <v xml:space="preserve">Online Booking System </v>
          </cell>
          <cell r="D542" t="str">
            <v>3060000</v>
          </cell>
        </row>
        <row r="543">
          <cell r="B543" t="str">
            <v>30502</v>
          </cell>
          <cell r="C543" t="str">
            <v xml:space="preserve">Waste and Resource Recovery Branch Management </v>
          </cell>
          <cell r="D543" t="str">
            <v>3070000</v>
          </cell>
        </row>
        <row r="544">
          <cell r="B544" t="str">
            <v>30552</v>
          </cell>
          <cell r="C544" t="str">
            <v xml:space="preserve">Nightsoil Services </v>
          </cell>
          <cell r="D544" t="str">
            <v>3070000</v>
          </cell>
        </row>
        <row r="545">
          <cell r="B545" t="str">
            <v>30592</v>
          </cell>
          <cell r="C545" t="str">
            <v xml:space="preserve">Browns Plains Landfill </v>
          </cell>
          <cell r="D545" t="str">
            <v>3070000</v>
          </cell>
        </row>
        <row r="546">
          <cell r="B546" t="str">
            <v>30602</v>
          </cell>
          <cell r="C546" t="str">
            <v xml:space="preserve">Browns Plains Transfer Station </v>
          </cell>
          <cell r="D546" t="str">
            <v>3070000</v>
          </cell>
        </row>
        <row r="547">
          <cell r="B547" t="str">
            <v>30612</v>
          </cell>
          <cell r="C547" t="str">
            <v xml:space="preserve">Waste Operations Overheads </v>
          </cell>
          <cell r="D547" t="str">
            <v>3070000</v>
          </cell>
        </row>
        <row r="548">
          <cell r="B548" t="str">
            <v>30622</v>
          </cell>
          <cell r="C548" t="str">
            <v xml:space="preserve">Browns Plains Recycling Market </v>
          </cell>
          <cell r="D548" t="str">
            <v>3070000</v>
          </cell>
        </row>
        <row r="549">
          <cell r="B549" t="str">
            <v>30642</v>
          </cell>
          <cell r="C549" t="str">
            <v xml:space="preserve">Browns Plains Metal Recycling </v>
          </cell>
          <cell r="D549" t="str">
            <v>3070000</v>
          </cell>
        </row>
        <row r="550">
          <cell r="B550" t="str">
            <v>30652</v>
          </cell>
          <cell r="C550" t="str">
            <v xml:space="preserve">Browns Plains General Recycling </v>
          </cell>
          <cell r="D550" t="str">
            <v>3070000</v>
          </cell>
        </row>
        <row r="551">
          <cell r="B551" t="str">
            <v>30662</v>
          </cell>
          <cell r="C551" t="str">
            <v xml:space="preserve">Carbrook Transfer Station </v>
          </cell>
          <cell r="D551" t="str">
            <v>3070000</v>
          </cell>
        </row>
        <row r="552">
          <cell r="B552" t="str">
            <v>30682</v>
          </cell>
          <cell r="C552" t="str">
            <v xml:space="preserve">Beenleigh Transfer Station </v>
          </cell>
          <cell r="D552" t="str">
            <v>3070000</v>
          </cell>
        </row>
        <row r="553">
          <cell r="B553" t="str">
            <v>30702</v>
          </cell>
          <cell r="C553" t="str">
            <v xml:space="preserve">Greenbank Transfer Station </v>
          </cell>
          <cell r="D553" t="str">
            <v>3070000</v>
          </cell>
        </row>
        <row r="554">
          <cell r="B554" t="str">
            <v>30732</v>
          </cell>
          <cell r="C554" t="str">
            <v xml:space="preserve">Logan Village - Transfer Station </v>
          </cell>
          <cell r="D554" t="str">
            <v>3070000</v>
          </cell>
        </row>
        <row r="555">
          <cell r="B555" t="str">
            <v>30742</v>
          </cell>
          <cell r="C555" t="str">
            <v xml:space="preserve">Waller Road Former Landfill </v>
          </cell>
          <cell r="D555" t="str">
            <v>3070000</v>
          </cell>
        </row>
        <row r="556">
          <cell r="B556" t="str">
            <v>30762</v>
          </cell>
          <cell r="C556" t="str">
            <v xml:space="preserve">Jimboomba Former Landfill </v>
          </cell>
          <cell r="D556" t="str">
            <v>3070000</v>
          </cell>
        </row>
        <row r="557">
          <cell r="B557" t="str">
            <v>30812</v>
          </cell>
          <cell r="C557" t="str">
            <v xml:space="preserve">Disaster Management </v>
          </cell>
          <cell r="D557" t="str">
            <v>3070000</v>
          </cell>
        </row>
        <row r="558">
          <cell r="B558" t="str">
            <v>30912</v>
          </cell>
          <cell r="C558" t="str">
            <v xml:space="preserve">Waste COVID-19 </v>
          </cell>
          <cell r="D558" t="str">
            <v>3070000</v>
          </cell>
        </row>
        <row r="559">
          <cell r="B559" t="str">
            <v>T0209</v>
          </cell>
          <cell r="C559" t="str">
            <v xml:space="preserve">Cell 2D Leachate Recirculation </v>
          </cell>
          <cell r="D559" t="str">
            <v>3070000</v>
          </cell>
        </row>
        <row r="560">
          <cell r="B560" t="str">
            <v>T0220</v>
          </cell>
          <cell r="C560" t="str">
            <v xml:space="preserve">Beenleigh Waste and Recyling - Retaining Wall </v>
          </cell>
          <cell r="D560" t="str">
            <v>3070000</v>
          </cell>
        </row>
        <row r="561">
          <cell r="B561" t="str">
            <v>T0224</v>
          </cell>
          <cell r="C561" t="str">
            <v xml:space="preserve">Landfill Stormwater Treatment Pond </v>
          </cell>
          <cell r="D561" t="str">
            <v>3070000</v>
          </cell>
        </row>
        <row r="562">
          <cell r="B562" t="str">
            <v>T0229</v>
          </cell>
          <cell r="C562" t="str">
            <v xml:space="preserve">Cell 2E Design and Construction </v>
          </cell>
          <cell r="D562" t="str">
            <v>3070000</v>
          </cell>
        </row>
        <row r="563">
          <cell r="B563" t="str">
            <v>T0242</v>
          </cell>
          <cell r="C563" t="str">
            <v xml:space="preserve">Levy Ready Funding </v>
          </cell>
          <cell r="D563" t="str">
            <v>3070000</v>
          </cell>
        </row>
        <row r="564">
          <cell r="B564" t="str">
            <v>T0246</v>
          </cell>
          <cell r="C564" t="str">
            <v xml:space="preserve">BP Resource Recovery Area </v>
          </cell>
          <cell r="D564" t="str">
            <v>3070000</v>
          </cell>
        </row>
        <row r="565">
          <cell r="B565" t="str">
            <v>T0247</v>
          </cell>
          <cell r="C565" t="str">
            <v xml:space="preserve">BP Greenwaste Road to Pad A </v>
          </cell>
          <cell r="D565" t="str">
            <v>3070000</v>
          </cell>
        </row>
        <row r="566">
          <cell r="B566" t="str">
            <v>T0248</v>
          </cell>
          <cell r="C566" t="str">
            <v xml:space="preserve">BL Concrete Pavement (near Metal Bin) </v>
          </cell>
          <cell r="D566" t="str">
            <v>3070000</v>
          </cell>
        </row>
        <row r="567">
          <cell r="B567" t="str">
            <v>T0249</v>
          </cell>
          <cell r="C567" t="str">
            <v xml:space="preserve">BP Market Camera System Upgrade </v>
          </cell>
          <cell r="D567" t="str">
            <v>3070000</v>
          </cell>
        </row>
        <row r="568">
          <cell r="B568" t="str">
            <v>T0250</v>
          </cell>
          <cell r="C568" t="str">
            <v xml:space="preserve">BL Greenwaste Pad Upgrade </v>
          </cell>
          <cell r="D568" t="str">
            <v>3070000</v>
          </cell>
        </row>
        <row r="569">
          <cell r="B569" t="str">
            <v>T0251</v>
          </cell>
          <cell r="C569" t="str">
            <v xml:space="preserve">CB Greenwaste Pad Upgrade </v>
          </cell>
          <cell r="D569" t="str">
            <v>3070000</v>
          </cell>
        </row>
        <row r="570">
          <cell r="B570" t="str">
            <v>T0252</v>
          </cell>
          <cell r="C570" t="str">
            <v xml:space="preserve">GB Greenwaste Pad Upgrade </v>
          </cell>
          <cell r="D570" t="str">
            <v>3070000</v>
          </cell>
        </row>
        <row r="571">
          <cell r="B571" t="str">
            <v>T0253</v>
          </cell>
          <cell r="C571" t="str">
            <v xml:space="preserve">LV Pavement and Drainage Repairs </v>
          </cell>
          <cell r="D571" t="str">
            <v>3070000</v>
          </cell>
        </row>
        <row r="572">
          <cell r="B572" t="str">
            <v>T0254</v>
          </cell>
          <cell r="C572" t="str">
            <v xml:space="preserve">BP Pavement Repairs </v>
          </cell>
          <cell r="D572" t="str">
            <v>3070000</v>
          </cell>
        </row>
        <row r="573">
          <cell r="B573" t="str">
            <v>T0255</v>
          </cell>
          <cell r="C573" t="str">
            <v xml:space="preserve">BP Recycling Market Pavement Repairs </v>
          </cell>
          <cell r="D573" t="str">
            <v>3070000</v>
          </cell>
        </row>
        <row r="574">
          <cell r="B574" t="str">
            <v>T0256</v>
          </cell>
          <cell r="C574" t="str">
            <v xml:space="preserve">BP Road and Signage </v>
          </cell>
          <cell r="D574" t="str">
            <v>3070000</v>
          </cell>
        </row>
        <row r="575">
          <cell r="B575" t="str">
            <v>T0257</v>
          </cell>
          <cell r="C575" t="str">
            <v xml:space="preserve">BP Weighbridge Software Upgrade </v>
          </cell>
          <cell r="D575" t="str">
            <v>3070000</v>
          </cell>
        </row>
        <row r="576">
          <cell r="B576" t="str">
            <v>T0258</v>
          </cell>
          <cell r="C576" t="str">
            <v xml:space="preserve">BP Road Repairs </v>
          </cell>
          <cell r="D576" t="str">
            <v>3070000</v>
          </cell>
        </row>
        <row r="577">
          <cell r="B577" t="str">
            <v>T0259</v>
          </cell>
          <cell r="C577" t="str">
            <v xml:space="preserve">CB Greenwaste Upgrade </v>
          </cell>
          <cell r="D577" t="str">
            <v>3070000</v>
          </cell>
        </row>
        <row r="578">
          <cell r="B578" t="str">
            <v>T0260</v>
          </cell>
          <cell r="C578" t="str">
            <v xml:space="preserve">GB Greenwaste Upgrade </v>
          </cell>
          <cell r="D578" t="str">
            <v>3070000</v>
          </cell>
        </row>
        <row r="579">
          <cell r="B579" t="str">
            <v>T0261</v>
          </cell>
          <cell r="C579" t="str">
            <v xml:space="preserve">BL Greenwaste Upgrade </v>
          </cell>
          <cell r="D579" t="str">
            <v>3070000</v>
          </cell>
        </row>
        <row r="580">
          <cell r="B580" t="str">
            <v>T0262</v>
          </cell>
          <cell r="C580" t="str">
            <v xml:space="preserve">BP LPR Camera Upgrade </v>
          </cell>
          <cell r="D580" t="str">
            <v>3070000</v>
          </cell>
        </row>
        <row r="581">
          <cell r="B581" t="str">
            <v>T0263</v>
          </cell>
          <cell r="C581" t="str">
            <v xml:space="preserve">CB Road Upgrade </v>
          </cell>
          <cell r="D581" t="str">
            <v>3070000</v>
          </cell>
        </row>
        <row r="582">
          <cell r="B582" t="str">
            <v>T0264</v>
          </cell>
          <cell r="C582" t="str">
            <v xml:space="preserve">CB Weighbridge Upgrade </v>
          </cell>
          <cell r="D582" t="str">
            <v>3070000</v>
          </cell>
        </row>
        <row r="583">
          <cell r="B583" t="str">
            <v>T0265</v>
          </cell>
          <cell r="C583" t="str">
            <v xml:space="preserve">GB Greenwaste Pad Upgrade </v>
          </cell>
          <cell r="D583" t="str">
            <v>3070000</v>
          </cell>
        </row>
        <row r="584">
          <cell r="B584" t="str">
            <v>T0266</v>
          </cell>
          <cell r="C584" t="str">
            <v xml:space="preserve">BP Recycle Market POS </v>
          </cell>
          <cell r="D584" t="str">
            <v>3070000</v>
          </cell>
        </row>
        <row r="585">
          <cell r="B585" t="str">
            <v>T0267</v>
          </cell>
          <cell r="C585" t="str">
            <v xml:space="preserve">LV Greenwaste Pad Upgrade </v>
          </cell>
          <cell r="D585" t="str">
            <v>3070000</v>
          </cell>
        </row>
        <row r="586">
          <cell r="B586" t="str">
            <v>T0268</v>
          </cell>
          <cell r="C586" t="str">
            <v xml:space="preserve">LV Road Upgrade for Bin Exchange </v>
          </cell>
          <cell r="D586" t="str">
            <v>3070000</v>
          </cell>
        </row>
        <row r="587">
          <cell r="B587" t="str">
            <v>T0269</v>
          </cell>
          <cell r="C587" t="str">
            <v xml:space="preserve">BP Exit Road Upgrade </v>
          </cell>
          <cell r="D587" t="str">
            <v>3070000</v>
          </cell>
        </row>
        <row r="588">
          <cell r="B588" t="str">
            <v>T0270</v>
          </cell>
          <cell r="C588" t="str">
            <v xml:space="preserve">BP Recycle Market Asphalt Works </v>
          </cell>
          <cell r="D588" t="str">
            <v>3070000</v>
          </cell>
        </row>
        <row r="589">
          <cell r="B589" t="str">
            <v>T0271</v>
          </cell>
          <cell r="C589" t="str">
            <v xml:space="preserve">BP Flowmeter </v>
          </cell>
          <cell r="D589" t="str">
            <v>3070000</v>
          </cell>
        </row>
        <row r="590">
          <cell r="B590" t="str">
            <v>T0272</v>
          </cell>
          <cell r="C590" t="str">
            <v xml:space="preserve">LV Greenwaste Pad Upgrade </v>
          </cell>
          <cell r="D590" t="str">
            <v>3070000</v>
          </cell>
        </row>
        <row r="591">
          <cell r="B591" t="str">
            <v>T0274</v>
          </cell>
          <cell r="C591" t="str">
            <v xml:space="preserve">Carbrook Waste and Recycling Facility Gatehouse </v>
          </cell>
          <cell r="D591" t="str">
            <v>3070000</v>
          </cell>
        </row>
        <row r="592">
          <cell r="B592" t="str">
            <v>T0276</v>
          </cell>
          <cell r="C592" t="str">
            <v xml:space="preserve">Logan Village Waste and Recycling Pavement Works </v>
          </cell>
          <cell r="D592" t="str">
            <v>3070000</v>
          </cell>
        </row>
        <row r="593">
          <cell r="B593" t="str">
            <v>T0277</v>
          </cell>
          <cell r="C593" t="str">
            <v xml:space="preserve">Polystyrene Bailer </v>
          </cell>
          <cell r="D593" t="str">
            <v>3070000</v>
          </cell>
        </row>
        <row r="594">
          <cell r="B594" t="str">
            <v>T0278</v>
          </cell>
          <cell r="C594" t="str">
            <v xml:space="preserve">Beenleigh Greenwaste Pad Upgrade </v>
          </cell>
          <cell r="D594" t="str">
            <v>3070000</v>
          </cell>
        </row>
        <row r="595">
          <cell r="B595" t="str">
            <v>T0279</v>
          </cell>
          <cell r="C595" t="str">
            <v xml:space="preserve">Tipping Bins </v>
          </cell>
          <cell r="D595" t="str">
            <v>3070000</v>
          </cell>
        </row>
        <row r="596">
          <cell r="B596" t="str">
            <v>T0280</v>
          </cell>
          <cell r="C596" t="str">
            <v xml:space="preserve">BP Concrete Pads and Culvert Crossing </v>
          </cell>
          <cell r="D596" t="str">
            <v>3070000</v>
          </cell>
        </row>
        <row r="597">
          <cell r="B597" t="str">
            <v>T0281</v>
          </cell>
          <cell r="C597" t="str">
            <v xml:space="preserve">WRR Site Camera Replacement </v>
          </cell>
          <cell r="D597" t="str">
            <v>3070000</v>
          </cell>
        </row>
        <row r="598">
          <cell r="B598" t="str">
            <v>T0282</v>
          </cell>
          <cell r="C598" t="str">
            <v xml:space="preserve">Pavement upgrade surrounding weighbridge and roundabout </v>
          </cell>
          <cell r="D598" t="str">
            <v>3070000</v>
          </cell>
        </row>
        <row r="599">
          <cell r="B599" t="str">
            <v>T0283</v>
          </cell>
          <cell r="C599" t="str">
            <v xml:space="preserve">Browns Plains weighbridge windows installation </v>
          </cell>
          <cell r="D599" t="str">
            <v>3070000</v>
          </cell>
        </row>
        <row r="600">
          <cell r="B600" t="str">
            <v>T0284</v>
          </cell>
          <cell r="C600" t="str">
            <v xml:space="preserve">Wireless RF Controlled PA System </v>
          </cell>
          <cell r="D600" t="str">
            <v>3070000</v>
          </cell>
        </row>
        <row r="601">
          <cell r="B601" t="str">
            <v>T0285</v>
          </cell>
          <cell r="C601" t="str">
            <v xml:space="preserve">Solar Powered Trade Waste Flowmeters </v>
          </cell>
          <cell r="D601" t="str">
            <v>3070000</v>
          </cell>
        </row>
        <row r="602">
          <cell r="B602" t="str">
            <v>T0288</v>
          </cell>
          <cell r="C602" t="str">
            <v>Greenbank Transfer Station Initial Capital Upgrade Works Des ign and Construction Services</v>
          </cell>
          <cell r="D602" t="str">
            <v>3070000</v>
          </cell>
        </row>
        <row r="603">
          <cell r="B603" t="str">
            <v>T0289</v>
          </cell>
          <cell r="C603" t="str">
            <v>Logan village Transfer Station Capital Upgrade Works Prelimi nary Design</v>
          </cell>
          <cell r="D603" t="str">
            <v>3070000</v>
          </cell>
        </row>
        <row r="604">
          <cell r="B604" t="str">
            <v>30512</v>
          </cell>
          <cell r="C604" t="str">
            <v xml:space="preserve">Waste Administration Overheads </v>
          </cell>
          <cell r="D604" t="str">
            <v>3070000</v>
          </cell>
        </row>
        <row r="605">
          <cell r="B605" t="str">
            <v>30522</v>
          </cell>
          <cell r="C605" t="str">
            <v xml:space="preserve">Waste &amp; Recycling Bin Collection </v>
          </cell>
          <cell r="D605" t="str">
            <v>3070000</v>
          </cell>
        </row>
        <row r="606">
          <cell r="B606" t="str">
            <v>30782</v>
          </cell>
          <cell r="C606" t="str">
            <v xml:space="preserve">Kerbside Clean Up </v>
          </cell>
          <cell r="D606" t="str">
            <v>3070000</v>
          </cell>
        </row>
        <row r="607">
          <cell r="B607" t="str">
            <v>30822</v>
          </cell>
          <cell r="C607" t="str">
            <v xml:space="preserve">Sub Regional Waste Alliance </v>
          </cell>
          <cell r="D607" t="str">
            <v>3070000</v>
          </cell>
        </row>
        <row r="608">
          <cell r="B608" t="str">
            <v>30931</v>
          </cell>
          <cell r="C608" t="str">
            <v xml:space="preserve">Greenovate Pty Ltd </v>
          </cell>
          <cell r="D608" t="str">
            <v>3070000</v>
          </cell>
        </row>
        <row r="609">
          <cell r="B609" t="str">
            <v>T0273</v>
          </cell>
          <cell r="C609" t="str">
            <v xml:space="preserve">Browns Plains Administration AV uplift </v>
          </cell>
          <cell r="D609" t="str">
            <v>3070000</v>
          </cell>
        </row>
        <row r="610">
          <cell r="B610" t="str">
            <v>T0275</v>
          </cell>
          <cell r="C610" t="str">
            <v xml:space="preserve">Material Recycling Site Works </v>
          </cell>
          <cell r="D610" t="str">
            <v>3070000</v>
          </cell>
        </row>
        <row r="611">
          <cell r="B611" t="str">
            <v>T0286</v>
          </cell>
          <cell r="C611" t="str">
            <v xml:space="preserve">Browns Plains Building Access Control </v>
          </cell>
          <cell r="D611" t="str">
            <v>3070000</v>
          </cell>
        </row>
        <row r="612">
          <cell r="B612" t="str">
            <v>T0287</v>
          </cell>
          <cell r="C612" t="str">
            <v xml:space="preserve">Let’s get it sorted partnership program </v>
          </cell>
          <cell r="D612" t="str">
            <v>3070000</v>
          </cell>
        </row>
        <row r="613">
          <cell r="B613" t="str">
            <v>W3050</v>
          </cell>
          <cell r="C613" t="str">
            <v>Waste Services Insurance Damages - Insurance Program Use Only</v>
          </cell>
          <cell r="D613" t="str">
            <v>3070000</v>
          </cell>
        </row>
        <row r="614">
          <cell r="B614" t="str">
            <v>10171</v>
          </cell>
          <cell r="C614" t="str">
            <v xml:space="preserve">Transform Logan Administration and Management </v>
          </cell>
          <cell r="D614" t="str">
            <v>3090000</v>
          </cell>
        </row>
        <row r="615">
          <cell r="B615" t="str">
            <v>10151</v>
          </cell>
          <cell r="C615" t="str">
            <v xml:space="preserve">Transform Logan </v>
          </cell>
          <cell r="D615" t="str">
            <v>3090000</v>
          </cell>
        </row>
        <row r="616">
          <cell r="B616" t="str">
            <v>16011</v>
          </cell>
          <cell r="C616" t="str">
            <v xml:space="preserve">Advocacy </v>
          </cell>
          <cell r="D616" t="str">
            <v>3090000</v>
          </cell>
        </row>
        <row r="617">
          <cell r="B617" t="str">
            <v>16501</v>
          </cell>
          <cell r="C617" t="str">
            <v xml:space="preserve">CL Community &amp; Lifestyle Branch Management </v>
          </cell>
          <cell r="D617" t="str">
            <v>4010000</v>
          </cell>
        </row>
        <row r="618">
          <cell r="B618" t="str">
            <v>16602</v>
          </cell>
          <cell r="C618" t="str">
            <v xml:space="preserve">Land Development </v>
          </cell>
          <cell r="D618" t="str">
            <v>4020000</v>
          </cell>
        </row>
        <row r="619">
          <cell r="B619" t="str">
            <v>16691</v>
          </cell>
          <cell r="C619" t="str">
            <v xml:space="preserve">Education &amp; Systems Services </v>
          </cell>
          <cell r="D619" t="str">
            <v>4020000</v>
          </cell>
        </row>
        <row r="620">
          <cell r="B620" t="str">
            <v>16711</v>
          </cell>
          <cell r="C620" t="str">
            <v xml:space="preserve">CSAC COVID-19 </v>
          </cell>
          <cell r="D620" t="str">
            <v>4020000</v>
          </cell>
        </row>
        <row r="621">
          <cell r="B621" t="str">
            <v>17001</v>
          </cell>
          <cell r="C621" t="str">
            <v xml:space="preserve">City Safety &amp; Liveability Branch Management </v>
          </cell>
          <cell r="D621" t="str">
            <v>4020000</v>
          </cell>
        </row>
        <row r="622">
          <cell r="B622" t="str">
            <v>17241</v>
          </cell>
          <cell r="C622" t="str">
            <v xml:space="preserve">2017 Ex-Cyclone Debbie </v>
          </cell>
          <cell r="D622" t="str">
            <v>4020000</v>
          </cell>
        </row>
        <row r="623">
          <cell r="B623" t="str">
            <v>16621</v>
          </cell>
          <cell r="C623" t="str">
            <v xml:space="preserve">Noxious Weed Services </v>
          </cell>
          <cell r="D623" t="str">
            <v>4020000</v>
          </cell>
        </row>
        <row r="624">
          <cell r="B624" t="str">
            <v>16631</v>
          </cell>
          <cell r="C624" t="str">
            <v xml:space="preserve">Vector Control </v>
          </cell>
          <cell r="D624" t="str">
            <v>4020000</v>
          </cell>
        </row>
        <row r="625">
          <cell r="B625" t="str">
            <v>16651</v>
          </cell>
          <cell r="C625" t="str">
            <v xml:space="preserve">Graffiti Management Unit </v>
          </cell>
          <cell r="D625" t="str">
            <v>4020000</v>
          </cell>
        </row>
        <row r="626">
          <cell r="B626" t="str">
            <v>31081</v>
          </cell>
          <cell r="C626" t="str">
            <v xml:space="preserve">Red Imported Fire Ant Taskforce </v>
          </cell>
          <cell r="D626" t="str">
            <v>4020000</v>
          </cell>
        </row>
        <row r="627">
          <cell r="B627" t="str">
            <v>16611</v>
          </cell>
          <cell r="C627" t="str">
            <v xml:space="preserve">Animal Management </v>
          </cell>
          <cell r="D627" t="str">
            <v>4020000</v>
          </cell>
        </row>
        <row r="628">
          <cell r="B628" t="str">
            <v>16612</v>
          </cell>
          <cell r="C628" t="str">
            <v xml:space="preserve">Depot Improvements </v>
          </cell>
          <cell r="D628" t="str">
            <v>4020000</v>
          </cell>
        </row>
        <row r="629">
          <cell r="B629" t="str">
            <v>16671</v>
          </cell>
          <cell r="C629" t="str">
            <v xml:space="preserve">Community Veterinary Clinic </v>
          </cell>
          <cell r="D629" t="str">
            <v>4020000</v>
          </cell>
        </row>
        <row r="630">
          <cell r="B630" t="str">
            <v>16681</v>
          </cell>
          <cell r="C630" t="str">
            <v xml:space="preserve">Million Paws Walk </v>
          </cell>
          <cell r="D630" t="str">
            <v>4020000</v>
          </cell>
        </row>
        <row r="631">
          <cell r="B631" t="str">
            <v>17141</v>
          </cell>
          <cell r="C631" t="str">
            <v xml:space="preserve">Nuisance &amp; Business Public Place Reg </v>
          </cell>
          <cell r="D631" t="str">
            <v>4020000</v>
          </cell>
        </row>
        <row r="632">
          <cell r="B632" t="str">
            <v>17151</v>
          </cell>
          <cell r="C632" t="str">
            <v xml:space="preserve">Parking </v>
          </cell>
          <cell r="D632" t="str">
            <v>4020000</v>
          </cell>
        </row>
        <row r="633">
          <cell r="B633" t="str">
            <v>17311</v>
          </cell>
          <cell r="C633" t="str">
            <v xml:space="preserve">Illegal Dumping Program </v>
          </cell>
          <cell r="D633" t="str">
            <v>4020000</v>
          </cell>
        </row>
        <row r="634">
          <cell r="B634" t="str">
            <v>18161</v>
          </cell>
          <cell r="C634" t="str">
            <v xml:space="preserve">Local Govt Illegal Dumping Partnership Program Grant </v>
          </cell>
          <cell r="D634" t="str">
            <v>4020000</v>
          </cell>
        </row>
        <row r="635">
          <cell r="B635" t="str">
            <v>18171</v>
          </cell>
          <cell r="C635" t="str">
            <v xml:space="preserve">Local Government Illegal Dumping Hotspot Program Grant </v>
          </cell>
          <cell r="D635" t="str">
            <v>4020000</v>
          </cell>
        </row>
        <row r="636">
          <cell r="B636" t="str">
            <v>18041</v>
          </cell>
          <cell r="C636" t="str">
            <v xml:space="preserve">Crime Prevention </v>
          </cell>
          <cell r="D636" t="str">
            <v>4020000</v>
          </cell>
        </row>
        <row r="637">
          <cell r="B637" t="str">
            <v>S0013</v>
          </cell>
          <cell r="C637" t="str">
            <v xml:space="preserve">Crime Prevention </v>
          </cell>
          <cell r="D637" t="str">
            <v>4020000</v>
          </cell>
        </row>
        <row r="638">
          <cell r="B638" t="str">
            <v>S0039</v>
          </cell>
          <cell r="C638" t="str">
            <v xml:space="preserve">Safety Camera Room Upgrade </v>
          </cell>
          <cell r="D638" t="str">
            <v>4020000</v>
          </cell>
        </row>
        <row r="639">
          <cell r="B639" t="str">
            <v>S0040</v>
          </cell>
          <cell r="C639" t="str">
            <v xml:space="preserve">Safer Streets Camera Installation </v>
          </cell>
          <cell r="D639" t="str">
            <v>4020000</v>
          </cell>
        </row>
        <row r="640">
          <cell r="B640" t="str">
            <v>S0042</v>
          </cell>
          <cell r="C640" t="str">
            <v xml:space="preserve">PCIP CCTV Safety Cameras Grant </v>
          </cell>
          <cell r="D640" t="str">
            <v>4020000</v>
          </cell>
        </row>
        <row r="641">
          <cell r="B641" t="str">
            <v>S0062</v>
          </cell>
          <cell r="C641" t="str">
            <v xml:space="preserve">Operation Bounce Back </v>
          </cell>
          <cell r="D641" t="str">
            <v>4020000</v>
          </cell>
        </row>
        <row r="642">
          <cell r="B642" t="str">
            <v>S0083</v>
          </cell>
          <cell r="C642" t="str">
            <v xml:space="preserve">LIP (Local Infrastructure Program) </v>
          </cell>
          <cell r="D642" t="str">
            <v>4020000</v>
          </cell>
        </row>
        <row r="643">
          <cell r="B643" t="str">
            <v>S0087</v>
          </cell>
          <cell r="C643" t="str">
            <v xml:space="preserve">Safety Camera Program </v>
          </cell>
          <cell r="D643" t="str">
            <v>4020000</v>
          </cell>
        </row>
        <row r="644">
          <cell r="B644" t="str">
            <v>S0089</v>
          </cell>
          <cell r="C644" t="str">
            <v xml:space="preserve">Mobile Safety Cameras </v>
          </cell>
          <cell r="D644" t="str">
            <v>4020000</v>
          </cell>
        </row>
        <row r="645">
          <cell r="B645" t="str">
            <v>S0117</v>
          </cell>
          <cell r="C645" t="str">
            <v xml:space="preserve">Safer Communities Fund 2018/2019 </v>
          </cell>
          <cell r="D645" t="str">
            <v>4020000</v>
          </cell>
        </row>
        <row r="646">
          <cell r="B646" t="str">
            <v>S0121</v>
          </cell>
          <cell r="C646" t="str">
            <v xml:space="preserve">CS Safety COVID-19 </v>
          </cell>
          <cell r="D646" t="str">
            <v>4020000</v>
          </cell>
        </row>
        <row r="647">
          <cell r="B647" t="str">
            <v>S0155</v>
          </cell>
          <cell r="C647" t="str">
            <v xml:space="preserve">Citywide Deployable Cameras </v>
          </cell>
          <cell r="D647" t="str">
            <v>4020000</v>
          </cell>
        </row>
        <row r="648">
          <cell r="B648" t="str">
            <v>17521</v>
          </cell>
          <cell r="C648" t="str">
            <v xml:space="preserve">CC Digital Marketing and Video </v>
          </cell>
          <cell r="D648" t="str">
            <v>4040000</v>
          </cell>
        </row>
        <row r="649">
          <cell r="B649" t="str">
            <v>17541</v>
          </cell>
          <cell r="C649" t="str">
            <v xml:space="preserve">International Relations </v>
          </cell>
          <cell r="D649" t="str">
            <v>4040000</v>
          </cell>
        </row>
        <row r="650">
          <cell r="B650" t="str">
            <v>17701</v>
          </cell>
          <cell r="C650" t="str">
            <v xml:space="preserve">VE Branch Management </v>
          </cell>
          <cell r="D650" t="str">
            <v>4050000</v>
          </cell>
        </row>
        <row r="651">
          <cell r="B651" t="str">
            <v>19681</v>
          </cell>
          <cell r="C651" t="str">
            <v xml:space="preserve">VE Reduction of Hire Fees </v>
          </cell>
          <cell r="D651" t="str">
            <v>4050000</v>
          </cell>
        </row>
        <row r="652">
          <cell r="B652" t="str">
            <v>19901</v>
          </cell>
          <cell r="C652" t="str">
            <v xml:space="preserve">2017 Ex-Cyclone Debbie </v>
          </cell>
          <cell r="D652" t="str">
            <v>4050000</v>
          </cell>
        </row>
        <row r="653">
          <cell r="B653" t="str">
            <v>19961</v>
          </cell>
          <cell r="C653" t="str">
            <v xml:space="preserve">SLF COVID-19 </v>
          </cell>
          <cell r="D653" t="str">
            <v>4050000</v>
          </cell>
        </row>
        <row r="654">
          <cell r="B654" t="str">
            <v>32001</v>
          </cell>
          <cell r="C654" t="str">
            <v xml:space="preserve">Strategic Business Services </v>
          </cell>
          <cell r="D654" t="str">
            <v>4050000</v>
          </cell>
        </row>
        <row r="655">
          <cell r="B655" t="str">
            <v>32002</v>
          </cell>
          <cell r="C655" t="str">
            <v xml:space="preserve">Graphic Design </v>
          </cell>
          <cell r="D655" t="str">
            <v>4050000</v>
          </cell>
        </row>
        <row r="656">
          <cell r="B656" t="str">
            <v>32003</v>
          </cell>
          <cell r="C656" t="str">
            <v xml:space="preserve">Health and Safety </v>
          </cell>
          <cell r="D656" t="str">
            <v>4050000</v>
          </cell>
        </row>
        <row r="657">
          <cell r="B657" t="str">
            <v>32004</v>
          </cell>
          <cell r="C657" t="str">
            <v xml:space="preserve">Administration – Strategic Business Services </v>
          </cell>
          <cell r="D657" t="str">
            <v>4050000</v>
          </cell>
        </row>
        <row r="658">
          <cell r="B658" t="str">
            <v>17731</v>
          </cell>
          <cell r="C658" t="str">
            <v xml:space="preserve">Logan North Aquatic Centre </v>
          </cell>
          <cell r="D658" t="str">
            <v>4050000</v>
          </cell>
        </row>
        <row r="659">
          <cell r="B659" t="str">
            <v>17771</v>
          </cell>
          <cell r="C659" t="str">
            <v xml:space="preserve">Cornubia Park Sports Centre </v>
          </cell>
          <cell r="D659" t="str">
            <v>4050000</v>
          </cell>
        </row>
        <row r="660">
          <cell r="B660" t="str">
            <v>17781</v>
          </cell>
          <cell r="C660" t="str">
            <v xml:space="preserve">Mt Warren Sport Centre Operations </v>
          </cell>
          <cell r="D660" t="str">
            <v>4050000</v>
          </cell>
        </row>
        <row r="661">
          <cell r="B661" t="str">
            <v>17791</v>
          </cell>
          <cell r="C661" t="str">
            <v xml:space="preserve">Logan Metro Indoor Sports Centre Operations </v>
          </cell>
          <cell r="D661" t="str">
            <v>4050000</v>
          </cell>
        </row>
        <row r="662">
          <cell r="B662" t="str">
            <v>17841</v>
          </cell>
          <cell r="C662" t="str">
            <v xml:space="preserve">Gould Adams Park Aquatic Centre </v>
          </cell>
          <cell r="D662" t="str">
            <v>4050000</v>
          </cell>
        </row>
        <row r="663">
          <cell r="B663" t="str">
            <v>17851</v>
          </cell>
          <cell r="C663" t="str">
            <v xml:space="preserve">Logan West Aquatic &amp; Fitness Centre - Facility Management </v>
          </cell>
          <cell r="D663" t="str">
            <v>4050000</v>
          </cell>
        </row>
        <row r="664">
          <cell r="B664" t="str">
            <v>17861</v>
          </cell>
          <cell r="C664" t="str">
            <v xml:space="preserve">Bethania Aquatic Centre </v>
          </cell>
          <cell r="D664" t="str">
            <v>4050000</v>
          </cell>
        </row>
        <row r="665">
          <cell r="B665" t="str">
            <v>17871</v>
          </cell>
          <cell r="C665" t="str">
            <v xml:space="preserve">Beenleigh Aquatic Centre </v>
          </cell>
          <cell r="D665" t="str">
            <v>4050000</v>
          </cell>
        </row>
        <row r="666">
          <cell r="B666" t="str">
            <v>17881</v>
          </cell>
          <cell r="C666" t="str">
            <v xml:space="preserve">Eagleby Aquatic Centre </v>
          </cell>
          <cell r="D666" t="str">
            <v>4050000</v>
          </cell>
        </row>
        <row r="667">
          <cell r="B667" t="str">
            <v>18401</v>
          </cell>
          <cell r="C667" t="str">
            <v xml:space="preserve">Mt Warren Café </v>
          </cell>
          <cell r="D667" t="str">
            <v>4050000</v>
          </cell>
        </row>
        <row r="668">
          <cell r="B668" t="str">
            <v>18411</v>
          </cell>
          <cell r="C668" t="str">
            <v xml:space="preserve">Mt Warren Sports Centre Gym </v>
          </cell>
          <cell r="D668" t="str">
            <v>4050000</v>
          </cell>
        </row>
        <row r="669">
          <cell r="B669" t="str">
            <v>18421</v>
          </cell>
          <cell r="C669" t="str">
            <v xml:space="preserve">Beenleigh Aquatic Centre Fit Out &amp; Operations </v>
          </cell>
          <cell r="D669" t="str">
            <v>4050000</v>
          </cell>
        </row>
        <row r="670">
          <cell r="B670" t="str">
            <v>19661</v>
          </cell>
          <cell r="C670" t="str">
            <v xml:space="preserve">Logan Metro Gym </v>
          </cell>
          <cell r="D670" t="str">
            <v>4050000</v>
          </cell>
        </row>
        <row r="671">
          <cell r="B671" t="str">
            <v>19671</v>
          </cell>
          <cell r="C671" t="str">
            <v xml:space="preserve">Logan Metro Café </v>
          </cell>
          <cell r="D671" t="str">
            <v>4050000</v>
          </cell>
        </row>
        <row r="672">
          <cell r="B672" t="str">
            <v>19711</v>
          </cell>
          <cell r="C672" t="str">
            <v xml:space="preserve">Logan North Gym </v>
          </cell>
          <cell r="D672" t="str">
            <v>4050000</v>
          </cell>
        </row>
        <row r="673">
          <cell r="B673" t="str">
            <v>19721</v>
          </cell>
          <cell r="C673" t="str">
            <v xml:space="preserve">Leisure Centres Administration </v>
          </cell>
          <cell r="D673" t="str">
            <v>4050000</v>
          </cell>
        </row>
        <row r="674">
          <cell r="B674" t="str">
            <v>19831</v>
          </cell>
          <cell r="C674" t="str">
            <v xml:space="preserve">2017 Ex-Cyclone Debbie </v>
          </cell>
          <cell r="D674" t="str">
            <v>4050000</v>
          </cell>
        </row>
        <row r="675">
          <cell r="B675" t="str">
            <v>19881</v>
          </cell>
          <cell r="C675" t="str">
            <v xml:space="preserve">Logan Metro Events </v>
          </cell>
          <cell r="D675" t="str">
            <v>4050000</v>
          </cell>
        </row>
        <row r="676">
          <cell r="B676" t="str">
            <v>19951</v>
          </cell>
          <cell r="C676" t="str">
            <v xml:space="preserve">LEISURE COVID-19 </v>
          </cell>
          <cell r="D676" t="str">
            <v>4050000</v>
          </cell>
        </row>
        <row r="677">
          <cell r="B677" t="str">
            <v>S0825</v>
          </cell>
          <cell r="C677" t="str">
            <v xml:space="preserve">Logan North Aquatic Centre Cafe </v>
          </cell>
          <cell r="D677" t="str">
            <v>4050000</v>
          </cell>
        </row>
        <row r="678">
          <cell r="B678" t="str">
            <v>17801</v>
          </cell>
          <cell r="C678" t="str">
            <v xml:space="preserve">LEC - Administration </v>
          </cell>
          <cell r="D678" t="str">
            <v>4050000</v>
          </cell>
        </row>
        <row r="679">
          <cell r="B679" t="str">
            <v>17811</v>
          </cell>
          <cell r="C679" t="str">
            <v xml:space="preserve">LEC - Catering </v>
          </cell>
          <cell r="D679" t="str">
            <v>4050000</v>
          </cell>
        </row>
        <row r="680">
          <cell r="B680" t="str">
            <v>17821</v>
          </cell>
          <cell r="C680" t="str">
            <v xml:space="preserve">LEC - Front of House </v>
          </cell>
          <cell r="D680" t="str">
            <v>4050000</v>
          </cell>
        </row>
        <row r="681">
          <cell r="B681" t="str">
            <v>17831</v>
          </cell>
          <cell r="C681" t="str">
            <v xml:space="preserve">LEC - Technical </v>
          </cell>
          <cell r="D681" t="str">
            <v>4050000</v>
          </cell>
        </row>
        <row r="682">
          <cell r="B682" t="str">
            <v>17891</v>
          </cell>
          <cell r="C682" t="str">
            <v xml:space="preserve">Kingston Butter Factory - Facility Management </v>
          </cell>
          <cell r="D682" t="str">
            <v>4050000</v>
          </cell>
        </row>
        <row r="683">
          <cell r="B683" t="str">
            <v>17892</v>
          </cell>
          <cell r="C683" t="str">
            <v xml:space="preserve">Kingston Butter Factory – Ticketing </v>
          </cell>
          <cell r="D683" t="str">
            <v>4050000</v>
          </cell>
        </row>
        <row r="684">
          <cell r="B684" t="str">
            <v>17893</v>
          </cell>
          <cell r="C684" t="str">
            <v xml:space="preserve">Kingston Butter Factory – Technical </v>
          </cell>
          <cell r="D684" t="str">
            <v>4050000</v>
          </cell>
        </row>
        <row r="685">
          <cell r="B685" t="str">
            <v>17894</v>
          </cell>
          <cell r="C685" t="str">
            <v xml:space="preserve">Kingston Butter Factory – Front of House </v>
          </cell>
          <cell r="D685" t="str">
            <v>4050000</v>
          </cell>
        </row>
        <row r="686">
          <cell r="B686" t="str">
            <v>19731</v>
          </cell>
          <cell r="C686" t="str">
            <v xml:space="preserve">LEC - Bistro </v>
          </cell>
          <cell r="D686" t="str">
            <v>4050000</v>
          </cell>
        </row>
        <row r="687">
          <cell r="B687" t="str">
            <v>19821</v>
          </cell>
          <cell r="C687" t="str">
            <v xml:space="preserve">2017 Ex-Cyclone Debbie </v>
          </cell>
          <cell r="D687" t="str">
            <v>4050000</v>
          </cell>
        </row>
        <row r="688">
          <cell r="B688" t="str">
            <v>19841</v>
          </cell>
          <cell r="C688" t="str">
            <v xml:space="preserve">LEC - Ticketing </v>
          </cell>
          <cell r="D688" t="str">
            <v>4050000</v>
          </cell>
        </row>
        <row r="689">
          <cell r="B689" t="str">
            <v>19981</v>
          </cell>
          <cell r="C689" t="str">
            <v xml:space="preserve">LEC COVID-19 </v>
          </cell>
          <cell r="D689" t="str">
            <v>4050000</v>
          </cell>
        </row>
        <row r="690">
          <cell r="B690" t="str">
            <v>S0820</v>
          </cell>
          <cell r="C690" t="str">
            <v xml:space="preserve">Kingston Butter Factory - Catering </v>
          </cell>
          <cell r="D690" t="str">
            <v>4050000</v>
          </cell>
        </row>
        <row r="691">
          <cell r="B691" t="str">
            <v>17901</v>
          </cell>
          <cell r="C691" t="str">
            <v xml:space="preserve">Logan West Community Centre - Facility Management </v>
          </cell>
          <cell r="D691" t="str">
            <v>4050000</v>
          </cell>
        </row>
        <row r="692">
          <cell r="B692" t="str">
            <v>17921</v>
          </cell>
          <cell r="C692" t="str">
            <v xml:space="preserve">Underwood Park Hall - Facility Management </v>
          </cell>
          <cell r="D692" t="str">
            <v>4050000</v>
          </cell>
        </row>
        <row r="693">
          <cell r="B693" t="str">
            <v>17941</v>
          </cell>
          <cell r="C693" t="str">
            <v xml:space="preserve">Nerida Street Community Centre - Facility Management </v>
          </cell>
          <cell r="D693" t="str">
            <v>4050000</v>
          </cell>
        </row>
        <row r="694">
          <cell r="B694" t="str">
            <v>17971</v>
          </cell>
          <cell r="C694" t="str">
            <v xml:space="preserve">Beenleigh Events Centre - Facility Management </v>
          </cell>
          <cell r="D694" t="str">
            <v>4050000</v>
          </cell>
        </row>
        <row r="695">
          <cell r="B695" t="str">
            <v>19701</v>
          </cell>
          <cell r="C695" t="str">
            <v xml:space="preserve">South West 1 </v>
          </cell>
          <cell r="D695" t="str">
            <v>4050000</v>
          </cell>
        </row>
        <row r="696">
          <cell r="B696" t="str">
            <v>19751</v>
          </cell>
          <cell r="C696" t="str">
            <v xml:space="preserve">Jimboomba Community Centre </v>
          </cell>
          <cell r="D696" t="str">
            <v>4050000</v>
          </cell>
        </row>
        <row r="697">
          <cell r="B697" t="str">
            <v>19761</v>
          </cell>
          <cell r="C697" t="str">
            <v xml:space="preserve">Logan Central Library Meeting Rooms </v>
          </cell>
          <cell r="D697" t="str">
            <v>4050000</v>
          </cell>
        </row>
        <row r="698">
          <cell r="B698" t="str">
            <v>19891</v>
          </cell>
          <cell r="C698" t="str">
            <v xml:space="preserve">Beenleigh Town Square </v>
          </cell>
          <cell r="D698" t="str">
            <v>4050000</v>
          </cell>
        </row>
        <row r="699">
          <cell r="B699" t="str">
            <v>19991</v>
          </cell>
          <cell r="C699" t="str">
            <v xml:space="preserve">The Basement </v>
          </cell>
          <cell r="D699" t="str">
            <v>4050000</v>
          </cell>
        </row>
        <row r="700">
          <cell r="B700" t="str">
            <v>27531</v>
          </cell>
          <cell r="C700" t="str">
            <v xml:space="preserve">Underwood Park Hub </v>
          </cell>
          <cell r="D700" t="str">
            <v>4050000</v>
          </cell>
        </row>
        <row r="701">
          <cell r="B701" t="str">
            <v>S0810</v>
          </cell>
          <cell r="C701" t="str">
            <v xml:space="preserve">SLF Marketing </v>
          </cell>
          <cell r="D701" t="str">
            <v>4050000</v>
          </cell>
        </row>
        <row r="702">
          <cell r="B702" t="str">
            <v>S0815</v>
          </cell>
          <cell r="C702" t="str">
            <v xml:space="preserve">Venue Services Administration &amp; People Resources </v>
          </cell>
          <cell r="D702" t="str">
            <v>4050000</v>
          </cell>
        </row>
        <row r="703">
          <cell r="B703" t="str">
            <v>17571</v>
          </cell>
          <cell r="C703" t="str">
            <v xml:space="preserve">Events </v>
          </cell>
          <cell r="D703" t="str">
            <v>4050000</v>
          </cell>
        </row>
        <row r="704">
          <cell r="B704" t="str">
            <v>L0001</v>
          </cell>
          <cell r="C704" t="str">
            <v xml:space="preserve">Christmas Festival </v>
          </cell>
          <cell r="D704" t="str">
            <v>4050000</v>
          </cell>
        </row>
        <row r="705">
          <cell r="B705" t="str">
            <v>L0003</v>
          </cell>
          <cell r="C705" t="str">
            <v xml:space="preserve">ImagiNation </v>
          </cell>
          <cell r="D705" t="str">
            <v>4050000</v>
          </cell>
        </row>
        <row r="706">
          <cell r="B706" t="str">
            <v>L0004</v>
          </cell>
          <cell r="C706" t="str">
            <v xml:space="preserve">Mayors Christmas BBQ </v>
          </cell>
          <cell r="D706" t="str">
            <v>4050000</v>
          </cell>
        </row>
        <row r="707">
          <cell r="B707" t="str">
            <v>L0005</v>
          </cell>
          <cell r="C707" t="str">
            <v xml:space="preserve">Miscellaneous Events </v>
          </cell>
          <cell r="D707" t="str">
            <v>4050000</v>
          </cell>
        </row>
        <row r="708">
          <cell r="B708" t="str">
            <v>L0006</v>
          </cell>
          <cell r="C708" t="str">
            <v xml:space="preserve">Mayors Gala Ball </v>
          </cell>
          <cell r="D708" t="str">
            <v>4050000</v>
          </cell>
        </row>
        <row r="709">
          <cell r="B709" t="str">
            <v>L0007</v>
          </cell>
          <cell r="C709" t="str">
            <v xml:space="preserve">Queens Baton Relay </v>
          </cell>
          <cell r="D709" t="str">
            <v>4050000</v>
          </cell>
        </row>
        <row r="710">
          <cell r="B710" t="str">
            <v>L0008</v>
          </cell>
          <cell r="C710" t="str">
            <v xml:space="preserve">Event Attraction </v>
          </cell>
          <cell r="D710" t="str">
            <v>4050000</v>
          </cell>
        </row>
        <row r="711">
          <cell r="B711" t="str">
            <v>L0009</v>
          </cell>
          <cell r="C711" t="str">
            <v xml:space="preserve">Signature Events </v>
          </cell>
          <cell r="D711" t="str">
            <v>4050000</v>
          </cell>
        </row>
        <row r="712">
          <cell r="B712" t="str">
            <v>L0011</v>
          </cell>
          <cell r="C712" t="str">
            <v xml:space="preserve">Logan City Festivals &amp; Events Grants </v>
          </cell>
          <cell r="D712" t="str">
            <v>4050000</v>
          </cell>
        </row>
        <row r="713">
          <cell r="B713" t="str">
            <v>L0012</v>
          </cell>
          <cell r="C713" t="str">
            <v xml:space="preserve">Sponsorship Marketing </v>
          </cell>
          <cell r="D713" t="str">
            <v>4050000</v>
          </cell>
        </row>
        <row r="714">
          <cell r="B714" t="str">
            <v>L0013</v>
          </cell>
          <cell r="C714" t="str">
            <v xml:space="preserve">Australia Day </v>
          </cell>
          <cell r="D714" t="str">
            <v>4050000</v>
          </cell>
        </row>
        <row r="715">
          <cell r="B715" t="str">
            <v>L0014</v>
          </cell>
          <cell r="C715" t="str">
            <v xml:space="preserve">Flame Festival </v>
          </cell>
          <cell r="D715" t="str">
            <v>4050000</v>
          </cell>
        </row>
        <row r="716">
          <cell r="B716" t="str">
            <v>L0018</v>
          </cell>
          <cell r="C716" t="str">
            <v xml:space="preserve">Events Administration </v>
          </cell>
          <cell r="D716" t="str">
            <v>4050000</v>
          </cell>
        </row>
        <row r="717">
          <cell r="B717" t="str">
            <v>L0041</v>
          </cell>
          <cell r="C717" t="str">
            <v xml:space="preserve">Logan Eco Action Festival (LEAF) </v>
          </cell>
          <cell r="D717" t="str">
            <v>4050000</v>
          </cell>
        </row>
        <row r="718">
          <cell r="B718" t="str">
            <v>L0047</v>
          </cell>
          <cell r="C718" t="str">
            <v xml:space="preserve">Volunteers Breakfast </v>
          </cell>
          <cell r="D718" t="str">
            <v>4050000</v>
          </cell>
        </row>
        <row r="719">
          <cell r="B719" t="str">
            <v>L0048</v>
          </cell>
          <cell r="C719" t="str">
            <v xml:space="preserve">Anzac Day </v>
          </cell>
          <cell r="D719" t="str">
            <v>4050000</v>
          </cell>
        </row>
        <row r="720">
          <cell r="B720" t="str">
            <v>L0049</v>
          </cell>
          <cell r="C720" t="str">
            <v xml:space="preserve">ATSI - NAIDOC Week </v>
          </cell>
          <cell r="D720" t="str">
            <v>4050000</v>
          </cell>
        </row>
        <row r="721">
          <cell r="B721" t="str">
            <v>L0058</v>
          </cell>
          <cell r="C721" t="str">
            <v xml:space="preserve">Citizenship Ceremonies </v>
          </cell>
          <cell r="D721" t="str">
            <v>4050000</v>
          </cell>
        </row>
        <row r="722">
          <cell r="B722" t="str">
            <v>L0062</v>
          </cell>
          <cell r="C722" t="str">
            <v xml:space="preserve">Australian National Flag Day </v>
          </cell>
          <cell r="D722" t="str">
            <v>4050000</v>
          </cell>
        </row>
        <row r="723">
          <cell r="B723" t="str">
            <v>L0068</v>
          </cell>
          <cell r="C723" t="str">
            <v xml:space="preserve">Years of Service acknowledgement functions </v>
          </cell>
          <cell r="D723" t="str">
            <v>4050000</v>
          </cell>
        </row>
        <row r="724">
          <cell r="B724" t="str">
            <v>L0087</v>
          </cell>
          <cell r="C724" t="str">
            <v xml:space="preserve">Seniors Week </v>
          </cell>
          <cell r="D724" t="str">
            <v>4050000</v>
          </cell>
        </row>
        <row r="725">
          <cell r="B725" t="str">
            <v>L0091</v>
          </cell>
          <cell r="C725" t="str">
            <v xml:space="preserve">Kingston Butter Factory Event </v>
          </cell>
          <cell r="D725" t="str">
            <v>4050000</v>
          </cell>
        </row>
        <row r="726">
          <cell r="B726" t="str">
            <v>L0092</v>
          </cell>
          <cell r="C726" t="str">
            <v xml:space="preserve">City of Logan Sports Awards </v>
          </cell>
          <cell r="D726" t="str">
            <v>4050000</v>
          </cell>
        </row>
        <row r="727">
          <cell r="B727" t="str">
            <v>L0094</v>
          </cell>
          <cell r="C727" t="str">
            <v xml:space="preserve">Eats &amp; Beats </v>
          </cell>
          <cell r="D727" t="str">
            <v>4050000</v>
          </cell>
        </row>
        <row r="728">
          <cell r="B728" t="str">
            <v>L0096</v>
          </cell>
          <cell r="C728" t="str">
            <v xml:space="preserve">IGNITE </v>
          </cell>
          <cell r="D728" t="str">
            <v>4050000</v>
          </cell>
        </row>
        <row r="729">
          <cell r="B729" t="str">
            <v>16701</v>
          </cell>
          <cell r="C729" t="str">
            <v xml:space="preserve">2017 Ex-Cyclone Debbie </v>
          </cell>
          <cell r="D729" t="str">
            <v>4060000</v>
          </cell>
        </row>
        <row r="730">
          <cell r="B730" t="str">
            <v>18001</v>
          </cell>
          <cell r="C730" t="str">
            <v xml:space="preserve">Community Services Branch Management </v>
          </cell>
          <cell r="D730" t="str">
            <v>4060000</v>
          </cell>
        </row>
        <row r="731">
          <cell r="B731" t="str">
            <v>18051</v>
          </cell>
          <cell r="C731" t="str">
            <v xml:space="preserve">CSO </v>
          </cell>
          <cell r="D731" t="str">
            <v>4060000</v>
          </cell>
        </row>
        <row r="732">
          <cell r="B732" t="str">
            <v>S0001</v>
          </cell>
          <cell r="C732" t="str">
            <v xml:space="preserve">SCI Administration and Management </v>
          </cell>
          <cell r="D732" t="str">
            <v>4060000</v>
          </cell>
        </row>
        <row r="733">
          <cell r="B733" t="str">
            <v>S0007</v>
          </cell>
          <cell r="C733" t="str">
            <v xml:space="preserve">YAY Team </v>
          </cell>
          <cell r="D733" t="str">
            <v>4060000</v>
          </cell>
        </row>
        <row r="734">
          <cell r="B734" t="str">
            <v>S0020</v>
          </cell>
          <cell r="C734" t="str">
            <v xml:space="preserve">Community Services COVID-19 </v>
          </cell>
          <cell r="D734" t="str">
            <v>4060000</v>
          </cell>
        </row>
        <row r="735">
          <cell r="B735" t="str">
            <v>S0129</v>
          </cell>
          <cell r="C735" t="str">
            <v xml:space="preserve">Land Held for Community Facilities </v>
          </cell>
          <cell r="D735" t="str">
            <v>4060000</v>
          </cell>
        </row>
        <row r="736">
          <cell r="B736" t="str">
            <v>18021</v>
          </cell>
          <cell r="C736" t="str">
            <v xml:space="preserve">Social Planning </v>
          </cell>
          <cell r="D736" t="str">
            <v>4060000</v>
          </cell>
        </row>
        <row r="737">
          <cell r="B737" t="str">
            <v>S0004</v>
          </cell>
          <cell r="C737" t="str">
            <v xml:space="preserve">Employment Development Administration </v>
          </cell>
          <cell r="D737" t="str">
            <v>4060000</v>
          </cell>
        </row>
        <row r="738">
          <cell r="B738" t="str">
            <v>S0061</v>
          </cell>
          <cell r="C738" t="str">
            <v xml:space="preserve">Support for Logan Seniors - Phase 1 </v>
          </cell>
          <cell r="D738" t="str">
            <v>4060000</v>
          </cell>
        </row>
        <row r="739">
          <cell r="B739" t="str">
            <v>S0098</v>
          </cell>
          <cell r="C739" t="str">
            <v xml:space="preserve">SCI Community Planning </v>
          </cell>
          <cell r="D739" t="str">
            <v>4060000</v>
          </cell>
        </row>
        <row r="740">
          <cell r="B740" t="str">
            <v>S0122</v>
          </cell>
          <cell r="C740" t="str">
            <v xml:space="preserve">CS Social Planning COVID-19 </v>
          </cell>
          <cell r="D740" t="str">
            <v>4060000</v>
          </cell>
        </row>
        <row r="741">
          <cell r="B741" t="str">
            <v>S0127</v>
          </cell>
          <cell r="C741" t="str">
            <v xml:space="preserve">SCI Projects &amp; Partnerships </v>
          </cell>
          <cell r="D741" t="str">
            <v>4060000</v>
          </cell>
        </row>
        <row r="742">
          <cell r="B742" t="str">
            <v>S0128</v>
          </cell>
          <cell r="C742" t="str">
            <v xml:space="preserve">Sport and Recreation Planning </v>
          </cell>
          <cell r="D742" t="str">
            <v>4060000</v>
          </cell>
        </row>
        <row r="743">
          <cell r="B743" t="str">
            <v>S0130</v>
          </cell>
          <cell r="C743" t="str">
            <v xml:space="preserve">Yarrabilba Community Hub </v>
          </cell>
          <cell r="D743" t="str">
            <v>4060000</v>
          </cell>
        </row>
        <row r="744">
          <cell r="B744" t="str">
            <v>S0132</v>
          </cell>
          <cell r="C744" t="str">
            <v xml:space="preserve">Flagstone Community Hub / Centre </v>
          </cell>
          <cell r="D744" t="str">
            <v>4060000</v>
          </cell>
        </row>
        <row r="745">
          <cell r="B745" t="str">
            <v>S0133</v>
          </cell>
          <cell r="C745" t="str">
            <v xml:space="preserve">26 Wilbur St, Logan Central - Youth Centre </v>
          </cell>
          <cell r="D745" t="str">
            <v>4060000</v>
          </cell>
        </row>
        <row r="746">
          <cell r="B746" t="str">
            <v>S0134</v>
          </cell>
          <cell r="C746" t="str">
            <v xml:space="preserve">Beenleigh Aquatic Centre - Renewal and Upgrade </v>
          </cell>
          <cell r="D746" t="str">
            <v>4060000</v>
          </cell>
        </row>
        <row r="747">
          <cell r="B747" t="str">
            <v>S0135</v>
          </cell>
          <cell r="C747" t="str">
            <v>Park Ridge - District Leisure Centre (Aquatic Centre and Ind oor Sports) and General Community Space</v>
          </cell>
          <cell r="D747" t="str">
            <v>4060000</v>
          </cell>
        </row>
        <row r="748">
          <cell r="B748" t="str">
            <v>S0136</v>
          </cell>
          <cell r="C748" t="str">
            <v>Springwood Hub - Community Centre, Art Space and Performing Arts</v>
          </cell>
          <cell r="D748" t="str">
            <v>4060000</v>
          </cell>
        </row>
        <row r="749">
          <cell r="B749" t="str">
            <v>S0137</v>
          </cell>
          <cell r="C749" t="str">
            <v xml:space="preserve">Eagleby Wetland First Nations Space </v>
          </cell>
          <cell r="D749" t="str">
            <v>4060000</v>
          </cell>
        </row>
        <row r="750">
          <cell r="B750" t="str">
            <v>S0139</v>
          </cell>
          <cell r="C750" t="str">
            <v xml:space="preserve">Logan Reserve/Park Ridge General Community Space </v>
          </cell>
          <cell r="D750" t="str">
            <v>4060000</v>
          </cell>
        </row>
        <row r="751">
          <cell r="B751" t="str">
            <v>S0301</v>
          </cell>
          <cell r="C751" t="str">
            <v xml:space="preserve">Div 1 LIP </v>
          </cell>
          <cell r="D751" t="str">
            <v>4060000</v>
          </cell>
        </row>
        <row r="752">
          <cell r="B752" t="str">
            <v>S0302</v>
          </cell>
          <cell r="C752" t="str">
            <v xml:space="preserve">Div 2 LIP </v>
          </cell>
          <cell r="D752" t="str">
            <v>4060000</v>
          </cell>
        </row>
        <row r="753">
          <cell r="B753" t="str">
            <v>S0303</v>
          </cell>
          <cell r="C753" t="str">
            <v xml:space="preserve">Div 3 LIP </v>
          </cell>
          <cell r="D753" t="str">
            <v>4060000</v>
          </cell>
        </row>
        <row r="754">
          <cell r="B754" t="str">
            <v>S0304</v>
          </cell>
          <cell r="C754" t="str">
            <v xml:space="preserve">Div 4 LIP </v>
          </cell>
          <cell r="D754" t="str">
            <v>4060000</v>
          </cell>
        </row>
        <row r="755">
          <cell r="B755" t="str">
            <v>S0305</v>
          </cell>
          <cell r="C755" t="str">
            <v xml:space="preserve">Div 5 LIP </v>
          </cell>
          <cell r="D755" t="str">
            <v>4060000</v>
          </cell>
        </row>
        <row r="756">
          <cell r="B756" t="str">
            <v>S0306</v>
          </cell>
          <cell r="C756" t="str">
            <v xml:space="preserve">Div 6 LIP </v>
          </cell>
          <cell r="D756" t="str">
            <v>4060000</v>
          </cell>
        </row>
        <row r="757">
          <cell r="B757" t="str">
            <v>S0307</v>
          </cell>
          <cell r="C757" t="str">
            <v xml:space="preserve">Div 7 LIP </v>
          </cell>
          <cell r="D757" t="str">
            <v>4060000</v>
          </cell>
        </row>
        <row r="758">
          <cell r="B758" t="str">
            <v>S0308</v>
          </cell>
          <cell r="C758" t="str">
            <v xml:space="preserve">Div 8 LIP </v>
          </cell>
          <cell r="D758" t="str">
            <v>4060000</v>
          </cell>
        </row>
        <row r="759">
          <cell r="B759" t="str">
            <v>S0309</v>
          </cell>
          <cell r="C759" t="str">
            <v xml:space="preserve">Div 9 LIP </v>
          </cell>
          <cell r="D759" t="str">
            <v>4060000</v>
          </cell>
        </row>
        <row r="760">
          <cell r="B760" t="str">
            <v>S0310</v>
          </cell>
          <cell r="C760" t="str">
            <v xml:space="preserve">Div 10 LIP </v>
          </cell>
          <cell r="D760" t="str">
            <v>4060000</v>
          </cell>
        </row>
        <row r="761">
          <cell r="B761" t="str">
            <v>S0311</v>
          </cell>
          <cell r="C761" t="str">
            <v xml:space="preserve">Div 11 LIP </v>
          </cell>
          <cell r="D761" t="str">
            <v>4060000</v>
          </cell>
        </row>
        <row r="762">
          <cell r="B762" t="str">
            <v>S0312</v>
          </cell>
          <cell r="C762" t="str">
            <v xml:space="preserve">Div 12 LIP </v>
          </cell>
          <cell r="D762" t="str">
            <v>4060000</v>
          </cell>
        </row>
        <row r="763">
          <cell r="B763" t="str">
            <v>S0400</v>
          </cell>
          <cell r="C763" t="str">
            <v xml:space="preserve">Active Logan Strategy </v>
          </cell>
          <cell r="D763" t="str">
            <v>4060000</v>
          </cell>
        </row>
        <row r="764">
          <cell r="B764" t="str">
            <v>S0401</v>
          </cell>
          <cell r="C764" t="str">
            <v xml:space="preserve">City Wide Accessibility Audit </v>
          </cell>
          <cell r="D764" t="str">
            <v>4060000</v>
          </cell>
        </row>
        <row r="765">
          <cell r="B765" t="str">
            <v>18011</v>
          </cell>
          <cell r="C765" t="str">
            <v xml:space="preserve">Sport and Recreation </v>
          </cell>
          <cell r="D765" t="str">
            <v>4060000</v>
          </cell>
        </row>
        <row r="766">
          <cell r="B766" t="str">
            <v>18151</v>
          </cell>
          <cell r="C766" t="str">
            <v xml:space="preserve">2017 Ex-Cyclone Debbie </v>
          </cell>
          <cell r="D766" t="str">
            <v>4060000</v>
          </cell>
        </row>
        <row r="767">
          <cell r="B767" t="str">
            <v>S0018</v>
          </cell>
          <cell r="C767" t="str">
            <v xml:space="preserve">SCI Services </v>
          </cell>
          <cell r="D767" t="str">
            <v>4060000</v>
          </cell>
        </row>
        <row r="768">
          <cell r="B768" t="str">
            <v>S0100</v>
          </cell>
          <cell r="C768" t="str">
            <v xml:space="preserve">Leasing </v>
          </cell>
          <cell r="D768" t="str">
            <v>4060000</v>
          </cell>
        </row>
        <row r="769">
          <cell r="B769" t="str">
            <v>S0107</v>
          </cell>
          <cell r="C769" t="str">
            <v xml:space="preserve">Rates Remissions </v>
          </cell>
          <cell r="D769" t="str">
            <v>4060000</v>
          </cell>
        </row>
        <row r="770">
          <cell r="B770" t="str">
            <v>S0113</v>
          </cell>
          <cell r="C770" t="str">
            <v xml:space="preserve">Logan Sports Development </v>
          </cell>
          <cell r="D770" t="str">
            <v>4060000</v>
          </cell>
        </row>
        <row r="771">
          <cell r="B771" t="str">
            <v>S0200</v>
          </cell>
          <cell r="C771" t="str">
            <v xml:space="preserve">Sundry Support </v>
          </cell>
          <cell r="D771" t="str">
            <v>4060000</v>
          </cell>
        </row>
        <row r="772">
          <cell r="B772" t="str">
            <v>S0201</v>
          </cell>
          <cell r="C772" t="str">
            <v xml:space="preserve">Div 1 Sundry Support </v>
          </cell>
          <cell r="D772" t="str">
            <v>4060000</v>
          </cell>
        </row>
        <row r="773">
          <cell r="B773" t="str">
            <v>S0202</v>
          </cell>
          <cell r="C773" t="str">
            <v xml:space="preserve">Div 2 Sundry Support </v>
          </cell>
          <cell r="D773" t="str">
            <v>4060000</v>
          </cell>
        </row>
        <row r="774">
          <cell r="B774" t="str">
            <v>S0203</v>
          </cell>
          <cell r="C774" t="str">
            <v xml:space="preserve">Div 3 Sundry Support </v>
          </cell>
          <cell r="D774" t="str">
            <v>4060000</v>
          </cell>
        </row>
        <row r="775">
          <cell r="B775" t="str">
            <v>S0204</v>
          </cell>
          <cell r="C775" t="str">
            <v xml:space="preserve">Div 4 Sundry Support </v>
          </cell>
          <cell r="D775" t="str">
            <v>4060000</v>
          </cell>
        </row>
        <row r="776">
          <cell r="B776" t="str">
            <v>S0205</v>
          </cell>
          <cell r="C776" t="str">
            <v xml:space="preserve">Div 5 Sundry Support </v>
          </cell>
          <cell r="D776" t="str">
            <v>4060000</v>
          </cell>
        </row>
        <row r="777">
          <cell r="B777" t="str">
            <v>S0206</v>
          </cell>
          <cell r="C777" t="str">
            <v xml:space="preserve">Div 6 Sundry Support </v>
          </cell>
          <cell r="D777" t="str">
            <v>4060000</v>
          </cell>
        </row>
        <row r="778">
          <cell r="B778" t="str">
            <v>S0207</v>
          </cell>
          <cell r="C778" t="str">
            <v xml:space="preserve">Div 7 Sundry Support </v>
          </cell>
          <cell r="D778" t="str">
            <v>4060000</v>
          </cell>
        </row>
        <row r="779">
          <cell r="B779" t="str">
            <v>S0208</v>
          </cell>
          <cell r="C779" t="str">
            <v xml:space="preserve">Div 8 Sundry Support </v>
          </cell>
          <cell r="D779" t="str">
            <v>4060000</v>
          </cell>
        </row>
        <row r="780">
          <cell r="B780" t="str">
            <v>S0209</v>
          </cell>
          <cell r="C780" t="str">
            <v xml:space="preserve">Div 9 Sundry Support </v>
          </cell>
          <cell r="D780" t="str">
            <v>4060000</v>
          </cell>
        </row>
        <row r="781">
          <cell r="B781" t="str">
            <v>S0210</v>
          </cell>
          <cell r="C781" t="str">
            <v xml:space="preserve">Div 10 Sundry Support </v>
          </cell>
          <cell r="D781" t="str">
            <v>4060000</v>
          </cell>
        </row>
        <row r="782">
          <cell r="B782" t="str">
            <v>S0211</v>
          </cell>
          <cell r="C782" t="str">
            <v xml:space="preserve">Div 11 Sundry Support </v>
          </cell>
          <cell r="D782" t="str">
            <v>4060000</v>
          </cell>
        </row>
        <row r="783">
          <cell r="B783" t="str">
            <v>S0212</v>
          </cell>
          <cell r="C783" t="str">
            <v xml:space="preserve">Div 12 Sundry Support </v>
          </cell>
          <cell r="D783" t="str">
            <v>4060000</v>
          </cell>
        </row>
        <row r="784">
          <cell r="B784" t="str">
            <v>S0313</v>
          </cell>
          <cell r="C784" t="str">
            <v xml:space="preserve">S&amp;R COVID-19 </v>
          </cell>
          <cell r="D784" t="str">
            <v>4060000</v>
          </cell>
        </row>
        <row r="785">
          <cell r="B785" t="str">
            <v>S0499</v>
          </cell>
          <cell r="C785" t="str">
            <v xml:space="preserve">SCI Disaster Events </v>
          </cell>
          <cell r="D785" t="str">
            <v>4060000</v>
          </cell>
        </row>
        <row r="786">
          <cell r="B786" t="str">
            <v>S0500</v>
          </cell>
          <cell r="C786" t="str">
            <v xml:space="preserve">SCI Maintenance </v>
          </cell>
          <cell r="D786" t="str">
            <v>4060000</v>
          </cell>
        </row>
        <row r="787">
          <cell r="B787" t="str">
            <v>S0501</v>
          </cell>
          <cell r="C787" t="str">
            <v xml:space="preserve">SCI Community Infrastructure Maintenance </v>
          </cell>
          <cell r="D787" t="str">
            <v>4060000</v>
          </cell>
        </row>
        <row r="788">
          <cell r="B788" t="str">
            <v>S0502</v>
          </cell>
          <cell r="C788" t="str">
            <v xml:space="preserve">SCI Sports &amp; Recreation Maintenance </v>
          </cell>
          <cell r="D788" t="str">
            <v>4060000</v>
          </cell>
        </row>
        <row r="789">
          <cell r="B789" t="str">
            <v>S0503</v>
          </cell>
          <cell r="C789" t="str">
            <v xml:space="preserve">SCI Toilet Maintenance </v>
          </cell>
          <cell r="D789" t="str">
            <v>4060000</v>
          </cell>
        </row>
        <row r="790">
          <cell r="B790" t="str">
            <v>S0600</v>
          </cell>
          <cell r="C790" t="str">
            <v xml:space="preserve">SCI Asset Management </v>
          </cell>
          <cell r="D790" t="str">
            <v>4060000</v>
          </cell>
        </row>
        <row r="791">
          <cell r="B791" t="str">
            <v>17711</v>
          </cell>
          <cell r="C791" t="str">
            <v xml:space="preserve">SCI Infrastructure Delivery Management </v>
          </cell>
          <cell r="D791" t="str">
            <v>4060000</v>
          </cell>
        </row>
        <row r="792">
          <cell r="B792" t="str">
            <v>17741</v>
          </cell>
          <cell r="C792" t="str">
            <v xml:space="preserve">SCI Capital Delivery </v>
          </cell>
          <cell r="D792" t="str">
            <v>4060000</v>
          </cell>
        </row>
        <row r="793">
          <cell r="B793" t="str">
            <v>17751</v>
          </cell>
          <cell r="C793" t="str">
            <v xml:space="preserve">SCI Community Renewals </v>
          </cell>
          <cell r="D793" t="str">
            <v>4060000</v>
          </cell>
        </row>
        <row r="794">
          <cell r="B794" t="str">
            <v>17761</v>
          </cell>
          <cell r="C794" t="str">
            <v xml:space="preserve">SCI Sport and Recreation Renewal </v>
          </cell>
          <cell r="D794" t="str">
            <v>4060000</v>
          </cell>
        </row>
        <row r="795">
          <cell r="B795" t="str">
            <v>18141</v>
          </cell>
          <cell r="C795" t="str">
            <v xml:space="preserve">SCI Overhead Account </v>
          </cell>
          <cell r="D795" t="str">
            <v>4060000</v>
          </cell>
        </row>
        <row r="796">
          <cell r="B796" t="str">
            <v>19971</v>
          </cell>
          <cell r="C796" t="str">
            <v xml:space="preserve">CIP COVID-19 </v>
          </cell>
          <cell r="D796" t="str">
            <v>4060000</v>
          </cell>
        </row>
        <row r="797">
          <cell r="B797" t="str">
            <v>F0136</v>
          </cell>
          <cell r="C797" t="str">
            <v xml:space="preserve">Website Transformation Project </v>
          </cell>
          <cell r="D797" t="str">
            <v>4070000</v>
          </cell>
        </row>
        <row r="798">
          <cell r="B798" t="str">
            <v>18501</v>
          </cell>
          <cell r="C798" t="str">
            <v xml:space="preserve">Libraries &amp; Creative Industries Branch Management </v>
          </cell>
          <cell r="D798" t="str">
            <v>4080000</v>
          </cell>
        </row>
        <row r="799">
          <cell r="B799" t="str">
            <v>19351</v>
          </cell>
          <cell r="C799" t="str">
            <v xml:space="preserve">Libraries COVID-19 </v>
          </cell>
          <cell r="D799" t="str">
            <v>4080000</v>
          </cell>
        </row>
        <row r="800">
          <cell r="B800" t="str">
            <v>SU408</v>
          </cell>
          <cell r="C800" t="str">
            <v xml:space="preserve">New Service: Libraries and Cultural Services </v>
          </cell>
          <cell r="D800" t="str">
            <v>4080000</v>
          </cell>
        </row>
        <row r="801">
          <cell r="B801" t="str">
            <v>18521</v>
          </cell>
          <cell r="C801" t="str">
            <v xml:space="preserve">Cultural Services - Professionals </v>
          </cell>
          <cell r="D801" t="str">
            <v>4080000</v>
          </cell>
        </row>
        <row r="802">
          <cell r="B802" t="str">
            <v>18531</v>
          </cell>
          <cell r="C802" t="str">
            <v xml:space="preserve">Graffiti Management Unit </v>
          </cell>
          <cell r="D802" t="str">
            <v>4080000</v>
          </cell>
        </row>
        <row r="803">
          <cell r="B803" t="str">
            <v>18551</v>
          </cell>
          <cell r="C803" t="str">
            <v xml:space="preserve">Art Gallery - Operations </v>
          </cell>
          <cell r="D803" t="str">
            <v>4080000</v>
          </cell>
        </row>
        <row r="804">
          <cell r="B804" t="str">
            <v>18561</v>
          </cell>
          <cell r="C804" t="str">
            <v xml:space="preserve">Art Gallery - Workshops Programs </v>
          </cell>
          <cell r="D804" t="str">
            <v>4080000</v>
          </cell>
        </row>
        <row r="805">
          <cell r="B805" t="str">
            <v>19201</v>
          </cell>
          <cell r="C805" t="str">
            <v xml:space="preserve">RADF </v>
          </cell>
          <cell r="D805" t="str">
            <v>4080000</v>
          </cell>
        </row>
        <row r="806">
          <cell r="B806" t="str">
            <v>19211</v>
          </cell>
          <cell r="C806" t="str">
            <v xml:space="preserve">Public Art </v>
          </cell>
          <cell r="D806" t="str">
            <v>4080000</v>
          </cell>
        </row>
        <row r="807">
          <cell r="B807" t="str">
            <v>19241</v>
          </cell>
          <cell r="C807" t="str">
            <v xml:space="preserve">Making Art Accessible </v>
          </cell>
          <cell r="D807" t="str">
            <v>4080000</v>
          </cell>
        </row>
        <row r="808">
          <cell r="B808" t="str">
            <v>19251</v>
          </cell>
          <cell r="C808" t="str">
            <v xml:space="preserve">Logan Live </v>
          </cell>
          <cell r="D808" t="str">
            <v>4080000</v>
          </cell>
        </row>
        <row r="809">
          <cell r="B809" t="str">
            <v>19371</v>
          </cell>
          <cell r="C809" t="str">
            <v xml:space="preserve">ZOONOSES Vision Australia </v>
          </cell>
          <cell r="D809" t="str">
            <v>4080000</v>
          </cell>
        </row>
        <row r="810">
          <cell r="B810" t="str">
            <v>22361</v>
          </cell>
          <cell r="C810" t="str">
            <v xml:space="preserve">Queensland Arts Showcase Program (QASP) </v>
          </cell>
          <cell r="D810" t="str">
            <v>4080000</v>
          </cell>
        </row>
        <row r="811">
          <cell r="B811" t="str">
            <v>80002</v>
          </cell>
          <cell r="C811" t="str">
            <v xml:space="preserve">Historypin </v>
          </cell>
          <cell r="D811" t="str">
            <v>4080000</v>
          </cell>
        </row>
        <row r="812">
          <cell r="B812" t="str">
            <v>80003</v>
          </cell>
          <cell r="C812" t="str">
            <v xml:space="preserve">Marsden Library Public Artwork </v>
          </cell>
          <cell r="D812" t="str">
            <v>4080000</v>
          </cell>
        </row>
        <row r="813">
          <cell r="B813" t="str">
            <v>80008</v>
          </cell>
          <cell r="C813" t="str">
            <v xml:space="preserve">Wineglass Drive Public Art </v>
          </cell>
          <cell r="D813" t="str">
            <v>4080000</v>
          </cell>
        </row>
        <row r="814">
          <cell r="B814" t="str">
            <v>18581</v>
          </cell>
          <cell r="C814" t="str">
            <v xml:space="preserve">Library Programming </v>
          </cell>
          <cell r="D814" t="str">
            <v>4080000</v>
          </cell>
        </row>
        <row r="815">
          <cell r="B815" t="str">
            <v>18611</v>
          </cell>
          <cell r="C815" t="str">
            <v xml:space="preserve">Library Client Services - Permanent </v>
          </cell>
          <cell r="D815" t="str">
            <v>4080000</v>
          </cell>
        </row>
        <row r="816">
          <cell r="B816" t="str">
            <v>18631</v>
          </cell>
          <cell r="C816" t="str">
            <v xml:space="preserve">Library Client Services - Casual </v>
          </cell>
          <cell r="D816" t="str">
            <v>4080000</v>
          </cell>
        </row>
        <row r="817">
          <cell r="B817" t="str">
            <v>18961</v>
          </cell>
          <cell r="C817" t="str">
            <v xml:space="preserve">Publicity &amp; Promotions </v>
          </cell>
          <cell r="D817" t="str">
            <v>4080000</v>
          </cell>
        </row>
        <row r="818">
          <cell r="B818" t="str">
            <v>19221</v>
          </cell>
          <cell r="C818" t="str">
            <v xml:space="preserve">SQL Vision 2017 Sensory Space </v>
          </cell>
          <cell r="D818" t="str">
            <v>4080000</v>
          </cell>
        </row>
        <row r="819">
          <cell r="B819" t="str">
            <v>19321</v>
          </cell>
          <cell r="C819" t="str">
            <v xml:space="preserve">Queensland ANZAC Centenary </v>
          </cell>
          <cell r="D819" t="str">
            <v>4080000</v>
          </cell>
        </row>
        <row r="820">
          <cell r="B820" t="str">
            <v>19331</v>
          </cell>
          <cell r="C820" t="str">
            <v xml:space="preserve">Mayes Cottage </v>
          </cell>
          <cell r="D820" t="str">
            <v>4080000</v>
          </cell>
        </row>
        <row r="821">
          <cell r="B821" t="str">
            <v>19811</v>
          </cell>
          <cell r="C821" t="str">
            <v xml:space="preserve">First Five Forever </v>
          </cell>
          <cell r="D821" t="str">
            <v>4080000</v>
          </cell>
        </row>
        <row r="822">
          <cell r="B822" t="str">
            <v>80001</v>
          </cell>
          <cell r="C822" t="str">
            <v xml:space="preserve">Technology Trendsetters </v>
          </cell>
          <cell r="D822" t="str">
            <v>4080000</v>
          </cell>
        </row>
        <row r="823">
          <cell r="B823" t="str">
            <v>80005</v>
          </cell>
          <cell r="C823" t="str">
            <v xml:space="preserve">Tech Savvy Seniors Queensland </v>
          </cell>
          <cell r="D823" t="str">
            <v>4080000</v>
          </cell>
        </row>
        <row r="824">
          <cell r="B824" t="str">
            <v>80006</v>
          </cell>
          <cell r="C824" t="str">
            <v xml:space="preserve">STEM.I.AM Coding &amp; Robotics </v>
          </cell>
          <cell r="D824" t="str">
            <v>4080000</v>
          </cell>
        </row>
        <row r="825">
          <cell r="B825" t="str">
            <v>80007</v>
          </cell>
          <cell r="C825" t="str">
            <v xml:space="preserve">Vision 2017 Strategic Priorities (STEAM@Logan) </v>
          </cell>
          <cell r="D825" t="str">
            <v>4080000</v>
          </cell>
        </row>
        <row r="826">
          <cell r="B826" t="str">
            <v>80009</v>
          </cell>
          <cell r="C826" t="str">
            <v xml:space="preserve">Deadly Digital Community Program </v>
          </cell>
          <cell r="D826" t="str">
            <v>4080000</v>
          </cell>
        </row>
        <row r="827">
          <cell r="B827" t="str">
            <v>80010</v>
          </cell>
          <cell r="C827" t="str">
            <v xml:space="preserve">Little Learning STARS </v>
          </cell>
          <cell r="D827" t="str">
            <v>4080000</v>
          </cell>
        </row>
        <row r="828">
          <cell r="B828" t="str">
            <v>80011</v>
          </cell>
          <cell r="C828" t="str">
            <v xml:space="preserve">Community Literacy Champions </v>
          </cell>
          <cell r="D828" t="str">
            <v>4080000</v>
          </cell>
        </row>
        <row r="829">
          <cell r="B829" t="str">
            <v>80012</v>
          </cell>
          <cell r="C829" t="str">
            <v xml:space="preserve">Frog Squad @ the Splash Pad </v>
          </cell>
          <cell r="D829" t="str">
            <v>4080000</v>
          </cell>
        </row>
        <row r="830">
          <cell r="B830" t="str">
            <v>18601</v>
          </cell>
          <cell r="C830" t="str">
            <v xml:space="preserve">Technical Services </v>
          </cell>
          <cell r="D830" t="str">
            <v>4080000</v>
          </cell>
        </row>
        <row r="831">
          <cell r="B831" t="str">
            <v>18621</v>
          </cell>
          <cell r="C831" t="str">
            <v xml:space="preserve">Acquisitions </v>
          </cell>
          <cell r="D831" t="str">
            <v>4080000</v>
          </cell>
        </row>
        <row r="832">
          <cell r="B832" t="str">
            <v>18971</v>
          </cell>
          <cell r="C832" t="str">
            <v xml:space="preserve">Business Support </v>
          </cell>
          <cell r="D832" t="str">
            <v>4080000</v>
          </cell>
        </row>
        <row r="833">
          <cell r="B833" t="str">
            <v>19001</v>
          </cell>
          <cell r="C833" t="str">
            <v xml:space="preserve">Jimboomba Library - Other Operations </v>
          </cell>
          <cell r="D833" t="str">
            <v>4080000</v>
          </cell>
        </row>
        <row r="834">
          <cell r="B834" t="str">
            <v>19021</v>
          </cell>
          <cell r="C834" t="str">
            <v xml:space="preserve">Hyperdome Library - Other Operations </v>
          </cell>
          <cell r="D834" t="str">
            <v>4080000</v>
          </cell>
        </row>
        <row r="835">
          <cell r="B835" t="str">
            <v>19041</v>
          </cell>
          <cell r="C835" t="str">
            <v xml:space="preserve">Logan Central Library - Other Operations </v>
          </cell>
          <cell r="D835" t="str">
            <v>4080000</v>
          </cell>
        </row>
        <row r="836">
          <cell r="B836" t="str">
            <v>19061</v>
          </cell>
          <cell r="C836" t="str">
            <v xml:space="preserve">Logan North Library - Other Operations </v>
          </cell>
          <cell r="D836" t="str">
            <v>4080000</v>
          </cell>
        </row>
        <row r="837">
          <cell r="B837" t="str">
            <v>19081</v>
          </cell>
          <cell r="C837" t="str">
            <v xml:space="preserve">Logan West Library - Other Operations </v>
          </cell>
          <cell r="D837" t="str">
            <v>4080000</v>
          </cell>
        </row>
        <row r="838">
          <cell r="B838" t="str">
            <v>19101</v>
          </cell>
          <cell r="C838" t="str">
            <v xml:space="preserve">Marsden Library - Other Operations </v>
          </cell>
          <cell r="D838" t="str">
            <v>4080000</v>
          </cell>
        </row>
        <row r="839">
          <cell r="B839" t="str">
            <v>19121</v>
          </cell>
          <cell r="C839" t="str">
            <v xml:space="preserve">Logan Village Library - Other Operations </v>
          </cell>
          <cell r="D839" t="str">
            <v>4080000</v>
          </cell>
        </row>
        <row r="840">
          <cell r="B840" t="str">
            <v>19141</v>
          </cell>
          <cell r="C840" t="str">
            <v xml:space="preserve">Greenbank Library - Other Operations </v>
          </cell>
          <cell r="D840" t="str">
            <v>4080000</v>
          </cell>
        </row>
        <row r="841">
          <cell r="B841" t="str">
            <v>19161</v>
          </cell>
          <cell r="C841" t="str">
            <v xml:space="preserve">Beenleigh Library - Other Operations </v>
          </cell>
          <cell r="D841" t="str">
            <v>4080000</v>
          </cell>
        </row>
        <row r="842">
          <cell r="B842" t="str">
            <v>19231</v>
          </cell>
          <cell r="C842" t="str">
            <v xml:space="preserve">Radio Frequency Identification (RFID) </v>
          </cell>
          <cell r="D842" t="str">
            <v>4080000</v>
          </cell>
        </row>
        <row r="843">
          <cell r="B843" t="str">
            <v>LP058</v>
          </cell>
          <cell r="C843" t="str">
            <v xml:space="preserve">Library purchases </v>
          </cell>
          <cell r="D843" t="str">
            <v>4080000</v>
          </cell>
        </row>
        <row r="844">
          <cell r="B844" t="str">
            <v>LP059</v>
          </cell>
          <cell r="C844" t="str">
            <v xml:space="preserve">Digital - Ebooks </v>
          </cell>
          <cell r="D844" t="str">
            <v>4080000</v>
          </cell>
        </row>
        <row r="845">
          <cell r="B845" t="str">
            <v>LP060</v>
          </cell>
          <cell r="C845" t="str">
            <v xml:space="preserve">Periodicals </v>
          </cell>
          <cell r="D845" t="str">
            <v>4080000</v>
          </cell>
        </row>
        <row r="846">
          <cell r="B846" t="str">
            <v>LP061</v>
          </cell>
          <cell r="C846" t="str">
            <v xml:space="preserve">Processing </v>
          </cell>
          <cell r="D846" t="str">
            <v>4080000</v>
          </cell>
        </row>
        <row r="847">
          <cell r="B847" t="str">
            <v>LP062</v>
          </cell>
          <cell r="C847" t="str">
            <v xml:space="preserve">Non-printed </v>
          </cell>
          <cell r="D847" t="str">
            <v>4080000</v>
          </cell>
        </row>
        <row r="848">
          <cell r="B848" t="str">
            <v>LP064</v>
          </cell>
          <cell r="C848" t="str">
            <v xml:space="preserve">Digital - Online Subscriptions </v>
          </cell>
          <cell r="D848" t="str">
            <v>4080000</v>
          </cell>
        </row>
        <row r="849">
          <cell r="B849" t="str">
            <v>17231</v>
          </cell>
          <cell r="C849" t="str">
            <v xml:space="preserve">No Smoking Regulation </v>
          </cell>
          <cell r="D849" t="str">
            <v>4090000</v>
          </cell>
        </row>
        <row r="850">
          <cell r="B850" t="str">
            <v>20001</v>
          </cell>
          <cell r="C850" t="str">
            <v xml:space="preserve">Parks Branch Management </v>
          </cell>
          <cell r="D850" t="str">
            <v>4090000</v>
          </cell>
        </row>
        <row r="851">
          <cell r="B851" t="str">
            <v>20811</v>
          </cell>
          <cell r="C851" t="str">
            <v xml:space="preserve">Parks COVID-19 </v>
          </cell>
          <cell r="D851" t="str">
            <v>4090000</v>
          </cell>
        </row>
        <row r="852">
          <cell r="B852" t="str">
            <v>20131</v>
          </cell>
          <cell r="C852" t="str">
            <v xml:space="preserve">Internal Roads Horticultural Services </v>
          </cell>
          <cell r="D852" t="str">
            <v>4090000</v>
          </cell>
        </row>
        <row r="853">
          <cell r="B853" t="str">
            <v>20151</v>
          </cell>
          <cell r="C853" t="str">
            <v xml:space="preserve">Parks Leadership and Administration </v>
          </cell>
          <cell r="D853" t="str">
            <v>4090000</v>
          </cell>
        </row>
        <row r="854">
          <cell r="B854" t="str">
            <v>20161</v>
          </cell>
          <cell r="C854" t="str">
            <v xml:space="preserve">Parks Staff Tea Service </v>
          </cell>
          <cell r="D854" t="str">
            <v>4090000</v>
          </cell>
        </row>
        <row r="855">
          <cell r="B855" t="str">
            <v>20170</v>
          </cell>
          <cell r="C855" t="str">
            <v xml:space="preserve">Contract Mowing - Zone 10 </v>
          </cell>
          <cell r="D855" t="str">
            <v>4090000</v>
          </cell>
        </row>
        <row r="856">
          <cell r="B856" t="str">
            <v>20171</v>
          </cell>
          <cell r="C856" t="str">
            <v xml:space="preserve">Zone 11 Mowing </v>
          </cell>
          <cell r="D856" t="str">
            <v>4090000</v>
          </cell>
        </row>
        <row r="857">
          <cell r="B857" t="str">
            <v>20172</v>
          </cell>
          <cell r="C857" t="str">
            <v xml:space="preserve">Zone 12 Mowing </v>
          </cell>
          <cell r="D857" t="str">
            <v>4090000</v>
          </cell>
        </row>
        <row r="858">
          <cell r="B858" t="str">
            <v>20181</v>
          </cell>
          <cell r="C858" t="str">
            <v xml:space="preserve">Internal Parks Landscape Services </v>
          </cell>
          <cell r="D858" t="str">
            <v>4090000</v>
          </cell>
        </row>
        <row r="859">
          <cell r="B859" t="str">
            <v>20201</v>
          </cell>
          <cell r="C859" t="str">
            <v xml:space="preserve">Nursery Operations </v>
          </cell>
          <cell r="D859" t="str">
            <v>4090000</v>
          </cell>
        </row>
        <row r="860">
          <cell r="B860" t="str">
            <v>20211</v>
          </cell>
          <cell r="C860" t="str">
            <v xml:space="preserve">Free Trees Program </v>
          </cell>
          <cell r="D860" t="str">
            <v>4090000</v>
          </cell>
        </row>
        <row r="861">
          <cell r="B861" t="str">
            <v>20221</v>
          </cell>
          <cell r="C861" t="str">
            <v xml:space="preserve">Contract Roads Mowing - Main Roads </v>
          </cell>
          <cell r="D861" t="str">
            <v>4090000</v>
          </cell>
        </row>
        <row r="862">
          <cell r="B862" t="str">
            <v>20222</v>
          </cell>
          <cell r="C862" t="str">
            <v xml:space="preserve">Contract Roads Mowing - Private Nature Strip </v>
          </cell>
          <cell r="D862" t="str">
            <v>4090000</v>
          </cell>
        </row>
        <row r="863">
          <cell r="B863" t="str">
            <v>20231</v>
          </cell>
          <cell r="C863" t="str">
            <v xml:space="preserve">CIR Street Trees </v>
          </cell>
          <cell r="D863" t="str">
            <v>4090000</v>
          </cell>
        </row>
        <row r="864">
          <cell r="B864" t="str">
            <v>20241</v>
          </cell>
          <cell r="C864" t="str">
            <v xml:space="preserve">Roadside Street Tree Operations </v>
          </cell>
          <cell r="D864" t="str">
            <v>4090000</v>
          </cell>
        </row>
        <row r="865">
          <cell r="B865" t="str">
            <v>20251</v>
          </cell>
          <cell r="C865" t="str">
            <v xml:space="preserve">Tip Fees - Marsden Teams (Road Landscape Improvement Fund) </v>
          </cell>
          <cell r="D865" t="str">
            <v>4090000</v>
          </cell>
        </row>
        <row r="866">
          <cell r="B866" t="str">
            <v>20252</v>
          </cell>
          <cell r="C866" t="str">
            <v xml:space="preserve">Roadside Asset Maintenance Repairs </v>
          </cell>
          <cell r="D866" t="str">
            <v>4090000</v>
          </cell>
        </row>
        <row r="867">
          <cell r="B867" t="str">
            <v>20260</v>
          </cell>
          <cell r="C867" t="str">
            <v xml:space="preserve">Roadside Co-ordination and Administration </v>
          </cell>
          <cell r="D867" t="str">
            <v>4090000</v>
          </cell>
        </row>
        <row r="868">
          <cell r="B868" t="str">
            <v>20261</v>
          </cell>
          <cell r="C868" t="str">
            <v xml:space="preserve">Contract Roads Mowing - Zone 1 </v>
          </cell>
          <cell r="D868" t="str">
            <v>4090000</v>
          </cell>
        </row>
        <row r="869">
          <cell r="B869" t="str">
            <v>20266</v>
          </cell>
          <cell r="C869" t="str">
            <v xml:space="preserve">Parks Litter Collection Munruben </v>
          </cell>
          <cell r="D869" t="str">
            <v>4090000</v>
          </cell>
        </row>
        <row r="870">
          <cell r="B870" t="str">
            <v>20267</v>
          </cell>
          <cell r="C870" t="str">
            <v xml:space="preserve">Ad Hoc Road Mowing East and West </v>
          </cell>
          <cell r="D870" t="str">
            <v>4090000</v>
          </cell>
        </row>
        <row r="871">
          <cell r="B871" t="str">
            <v>20271</v>
          </cell>
          <cell r="C871" t="str">
            <v xml:space="preserve">Contract Roads Landscape Maintenance - Zone 1 </v>
          </cell>
          <cell r="D871" t="str">
            <v>4090000</v>
          </cell>
        </row>
        <row r="872">
          <cell r="B872" t="str">
            <v>20275</v>
          </cell>
          <cell r="C872" t="str">
            <v xml:space="preserve">Contract Roads Landscape Maintenance - Zone 6 </v>
          </cell>
          <cell r="D872" t="str">
            <v>4090000</v>
          </cell>
        </row>
        <row r="873">
          <cell r="B873" t="str">
            <v>20276</v>
          </cell>
          <cell r="C873" t="str">
            <v xml:space="preserve">Contract Roads Landscape Maintenance - Main Roads </v>
          </cell>
          <cell r="D873" t="str">
            <v>4090000</v>
          </cell>
        </row>
        <row r="874">
          <cell r="B874" t="str">
            <v>20281</v>
          </cell>
          <cell r="C874" t="str">
            <v xml:space="preserve">Roadside Street Tree Planting Program </v>
          </cell>
          <cell r="D874" t="str">
            <v>4090000</v>
          </cell>
        </row>
        <row r="875">
          <cell r="B875" t="str">
            <v>20291</v>
          </cell>
          <cell r="C875" t="str">
            <v xml:space="preserve">Parks Tree Planting Program </v>
          </cell>
          <cell r="D875" t="str">
            <v>4090000</v>
          </cell>
        </row>
        <row r="876">
          <cell r="B876" t="str">
            <v>20301</v>
          </cell>
          <cell r="C876" t="str">
            <v xml:space="preserve">Parks and Bushland Rangers </v>
          </cell>
          <cell r="D876" t="str">
            <v>4090000</v>
          </cell>
        </row>
        <row r="877">
          <cell r="B877" t="str">
            <v>20302</v>
          </cell>
          <cell r="C877" t="str">
            <v xml:space="preserve">Parks Security Services </v>
          </cell>
          <cell r="D877" t="str">
            <v>4090000</v>
          </cell>
        </row>
        <row r="878">
          <cell r="B878" t="str">
            <v>20311</v>
          </cell>
          <cell r="C878" t="str">
            <v xml:space="preserve">Parks Litter Collection Marsden </v>
          </cell>
          <cell r="D878" t="str">
            <v>4090000</v>
          </cell>
        </row>
        <row r="879">
          <cell r="B879" t="str">
            <v>20317</v>
          </cell>
          <cell r="C879" t="str">
            <v xml:space="preserve">Natural Areas - Fire Coordination &amp; Administration </v>
          </cell>
          <cell r="D879" t="str">
            <v>4090000</v>
          </cell>
        </row>
        <row r="880">
          <cell r="B880" t="str">
            <v>20318</v>
          </cell>
          <cell r="C880" t="str">
            <v xml:space="preserve">Natural Areas - Environment Levy Coordination &amp; Admin. </v>
          </cell>
          <cell r="D880" t="str">
            <v>4090000</v>
          </cell>
        </row>
        <row r="881">
          <cell r="B881" t="str">
            <v>20319</v>
          </cell>
          <cell r="C881" t="str">
            <v xml:space="preserve">Trees Coordination &amp; Administration </v>
          </cell>
          <cell r="D881" t="str">
            <v>4090000</v>
          </cell>
        </row>
        <row r="882">
          <cell r="B882" t="str">
            <v>20320</v>
          </cell>
          <cell r="C882" t="str">
            <v xml:space="preserve">Communities Coordination &amp; Administration </v>
          </cell>
          <cell r="D882" t="str">
            <v>4090000</v>
          </cell>
        </row>
        <row r="883">
          <cell r="B883" t="str">
            <v>20321</v>
          </cell>
          <cell r="C883" t="str">
            <v xml:space="preserve">Bushland Co-ordination and Administration </v>
          </cell>
          <cell r="D883" t="str">
            <v>4090000</v>
          </cell>
        </row>
        <row r="884">
          <cell r="B884" t="str">
            <v>20322</v>
          </cell>
          <cell r="C884" t="str">
            <v xml:space="preserve">Internal Bushland Operations </v>
          </cell>
          <cell r="D884" t="str">
            <v>4090000</v>
          </cell>
        </row>
        <row r="885">
          <cell r="B885" t="str">
            <v>20331</v>
          </cell>
          <cell r="C885" t="str">
            <v xml:space="preserve">BBQ Cleaning - Zone 1 </v>
          </cell>
          <cell r="D885" t="str">
            <v>4090000</v>
          </cell>
        </row>
        <row r="886">
          <cell r="B886" t="str">
            <v>20332</v>
          </cell>
          <cell r="C886" t="str">
            <v xml:space="preserve">BBQ Cleaning - Zone 2 </v>
          </cell>
          <cell r="D886" t="str">
            <v>4090000</v>
          </cell>
        </row>
        <row r="887">
          <cell r="B887" t="str">
            <v>20333</v>
          </cell>
          <cell r="C887" t="str">
            <v xml:space="preserve">BBQ Cleaning - Zone 3 </v>
          </cell>
          <cell r="D887" t="str">
            <v>4090000</v>
          </cell>
        </row>
        <row r="888">
          <cell r="B888" t="str">
            <v>20341</v>
          </cell>
          <cell r="C888" t="str">
            <v xml:space="preserve">Amenities Cleaning - Zone 1 </v>
          </cell>
          <cell r="D888" t="str">
            <v>4090000</v>
          </cell>
        </row>
        <row r="889">
          <cell r="B889" t="str">
            <v>20342</v>
          </cell>
          <cell r="C889" t="str">
            <v xml:space="preserve">Amenities Cleaning - Zone 2 </v>
          </cell>
          <cell r="D889" t="str">
            <v>4090000</v>
          </cell>
        </row>
        <row r="890">
          <cell r="B890" t="str">
            <v>20343</v>
          </cell>
          <cell r="C890" t="str">
            <v xml:space="preserve">Amenities Cleaning - Zone 3 </v>
          </cell>
          <cell r="D890" t="str">
            <v>4090000</v>
          </cell>
        </row>
        <row r="891">
          <cell r="B891" t="str">
            <v>20351</v>
          </cell>
          <cell r="C891" t="str">
            <v xml:space="preserve">Contract Landscape Maintenance - Whole Park </v>
          </cell>
          <cell r="D891" t="str">
            <v>4090000</v>
          </cell>
        </row>
        <row r="892">
          <cell r="B892" t="str">
            <v>20361</v>
          </cell>
          <cell r="C892" t="str">
            <v xml:space="preserve">Parks Coordination and Administration </v>
          </cell>
          <cell r="D892" t="str">
            <v>4090000</v>
          </cell>
        </row>
        <row r="893">
          <cell r="B893" t="str">
            <v>20362</v>
          </cell>
          <cell r="C893" t="str">
            <v xml:space="preserve">Park Services - Coordination &amp; Administration </v>
          </cell>
          <cell r="D893" t="str">
            <v>4090000</v>
          </cell>
        </row>
        <row r="894">
          <cell r="B894" t="str">
            <v>20371</v>
          </cell>
          <cell r="C894" t="str">
            <v xml:space="preserve">Contract Landscape Maintenance - Zone 2 </v>
          </cell>
          <cell r="D894" t="str">
            <v>4090000</v>
          </cell>
        </row>
        <row r="895">
          <cell r="B895" t="str">
            <v>20372</v>
          </cell>
          <cell r="C895" t="str">
            <v xml:space="preserve">Contract Landscape Maintenance - Zone 3 </v>
          </cell>
          <cell r="D895" t="str">
            <v>4090000</v>
          </cell>
        </row>
        <row r="896">
          <cell r="B896" t="str">
            <v>20373</v>
          </cell>
          <cell r="C896" t="str">
            <v xml:space="preserve">Contract Landscape Maintenance - Zone 4 </v>
          </cell>
          <cell r="D896" t="str">
            <v>4090000</v>
          </cell>
        </row>
        <row r="897">
          <cell r="B897" t="str">
            <v>20374</v>
          </cell>
          <cell r="C897" t="str">
            <v xml:space="preserve">Contract Landscape Maintenance - Zone 1 </v>
          </cell>
          <cell r="D897" t="str">
            <v>4090000</v>
          </cell>
        </row>
        <row r="898">
          <cell r="B898" t="str">
            <v>20375</v>
          </cell>
          <cell r="C898" t="str">
            <v xml:space="preserve">Contract Landscape Maintenance - Zone 5 </v>
          </cell>
          <cell r="D898" t="str">
            <v>4090000</v>
          </cell>
        </row>
        <row r="899">
          <cell r="B899" t="str">
            <v>20376</v>
          </cell>
          <cell r="C899" t="str">
            <v xml:space="preserve">Contract landscaping zone 6 </v>
          </cell>
          <cell r="D899" t="str">
            <v>4090000</v>
          </cell>
        </row>
        <row r="900">
          <cell r="B900" t="str">
            <v>20381</v>
          </cell>
          <cell r="C900" t="str">
            <v xml:space="preserve">Parks Tree Operations </v>
          </cell>
          <cell r="D900" t="str">
            <v>4090000</v>
          </cell>
        </row>
        <row r="901">
          <cell r="B901" t="str">
            <v>20391</v>
          </cell>
          <cell r="C901" t="str">
            <v xml:space="preserve">Tip Fees - Munruben Teams </v>
          </cell>
          <cell r="D901" t="str">
            <v>4090000</v>
          </cell>
        </row>
        <row r="902">
          <cell r="B902" t="str">
            <v>20392</v>
          </cell>
          <cell r="C902" t="str">
            <v xml:space="preserve">Parks Asset Maint and Repairs </v>
          </cell>
          <cell r="D902" t="str">
            <v>4090000</v>
          </cell>
        </row>
        <row r="903">
          <cell r="B903" t="str">
            <v>20393</v>
          </cell>
          <cell r="C903" t="str">
            <v xml:space="preserve">Beenleigh Town Square Maintenance </v>
          </cell>
          <cell r="D903" t="str">
            <v>4090000</v>
          </cell>
        </row>
        <row r="904">
          <cell r="B904" t="str">
            <v>20394</v>
          </cell>
          <cell r="C904" t="str">
            <v xml:space="preserve">Overnight stays </v>
          </cell>
          <cell r="D904" t="str">
            <v>4090000</v>
          </cell>
        </row>
        <row r="905">
          <cell r="B905" t="str">
            <v>20395</v>
          </cell>
          <cell r="C905" t="str">
            <v xml:space="preserve">Doug Larsen Park </v>
          </cell>
          <cell r="D905" t="str">
            <v>4090000</v>
          </cell>
        </row>
        <row r="906">
          <cell r="B906" t="str">
            <v>20401</v>
          </cell>
          <cell r="C906" t="str">
            <v xml:space="preserve">Fire Management Operations </v>
          </cell>
          <cell r="D906" t="str">
            <v>4090000</v>
          </cell>
        </row>
        <row r="907">
          <cell r="B907" t="str">
            <v>20411</v>
          </cell>
          <cell r="C907" t="str">
            <v xml:space="preserve">Bushcare Program </v>
          </cell>
          <cell r="D907" t="str">
            <v>4090000</v>
          </cell>
        </row>
        <row r="908">
          <cell r="B908" t="str">
            <v>20412</v>
          </cell>
          <cell r="C908" t="str">
            <v xml:space="preserve">Community Planting Program </v>
          </cell>
          <cell r="D908" t="str">
            <v>4090000</v>
          </cell>
        </row>
        <row r="909">
          <cell r="B909" t="str">
            <v>20421</v>
          </cell>
          <cell r="C909" t="str">
            <v xml:space="preserve">Natural Area Tree Operations </v>
          </cell>
          <cell r="D909" t="str">
            <v>4090000</v>
          </cell>
        </row>
        <row r="910">
          <cell r="B910" t="str">
            <v>20422</v>
          </cell>
          <cell r="C910" t="str">
            <v xml:space="preserve">Trailcare Coord &amp; Admin </v>
          </cell>
          <cell r="D910" t="str">
            <v>4090000</v>
          </cell>
        </row>
        <row r="911">
          <cell r="B911" t="str">
            <v>20431</v>
          </cell>
          <cell r="C911" t="str">
            <v xml:space="preserve">Bushland Rehabilitation Program </v>
          </cell>
          <cell r="D911" t="str">
            <v>4090000</v>
          </cell>
        </row>
        <row r="912">
          <cell r="B912" t="str">
            <v>20432</v>
          </cell>
          <cell r="C912" t="str">
            <v xml:space="preserve">Post Burnsite Rehabilitation </v>
          </cell>
          <cell r="D912" t="str">
            <v>4090000</v>
          </cell>
        </row>
        <row r="913">
          <cell r="B913" t="str">
            <v>20440</v>
          </cell>
          <cell r="C913" t="str">
            <v xml:space="preserve">Internal Parks Mowing and Turf Services </v>
          </cell>
          <cell r="D913" t="str">
            <v>4090000</v>
          </cell>
        </row>
        <row r="914">
          <cell r="B914" t="str">
            <v>20441</v>
          </cell>
          <cell r="C914" t="str">
            <v xml:space="preserve">Contract Mowing - Zone 1 </v>
          </cell>
          <cell r="D914" t="str">
            <v>4090000</v>
          </cell>
        </row>
        <row r="915">
          <cell r="B915" t="str">
            <v>20442</v>
          </cell>
          <cell r="C915" t="str">
            <v xml:space="preserve">Contract Mowing - Zone 2 </v>
          </cell>
          <cell r="D915" t="str">
            <v>4090000</v>
          </cell>
        </row>
        <row r="916">
          <cell r="B916" t="str">
            <v>20443</v>
          </cell>
          <cell r="C916" t="str">
            <v xml:space="preserve">Contract Mowing - Zone 3 </v>
          </cell>
          <cell r="D916" t="str">
            <v>4090000</v>
          </cell>
        </row>
        <row r="917">
          <cell r="B917" t="str">
            <v>20444</v>
          </cell>
          <cell r="C917" t="str">
            <v xml:space="preserve">Contract Mowing - Zone 4 </v>
          </cell>
          <cell r="D917" t="str">
            <v>4090000</v>
          </cell>
        </row>
        <row r="918">
          <cell r="B918" t="str">
            <v>20445</v>
          </cell>
          <cell r="C918" t="str">
            <v xml:space="preserve">Contract Mowing - Zone 5 </v>
          </cell>
          <cell r="D918" t="str">
            <v>4090000</v>
          </cell>
        </row>
        <row r="919">
          <cell r="B919" t="str">
            <v>20446</v>
          </cell>
          <cell r="C919" t="str">
            <v xml:space="preserve">Contract Mowing - Zone 6 </v>
          </cell>
          <cell r="D919" t="str">
            <v>4090000</v>
          </cell>
        </row>
        <row r="920">
          <cell r="B920" t="str">
            <v>20447</v>
          </cell>
          <cell r="C920" t="str">
            <v xml:space="preserve">Contract Mowing - Zone 7 </v>
          </cell>
          <cell r="D920" t="str">
            <v>4090000</v>
          </cell>
        </row>
        <row r="921">
          <cell r="B921" t="str">
            <v>20448</v>
          </cell>
          <cell r="C921" t="str">
            <v xml:space="preserve">Contract Mowing - Zone 8 </v>
          </cell>
          <cell r="D921" t="str">
            <v>4090000</v>
          </cell>
        </row>
        <row r="922">
          <cell r="B922" t="str">
            <v>20449</v>
          </cell>
          <cell r="C922" t="str">
            <v xml:space="preserve">Contract Mowing - Zone 9 </v>
          </cell>
          <cell r="D922" t="str">
            <v>4090000</v>
          </cell>
        </row>
        <row r="923">
          <cell r="B923" t="str">
            <v>20450</v>
          </cell>
          <cell r="C923" t="str">
            <v xml:space="preserve">Mowing - Commercial Sites </v>
          </cell>
          <cell r="D923" t="str">
            <v>4090000</v>
          </cell>
        </row>
        <row r="924">
          <cell r="B924" t="str">
            <v>20451</v>
          </cell>
          <cell r="C924" t="str">
            <v xml:space="preserve">Cemeteries </v>
          </cell>
          <cell r="D924" t="str">
            <v>4090000</v>
          </cell>
        </row>
        <row r="925">
          <cell r="B925" t="str">
            <v>20452</v>
          </cell>
          <cell r="C925" t="str">
            <v xml:space="preserve">Parks Cemeteries - Employee Costs </v>
          </cell>
          <cell r="D925" t="str">
            <v>4090000</v>
          </cell>
        </row>
        <row r="926">
          <cell r="B926" t="str">
            <v>20453</v>
          </cell>
          <cell r="C926" t="str">
            <v xml:space="preserve">Green Asset Renewal </v>
          </cell>
          <cell r="D926" t="str">
            <v>4090000</v>
          </cell>
        </row>
        <row r="927">
          <cell r="B927" t="str">
            <v>20454</v>
          </cell>
          <cell r="C927" t="str">
            <v xml:space="preserve">Darlington Parklands </v>
          </cell>
          <cell r="D927" t="str">
            <v>4090000</v>
          </cell>
        </row>
        <row r="928">
          <cell r="B928" t="str">
            <v>20455</v>
          </cell>
          <cell r="C928" t="str">
            <v xml:space="preserve">Contract Mowing Cemeteries </v>
          </cell>
          <cell r="D928" t="str">
            <v>4090000</v>
          </cell>
        </row>
        <row r="929">
          <cell r="B929" t="str">
            <v>20461</v>
          </cell>
          <cell r="C929" t="str">
            <v xml:space="preserve">Sports Field Mowing and Renovation Program </v>
          </cell>
          <cell r="D929" t="str">
            <v>4090000</v>
          </cell>
        </row>
        <row r="930">
          <cell r="B930" t="str">
            <v>20462</v>
          </cell>
          <cell r="C930" t="str">
            <v xml:space="preserve">Beenleigh Cemetery </v>
          </cell>
          <cell r="D930" t="str">
            <v>4090000</v>
          </cell>
        </row>
        <row r="931">
          <cell r="B931" t="str">
            <v>20463</v>
          </cell>
          <cell r="C931" t="str">
            <v xml:space="preserve">Chambers Flat Cemetery </v>
          </cell>
          <cell r="D931" t="str">
            <v>4090000</v>
          </cell>
        </row>
        <row r="932">
          <cell r="B932" t="str">
            <v>20464</v>
          </cell>
          <cell r="C932" t="str">
            <v xml:space="preserve">Eagleby Cemetery </v>
          </cell>
          <cell r="D932" t="str">
            <v>4090000</v>
          </cell>
        </row>
        <row r="933">
          <cell r="B933" t="str">
            <v>20465</v>
          </cell>
          <cell r="C933" t="str">
            <v xml:space="preserve">Logan Village Cemetery </v>
          </cell>
          <cell r="D933" t="str">
            <v>4090000</v>
          </cell>
        </row>
        <row r="934">
          <cell r="B934" t="str">
            <v>20466</v>
          </cell>
          <cell r="C934" t="str">
            <v xml:space="preserve">Maclean Cemetery </v>
          </cell>
          <cell r="D934" t="str">
            <v>4090000</v>
          </cell>
        </row>
        <row r="935">
          <cell r="B935" t="str">
            <v>20467</v>
          </cell>
          <cell r="C935" t="str">
            <v xml:space="preserve">Parkhouse Cemetery </v>
          </cell>
          <cell r="D935" t="str">
            <v>4090000</v>
          </cell>
        </row>
        <row r="936">
          <cell r="B936" t="str">
            <v>20468</v>
          </cell>
          <cell r="C936" t="str">
            <v xml:space="preserve">Plunkett Road Cemetery </v>
          </cell>
          <cell r="D936" t="str">
            <v>4090000</v>
          </cell>
        </row>
        <row r="937">
          <cell r="B937" t="str">
            <v>20471</v>
          </cell>
          <cell r="C937" t="str">
            <v xml:space="preserve">Tracks and Trails Program </v>
          </cell>
          <cell r="D937" t="str">
            <v>4090000</v>
          </cell>
        </row>
        <row r="938">
          <cell r="B938" t="str">
            <v>20481</v>
          </cell>
          <cell r="C938" t="str">
            <v xml:space="preserve">Playground Maintenance &amp; Repairs </v>
          </cell>
          <cell r="D938" t="str">
            <v>4090000</v>
          </cell>
        </row>
        <row r="939">
          <cell r="B939" t="str">
            <v>20482</v>
          </cell>
          <cell r="C939" t="str">
            <v xml:space="preserve">Shade Sail Maintenance &amp; Repairs </v>
          </cell>
          <cell r="D939" t="str">
            <v>4090000</v>
          </cell>
        </row>
        <row r="940">
          <cell r="B940" t="str">
            <v>20491</v>
          </cell>
          <cell r="C940" t="str">
            <v xml:space="preserve">Toilet Maintenance </v>
          </cell>
          <cell r="D940" t="str">
            <v>4090000</v>
          </cell>
        </row>
        <row r="941">
          <cell r="B941" t="str">
            <v>20501</v>
          </cell>
          <cell r="C941" t="str">
            <v xml:space="preserve">Admin Centre Grounds - Maintenance </v>
          </cell>
          <cell r="D941" t="str">
            <v>4090000</v>
          </cell>
        </row>
        <row r="942">
          <cell r="B942" t="str">
            <v>20511</v>
          </cell>
          <cell r="C942" t="str">
            <v xml:space="preserve">General Landscape Improvement Fund </v>
          </cell>
          <cell r="D942" t="str">
            <v>4090000</v>
          </cell>
        </row>
        <row r="943">
          <cell r="B943" t="str">
            <v>20512</v>
          </cell>
          <cell r="C943" t="str">
            <v xml:space="preserve">Parks Landscape Improvement Fund - South </v>
          </cell>
          <cell r="D943" t="str">
            <v>4090000</v>
          </cell>
        </row>
        <row r="944">
          <cell r="B944" t="str">
            <v>20521</v>
          </cell>
          <cell r="C944" t="str">
            <v xml:space="preserve">General Landscape Improvement Fund – North </v>
          </cell>
          <cell r="D944" t="str">
            <v>4090000</v>
          </cell>
        </row>
        <row r="945">
          <cell r="B945" t="str">
            <v>20522</v>
          </cell>
          <cell r="C945" t="str">
            <v xml:space="preserve">General Landscape Improvement Fund - South </v>
          </cell>
          <cell r="D945" t="str">
            <v>4090000</v>
          </cell>
        </row>
        <row r="946">
          <cell r="B946" t="str">
            <v>20531</v>
          </cell>
          <cell r="C946" t="str">
            <v xml:space="preserve">Parks Tree Operations - Proactive </v>
          </cell>
          <cell r="D946" t="str">
            <v>4090000</v>
          </cell>
        </row>
        <row r="947">
          <cell r="B947" t="str">
            <v>20541</v>
          </cell>
          <cell r="C947" t="str">
            <v xml:space="preserve">Roadside Street Tree Ops - Proactive </v>
          </cell>
          <cell r="D947" t="str">
            <v>4090000</v>
          </cell>
        </row>
        <row r="948">
          <cell r="B948" t="str">
            <v>20551</v>
          </cell>
          <cell r="C948" t="str">
            <v xml:space="preserve">Fuel Reduction Burn </v>
          </cell>
          <cell r="D948" t="str">
            <v>4090000</v>
          </cell>
        </row>
        <row r="949">
          <cell r="B949" t="str">
            <v>20561</v>
          </cell>
          <cell r="C949" t="str">
            <v xml:space="preserve">Fire Access Line </v>
          </cell>
          <cell r="D949" t="str">
            <v>4090000</v>
          </cell>
        </row>
        <row r="950">
          <cell r="B950" t="str">
            <v>20571</v>
          </cell>
          <cell r="C950" t="str">
            <v xml:space="preserve">Bushfire Maintenance Coord &amp; Admin </v>
          </cell>
          <cell r="D950" t="str">
            <v>4090000</v>
          </cell>
        </row>
        <row r="951">
          <cell r="B951" t="str">
            <v>20581</v>
          </cell>
          <cell r="C951" t="str">
            <v xml:space="preserve">Restoration Reactive </v>
          </cell>
          <cell r="D951" t="str">
            <v>4090000</v>
          </cell>
        </row>
        <row r="952">
          <cell r="B952" t="str">
            <v>20591</v>
          </cell>
          <cell r="C952" t="str">
            <v xml:space="preserve">TrailCare </v>
          </cell>
          <cell r="D952" t="str">
            <v>4090000</v>
          </cell>
        </row>
        <row r="953">
          <cell r="B953" t="str">
            <v>20601</v>
          </cell>
          <cell r="C953" t="str">
            <v xml:space="preserve">Monitoring (Natural Areas) </v>
          </cell>
          <cell r="D953" t="str">
            <v>4090000</v>
          </cell>
        </row>
        <row r="954">
          <cell r="B954" t="str">
            <v>20611</v>
          </cell>
          <cell r="C954" t="str">
            <v xml:space="preserve">Weeds (Natural Areas) </v>
          </cell>
          <cell r="D954" t="str">
            <v>4090000</v>
          </cell>
        </row>
        <row r="955">
          <cell r="B955" t="str">
            <v>20621</v>
          </cell>
          <cell r="C955" t="str">
            <v xml:space="preserve">Fuel Management Program </v>
          </cell>
          <cell r="D955" t="str">
            <v>4090000</v>
          </cell>
        </row>
        <row r="956">
          <cell r="B956" t="str">
            <v>20631</v>
          </cell>
          <cell r="C956" t="str">
            <v xml:space="preserve">Restoration (Natural Areas) </v>
          </cell>
          <cell r="D956" t="str">
            <v>4090000</v>
          </cell>
        </row>
        <row r="957">
          <cell r="B957" t="str">
            <v>20641</v>
          </cell>
          <cell r="C957" t="str">
            <v xml:space="preserve">Mountain Bike Trails </v>
          </cell>
          <cell r="D957" t="str">
            <v>4090000</v>
          </cell>
        </row>
        <row r="958">
          <cell r="B958" t="str">
            <v>20651</v>
          </cell>
          <cell r="C958" t="str">
            <v xml:space="preserve">Rubbish (Natural Areas) </v>
          </cell>
          <cell r="D958" t="str">
            <v>4090000</v>
          </cell>
        </row>
        <row r="959">
          <cell r="B959" t="str">
            <v>20661</v>
          </cell>
          <cell r="C959" t="str">
            <v xml:space="preserve">ParkCare </v>
          </cell>
          <cell r="D959" t="str">
            <v>4090000</v>
          </cell>
        </row>
        <row r="960">
          <cell r="B960" t="str">
            <v>20662</v>
          </cell>
          <cell r="C960" t="str">
            <v xml:space="preserve">Programmed Restoration - Communities </v>
          </cell>
          <cell r="D960" t="str">
            <v>4090000</v>
          </cell>
        </row>
        <row r="961">
          <cell r="B961" t="str">
            <v>20671</v>
          </cell>
          <cell r="C961" t="str">
            <v xml:space="preserve">Road Reserves (Natural Areas) </v>
          </cell>
          <cell r="D961" t="str">
            <v>4090000</v>
          </cell>
        </row>
        <row r="962">
          <cell r="B962" t="str">
            <v>20681</v>
          </cell>
          <cell r="C962" t="str">
            <v xml:space="preserve">Urban Bushland Maintenance </v>
          </cell>
          <cell r="D962" t="str">
            <v>4090000</v>
          </cell>
        </row>
        <row r="963">
          <cell r="B963" t="str">
            <v>20691</v>
          </cell>
          <cell r="C963" t="str">
            <v xml:space="preserve">Asset Creation (Natural Areas) </v>
          </cell>
          <cell r="D963" t="str">
            <v>4090000</v>
          </cell>
        </row>
        <row r="964">
          <cell r="B964" t="str">
            <v>20801</v>
          </cell>
          <cell r="C964" t="str">
            <v xml:space="preserve">2017 Ex-Cyclone Debbie </v>
          </cell>
          <cell r="D964" t="str">
            <v>4090000</v>
          </cell>
        </row>
        <row r="965">
          <cell r="B965" t="str">
            <v>20802</v>
          </cell>
          <cell r="C965" t="str">
            <v xml:space="preserve">Water Parks </v>
          </cell>
          <cell r="D965" t="str">
            <v>4090000</v>
          </cell>
        </row>
        <row r="966">
          <cell r="B966" t="str">
            <v>20821</v>
          </cell>
          <cell r="C966" t="str">
            <v xml:space="preserve">Parks Disaster Management </v>
          </cell>
          <cell r="D966" t="str">
            <v>4090000</v>
          </cell>
        </row>
        <row r="967">
          <cell r="B967" t="str">
            <v>20881</v>
          </cell>
          <cell r="C967" t="str">
            <v xml:space="preserve">Events Fees and Charges </v>
          </cell>
          <cell r="D967" t="str">
            <v>4090000</v>
          </cell>
        </row>
        <row r="968">
          <cell r="B968" t="str">
            <v>20011</v>
          </cell>
          <cell r="C968" t="str">
            <v xml:space="preserve">Division One </v>
          </cell>
          <cell r="D968" t="str">
            <v>4090000</v>
          </cell>
        </row>
        <row r="969">
          <cell r="B969" t="str">
            <v>20021</v>
          </cell>
          <cell r="C969" t="str">
            <v xml:space="preserve">Division Two </v>
          </cell>
          <cell r="D969" t="str">
            <v>4090000</v>
          </cell>
        </row>
        <row r="970">
          <cell r="B970" t="str">
            <v>20031</v>
          </cell>
          <cell r="C970" t="str">
            <v xml:space="preserve">Division Three </v>
          </cell>
          <cell r="D970" t="str">
            <v>4090000</v>
          </cell>
        </row>
        <row r="971">
          <cell r="B971" t="str">
            <v>20041</v>
          </cell>
          <cell r="C971" t="str">
            <v xml:space="preserve">Division Four </v>
          </cell>
          <cell r="D971" t="str">
            <v>4090000</v>
          </cell>
        </row>
        <row r="972">
          <cell r="B972" t="str">
            <v>20051</v>
          </cell>
          <cell r="C972" t="str">
            <v xml:space="preserve">Division Five </v>
          </cell>
          <cell r="D972" t="str">
            <v>4090000</v>
          </cell>
        </row>
        <row r="973">
          <cell r="B973" t="str">
            <v>20061</v>
          </cell>
          <cell r="C973" t="str">
            <v xml:space="preserve">Division Six </v>
          </cell>
          <cell r="D973" t="str">
            <v>4090000</v>
          </cell>
        </row>
        <row r="974">
          <cell r="B974" t="str">
            <v>20071</v>
          </cell>
          <cell r="C974" t="str">
            <v xml:space="preserve">Division Seven </v>
          </cell>
          <cell r="D974" t="str">
            <v>4090000</v>
          </cell>
        </row>
        <row r="975">
          <cell r="B975" t="str">
            <v>20081</v>
          </cell>
          <cell r="C975" t="str">
            <v xml:space="preserve">Division Eight </v>
          </cell>
          <cell r="D975" t="str">
            <v>4090000</v>
          </cell>
        </row>
        <row r="976">
          <cell r="B976" t="str">
            <v>20091</v>
          </cell>
          <cell r="C976" t="str">
            <v xml:space="preserve">Division Nine </v>
          </cell>
          <cell r="D976" t="str">
            <v>4090000</v>
          </cell>
        </row>
        <row r="977">
          <cell r="B977" t="str">
            <v>20101</v>
          </cell>
          <cell r="C977" t="str">
            <v xml:space="preserve">Division Ten </v>
          </cell>
          <cell r="D977" t="str">
            <v>4090000</v>
          </cell>
        </row>
        <row r="978">
          <cell r="B978" t="str">
            <v>20111</v>
          </cell>
          <cell r="C978" t="str">
            <v xml:space="preserve">Division Eleven </v>
          </cell>
          <cell r="D978" t="str">
            <v>4090000</v>
          </cell>
        </row>
        <row r="979">
          <cell r="B979" t="str">
            <v>20121</v>
          </cell>
          <cell r="C979" t="str">
            <v xml:space="preserve">Division Twelve </v>
          </cell>
          <cell r="D979" t="str">
            <v>4090000</v>
          </cell>
        </row>
        <row r="980">
          <cell r="B980" t="str">
            <v>20141</v>
          </cell>
          <cell r="C980" t="str">
            <v xml:space="preserve">Parks Planning and Management </v>
          </cell>
          <cell r="D980" t="str">
            <v>4090000</v>
          </cell>
        </row>
        <row r="981">
          <cell r="B981" t="str">
            <v>20191</v>
          </cell>
          <cell r="C981" t="str">
            <v xml:space="preserve">Parks Design &amp; Capital Delivery </v>
          </cell>
          <cell r="D981" t="str">
            <v>4090000</v>
          </cell>
        </row>
        <row r="982">
          <cell r="B982" t="str">
            <v>19301</v>
          </cell>
          <cell r="C982" t="str">
            <v xml:space="preserve">Transport Services Directorate </v>
          </cell>
          <cell r="D982" t="str">
            <v>5010000</v>
          </cell>
        </row>
        <row r="983">
          <cell r="B983" t="str">
            <v>30231</v>
          </cell>
          <cell r="C983" t="str">
            <v xml:space="preserve">State Emergency </v>
          </cell>
          <cell r="D983" t="str">
            <v>5010000</v>
          </cell>
        </row>
        <row r="984">
          <cell r="B984" t="str">
            <v>30241</v>
          </cell>
          <cell r="C984" t="str">
            <v xml:space="preserve">Counter Disaster Planning </v>
          </cell>
          <cell r="D984" t="str">
            <v>5010000</v>
          </cell>
        </row>
        <row r="985">
          <cell r="B985" t="str">
            <v>30251</v>
          </cell>
          <cell r="C985" t="str">
            <v xml:space="preserve">Disaster Management Projects </v>
          </cell>
          <cell r="D985" t="str">
            <v>5010000</v>
          </cell>
        </row>
        <row r="986">
          <cell r="B986" t="str">
            <v>30261</v>
          </cell>
          <cell r="C986" t="str">
            <v xml:space="preserve">Community Development Officer </v>
          </cell>
          <cell r="D986" t="str">
            <v>5010000</v>
          </cell>
        </row>
        <row r="987">
          <cell r="B987" t="str">
            <v>30331</v>
          </cell>
          <cell r="C987" t="str">
            <v xml:space="preserve">Get Ready Grant </v>
          </cell>
          <cell r="D987" t="str">
            <v>5010000</v>
          </cell>
        </row>
        <row r="988">
          <cell r="B988" t="str">
            <v>30341</v>
          </cell>
          <cell r="C988" t="str">
            <v xml:space="preserve">SES Boat Shed </v>
          </cell>
          <cell r="D988" t="str">
            <v>5010000</v>
          </cell>
        </row>
        <row r="989">
          <cell r="B989" t="str">
            <v>30351</v>
          </cell>
          <cell r="C989" t="str">
            <v xml:space="preserve">Counter Disaster Events </v>
          </cell>
          <cell r="D989" t="str">
            <v>5010000</v>
          </cell>
        </row>
        <row r="990">
          <cell r="B990" t="str">
            <v>30361</v>
          </cell>
          <cell r="C990" t="str">
            <v xml:space="preserve">Disaster Event 2 </v>
          </cell>
          <cell r="D990" t="str">
            <v>5010000</v>
          </cell>
        </row>
        <row r="991">
          <cell r="B991" t="str">
            <v>30382</v>
          </cell>
          <cell r="C991" t="str">
            <v xml:space="preserve">PCEP </v>
          </cell>
          <cell r="D991" t="str">
            <v>5010000</v>
          </cell>
        </row>
        <row r="992">
          <cell r="B992" t="str">
            <v>30392</v>
          </cell>
          <cell r="C992" t="str">
            <v xml:space="preserve">Disaster Dashboard Upgrade </v>
          </cell>
          <cell r="D992" t="str">
            <v>5010000</v>
          </cell>
        </row>
        <row r="993">
          <cell r="B993" t="str">
            <v>30401</v>
          </cell>
          <cell r="C993" t="str">
            <v xml:space="preserve">Community Champions Program </v>
          </cell>
          <cell r="D993" t="str">
            <v>5010000</v>
          </cell>
        </row>
        <row r="994">
          <cell r="B994" t="str">
            <v>30461</v>
          </cell>
          <cell r="C994" t="str">
            <v>Isolated Communities Disaster Preparedness Mailout and Infor mation Services</v>
          </cell>
          <cell r="D994" t="str">
            <v>5010000</v>
          </cell>
        </row>
        <row r="995">
          <cell r="B995" t="str">
            <v>30471</v>
          </cell>
          <cell r="C995" t="str">
            <v>Flood Water Depth Indicator Marker and Community Education B ooklet</v>
          </cell>
          <cell r="D995" t="str">
            <v>5010000</v>
          </cell>
        </row>
        <row r="996">
          <cell r="B996" t="str">
            <v>30481</v>
          </cell>
          <cell r="C996" t="str">
            <v xml:space="preserve">CRRO – Tropical Cyclone Alfred </v>
          </cell>
          <cell r="D996" t="str">
            <v>5010000</v>
          </cell>
        </row>
        <row r="997">
          <cell r="B997" t="str">
            <v>30921</v>
          </cell>
          <cell r="C997" t="str">
            <v xml:space="preserve">FireSight </v>
          </cell>
          <cell r="D997" t="str">
            <v>5010000</v>
          </cell>
        </row>
        <row r="998">
          <cell r="B998" t="str">
            <v>30971</v>
          </cell>
          <cell r="C998" t="str">
            <v xml:space="preserve">Christmas 2023 Flood Emergency </v>
          </cell>
          <cell r="D998" t="str">
            <v>5010000</v>
          </cell>
        </row>
        <row r="999">
          <cell r="B999" t="str">
            <v>30991</v>
          </cell>
          <cell r="C999" t="str">
            <v xml:space="preserve">Creative Recovery </v>
          </cell>
          <cell r="D999" t="str">
            <v>5010000</v>
          </cell>
        </row>
        <row r="1000">
          <cell r="B1000" t="str">
            <v>31071</v>
          </cell>
          <cell r="C1000" t="str">
            <v xml:space="preserve">School and Student Disaster Management Planning project </v>
          </cell>
          <cell r="D1000" t="str">
            <v>5010000</v>
          </cell>
        </row>
        <row r="1001">
          <cell r="B1001" t="str">
            <v>19491</v>
          </cell>
          <cell r="C1001" t="str">
            <v xml:space="preserve">TPA Disaster Events </v>
          </cell>
          <cell r="D1001" t="str">
            <v>5030000</v>
          </cell>
        </row>
        <row r="1002">
          <cell r="B1002" t="str">
            <v>19501</v>
          </cell>
          <cell r="C1002" t="str">
            <v xml:space="preserve">Transport Planning and Assets Branch Management </v>
          </cell>
          <cell r="D1002" t="str">
            <v>5030000</v>
          </cell>
        </row>
        <row r="1003">
          <cell r="B1003" t="str">
            <v>19551</v>
          </cell>
          <cell r="C1003" t="str">
            <v xml:space="preserve">Traffic Management </v>
          </cell>
          <cell r="D1003" t="str">
            <v>5030000</v>
          </cell>
        </row>
        <row r="1004">
          <cell r="B1004" t="str">
            <v>19571</v>
          </cell>
          <cell r="C1004" t="str">
            <v xml:space="preserve">Mobile Speed Advisory Signs </v>
          </cell>
          <cell r="D1004" t="str">
            <v>5030000</v>
          </cell>
        </row>
        <row r="1005">
          <cell r="B1005" t="str">
            <v>19581</v>
          </cell>
          <cell r="C1005" t="str">
            <v xml:space="preserve">Local Traffic Improvement </v>
          </cell>
          <cell r="D1005" t="str">
            <v>5030000</v>
          </cell>
        </row>
        <row r="1006">
          <cell r="B1006" t="str">
            <v>20831</v>
          </cell>
          <cell r="C1006" t="str">
            <v xml:space="preserve">Advance Mobility Analytics </v>
          </cell>
          <cell r="D1006" t="str">
            <v>5030000</v>
          </cell>
        </row>
        <row r="1007">
          <cell r="B1007" t="str">
            <v>19511</v>
          </cell>
          <cell r="C1007" t="str">
            <v xml:space="preserve">Transportation Planning </v>
          </cell>
          <cell r="D1007" t="str">
            <v>5030000</v>
          </cell>
        </row>
        <row r="1008">
          <cell r="B1008" t="str">
            <v>19512</v>
          </cell>
          <cell r="C1008" t="str">
            <v>Bethania to Logan Village Rail Trail Feasibility Investigati on</v>
          </cell>
          <cell r="D1008" t="str">
            <v>5030000</v>
          </cell>
        </row>
        <row r="1009">
          <cell r="B1009" t="str">
            <v>19481</v>
          </cell>
          <cell r="C1009" t="str">
            <v xml:space="preserve">Street Lighting Upgrade </v>
          </cell>
          <cell r="D1009" t="str">
            <v>5030000</v>
          </cell>
        </row>
        <row r="1010">
          <cell r="B1010" t="str">
            <v>19601</v>
          </cell>
          <cell r="C1010" t="str">
            <v xml:space="preserve">Road and Drainage Financial Management </v>
          </cell>
          <cell r="D1010" t="str">
            <v>5030000</v>
          </cell>
        </row>
        <row r="1011">
          <cell r="B1011" t="str">
            <v>19611</v>
          </cell>
          <cell r="C1011" t="str">
            <v xml:space="preserve">Road Asset Administration and Management </v>
          </cell>
          <cell r="D1011" t="str">
            <v>5030000</v>
          </cell>
        </row>
        <row r="1012">
          <cell r="B1012" t="str">
            <v>19631</v>
          </cell>
          <cell r="C1012" t="str">
            <v xml:space="preserve">Street Lighting </v>
          </cell>
          <cell r="D1012" t="str">
            <v>5030000</v>
          </cell>
        </row>
        <row r="1013">
          <cell r="B1013" t="str">
            <v>19641</v>
          </cell>
          <cell r="C1013" t="str">
            <v xml:space="preserve">Feature Lighting </v>
          </cell>
          <cell r="D1013" t="str">
            <v>5030000</v>
          </cell>
        </row>
        <row r="1014">
          <cell r="B1014" t="str">
            <v>19651</v>
          </cell>
          <cell r="C1014" t="str">
            <v xml:space="preserve">Flood/Storm Damage Recovery </v>
          </cell>
          <cell r="D1014" t="str">
            <v>5030000</v>
          </cell>
        </row>
        <row r="1015">
          <cell r="B1015" t="str">
            <v>22271</v>
          </cell>
          <cell r="C1015" t="str">
            <v xml:space="preserve">Boardwalks/Viewing Platforms – Parks </v>
          </cell>
          <cell r="D1015" t="str">
            <v>5030000</v>
          </cell>
        </row>
        <row r="1016">
          <cell r="B1016" t="str">
            <v>22281</v>
          </cell>
          <cell r="C1016" t="str">
            <v xml:space="preserve">Boardwalks/Viewing Platforms – SCI </v>
          </cell>
          <cell r="D1016" t="str">
            <v>5030000</v>
          </cell>
        </row>
        <row r="1017">
          <cell r="B1017" t="str">
            <v>22291</v>
          </cell>
          <cell r="C1017" t="str">
            <v xml:space="preserve">Water Tower Lights </v>
          </cell>
          <cell r="D1017" t="str">
            <v>5030000</v>
          </cell>
        </row>
        <row r="1018">
          <cell r="B1018" t="str">
            <v>22301</v>
          </cell>
          <cell r="C1018" t="str">
            <v xml:space="preserve">Suburb Signs - RIP </v>
          </cell>
          <cell r="D1018" t="str">
            <v>5030000</v>
          </cell>
        </row>
        <row r="1019">
          <cell r="B1019" t="str">
            <v>30061</v>
          </cell>
          <cell r="C1019" t="str">
            <v xml:space="preserve">Road and Drainage Engineering </v>
          </cell>
          <cell r="D1019" t="str">
            <v>5030000</v>
          </cell>
        </row>
        <row r="1020">
          <cell r="B1020" t="str">
            <v>30071</v>
          </cell>
          <cell r="C1020" t="str">
            <v xml:space="preserve">Road and Drainage Asset Management </v>
          </cell>
          <cell r="D1020" t="str">
            <v>5030000</v>
          </cell>
        </row>
        <row r="1021">
          <cell r="B1021" t="str">
            <v>30072</v>
          </cell>
          <cell r="C1021" t="str">
            <v xml:space="preserve">EAMS </v>
          </cell>
          <cell r="D1021" t="str">
            <v>5030000</v>
          </cell>
        </row>
        <row r="1022">
          <cell r="B1022" t="str">
            <v>30081</v>
          </cell>
          <cell r="C1022" t="str">
            <v xml:space="preserve">Corridor Approvals </v>
          </cell>
          <cell r="D1022" t="str">
            <v>5030000</v>
          </cell>
        </row>
        <row r="1023">
          <cell r="B1023" t="str">
            <v>30941</v>
          </cell>
          <cell r="C1023" t="str">
            <v xml:space="preserve">Enterprise Asset Management Road Group Implementation </v>
          </cell>
          <cell r="D1023" t="str">
            <v>5030000</v>
          </cell>
        </row>
        <row r="1024">
          <cell r="B1024" t="str">
            <v>30161</v>
          </cell>
          <cell r="C1024" t="str">
            <v xml:space="preserve">FPM Policy / Administration </v>
          </cell>
          <cell r="D1024" t="str">
            <v>5030000</v>
          </cell>
        </row>
        <row r="1025">
          <cell r="B1025" t="str">
            <v>30162</v>
          </cell>
          <cell r="C1025" t="str">
            <v xml:space="preserve">Logan Plan 2025 </v>
          </cell>
          <cell r="D1025" t="str">
            <v>5030000</v>
          </cell>
        </row>
        <row r="1026">
          <cell r="B1026" t="str">
            <v>30181</v>
          </cell>
          <cell r="C1026" t="str">
            <v xml:space="preserve">RCE DICIP Projects </v>
          </cell>
          <cell r="D1026" t="str">
            <v>5030000</v>
          </cell>
        </row>
        <row r="1027">
          <cell r="B1027" t="str">
            <v>30191</v>
          </cell>
          <cell r="C1027" t="str">
            <v xml:space="preserve">Smart Cities Smart Technologies Grant </v>
          </cell>
          <cell r="D1027" t="str">
            <v>5030000</v>
          </cell>
        </row>
        <row r="1028">
          <cell r="B1028" t="str">
            <v>30221</v>
          </cell>
          <cell r="C1028" t="str">
            <v xml:space="preserve">Supply of Flood Data </v>
          </cell>
          <cell r="D1028" t="str">
            <v>5030000</v>
          </cell>
        </row>
        <row r="1029">
          <cell r="B1029" t="str">
            <v>30271</v>
          </cell>
          <cell r="C1029" t="str">
            <v xml:space="preserve">Counter Disaster Telemetry System </v>
          </cell>
          <cell r="D1029" t="str">
            <v>5030000</v>
          </cell>
        </row>
        <row r="1030">
          <cell r="B1030" t="str">
            <v>30291</v>
          </cell>
          <cell r="C1030" t="str">
            <v xml:space="preserve">QRA - Overland Flood study </v>
          </cell>
          <cell r="D1030" t="str">
            <v>5030000</v>
          </cell>
        </row>
        <row r="1031">
          <cell r="B1031" t="str">
            <v>30371</v>
          </cell>
          <cell r="C1031" t="str">
            <v xml:space="preserve">Water Sensitive Urban Design </v>
          </cell>
          <cell r="D1031" t="str">
            <v>5030000</v>
          </cell>
        </row>
        <row r="1032">
          <cell r="B1032" t="str">
            <v>20711</v>
          </cell>
          <cell r="C1032" t="str">
            <v xml:space="preserve">Branch Operations - Transport Operations </v>
          </cell>
          <cell r="D1032" t="str">
            <v>5050000</v>
          </cell>
        </row>
        <row r="1033">
          <cell r="B1033" t="str">
            <v>20731</v>
          </cell>
          <cell r="C1033" t="str">
            <v xml:space="preserve">Road Construction </v>
          </cell>
          <cell r="D1033" t="str">
            <v>5050000</v>
          </cell>
        </row>
        <row r="1034">
          <cell r="B1034" t="str">
            <v>20771</v>
          </cell>
          <cell r="C1034" t="str">
            <v xml:space="preserve">Quarries </v>
          </cell>
          <cell r="D1034" t="str">
            <v>5050000</v>
          </cell>
        </row>
        <row r="1035">
          <cell r="B1035" t="str">
            <v>20751</v>
          </cell>
          <cell r="C1035" t="str">
            <v xml:space="preserve">Roads Maintenance </v>
          </cell>
          <cell r="D1035" t="str">
            <v>5050000</v>
          </cell>
        </row>
        <row r="1036">
          <cell r="B1036" t="str">
            <v>20761</v>
          </cell>
          <cell r="C1036" t="str">
            <v xml:space="preserve">Private Works - Transport Operations </v>
          </cell>
          <cell r="D1036" t="str">
            <v>5050000</v>
          </cell>
        </row>
        <row r="1037">
          <cell r="B1037" t="str">
            <v>20791</v>
          </cell>
          <cell r="C1037" t="str">
            <v xml:space="preserve">Disaster Event </v>
          </cell>
          <cell r="D1037" t="str">
            <v>5050000</v>
          </cell>
        </row>
        <row r="1038">
          <cell r="B1038" t="str">
            <v>22121</v>
          </cell>
          <cell r="C1038" t="str">
            <v xml:space="preserve">Pathways (Networked) </v>
          </cell>
          <cell r="D1038" t="str">
            <v>5050000</v>
          </cell>
        </row>
        <row r="1039">
          <cell r="B1039" t="str">
            <v>22131</v>
          </cell>
          <cell r="C1039" t="str">
            <v xml:space="preserve">Boardwalks / Viewing Platforms </v>
          </cell>
          <cell r="D1039" t="str">
            <v>5050000</v>
          </cell>
        </row>
        <row r="1040">
          <cell r="B1040" t="str">
            <v>22141</v>
          </cell>
          <cell r="C1040" t="str">
            <v xml:space="preserve">Car parks and access roads </v>
          </cell>
          <cell r="D1040" t="str">
            <v>5050000</v>
          </cell>
        </row>
        <row r="1041">
          <cell r="B1041" t="str">
            <v>22151</v>
          </cell>
          <cell r="C1041" t="str">
            <v xml:space="preserve">Pedestrian Bridges – Superstructure / Substructure </v>
          </cell>
          <cell r="D1041" t="str">
            <v>5050000</v>
          </cell>
        </row>
        <row r="1042">
          <cell r="B1042" t="str">
            <v>22161</v>
          </cell>
          <cell r="C1042" t="str">
            <v xml:space="preserve">Pathways (Standalone) </v>
          </cell>
          <cell r="D1042" t="str">
            <v>5050000</v>
          </cell>
        </row>
        <row r="1043">
          <cell r="B1043" t="str">
            <v>22171</v>
          </cell>
          <cell r="C1043" t="str">
            <v xml:space="preserve">Hard Infrastructure </v>
          </cell>
          <cell r="D1043" t="str">
            <v>5050000</v>
          </cell>
        </row>
        <row r="1044">
          <cell r="B1044" t="str">
            <v>22181</v>
          </cell>
          <cell r="C1044" t="str">
            <v xml:space="preserve">Carparks and access roads </v>
          </cell>
          <cell r="D1044" t="str">
            <v>5050000</v>
          </cell>
        </row>
        <row r="1045">
          <cell r="B1045" t="str">
            <v>22191</v>
          </cell>
          <cell r="C1045" t="str">
            <v xml:space="preserve">Open Drains </v>
          </cell>
          <cell r="D1045" t="str">
            <v>5050000</v>
          </cell>
        </row>
        <row r="1046">
          <cell r="B1046" t="str">
            <v>22311</v>
          </cell>
          <cell r="C1046" t="str">
            <v xml:space="preserve">Suburb Signs - RCM </v>
          </cell>
          <cell r="D1046" t="str">
            <v>5050000</v>
          </cell>
        </row>
        <row r="1047">
          <cell r="B1047" t="str">
            <v>22321</v>
          </cell>
          <cell r="C1047" t="str">
            <v xml:space="preserve">Car parks and access roads </v>
          </cell>
          <cell r="D1047" t="str">
            <v>5050000</v>
          </cell>
        </row>
        <row r="1048">
          <cell r="B1048" t="str">
            <v>22331</v>
          </cell>
          <cell r="C1048" t="str">
            <v xml:space="preserve">Open drains </v>
          </cell>
          <cell r="D1048" t="str">
            <v>5050000</v>
          </cell>
        </row>
        <row r="1049">
          <cell r="B1049" t="str">
            <v>22341</v>
          </cell>
          <cell r="C1049" t="str">
            <v xml:space="preserve">Banner Poles </v>
          </cell>
          <cell r="D1049" t="str">
            <v>5050000</v>
          </cell>
        </row>
        <row r="1050">
          <cell r="B1050" t="str">
            <v>13416</v>
          </cell>
          <cell r="C1050" t="str">
            <v xml:space="preserve">Planning and Business Services </v>
          </cell>
          <cell r="D1050" t="str">
            <v>5050000</v>
          </cell>
        </row>
        <row r="1051">
          <cell r="B1051" t="str">
            <v>30001</v>
          </cell>
          <cell r="C1051" t="str">
            <v xml:space="preserve">Transport Delivery Branch Management </v>
          </cell>
          <cell r="D1051" t="str">
            <v>5060000</v>
          </cell>
        </row>
        <row r="1052">
          <cell r="B1052" t="str">
            <v>22201</v>
          </cell>
          <cell r="C1052" t="str">
            <v xml:space="preserve">Pathways (Networked) </v>
          </cell>
          <cell r="D1052" t="str">
            <v>5060000</v>
          </cell>
        </row>
        <row r="1053">
          <cell r="B1053" t="str">
            <v>22211</v>
          </cell>
          <cell r="C1053" t="str">
            <v xml:space="preserve">Car parks and access roads </v>
          </cell>
          <cell r="D1053" t="str">
            <v>5060000</v>
          </cell>
        </row>
        <row r="1054">
          <cell r="B1054" t="str">
            <v>22221</v>
          </cell>
          <cell r="C1054" t="str">
            <v xml:space="preserve">Pedestrian Bridges – Superstructure / Substructure </v>
          </cell>
          <cell r="D1054" t="str">
            <v>5060000</v>
          </cell>
        </row>
        <row r="1055">
          <cell r="B1055" t="str">
            <v>22231</v>
          </cell>
          <cell r="C1055" t="str">
            <v xml:space="preserve">Pathways (Standalone) </v>
          </cell>
          <cell r="D1055" t="str">
            <v>5060000</v>
          </cell>
        </row>
        <row r="1056">
          <cell r="B1056" t="str">
            <v>22241</v>
          </cell>
          <cell r="C1056" t="str">
            <v xml:space="preserve">Hard Infrastructure </v>
          </cell>
          <cell r="D1056" t="str">
            <v>5060000</v>
          </cell>
        </row>
        <row r="1057">
          <cell r="B1057" t="str">
            <v>22251</v>
          </cell>
          <cell r="C1057" t="str">
            <v xml:space="preserve">Carparks and access roads </v>
          </cell>
          <cell r="D1057" t="str">
            <v>5060000</v>
          </cell>
        </row>
        <row r="1058">
          <cell r="B1058" t="str">
            <v>22261</v>
          </cell>
          <cell r="C1058" t="str">
            <v xml:space="preserve">Open Drains </v>
          </cell>
          <cell r="D1058" t="str">
            <v>5060000</v>
          </cell>
        </row>
        <row r="1059">
          <cell r="B1059" t="str">
            <v>30021</v>
          </cell>
          <cell r="C1059" t="str">
            <v xml:space="preserve">Quality Assurance </v>
          </cell>
          <cell r="D1059" t="str">
            <v>5060000</v>
          </cell>
        </row>
        <row r="1060">
          <cell r="B1060" t="str">
            <v>30031</v>
          </cell>
          <cell r="C1060" t="str">
            <v xml:space="preserve">Engineering Cadet Program </v>
          </cell>
          <cell r="D1060" t="str">
            <v>5060000</v>
          </cell>
        </row>
        <row r="1061">
          <cell r="B1061" t="str">
            <v>30111</v>
          </cell>
          <cell r="C1061" t="str">
            <v xml:space="preserve">Roadworks </v>
          </cell>
          <cell r="D1061" t="str">
            <v>5060000</v>
          </cell>
        </row>
        <row r="1062">
          <cell r="B1062" t="str">
            <v>30121</v>
          </cell>
          <cell r="C1062" t="str">
            <v xml:space="preserve">Expensing of Capital Roadworks Projects </v>
          </cell>
          <cell r="D1062" t="str">
            <v>5060000</v>
          </cell>
        </row>
        <row r="1063">
          <cell r="B1063" t="str">
            <v>30131</v>
          </cell>
          <cell r="C1063" t="str">
            <v xml:space="preserve">Infrastructure Rehabilitation </v>
          </cell>
          <cell r="D1063" t="str">
            <v>5060000</v>
          </cell>
        </row>
        <row r="1064">
          <cell r="B1064" t="str">
            <v>30151</v>
          </cell>
          <cell r="C1064" t="str">
            <v xml:space="preserve">Programming </v>
          </cell>
          <cell r="D1064" t="str">
            <v>5060000</v>
          </cell>
        </row>
        <row r="1065">
          <cell r="B1065" t="str">
            <v>30411</v>
          </cell>
          <cell r="C1065" t="str">
            <v xml:space="preserve">Roads Greater Flagstone PDA </v>
          </cell>
          <cell r="D1065" t="str">
            <v>5060000</v>
          </cell>
        </row>
        <row r="1066">
          <cell r="B1066" t="str">
            <v>30421</v>
          </cell>
          <cell r="C1066" t="str">
            <v xml:space="preserve">Roads Yarrabilba PDA </v>
          </cell>
          <cell r="D1066" t="str">
            <v>5060000</v>
          </cell>
        </row>
        <row r="1067">
          <cell r="B1067" t="str">
            <v>30431</v>
          </cell>
          <cell r="C1067" t="str">
            <v xml:space="preserve">Roads LGIP Stormwater </v>
          </cell>
          <cell r="D1067" t="str">
            <v>5060000</v>
          </cell>
        </row>
        <row r="1068">
          <cell r="B1068" t="str">
            <v>30441</v>
          </cell>
          <cell r="C1068" t="str">
            <v xml:space="preserve">Roads LGIP Transport </v>
          </cell>
          <cell r="D1068" t="str">
            <v>5060000</v>
          </cell>
        </row>
        <row r="1069">
          <cell r="B1069" t="str">
            <v>19521</v>
          </cell>
          <cell r="C1069" t="str">
            <v xml:space="preserve">Survey Services </v>
          </cell>
          <cell r="D1069" t="str">
            <v>5060000</v>
          </cell>
        </row>
        <row r="1070">
          <cell r="B1070" t="str">
            <v>19531</v>
          </cell>
          <cell r="C1070" t="str">
            <v xml:space="preserve">Digital Orthophotography </v>
          </cell>
          <cell r="D1070" t="str">
            <v>5060000</v>
          </cell>
        </row>
        <row r="1071">
          <cell r="B1071" t="str">
            <v>19541</v>
          </cell>
          <cell r="C1071" t="str">
            <v xml:space="preserve">Survey Projects </v>
          </cell>
          <cell r="D1071" t="str">
            <v>5060000</v>
          </cell>
        </row>
        <row r="1072">
          <cell r="B1072" t="str">
            <v>19561</v>
          </cell>
          <cell r="C1072" t="str">
            <v xml:space="preserve">Design Services </v>
          </cell>
          <cell r="D1072" t="str">
            <v>5060000</v>
          </cell>
        </row>
        <row r="1073">
          <cell r="B1073" t="str">
            <v>19591</v>
          </cell>
          <cell r="C1073" t="str">
            <v xml:space="preserve">Drafting </v>
          </cell>
          <cell r="D1073" t="str">
            <v>5060000</v>
          </cell>
        </row>
        <row r="1074">
          <cell r="B1074" t="str">
            <v>30051</v>
          </cell>
          <cell r="C1074" t="str">
            <v xml:space="preserve">TD Contracts </v>
          </cell>
          <cell r="D1074" t="str">
            <v>5060000</v>
          </cell>
        </row>
        <row r="1075">
          <cell r="B1075" t="str">
            <v>13111</v>
          </cell>
          <cell r="C1075" t="str">
            <v xml:space="preserve">City Fleet Branch Management </v>
          </cell>
          <cell r="D1075" t="str">
            <v>5090000</v>
          </cell>
        </row>
        <row r="1076">
          <cell r="B1076" t="str">
            <v>13051</v>
          </cell>
          <cell r="C1076" t="str">
            <v xml:space="preserve">Workshop - Servicing </v>
          </cell>
          <cell r="D1076" t="str">
            <v>5090000</v>
          </cell>
        </row>
        <row r="1077">
          <cell r="B1077" t="str">
            <v>13081</v>
          </cell>
          <cell r="C1077" t="str">
            <v xml:space="preserve">Recoverable Works - Workshop </v>
          </cell>
          <cell r="D1077" t="str">
            <v>5090000</v>
          </cell>
        </row>
        <row r="1078">
          <cell r="B1078" t="str">
            <v>13101</v>
          </cell>
          <cell r="C1078" t="str">
            <v xml:space="preserve">Workshop - Repairs </v>
          </cell>
          <cell r="D1078" t="str">
            <v>5090000</v>
          </cell>
        </row>
        <row r="1079">
          <cell r="B1079" t="str">
            <v>13121</v>
          </cell>
          <cell r="C1079" t="str">
            <v xml:space="preserve">Recoverable Works - Supplied Externally </v>
          </cell>
          <cell r="D1079" t="str">
            <v>5090000</v>
          </cell>
        </row>
        <row r="1080">
          <cell r="B1080" t="str">
            <v>13131</v>
          </cell>
          <cell r="C1080" t="str">
            <v xml:space="preserve">Recoverable Works - Supplied Internally </v>
          </cell>
          <cell r="D1080" t="str">
            <v>5090000</v>
          </cell>
        </row>
        <row r="1081">
          <cell r="B1081" t="str">
            <v>13151</v>
          </cell>
          <cell r="C1081" t="str">
            <v xml:space="preserve">Recyclables </v>
          </cell>
          <cell r="D1081" t="str">
            <v>5090000</v>
          </cell>
        </row>
        <row r="1082">
          <cell r="B1082" t="str">
            <v>11041</v>
          </cell>
          <cell r="C1082" t="str">
            <v xml:space="preserve">CF Carpool Operations </v>
          </cell>
          <cell r="D1082" t="str">
            <v>5090000</v>
          </cell>
        </row>
        <row r="1083">
          <cell r="B1083" t="str">
            <v>13001</v>
          </cell>
          <cell r="C1083" t="str">
            <v xml:space="preserve">Operations - Fleet Management </v>
          </cell>
          <cell r="D1083" t="str">
            <v>5090000</v>
          </cell>
        </row>
        <row r="1084">
          <cell r="B1084" t="str">
            <v>13141</v>
          </cell>
          <cell r="C1084" t="str">
            <v xml:space="preserve">Operations - Hire </v>
          </cell>
          <cell r="D1084" t="str">
            <v>5090000</v>
          </cell>
        </row>
        <row r="1085">
          <cell r="B1085" t="str">
            <v>20841</v>
          </cell>
          <cell r="C1085" t="str">
            <v xml:space="preserve">Green Fleet Strategy </v>
          </cell>
          <cell r="D1085" t="str">
            <v>5090000</v>
          </cell>
        </row>
        <row r="1086">
          <cell r="B1086" t="str">
            <v>10141</v>
          </cell>
          <cell r="C1086" t="str">
            <v xml:space="preserve">People and Engagement Directorate </v>
          </cell>
          <cell r="D1086" t="str">
            <v>8010000</v>
          </cell>
        </row>
        <row r="1087">
          <cell r="B1087" t="str">
            <v>10502</v>
          </cell>
          <cell r="C1087" t="str">
            <v xml:space="preserve">New Foundations Project </v>
          </cell>
          <cell r="D1087" t="str">
            <v>8010000</v>
          </cell>
        </row>
        <row r="1088">
          <cell r="B1088" t="str">
            <v>12501</v>
          </cell>
          <cell r="C1088" t="str">
            <v xml:space="preserve">People &amp; Culture Branch Management </v>
          </cell>
          <cell r="D1088" t="str">
            <v>8020000</v>
          </cell>
        </row>
        <row r="1089">
          <cell r="B1089" t="str">
            <v>12512</v>
          </cell>
          <cell r="C1089" t="str">
            <v xml:space="preserve">Refugee Work Experience </v>
          </cell>
          <cell r="D1089" t="str">
            <v>8020000</v>
          </cell>
        </row>
        <row r="1090">
          <cell r="B1090" t="str">
            <v>12761</v>
          </cell>
          <cell r="C1090" t="str">
            <v xml:space="preserve">LCC Wellness Strategy </v>
          </cell>
          <cell r="D1090" t="str">
            <v>8020000</v>
          </cell>
        </row>
        <row r="1091">
          <cell r="B1091" t="str">
            <v>12511</v>
          </cell>
          <cell r="C1091" t="str">
            <v xml:space="preserve">Human Resource Business Partner </v>
          </cell>
          <cell r="D1091" t="str">
            <v>8020000</v>
          </cell>
        </row>
        <row r="1092">
          <cell r="B1092" t="str">
            <v>12621</v>
          </cell>
          <cell r="C1092" t="str">
            <v xml:space="preserve">Legal &amp; Assessment Services/Employment Assistance </v>
          </cell>
          <cell r="D1092" t="str">
            <v>8020000</v>
          </cell>
        </row>
        <row r="1093">
          <cell r="B1093" t="str">
            <v>12631</v>
          </cell>
          <cell r="C1093" t="str">
            <v xml:space="preserve">Employee Relations </v>
          </cell>
          <cell r="D1093" t="str">
            <v>8020000</v>
          </cell>
        </row>
        <row r="1094">
          <cell r="B1094" t="str">
            <v>12641</v>
          </cell>
          <cell r="C1094" t="str">
            <v xml:space="preserve">Employee System Services / PID </v>
          </cell>
          <cell r="D1094" t="str">
            <v>8020000</v>
          </cell>
        </row>
        <row r="1095">
          <cell r="B1095" t="str">
            <v>12721</v>
          </cell>
          <cell r="C1095" t="str">
            <v xml:space="preserve">Youth Expo </v>
          </cell>
          <cell r="D1095" t="str">
            <v>8020000</v>
          </cell>
        </row>
        <row r="1096">
          <cell r="B1096" t="str">
            <v>12751</v>
          </cell>
          <cell r="C1096" t="str">
            <v xml:space="preserve">Human Resource Information Systems (HRIS) </v>
          </cell>
          <cell r="D1096" t="str">
            <v>8020000</v>
          </cell>
        </row>
        <row r="1097">
          <cell r="B1097" t="str">
            <v>12782</v>
          </cell>
          <cell r="C1097" t="str">
            <v xml:space="preserve">Talent Acquisition </v>
          </cell>
          <cell r="D1097" t="str">
            <v>8020000</v>
          </cell>
        </row>
        <row r="1098">
          <cell r="B1098" t="str">
            <v>12571</v>
          </cell>
          <cell r="C1098" t="str">
            <v xml:space="preserve">Team Top Health </v>
          </cell>
          <cell r="D1098" t="str">
            <v>8020000</v>
          </cell>
        </row>
        <row r="1099">
          <cell r="B1099" t="str">
            <v>12651</v>
          </cell>
          <cell r="C1099" t="str">
            <v xml:space="preserve">Health, Safety and Wellbeing </v>
          </cell>
          <cell r="D1099" t="str">
            <v>8020000</v>
          </cell>
        </row>
        <row r="1100">
          <cell r="B1100" t="str">
            <v>12661</v>
          </cell>
          <cell r="C1100" t="str">
            <v xml:space="preserve">Workers' Compensation &amp; First Aid </v>
          </cell>
          <cell r="D1100" t="str">
            <v>8020000</v>
          </cell>
        </row>
        <row r="1101">
          <cell r="B1101" t="str">
            <v>12771</v>
          </cell>
          <cell r="C1101" t="str">
            <v xml:space="preserve">People Plan Projects Health &amp; Safety </v>
          </cell>
          <cell r="D1101" t="str">
            <v>8020000</v>
          </cell>
        </row>
        <row r="1102">
          <cell r="B1102" t="str">
            <v>10511</v>
          </cell>
          <cell r="C1102" t="str">
            <v xml:space="preserve">Employee Excellence Awards </v>
          </cell>
          <cell r="D1102" t="str">
            <v>8020000</v>
          </cell>
        </row>
        <row r="1103">
          <cell r="B1103" t="str">
            <v>12521</v>
          </cell>
          <cell r="C1103" t="str">
            <v xml:space="preserve">Trainees - Youth Traineeship Program </v>
          </cell>
          <cell r="D1103" t="str">
            <v>8020000</v>
          </cell>
        </row>
        <row r="1104">
          <cell r="B1104" t="str">
            <v>12531</v>
          </cell>
          <cell r="C1104" t="str">
            <v xml:space="preserve">School-based Trainees </v>
          </cell>
          <cell r="D1104" t="str">
            <v>8020000</v>
          </cell>
        </row>
        <row r="1105">
          <cell r="B1105" t="str">
            <v>12541</v>
          </cell>
          <cell r="C1105" t="str">
            <v xml:space="preserve">Organisational Development </v>
          </cell>
          <cell r="D1105" t="str">
            <v>8020000</v>
          </cell>
        </row>
        <row r="1106">
          <cell r="B1106" t="str">
            <v>12552</v>
          </cell>
          <cell r="C1106" t="str">
            <v xml:space="preserve">People Plan Projects Organisational Development </v>
          </cell>
          <cell r="D1106" t="str">
            <v>8020000</v>
          </cell>
        </row>
        <row r="1107">
          <cell r="B1107" t="str">
            <v>12561</v>
          </cell>
          <cell r="C1107" t="str">
            <v xml:space="preserve">Leadership &amp; Culture (Values) </v>
          </cell>
          <cell r="D1107" t="str">
            <v>8020000</v>
          </cell>
        </row>
        <row r="1108">
          <cell r="B1108" t="str">
            <v>12581</v>
          </cell>
          <cell r="C1108" t="str">
            <v xml:space="preserve">Values &amp; Excellence </v>
          </cell>
          <cell r="D1108" t="str">
            <v>8020000</v>
          </cell>
        </row>
        <row r="1109">
          <cell r="B1109" t="str">
            <v>12591</v>
          </cell>
          <cell r="C1109" t="str">
            <v xml:space="preserve">Values &amp; Integrity </v>
          </cell>
          <cell r="D1109" t="str">
            <v>8020000</v>
          </cell>
        </row>
        <row r="1110">
          <cell r="B1110" t="str">
            <v>12601</v>
          </cell>
          <cell r="C1110" t="str">
            <v xml:space="preserve">Our People </v>
          </cell>
          <cell r="D1110" t="str">
            <v>8020000</v>
          </cell>
        </row>
        <row r="1111">
          <cell r="B1111" t="str">
            <v>12611</v>
          </cell>
          <cell r="C1111" t="str">
            <v xml:space="preserve">Leadership Development Program </v>
          </cell>
          <cell r="D1111" t="str">
            <v>8020000</v>
          </cell>
        </row>
        <row r="1112">
          <cell r="B1112" t="str">
            <v>12681</v>
          </cell>
          <cell r="C1112" t="str">
            <v xml:space="preserve">LGMA Qld Propeller Program </v>
          </cell>
          <cell r="D1112" t="str">
            <v>8020000</v>
          </cell>
        </row>
        <row r="1113">
          <cell r="B1113" t="str">
            <v>12691</v>
          </cell>
          <cell r="C1113" t="str">
            <v xml:space="preserve">Our People </v>
          </cell>
          <cell r="D1113" t="str">
            <v>8020000</v>
          </cell>
        </row>
        <row r="1114">
          <cell r="B1114" t="str">
            <v>12701</v>
          </cell>
          <cell r="C1114" t="str">
            <v xml:space="preserve">Excellence </v>
          </cell>
          <cell r="D1114" t="str">
            <v>8020000</v>
          </cell>
        </row>
        <row r="1115">
          <cell r="B1115" t="str">
            <v>12711</v>
          </cell>
          <cell r="C1115" t="str">
            <v xml:space="preserve">Integrity </v>
          </cell>
          <cell r="D1115" t="str">
            <v>8020000</v>
          </cell>
        </row>
        <row r="1116">
          <cell r="B1116" t="str">
            <v>17501</v>
          </cell>
          <cell r="C1116" t="str">
            <v xml:space="preserve">CC Administration and Management </v>
          </cell>
          <cell r="D1116" t="str">
            <v>8040000</v>
          </cell>
        </row>
        <row r="1117">
          <cell r="B1117" t="str">
            <v>17601</v>
          </cell>
          <cell r="C1117" t="str">
            <v xml:space="preserve">CC Media Management </v>
          </cell>
          <cell r="D1117" t="str">
            <v>8040000</v>
          </cell>
        </row>
        <row r="1118">
          <cell r="B1118" t="str">
            <v>16661</v>
          </cell>
          <cell r="C1118" t="str">
            <v xml:space="preserve">CC Outdoor Brand and Marketing Assets </v>
          </cell>
          <cell r="D1118" t="str">
            <v>8040000</v>
          </cell>
        </row>
        <row r="1119">
          <cell r="B1119" t="str">
            <v>17531</v>
          </cell>
          <cell r="C1119" t="str">
            <v xml:space="preserve">CC Marketing </v>
          </cell>
          <cell r="D1119" t="str">
            <v>8040000</v>
          </cell>
        </row>
        <row r="1120">
          <cell r="B1120" t="str">
            <v>17591</v>
          </cell>
          <cell r="C1120" t="str">
            <v xml:space="preserve">CC City Image </v>
          </cell>
          <cell r="D1120" t="str">
            <v>8040000</v>
          </cell>
        </row>
        <row r="1121">
          <cell r="B1121" t="str">
            <v>17661</v>
          </cell>
          <cell r="C1121" t="str">
            <v xml:space="preserve">CC Graphic Design </v>
          </cell>
          <cell r="D1121" t="str">
            <v>8040000</v>
          </cell>
        </row>
        <row r="1122">
          <cell r="B1122" t="str">
            <v>L0061</v>
          </cell>
          <cell r="C1122" t="str">
            <v xml:space="preserve">CC Christmas Streetscapes </v>
          </cell>
          <cell r="D1122" t="str">
            <v>8040000</v>
          </cell>
        </row>
        <row r="1123">
          <cell r="B1123" t="str">
            <v>L2001</v>
          </cell>
          <cell r="C1123" t="str">
            <v xml:space="preserve">CC Wembley Rd Billboard </v>
          </cell>
          <cell r="D1123" t="str">
            <v>8040000</v>
          </cell>
        </row>
        <row r="1124">
          <cell r="B1124" t="str">
            <v>L2002</v>
          </cell>
          <cell r="C1124" t="str">
            <v xml:space="preserve">CC Welcome to Logan Sign </v>
          </cell>
          <cell r="D1124" t="str">
            <v>8040000</v>
          </cell>
        </row>
        <row r="1125">
          <cell r="B1125" t="str">
            <v>L2003</v>
          </cell>
          <cell r="C1125" t="str">
            <v xml:space="preserve">CC Suburb Signage </v>
          </cell>
          <cell r="D1125" t="str">
            <v>8040000</v>
          </cell>
        </row>
        <row r="1126">
          <cell r="B1126" t="str">
            <v>17561</v>
          </cell>
          <cell r="C1126" t="str">
            <v xml:space="preserve">CC Community Engagement </v>
          </cell>
          <cell r="D1126" t="str">
            <v>8040000</v>
          </cell>
        </row>
        <row r="1127">
          <cell r="B1127" t="str">
            <v>17511</v>
          </cell>
          <cell r="C1127" t="str">
            <v xml:space="preserve">CC Media </v>
          </cell>
          <cell r="D1127" t="str">
            <v>8040000</v>
          </cell>
        </row>
        <row r="1128">
          <cell r="B1128" t="str">
            <v>17651</v>
          </cell>
          <cell r="C1128" t="str">
            <v xml:space="preserve">CC Our Logan </v>
          </cell>
          <cell r="D1128" t="str">
            <v>8040000</v>
          </cell>
        </row>
        <row r="1129">
          <cell r="B1129" t="str">
            <v>18201</v>
          </cell>
          <cell r="C1129" t="str">
            <v xml:space="preserve">CSI  Administration &amp; Management </v>
          </cell>
          <cell r="D1129" t="str">
            <v>8050000</v>
          </cell>
        </row>
        <row r="1130">
          <cell r="B1130" t="str">
            <v>18211</v>
          </cell>
          <cell r="C1130" t="str">
            <v xml:space="preserve">CSI Customer Service Operations </v>
          </cell>
          <cell r="D1130" t="str">
            <v>8050000</v>
          </cell>
        </row>
        <row r="1131">
          <cell r="B1131" t="str">
            <v>18212</v>
          </cell>
          <cell r="C1131" t="str">
            <v xml:space="preserve">CSI Customer Centricity </v>
          </cell>
          <cell r="D1131" t="str">
            <v>8050000</v>
          </cell>
        </row>
        <row r="1132">
          <cell r="B1132" t="str">
            <v>18251</v>
          </cell>
          <cell r="C1132" t="str">
            <v xml:space="preserve">CSI Customer Service Water </v>
          </cell>
          <cell r="D1132" t="str">
            <v>8050000</v>
          </cell>
        </row>
        <row r="1133">
          <cell r="B1133" t="str">
            <v>11141</v>
          </cell>
          <cell r="C1133" t="str">
            <v xml:space="preserve">CSI Records Management </v>
          </cell>
          <cell r="D1133" t="str">
            <v>8050000</v>
          </cell>
        </row>
        <row r="1134">
          <cell r="B1134" t="str">
            <v>11151</v>
          </cell>
          <cell r="C1134" t="str">
            <v xml:space="preserve">CSI Printroom </v>
          </cell>
          <cell r="D1134" t="str">
            <v>8050000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DF7F-7ABF-4DD7-83EC-35F778EAF4F9}">
  <dimension ref="A1:L332"/>
  <sheetViews>
    <sheetView tabSelected="1" topLeftCell="C1" zoomScaleNormal="100" workbookViewId="0">
      <pane ySplit="2" topLeftCell="A3" activePane="bottomLeft" state="frozen"/>
      <selection activeCell="C166" sqref="C166"/>
      <selection pane="bottomLeft" activeCell="N3" sqref="N3"/>
    </sheetView>
  </sheetViews>
  <sheetFormatPr defaultColWidth="9.1796875" defaultRowHeight="14.5" x14ac:dyDescent="0.25"/>
  <cols>
    <col min="1" max="1" width="18" style="31" customWidth="1"/>
    <col min="2" max="2" width="34.54296875" style="31" customWidth="1"/>
    <col min="3" max="3" width="8.81640625" style="31" customWidth="1"/>
    <col min="4" max="4" width="10.81640625" style="32" customWidth="1"/>
    <col min="5" max="5" width="17.54296875" style="31" bestFit="1" customWidth="1"/>
    <col min="6" max="6" width="13.81640625" style="32" customWidth="1"/>
    <col min="7" max="7" width="19.453125" style="33" customWidth="1"/>
    <col min="8" max="8" width="18" style="8" customWidth="1"/>
    <col min="9" max="9" width="32.26953125" style="8" bestFit="1" customWidth="1"/>
    <col min="10" max="10" width="33.90625" style="8" customWidth="1"/>
    <col min="11" max="11" width="42.1796875" style="8" customWidth="1"/>
    <col min="12" max="12" width="16.81640625" style="31" customWidth="1"/>
    <col min="13" max="13" width="12" style="8" bestFit="1" customWidth="1"/>
    <col min="14" max="14" width="9.1796875" style="8"/>
    <col min="15" max="16" width="11.26953125" style="8" bestFit="1" customWidth="1"/>
    <col min="17" max="16384" width="9.1796875" style="8"/>
  </cols>
  <sheetData>
    <row r="1" spans="1:12" ht="23.5" x14ac:dyDescent="0.25">
      <c r="A1" s="1" t="s">
        <v>619</v>
      </c>
      <c r="B1" s="2"/>
      <c r="C1" s="3"/>
      <c r="D1" s="4"/>
      <c r="E1" s="3"/>
      <c r="F1" s="4"/>
      <c r="G1" s="5">
        <f>SUBTOTAL(9,G3:G332)</f>
        <v>266100.67</v>
      </c>
      <c r="H1" s="6"/>
      <c r="I1" s="2"/>
      <c r="J1" s="2"/>
      <c r="K1" s="2"/>
      <c r="L1" s="7"/>
    </row>
    <row r="2" spans="1:12" s="15" customFormat="1" ht="50.15" customHeight="1" x14ac:dyDescent="0.25">
      <c r="A2" s="9" t="s">
        <v>620</v>
      </c>
      <c r="B2" s="10" t="s">
        <v>621</v>
      </c>
      <c r="C2" s="10" t="s">
        <v>170</v>
      </c>
      <c r="D2" s="11" t="s">
        <v>171</v>
      </c>
      <c r="E2" s="12" t="s">
        <v>172</v>
      </c>
      <c r="F2" s="11" t="s">
        <v>173</v>
      </c>
      <c r="G2" s="13" t="s">
        <v>0</v>
      </c>
      <c r="H2" s="14" t="s">
        <v>174</v>
      </c>
      <c r="I2" s="14" t="s">
        <v>175</v>
      </c>
      <c r="J2" s="14" t="s">
        <v>176</v>
      </c>
      <c r="K2" s="14" t="s">
        <v>177</v>
      </c>
      <c r="L2" s="9" t="s">
        <v>178</v>
      </c>
    </row>
    <row r="3" spans="1:12" x14ac:dyDescent="0.25">
      <c r="A3" s="17" t="str">
        <f>IF(D3="PS","Logan Water",IF(D3="WS","Logan Water",IF(D3="MV","4060000",IF(D3="R","5050000",IF(D3="PK","4090000",IF(D3="CM","Claims Management",IF(D3="E","5060000",VLOOKUP(MID(E3,3,5),'[1]List Data'!$B$1:$D$1134,3,FALSE))))))))</f>
        <v>1030000</v>
      </c>
      <c r="B3" s="18" t="s">
        <v>624</v>
      </c>
      <c r="C3" s="19">
        <v>46023</v>
      </c>
      <c r="D3" s="16" t="s">
        <v>1</v>
      </c>
      <c r="E3" s="18" t="s">
        <v>3</v>
      </c>
      <c r="F3" s="16">
        <v>1</v>
      </c>
      <c r="G3" s="20">
        <v>329</v>
      </c>
      <c r="H3" s="18" t="s">
        <v>179</v>
      </c>
      <c r="I3" s="18" t="s">
        <v>180</v>
      </c>
      <c r="J3" s="18" t="s">
        <v>4</v>
      </c>
      <c r="K3" s="18"/>
      <c r="L3" s="21">
        <v>46054</v>
      </c>
    </row>
    <row r="4" spans="1:12" x14ac:dyDescent="0.25">
      <c r="A4" s="17" t="str">
        <f>IF(D4="PS","Logan Water",IF(D4="WS","Logan Water",IF(D4="MV","4060000",IF(D4="R","5050000",IF(D4="PK","4090000",IF(D4="CM","Claims Management",IF(D4="E","5060000",VLOOKUP(MID(E4,3,5),'[1]List Data'!$B$1:$D$1134,3,FALSE))))))))</f>
        <v>1030000</v>
      </c>
      <c r="B4" s="18" t="s">
        <v>624</v>
      </c>
      <c r="C4" s="19">
        <v>46023</v>
      </c>
      <c r="D4" s="16" t="s">
        <v>1</v>
      </c>
      <c r="E4" s="18" t="s">
        <v>5</v>
      </c>
      <c r="F4" s="16">
        <v>1</v>
      </c>
      <c r="G4" s="20">
        <v>219</v>
      </c>
      <c r="H4" s="18" t="s">
        <v>181</v>
      </c>
      <c r="I4" s="18" t="s">
        <v>182</v>
      </c>
      <c r="J4" s="18" t="s">
        <v>6</v>
      </c>
      <c r="K4" s="18"/>
      <c r="L4" s="21">
        <v>46054</v>
      </c>
    </row>
    <row r="5" spans="1:12" x14ac:dyDescent="0.25">
      <c r="A5" s="17" t="str">
        <f>IF(D5="PS","Logan Water",IF(D5="WS","Logan Water",IF(D5="MV","4060000",IF(D5="R","5050000",IF(D5="PK","4090000",IF(D5="CM","Claims Management",IF(D5="E","5060000",VLOOKUP(MID(E5,3,5),'[1]List Data'!$B$1:$D$1134,3,FALSE))))))))</f>
        <v>1030000</v>
      </c>
      <c r="B5" s="18" t="s">
        <v>624</v>
      </c>
      <c r="C5" s="19">
        <v>46023</v>
      </c>
      <c r="D5" s="16" t="s">
        <v>1</v>
      </c>
      <c r="E5" s="18" t="s">
        <v>5</v>
      </c>
      <c r="F5" s="16">
        <v>1</v>
      </c>
      <c r="G5" s="20">
        <v>429</v>
      </c>
      <c r="H5" s="18" t="s">
        <v>181</v>
      </c>
      <c r="I5" s="18" t="s">
        <v>182</v>
      </c>
      <c r="J5" s="18" t="s">
        <v>7</v>
      </c>
      <c r="K5" s="18"/>
      <c r="L5" s="21">
        <v>46054</v>
      </c>
    </row>
    <row r="6" spans="1:12" x14ac:dyDescent="0.25">
      <c r="A6" s="17" t="str">
        <f>IF(D6="PS","Logan Water",IF(D6="WS","Logan Water",IF(D6="MV","4060000",IF(D6="R","5050000",IF(D6="PK","4090000",IF(D6="CM","Claims Management",IF(D6="E","5060000",VLOOKUP(MID(E6,3,5),'[1]List Data'!$B$1:$D$1134,3,FALSE))))))))</f>
        <v>1030000</v>
      </c>
      <c r="B6" s="22" t="s">
        <v>624</v>
      </c>
      <c r="C6" s="19">
        <v>46054</v>
      </c>
      <c r="D6" s="23" t="s">
        <v>1</v>
      </c>
      <c r="E6" s="24" t="s">
        <v>8</v>
      </c>
      <c r="F6" s="23">
        <v>1</v>
      </c>
      <c r="G6" s="25">
        <v>195</v>
      </c>
      <c r="H6" s="24" t="s">
        <v>183</v>
      </c>
      <c r="I6" s="24" t="s">
        <v>184</v>
      </c>
      <c r="J6" s="18" t="s">
        <v>9</v>
      </c>
      <c r="K6" s="18"/>
      <c r="L6" s="21">
        <v>46054</v>
      </c>
    </row>
    <row r="7" spans="1:12" x14ac:dyDescent="0.25">
      <c r="A7" s="17" t="str">
        <f>IF(D7="PS","Logan Water",IF(D7="WS","Logan Water",IF(D7="MV","4060000",IF(D7="R","5050000",IF(D7="PK","4090000",IF(D7="CM","Claims Management",IF(D7="E","5060000",VLOOKUP(MID(E7,3,5),'[1]List Data'!$B$1:$D$1134,3,FALSE))))))))</f>
        <v>1030000</v>
      </c>
      <c r="B7" s="18" t="s">
        <v>622</v>
      </c>
      <c r="C7" s="19">
        <v>46054</v>
      </c>
      <c r="D7" s="16" t="s">
        <v>1</v>
      </c>
      <c r="E7" s="18" t="s">
        <v>10</v>
      </c>
      <c r="F7" s="16">
        <v>1</v>
      </c>
      <c r="G7" s="26">
        <v>410</v>
      </c>
      <c r="H7" s="18" t="s">
        <v>185</v>
      </c>
      <c r="I7" s="18" t="s">
        <v>182</v>
      </c>
      <c r="J7" s="18" t="s">
        <v>11</v>
      </c>
      <c r="K7" s="18"/>
      <c r="L7" s="21">
        <v>46054</v>
      </c>
    </row>
    <row r="8" spans="1:12" x14ac:dyDescent="0.25">
      <c r="A8" s="17" t="str">
        <f>IF(D8="PS","Logan Water",IF(D8="WS","Logan Water",IF(D8="MV","4060000",IF(D8="R","5050000",IF(D8="PK","4090000",IF(D8="CM","Claims Management",IF(D8="E","5060000",VLOOKUP(MID(E8,3,5),'[1]List Data'!$B$1:$D$1134,3,FALSE))))))))</f>
        <v>2020000</v>
      </c>
      <c r="B8" s="18" t="s">
        <v>622</v>
      </c>
      <c r="C8" s="19">
        <v>46054</v>
      </c>
      <c r="D8" s="16" t="s">
        <v>1</v>
      </c>
      <c r="E8" s="18" t="s">
        <v>12</v>
      </c>
      <c r="F8" s="16">
        <v>1</v>
      </c>
      <c r="G8" s="26">
        <v>320</v>
      </c>
      <c r="H8" s="18" t="s">
        <v>186</v>
      </c>
      <c r="I8" s="18" t="s">
        <v>187</v>
      </c>
      <c r="J8" s="18" t="s">
        <v>13</v>
      </c>
      <c r="K8" s="18"/>
      <c r="L8" s="21">
        <v>46054</v>
      </c>
    </row>
    <row r="9" spans="1:12" x14ac:dyDescent="0.25">
      <c r="A9" s="17" t="str">
        <f>IF(D9="PS","Logan Water",IF(D9="WS","Logan Water",IF(D9="MV","4060000",IF(D9="R","5050000",IF(D9="PK","4090000",IF(D9="CM","Claims Management",IF(D9="E","5060000",VLOOKUP(MID(E9,3,5),'[1]List Data'!$B$1:$D$1134,3,FALSE))))))))</f>
        <v>2020000</v>
      </c>
      <c r="B9" s="18" t="s">
        <v>622</v>
      </c>
      <c r="C9" s="19">
        <v>46054</v>
      </c>
      <c r="D9" s="16" t="s">
        <v>1</v>
      </c>
      <c r="E9" s="18" t="s">
        <v>12</v>
      </c>
      <c r="F9" s="16">
        <v>1</v>
      </c>
      <c r="G9" s="26">
        <v>320</v>
      </c>
      <c r="H9" s="18" t="s">
        <v>188</v>
      </c>
      <c r="I9" s="18" t="s">
        <v>189</v>
      </c>
      <c r="J9" s="18" t="s">
        <v>13</v>
      </c>
      <c r="K9" s="18"/>
      <c r="L9" s="21">
        <v>46054</v>
      </c>
    </row>
    <row r="10" spans="1:12" x14ac:dyDescent="0.25">
      <c r="A10" s="17" t="str">
        <f>IF(D10="PS","Logan Water",IF(D10="WS","Logan Water",IF(D10="MV","4060000",IF(D10="R","5050000",IF(D10="PK","4090000",IF(D10="CM","Claims Management",IF(D10="E","5060000",VLOOKUP(MID(E10,3,5),'[1]List Data'!$B$1:$D$1134,3,FALSE))))))))</f>
        <v>2030000</v>
      </c>
      <c r="B10" s="27" t="s">
        <v>624</v>
      </c>
      <c r="C10" s="19">
        <v>46054</v>
      </c>
      <c r="D10" s="23" t="s">
        <v>1</v>
      </c>
      <c r="E10" s="24" t="s">
        <v>14</v>
      </c>
      <c r="F10" s="23">
        <v>1</v>
      </c>
      <c r="G10" s="25">
        <v>6</v>
      </c>
      <c r="H10" s="24" t="s">
        <v>190</v>
      </c>
      <c r="I10" s="24" t="s">
        <v>191</v>
      </c>
      <c r="J10" s="18" t="s">
        <v>15</v>
      </c>
      <c r="K10" s="18"/>
      <c r="L10" s="21">
        <v>46054</v>
      </c>
    </row>
    <row r="11" spans="1:12" x14ac:dyDescent="0.25">
      <c r="A11" s="17" t="str">
        <f>IF(D11="PS","Logan Water",IF(D11="WS","Logan Water",IF(D11="MV","4060000",IF(D11="R","5050000",IF(D11="PK","4090000",IF(D11="CM","Claims Management",IF(D11="E","5060000",VLOOKUP(MID(E11,3,5),'[1]List Data'!$B$1:$D$1134,3,FALSE))))))))</f>
        <v>2030000</v>
      </c>
      <c r="B11" s="18" t="s">
        <v>624</v>
      </c>
      <c r="C11" s="19">
        <v>46054</v>
      </c>
      <c r="D11" s="16" t="s">
        <v>1</v>
      </c>
      <c r="E11" s="18" t="s">
        <v>16</v>
      </c>
      <c r="F11" s="16">
        <v>1</v>
      </c>
      <c r="G11" s="26">
        <v>549</v>
      </c>
      <c r="H11" s="18" t="s">
        <v>192</v>
      </c>
      <c r="I11" s="18" t="s">
        <v>193</v>
      </c>
      <c r="J11" s="18" t="s">
        <v>17</v>
      </c>
      <c r="K11" s="18"/>
      <c r="L11" s="21">
        <v>46054</v>
      </c>
    </row>
    <row r="12" spans="1:12" x14ac:dyDescent="0.25">
      <c r="A12" s="17" t="str">
        <f>IF(D12="PS","Logan Water",IF(D12="WS","Logan Water",IF(D12="MV","4060000",IF(D12="R","5050000",IF(D12="PK","4090000",IF(D12="CM","Claims Management",IF(D12="E","5060000",VLOOKUP(MID(E12,3,5),'[1]List Data'!$B$1:$D$1134,3,FALSE))))))))</f>
        <v>2030000</v>
      </c>
      <c r="B12" s="18" t="s">
        <v>624</v>
      </c>
      <c r="C12" s="19">
        <v>46054</v>
      </c>
      <c r="D12" s="16" t="s">
        <v>1</v>
      </c>
      <c r="E12" s="18" t="s">
        <v>16</v>
      </c>
      <c r="F12" s="16">
        <v>1</v>
      </c>
      <c r="G12" s="26">
        <v>219</v>
      </c>
      <c r="H12" s="18" t="s">
        <v>192</v>
      </c>
      <c r="I12" s="18" t="s">
        <v>193</v>
      </c>
      <c r="J12" s="18" t="s">
        <v>4</v>
      </c>
      <c r="K12" s="18"/>
      <c r="L12" s="21">
        <v>46054</v>
      </c>
    </row>
    <row r="13" spans="1:12" x14ac:dyDescent="0.25">
      <c r="A13" s="17" t="str">
        <f>IF(D13="PS","Logan Water",IF(D13="WS","Logan Water",IF(D13="MV","4060000",IF(D13="R","5050000",IF(D13="PK","4090000",IF(D13="CM","Claims Management",IF(D13="E","5060000",VLOOKUP(MID(E13,3,5),'[1]List Data'!$B$1:$D$1134,3,FALSE))))))))</f>
        <v>2030000</v>
      </c>
      <c r="B13" s="27" t="s">
        <v>624</v>
      </c>
      <c r="C13" s="19">
        <v>46054</v>
      </c>
      <c r="D13" s="23" t="s">
        <v>1</v>
      </c>
      <c r="E13" s="24" t="s">
        <v>16</v>
      </c>
      <c r="F13" s="23">
        <v>1</v>
      </c>
      <c r="G13" s="25">
        <v>40</v>
      </c>
      <c r="H13" s="24" t="s">
        <v>194</v>
      </c>
      <c r="I13" s="24" t="s">
        <v>193</v>
      </c>
      <c r="J13" s="18" t="s">
        <v>18</v>
      </c>
      <c r="K13" s="18"/>
      <c r="L13" s="21">
        <v>46054</v>
      </c>
    </row>
    <row r="14" spans="1:12" x14ac:dyDescent="0.25">
      <c r="A14" s="17" t="str">
        <f>IF(D14="PS","Logan Water",IF(D14="WS","Logan Water",IF(D14="MV","4060000",IF(D14="R","5050000",IF(D14="PK","4090000",IF(D14="CM","Claims Management",IF(D14="E","5060000",VLOOKUP(MID(E14,3,5),'[1]List Data'!$B$1:$D$1134,3,FALSE))))))))</f>
        <v>2030000</v>
      </c>
      <c r="B14" s="18" t="s">
        <v>624</v>
      </c>
      <c r="C14" s="19">
        <v>46054</v>
      </c>
      <c r="D14" s="16" t="s">
        <v>1</v>
      </c>
      <c r="E14" s="18" t="s">
        <v>16</v>
      </c>
      <c r="F14" s="16">
        <v>1</v>
      </c>
      <c r="G14" s="26">
        <v>195</v>
      </c>
      <c r="H14" s="18" t="s">
        <v>195</v>
      </c>
      <c r="I14" s="18" t="s">
        <v>193</v>
      </c>
      <c r="J14" s="18" t="s">
        <v>19</v>
      </c>
      <c r="K14" s="18"/>
      <c r="L14" s="21">
        <v>46054</v>
      </c>
    </row>
    <row r="15" spans="1:12" x14ac:dyDescent="0.25">
      <c r="A15" s="17" t="str">
        <f>IF(D15="PS","Logan Water",IF(D15="WS","Logan Water",IF(D15="MV","4060000",IF(D15="R","5050000",IF(D15="PK","4090000",IF(D15="CM","Claims Management",IF(D15="E","5060000",VLOOKUP(MID(E15,3,5),'[1]List Data'!$B$1:$D$1134,3,FALSE))))))))</f>
        <v>2030000</v>
      </c>
      <c r="B15" s="18" t="s">
        <v>624</v>
      </c>
      <c r="C15" s="19">
        <v>46054</v>
      </c>
      <c r="D15" s="23" t="s">
        <v>1</v>
      </c>
      <c r="E15" s="24" t="s">
        <v>20</v>
      </c>
      <c r="F15" s="23">
        <v>1</v>
      </c>
      <c r="G15" s="25">
        <v>18</v>
      </c>
      <c r="H15" s="24" t="s">
        <v>196</v>
      </c>
      <c r="I15" s="24" t="s">
        <v>197</v>
      </c>
      <c r="J15" s="18" t="s">
        <v>15</v>
      </c>
      <c r="K15" s="18"/>
      <c r="L15" s="21">
        <v>46054</v>
      </c>
    </row>
    <row r="16" spans="1:12" x14ac:dyDescent="0.25">
      <c r="A16" s="17" t="str">
        <f>IF(D16="PS","Logan Water",IF(D16="WS","Logan Water",IF(D16="MV","4060000",IF(D16="R","5050000",IF(D16="PK","4090000",IF(D16="CM","Claims Management",IF(D16="E","5060000",VLOOKUP(MID(E16,3,5),'[1]List Data'!$B$1:$D$1134,3,FALSE))))))))</f>
        <v>2040000</v>
      </c>
      <c r="B16" s="18" t="s">
        <v>624</v>
      </c>
      <c r="C16" s="19">
        <v>46023</v>
      </c>
      <c r="D16" s="16" t="s">
        <v>1</v>
      </c>
      <c r="E16" s="18" t="s">
        <v>21</v>
      </c>
      <c r="F16" s="16">
        <v>1</v>
      </c>
      <c r="G16" s="20">
        <v>195</v>
      </c>
      <c r="H16" s="18" t="s">
        <v>198</v>
      </c>
      <c r="I16" s="18" t="s">
        <v>199</v>
      </c>
      <c r="J16" s="18" t="s">
        <v>9</v>
      </c>
      <c r="K16" s="18"/>
      <c r="L16" s="21">
        <v>46054</v>
      </c>
    </row>
    <row r="17" spans="1:12" x14ac:dyDescent="0.25">
      <c r="A17" s="17" t="str">
        <f>IF(D17="PS","Logan Water",IF(D17="WS","Logan Water",IF(D17="MV","4060000",IF(D17="R","5050000",IF(D17="PK","4090000",IF(D17="CM","Claims Management",IF(D17="E","5060000",VLOOKUP(MID(E17,3,5),'[1]List Data'!$B$1:$D$1134,3,FALSE))))))))</f>
        <v>2040000</v>
      </c>
      <c r="B17" s="18" t="s">
        <v>624</v>
      </c>
      <c r="C17" s="19">
        <v>46054</v>
      </c>
      <c r="D17" s="16" t="s">
        <v>1</v>
      </c>
      <c r="E17" s="18" t="s">
        <v>22</v>
      </c>
      <c r="F17" s="16">
        <v>1</v>
      </c>
      <c r="G17" s="26">
        <v>210</v>
      </c>
      <c r="H17" s="18" t="s">
        <v>200</v>
      </c>
      <c r="I17" s="18" t="s">
        <v>201</v>
      </c>
      <c r="J17" s="18" t="s">
        <v>23</v>
      </c>
      <c r="K17" s="18"/>
      <c r="L17" s="21">
        <v>46054</v>
      </c>
    </row>
    <row r="18" spans="1:12" x14ac:dyDescent="0.25">
      <c r="A18" s="17" t="str">
        <f>IF(D18="PS","Logan Water",IF(D18="WS","Logan Water",IF(D18="MV","4060000",IF(D18="R","5050000",IF(D18="PK","4090000",IF(D18="CM","Claims Management",IF(D18="E","5060000",VLOOKUP(MID(E18,3,5),'[1]List Data'!$B$1:$D$1134,3,FALSE))))))))</f>
        <v>2040000</v>
      </c>
      <c r="B18" s="27" t="s">
        <v>624</v>
      </c>
      <c r="C18" s="19">
        <v>46054</v>
      </c>
      <c r="D18" s="23" t="s">
        <v>1</v>
      </c>
      <c r="E18" s="24" t="s">
        <v>22</v>
      </c>
      <c r="F18" s="23">
        <v>1</v>
      </c>
      <c r="G18" s="25">
        <v>18</v>
      </c>
      <c r="H18" s="24" t="s">
        <v>202</v>
      </c>
      <c r="I18" s="24" t="s">
        <v>203</v>
      </c>
      <c r="J18" s="18" t="s">
        <v>15</v>
      </c>
      <c r="K18" s="18"/>
      <c r="L18" s="21">
        <v>46054</v>
      </c>
    </row>
    <row r="19" spans="1:12" x14ac:dyDescent="0.25">
      <c r="A19" s="17" t="str">
        <f>IF(D19="PS","Logan Water",IF(D19="WS","Logan Water",IF(D19="MV","4060000",IF(D19="R","5050000",IF(D19="PK","4090000",IF(D19="CM","Claims Management",IF(D19="E","5060000",VLOOKUP(MID(E19,3,5),'[1]List Data'!$B$1:$D$1134,3,FALSE))))))))</f>
        <v>2050000</v>
      </c>
      <c r="B19" s="18" t="s">
        <v>623</v>
      </c>
      <c r="C19" s="19">
        <v>46016</v>
      </c>
      <c r="D19" s="16" t="s">
        <v>1</v>
      </c>
      <c r="E19" s="18" t="s">
        <v>24</v>
      </c>
      <c r="F19" s="16">
        <v>1</v>
      </c>
      <c r="G19" s="20">
        <v>6780</v>
      </c>
      <c r="H19" s="18" t="s">
        <v>204</v>
      </c>
      <c r="I19" s="18" t="s">
        <v>205</v>
      </c>
      <c r="J19" s="18" t="s">
        <v>2</v>
      </c>
      <c r="K19" s="18" t="s">
        <v>206</v>
      </c>
      <c r="L19" s="21">
        <v>46054</v>
      </c>
    </row>
    <row r="20" spans="1:12" x14ac:dyDescent="0.25">
      <c r="A20" s="17" t="str">
        <f>IF(D20="PS","Logan Water",IF(D20="WS","Logan Water",IF(D20="MV","4060000",IF(D20="R","5050000",IF(D20="PK","4090000",IF(D20="CM","Claims Management",IF(D20="E","5060000",VLOOKUP(MID(E20,3,5),'[1]List Data'!$B$1:$D$1134,3,FALSE))))))))</f>
        <v>2050000</v>
      </c>
      <c r="B20" s="18" t="s">
        <v>623</v>
      </c>
      <c r="C20" s="19">
        <v>46023</v>
      </c>
      <c r="D20" s="16" t="s">
        <v>1</v>
      </c>
      <c r="E20" s="18" t="s">
        <v>25</v>
      </c>
      <c r="F20" s="16">
        <v>1</v>
      </c>
      <c r="G20" s="20">
        <v>1699</v>
      </c>
      <c r="H20" s="18" t="s">
        <v>207</v>
      </c>
      <c r="I20" s="18" t="s">
        <v>208</v>
      </c>
      <c r="J20" s="18" t="s">
        <v>26</v>
      </c>
      <c r="K20" s="18"/>
      <c r="L20" s="21">
        <v>46054</v>
      </c>
    </row>
    <row r="21" spans="1:12" x14ac:dyDescent="0.25">
      <c r="A21" s="17" t="str">
        <f>IF(D21="PS","Logan Water",IF(D21="WS","Logan Water",IF(D21="MV","4060000",IF(D21="R","5050000",IF(D21="PK","4090000",IF(D21="CM","Claims Management",IF(D21="E","5060000",VLOOKUP(MID(E21,3,5),'[1]List Data'!$B$1:$D$1134,3,FALSE))))))))</f>
        <v>2050000</v>
      </c>
      <c r="B21" s="18" t="s">
        <v>623</v>
      </c>
      <c r="C21" s="19">
        <v>46023</v>
      </c>
      <c r="D21" s="16" t="s">
        <v>1</v>
      </c>
      <c r="E21" s="18" t="s">
        <v>25</v>
      </c>
      <c r="F21" s="16">
        <v>1</v>
      </c>
      <c r="G21" s="20">
        <v>1699</v>
      </c>
      <c r="H21" s="18" t="s">
        <v>207</v>
      </c>
      <c r="I21" s="18" t="s">
        <v>208</v>
      </c>
      <c r="J21" s="18" t="s">
        <v>27</v>
      </c>
      <c r="K21" s="18"/>
      <c r="L21" s="21">
        <v>46054</v>
      </c>
    </row>
    <row r="22" spans="1:12" x14ac:dyDescent="0.25">
      <c r="A22" s="17" t="str">
        <f>IF(D22="PS","Logan Water",IF(D22="WS","Logan Water",IF(D22="MV","4060000",IF(D22="R","5050000",IF(D22="PK","4090000",IF(D22="CM","Claims Management",IF(D22="E","5060000",VLOOKUP(MID(E22,3,5),'[1]List Data'!$B$1:$D$1134,3,FALSE))))))))</f>
        <v>2050000</v>
      </c>
      <c r="B22" s="18" t="s">
        <v>623</v>
      </c>
      <c r="C22" s="19">
        <v>46054</v>
      </c>
      <c r="D22" s="16" t="s">
        <v>1</v>
      </c>
      <c r="E22" s="18" t="s">
        <v>25</v>
      </c>
      <c r="F22" s="16">
        <v>4</v>
      </c>
      <c r="G22" s="26">
        <v>6796</v>
      </c>
      <c r="H22" s="18" t="s">
        <v>209</v>
      </c>
      <c r="I22" s="18" t="s">
        <v>210</v>
      </c>
      <c r="J22" s="18" t="s">
        <v>27</v>
      </c>
      <c r="K22" s="18"/>
      <c r="L22" s="21">
        <v>46054</v>
      </c>
    </row>
    <row r="23" spans="1:12" x14ac:dyDescent="0.25">
      <c r="A23" s="17" t="str">
        <f>IF(D23="PS","Logan Water",IF(D23="WS","Logan Water",IF(D23="MV","4060000",IF(D23="R","5050000",IF(D23="PK","4090000",IF(D23="CM","Claims Management",IF(D23="E","5060000",VLOOKUP(MID(E23,3,5),'[1]List Data'!$B$1:$D$1134,3,FALSE))))))))</f>
        <v>2050000</v>
      </c>
      <c r="B23" s="18" t="s">
        <v>624</v>
      </c>
      <c r="C23" s="19">
        <v>46023</v>
      </c>
      <c r="D23" s="16" t="s">
        <v>1</v>
      </c>
      <c r="E23" s="18" t="s">
        <v>28</v>
      </c>
      <c r="F23" s="16">
        <v>1</v>
      </c>
      <c r="G23" s="20">
        <v>190</v>
      </c>
      <c r="H23" s="18" t="s">
        <v>211</v>
      </c>
      <c r="I23" s="18" t="s">
        <v>212</v>
      </c>
      <c r="J23" s="18" t="s">
        <v>29</v>
      </c>
      <c r="K23" s="18"/>
      <c r="L23" s="21">
        <v>46054</v>
      </c>
    </row>
    <row r="24" spans="1:12" x14ac:dyDescent="0.25">
      <c r="A24" s="17" t="str">
        <f>IF(D24="PS","Logan Water",IF(D24="WS","Logan Water",IF(D24="MV","4060000",IF(D24="R","5050000",IF(D24="PK","4090000",IF(D24="CM","Claims Management",IF(D24="E","5060000",VLOOKUP(MID(E24,3,5),'[1]List Data'!$B$1:$D$1134,3,FALSE))))))))</f>
        <v>2050000</v>
      </c>
      <c r="B24" s="18" t="s">
        <v>624</v>
      </c>
      <c r="C24" s="19">
        <v>46023</v>
      </c>
      <c r="D24" s="16" t="s">
        <v>1</v>
      </c>
      <c r="E24" s="18" t="s">
        <v>30</v>
      </c>
      <c r="F24" s="16">
        <v>1</v>
      </c>
      <c r="G24" s="20">
        <v>539</v>
      </c>
      <c r="H24" s="18" t="s">
        <v>207</v>
      </c>
      <c r="I24" s="18" t="s">
        <v>208</v>
      </c>
      <c r="J24" s="18" t="s">
        <v>17</v>
      </c>
      <c r="K24" s="18"/>
      <c r="L24" s="21">
        <v>46054</v>
      </c>
    </row>
    <row r="25" spans="1:12" x14ac:dyDescent="0.25">
      <c r="A25" s="17" t="str">
        <f>IF(D25="PS","Logan Water",IF(D25="WS","Logan Water",IF(D25="MV","4060000",IF(D25="R","5050000",IF(D25="PK","4090000",IF(D25="CM","Claims Management",IF(D25="E","5060000",VLOOKUP(MID(E25,3,5),'[1]List Data'!$B$1:$D$1134,3,FALSE))))))))</f>
        <v>2050000</v>
      </c>
      <c r="B25" s="18" t="s">
        <v>624</v>
      </c>
      <c r="C25" s="19">
        <v>46023</v>
      </c>
      <c r="D25" s="16" t="s">
        <v>1</v>
      </c>
      <c r="E25" s="18" t="s">
        <v>30</v>
      </c>
      <c r="F25" s="16">
        <v>3</v>
      </c>
      <c r="G25" s="20">
        <v>18</v>
      </c>
      <c r="H25" s="18" t="s">
        <v>213</v>
      </c>
      <c r="I25" s="18" t="s">
        <v>208</v>
      </c>
      <c r="J25" s="18" t="s">
        <v>15</v>
      </c>
      <c r="K25" s="18"/>
      <c r="L25" s="21">
        <v>46054</v>
      </c>
    </row>
    <row r="26" spans="1:12" x14ac:dyDescent="0.25">
      <c r="A26" s="17" t="str">
        <f>IF(D26="PS","Logan Water",IF(D26="WS","Logan Water",IF(D26="MV","4060000",IF(D26="R","5050000",IF(D26="PK","4090000",IF(D26="CM","Claims Management",IF(D26="E","5060000",VLOOKUP(MID(E26,3,5),'[1]List Data'!$B$1:$D$1134,3,FALSE))))))))</f>
        <v>2050000</v>
      </c>
      <c r="B26" s="18" t="s">
        <v>624</v>
      </c>
      <c r="C26" s="19">
        <v>46054</v>
      </c>
      <c r="D26" s="16" t="s">
        <v>1</v>
      </c>
      <c r="E26" s="18" t="s">
        <v>30</v>
      </c>
      <c r="F26" s="16">
        <v>5</v>
      </c>
      <c r="G26" s="26">
        <v>1050</v>
      </c>
      <c r="H26" s="18" t="s">
        <v>214</v>
      </c>
      <c r="I26" s="18" t="s">
        <v>210</v>
      </c>
      <c r="J26" s="18" t="s">
        <v>23</v>
      </c>
      <c r="K26" s="18"/>
      <c r="L26" s="21">
        <v>46054</v>
      </c>
    </row>
    <row r="27" spans="1:12" x14ac:dyDescent="0.25">
      <c r="A27" s="17" t="str">
        <f>IF(D27="PS","Logan Water",IF(D27="WS","Logan Water",IF(D27="MV","4060000",IF(D27="R","5050000",IF(D27="PK","4090000",IF(D27="CM","Claims Management",IF(D27="E","5060000",VLOOKUP(MID(E27,3,5),'[1]List Data'!$B$1:$D$1134,3,FALSE))))))))</f>
        <v>2050000</v>
      </c>
      <c r="B27" s="18" t="s">
        <v>622</v>
      </c>
      <c r="C27" s="19">
        <v>46023</v>
      </c>
      <c r="D27" s="16" t="s">
        <v>1</v>
      </c>
      <c r="E27" s="18" t="s">
        <v>25</v>
      </c>
      <c r="F27" s="16">
        <v>1</v>
      </c>
      <c r="G27" s="20">
        <v>97</v>
      </c>
      <c r="H27" s="18" t="s">
        <v>215</v>
      </c>
      <c r="I27" s="18" t="s">
        <v>216</v>
      </c>
      <c r="J27" s="18" t="s">
        <v>31</v>
      </c>
      <c r="K27" s="18" t="s">
        <v>217</v>
      </c>
      <c r="L27" s="21">
        <v>46054</v>
      </c>
    </row>
    <row r="28" spans="1:12" x14ac:dyDescent="0.25">
      <c r="A28" s="17" t="str">
        <f>IF(D28="PS","Logan Water",IF(D28="WS","Logan Water",IF(D28="MV","4060000",IF(D28="R","5050000",IF(D28="PK","4090000",IF(D28="CM","Claims Management",IF(D28="E","5060000",VLOOKUP(MID(E28,3,5),'[1]List Data'!$B$1:$D$1134,3,FALSE))))))))</f>
        <v>2050000</v>
      </c>
      <c r="B28" s="18" t="s">
        <v>622</v>
      </c>
      <c r="C28" s="19">
        <v>46023</v>
      </c>
      <c r="D28" s="16" t="s">
        <v>1</v>
      </c>
      <c r="E28" s="18" t="s">
        <v>25</v>
      </c>
      <c r="F28" s="16">
        <v>1</v>
      </c>
      <c r="G28" s="20">
        <v>205</v>
      </c>
      <c r="H28" s="18" t="s">
        <v>218</v>
      </c>
      <c r="I28" s="18" t="s">
        <v>219</v>
      </c>
      <c r="J28" s="18" t="s">
        <v>32</v>
      </c>
      <c r="K28" s="18"/>
      <c r="L28" s="21">
        <v>46054</v>
      </c>
    </row>
    <row r="29" spans="1:12" x14ac:dyDescent="0.25">
      <c r="A29" s="17" t="str">
        <f>IF(D29="PS","Logan Water",IF(D29="WS","Logan Water",IF(D29="MV","4060000",IF(D29="R","5050000",IF(D29="PK","4090000",IF(D29="CM","Claims Management",IF(D29="E","5060000",VLOOKUP(MID(E29,3,5),'[1]List Data'!$B$1:$D$1134,3,FALSE))))))))</f>
        <v>2050000</v>
      </c>
      <c r="B29" s="18" t="s">
        <v>622</v>
      </c>
      <c r="C29" s="19">
        <v>46023</v>
      </c>
      <c r="D29" s="16" t="s">
        <v>1</v>
      </c>
      <c r="E29" s="18" t="s">
        <v>25</v>
      </c>
      <c r="F29" s="16">
        <v>1</v>
      </c>
      <c r="G29" s="20">
        <v>939</v>
      </c>
      <c r="H29" s="18" t="s">
        <v>220</v>
      </c>
      <c r="I29" s="18" t="s">
        <v>221</v>
      </c>
      <c r="J29" s="18" t="s">
        <v>33</v>
      </c>
      <c r="K29" s="18"/>
      <c r="L29" s="21">
        <v>46054</v>
      </c>
    </row>
    <row r="30" spans="1:12" x14ac:dyDescent="0.25">
      <c r="A30" s="17" t="str">
        <f>IF(D30="PS","Logan Water",IF(D30="WS","Logan Water",IF(D30="MV","4060000",IF(D30="R","5050000",IF(D30="PK","4090000",IF(D30="CM","Claims Management",IF(D30="E","5060000",VLOOKUP(MID(E30,3,5),'[1]List Data'!$B$1:$D$1134,3,FALSE))))))))</f>
        <v>2050000</v>
      </c>
      <c r="B30" s="18" t="s">
        <v>622</v>
      </c>
      <c r="C30" s="19">
        <v>46023</v>
      </c>
      <c r="D30" s="16" t="s">
        <v>1</v>
      </c>
      <c r="E30" s="18" t="s">
        <v>34</v>
      </c>
      <c r="F30" s="16">
        <v>1</v>
      </c>
      <c r="G30" s="20">
        <v>117.66</v>
      </c>
      <c r="H30" s="18" t="s">
        <v>222</v>
      </c>
      <c r="I30" s="18" t="s">
        <v>223</v>
      </c>
      <c r="J30" s="18" t="s">
        <v>35</v>
      </c>
      <c r="K30" s="18"/>
      <c r="L30" s="21">
        <v>46054</v>
      </c>
    </row>
    <row r="31" spans="1:12" x14ac:dyDescent="0.25">
      <c r="A31" s="17" t="str">
        <f>IF(D31="PS","Logan Water",IF(D31="WS","Logan Water",IF(D31="MV","4060000",IF(D31="R","5050000",IF(D31="PK","4090000",IF(D31="CM","Claims Management",IF(D31="E","5060000",VLOOKUP(MID(E31,3,5),'[1]List Data'!$B$1:$D$1134,3,FALSE))))))))</f>
        <v>2050000</v>
      </c>
      <c r="B31" s="18" t="s">
        <v>622</v>
      </c>
      <c r="C31" s="19">
        <v>46023</v>
      </c>
      <c r="D31" s="16" t="s">
        <v>1</v>
      </c>
      <c r="E31" s="18" t="s">
        <v>36</v>
      </c>
      <c r="F31" s="16">
        <v>1</v>
      </c>
      <c r="G31" s="20">
        <v>205</v>
      </c>
      <c r="H31" s="18" t="s">
        <v>224</v>
      </c>
      <c r="I31" s="18" t="s">
        <v>225</v>
      </c>
      <c r="J31" s="18" t="s">
        <v>32</v>
      </c>
      <c r="K31" s="18"/>
      <c r="L31" s="21">
        <v>46054</v>
      </c>
    </row>
    <row r="32" spans="1:12" x14ac:dyDescent="0.25">
      <c r="A32" s="17" t="str">
        <f>IF(D32="PS","Logan Water",IF(D32="WS","Logan Water",IF(D32="MV","4060000",IF(D32="R","5050000",IF(D32="PK","4090000",IF(D32="CM","Claims Management",IF(D32="E","5060000",VLOOKUP(MID(E32,3,5),'[1]List Data'!$B$1:$D$1134,3,FALSE))))))))</f>
        <v>2050000</v>
      </c>
      <c r="B32" s="18" t="s">
        <v>622</v>
      </c>
      <c r="C32" s="19">
        <v>46023</v>
      </c>
      <c r="D32" s="16" t="s">
        <v>1</v>
      </c>
      <c r="E32" s="18" t="s">
        <v>25</v>
      </c>
      <c r="F32" s="16">
        <v>2</v>
      </c>
      <c r="G32" s="20">
        <v>3756</v>
      </c>
      <c r="H32" s="18" t="s">
        <v>226</v>
      </c>
      <c r="I32" s="18" t="s">
        <v>208</v>
      </c>
      <c r="J32" s="18" t="s">
        <v>33</v>
      </c>
      <c r="K32" s="18"/>
      <c r="L32" s="21">
        <v>46054</v>
      </c>
    </row>
    <row r="33" spans="1:12" x14ac:dyDescent="0.25">
      <c r="A33" s="17" t="str">
        <f>IF(D33="PS","Logan Water",IF(D33="WS","Logan Water",IF(D33="MV","4060000",IF(D33="R","5050000",IF(D33="PK","4090000",IF(D33="CM","Claims Management",IF(D33="E","5060000",VLOOKUP(MID(E33,3,5),'[1]List Data'!$B$1:$D$1134,3,FALSE))))))))</f>
        <v>2050000</v>
      </c>
      <c r="B33" s="18" t="s">
        <v>622</v>
      </c>
      <c r="C33" s="19">
        <v>46023</v>
      </c>
      <c r="D33" s="16" t="s">
        <v>1</v>
      </c>
      <c r="E33" s="18" t="s">
        <v>25</v>
      </c>
      <c r="F33" s="16">
        <v>1</v>
      </c>
      <c r="G33" s="20">
        <v>939</v>
      </c>
      <c r="H33" s="18" t="s">
        <v>227</v>
      </c>
      <c r="I33" s="18" t="s">
        <v>228</v>
      </c>
      <c r="J33" s="18" t="s">
        <v>33</v>
      </c>
      <c r="K33" s="18"/>
      <c r="L33" s="21">
        <v>46054</v>
      </c>
    </row>
    <row r="34" spans="1:12" x14ac:dyDescent="0.25">
      <c r="A34" s="17" t="str">
        <f>IF(D34="PS","Logan Water",IF(D34="WS","Logan Water",IF(D34="MV","4060000",IF(D34="R","5050000",IF(D34="PK","4090000",IF(D34="CM","Claims Management",IF(D34="E","5060000",VLOOKUP(MID(E34,3,5),'[1]List Data'!$B$1:$D$1134,3,FALSE))))))))</f>
        <v>2050000</v>
      </c>
      <c r="B34" s="18" t="s">
        <v>622</v>
      </c>
      <c r="C34" s="19">
        <v>46054</v>
      </c>
      <c r="D34" s="23" t="s">
        <v>1</v>
      </c>
      <c r="E34" s="24" t="s">
        <v>37</v>
      </c>
      <c r="F34" s="23">
        <v>1</v>
      </c>
      <c r="G34" s="25">
        <v>97</v>
      </c>
      <c r="H34" s="24" t="s">
        <v>229</v>
      </c>
      <c r="I34" s="24" t="s">
        <v>230</v>
      </c>
      <c r="J34" s="18" t="s">
        <v>38</v>
      </c>
      <c r="K34" s="18"/>
      <c r="L34" s="21">
        <v>46054</v>
      </c>
    </row>
    <row r="35" spans="1:12" x14ac:dyDescent="0.25">
      <c r="A35" s="17" t="str">
        <f>IF(D35="PS","Logan Water",IF(D35="WS","Logan Water",IF(D35="MV","4060000",IF(D35="R","5050000",IF(D35="PK","4090000",IF(D35="CM","Claims Management",IF(D35="E","5060000",VLOOKUP(MID(E35,3,5),'[1]List Data'!$B$1:$D$1134,3,FALSE))))))))</f>
        <v>2050000</v>
      </c>
      <c r="B35" s="18" t="s">
        <v>622</v>
      </c>
      <c r="C35" s="19">
        <v>46054</v>
      </c>
      <c r="D35" s="16" t="s">
        <v>1</v>
      </c>
      <c r="E35" s="18" t="s">
        <v>25</v>
      </c>
      <c r="F35" s="16">
        <v>1</v>
      </c>
      <c r="G35" s="26">
        <v>205</v>
      </c>
      <c r="H35" s="18" t="s">
        <v>231</v>
      </c>
      <c r="I35" s="28" t="s">
        <v>232</v>
      </c>
      <c r="J35" s="18" t="s">
        <v>32</v>
      </c>
      <c r="K35" s="18"/>
      <c r="L35" s="21">
        <v>46054</v>
      </c>
    </row>
    <row r="36" spans="1:12" x14ac:dyDescent="0.25">
      <c r="A36" s="17" t="str">
        <f>IF(D36="PS","Logan Water",IF(D36="WS","Logan Water",IF(D36="MV","4060000",IF(D36="R","5050000",IF(D36="PK","4090000",IF(D36="CM","Claims Management",IF(D36="E","5060000",VLOOKUP(MID(E36,3,5),'[1]List Data'!$B$1:$D$1134,3,FALSE))))))))</f>
        <v>2050000</v>
      </c>
      <c r="B36" s="18" t="s">
        <v>622</v>
      </c>
      <c r="C36" s="19">
        <v>46054</v>
      </c>
      <c r="D36" s="16" t="s">
        <v>1</v>
      </c>
      <c r="E36" s="18" t="s">
        <v>25</v>
      </c>
      <c r="F36" s="16">
        <v>1</v>
      </c>
      <c r="G36" s="26">
        <v>205</v>
      </c>
      <c r="H36" s="18" t="s">
        <v>233</v>
      </c>
      <c r="I36" s="18" t="s">
        <v>234</v>
      </c>
      <c r="J36" s="18" t="s">
        <v>32</v>
      </c>
      <c r="K36" s="29"/>
      <c r="L36" s="21">
        <v>46054</v>
      </c>
    </row>
    <row r="37" spans="1:12" x14ac:dyDescent="0.25">
      <c r="A37" s="17" t="str">
        <f>IF(D37="PS","Logan Water",IF(D37="WS","Logan Water",IF(D37="MV","4060000",IF(D37="R","5050000",IF(D37="PK","4090000",IF(D37="CM","Claims Management",IF(D37="E","5060000",VLOOKUP(MID(E37,3,5),'[1]List Data'!$B$1:$D$1134,3,FALSE))))))))</f>
        <v>2050000</v>
      </c>
      <c r="B37" s="18" t="s">
        <v>622</v>
      </c>
      <c r="C37" s="19">
        <v>46054</v>
      </c>
      <c r="D37" s="16" t="s">
        <v>1</v>
      </c>
      <c r="E37" s="18" t="s">
        <v>39</v>
      </c>
      <c r="F37" s="16">
        <v>1</v>
      </c>
      <c r="G37" s="26">
        <v>137</v>
      </c>
      <c r="H37" s="18" t="s">
        <v>235</v>
      </c>
      <c r="I37" s="18" t="s">
        <v>236</v>
      </c>
      <c r="J37" s="18" t="s">
        <v>40</v>
      </c>
      <c r="K37" s="18"/>
      <c r="L37" s="21">
        <v>46054</v>
      </c>
    </row>
    <row r="38" spans="1:12" x14ac:dyDescent="0.25">
      <c r="A38" s="17" t="str">
        <f>IF(D38="PS","Logan Water",IF(D38="WS","Logan Water",IF(D38="MV","4060000",IF(D38="R","5050000",IF(D38="PK","4090000",IF(D38="CM","Claims Management",IF(D38="E","5060000",VLOOKUP(MID(E38,3,5),'[1]List Data'!$B$1:$D$1134,3,FALSE))))))))</f>
        <v>3010000</v>
      </c>
      <c r="B38" s="18" t="s">
        <v>624</v>
      </c>
      <c r="C38" s="19">
        <v>46023</v>
      </c>
      <c r="D38" s="16" t="s">
        <v>1</v>
      </c>
      <c r="E38" s="18" t="s">
        <v>41</v>
      </c>
      <c r="F38" s="16">
        <v>1</v>
      </c>
      <c r="G38" s="20">
        <v>156.44999999999999</v>
      </c>
      <c r="H38" s="18" t="s">
        <v>237</v>
      </c>
      <c r="I38" s="18" t="s">
        <v>238</v>
      </c>
      <c r="J38" s="18" t="s">
        <v>42</v>
      </c>
      <c r="K38" s="18" t="s">
        <v>239</v>
      </c>
      <c r="L38" s="21">
        <v>46054</v>
      </c>
    </row>
    <row r="39" spans="1:12" x14ac:dyDescent="0.25">
      <c r="A39" s="17" t="str">
        <f>IF(D39="PS","Logan Water",IF(D39="WS","Logan Water",IF(D39="MV","4060000",IF(D39="R","5050000",IF(D39="PK","4090000",IF(D39="CM","Claims Management",IF(D39="E","5060000",VLOOKUP(MID(E39,3,5),'[1]List Data'!$B$1:$D$1134,3,FALSE))))))))</f>
        <v>3010000</v>
      </c>
      <c r="B39" s="27" t="s">
        <v>624</v>
      </c>
      <c r="C39" s="19">
        <v>46054</v>
      </c>
      <c r="D39" s="23" t="s">
        <v>1</v>
      </c>
      <c r="E39" s="24" t="s">
        <v>41</v>
      </c>
      <c r="F39" s="23">
        <v>1</v>
      </c>
      <c r="G39" s="25">
        <v>200</v>
      </c>
      <c r="H39" s="24" t="s">
        <v>240</v>
      </c>
      <c r="I39" s="24" t="s">
        <v>241</v>
      </c>
      <c r="J39" s="18" t="s">
        <v>43</v>
      </c>
      <c r="K39" s="18"/>
      <c r="L39" s="21">
        <v>46054</v>
      </c>
    </row>
    <row r="40" spans="1:12" x14ac:dyDescent="0.25">
      <c r="A40" s="17" t="str">
        <f>IF(D40="PS","Logan Water",IF(D40="WS","Logan Water",IF(D40="MV","4060000",IF(D40="R","5050000",IF(D40="PK","4090000",IF(D40="CM","Claims Management",IF(D40="E","5060000",VLOOKUP(MID(E40,3,5),'[1]List Data'!$B$1:$D$1134,3,FALSE))))))))</f>
        <v>3020000</v>
      </c>
      <c r="B40" s="18" t="s">
        <v>624</v>
      </c>
      <c r="C40" s="19">
        <v>46023</v>
      </c>
      <c r="D40" s="16" t="s">
        <v>1</v>
      </c>
      <c r="E40" s="18" t="s">
        <v>44</v>
      </c>
      <c r="F40" s="16">
        <v>2</v>
      </c>
      <c r="G40" s="20">
        <v>380</v>
      </c>
      <c r="H40" s="18" t="s">
        <v>242</v>
      </c>
      <c r="I40" s="18" t="s">
        <v>243</v>
      </c>
      <c r="J40" s="18" t="s">
        <v>29</v>
      </c>
      <c r="K40" s="18"/>
      <c r="L40" s="21">
        <v>46054</v>
      </c>
    </row>
    <row r="41" spans="1:12" x14ac:dyDescent="0.25">
      <c r="A41" s="17" t="str">
        <f>IF(D41="PS","Logan Water",IF(D41="WS","Logan Water",IF(D41="MV","4060000",IF(D41="R","5050000",IF(D41="PK","4090000",IF(D41="CM","Claims Management",IF(D41="E","5060000",VLOOKUP(MID(E41,3,5),'[1]List Data'!$B$1:$D$1134,3,FALSE))))))))</f>
        <v>3020000</v>
      </c>
      <c r="B41" s="18" t="s">
        <v>624</v>
      </c>
      <c r="C41" s="19">
        <v>46023</v>
      </c>
      <c r="D41" s="16" t="s">
        <v>1</v>
      </c>
      <c r="E41" s="18" t="s">
        <v>45</v>
      </c>
      <c r="F41" s="16">
        <v>1</v>
      </c>
      <c r="G41" s="20">
        <v>195</v>
      </c>
      <c r="H41" s="18" t="s">
        <v>244</v>
      </c>
      <c r="I41" s="18" t="s">
        <v>243</v>
      </c>
      <c r="J41" s="18" t="s">
        <v>19</v>
      </c>
      <c r="K41" s="18"/>
      <c r="L41" s="21">
        <v>46054</v>
      </c>
    </row>
    <row r="42" spans="1:12" x14ac:dyDescent="0.25">
      <c r="A42" s="17" t="str">
        <f>IF(D42="PS","Logan Water",IF(D42="WS","Logan Water",IF(D42="MV","4060000",IF(D42="R","5050000",IF(D42="PK","4090000",IF(D42="CM","Claims Management",IF(D42="E","5060000",VLOOKUP(MID(E42,3,5),'[1]List Data'!$B$1:$D$1134,3,FALSE))))))))</f>
        <v>3020000</v>
      </c>
      <c r="B42" s="18" t="s">
        <v>624</v>
      </c>
      <c r="C42" s="19">
        <v>46023</v>
      </c>
      <c r="D42" s="16" t="s">
        <v>1</v>
      </c>
      <c r="E42" s="18" t="s">
        <v>46</v>
      </c>
      <c r="F42" s="16">
        <v>1</v>
      </c>
      <c r="G42" s="20">
        <v>190</v>
      </c>
      <c r="H42" s="18" t="s">
        <v>245</v>
      </c>
      <c r="I42" s="18" t="s">
        <v>246</v>
      </c>
      <c r="J42" s="18" t="s">
        <v>23</v>
      </c>
      <c r="K42" s="18"/>
      <c r="L42" s="21">
        <v>46054</v>
      </c>
    </row>
    <row r="43" spans="1:12" x14ac:dyDescent="0.25">
      <c r="A43" s="17" t="str">
        <f>IF(D43="PS","Logan Water",IF(D43="WS","Logan Water",IF(D43="MV","4060000",IF(D43="R","5050000",IF(D43="PK","4090000",IF(D43="CM","Claims Management",IF(D43="E","5060000",VLOOKUP(MID(E43,3,5),'[1]List Data'!$B$1:$D$1134,3,FALSE))))))))</f>
        <v>3020000</v>
      </c>
      <c r="B43" s="18" t="s">
        <v>624</v>
      </c>
      <c r="C43" s="19">
        <v>46023</v>
      </c>
      <c r="D43" s="16" t="s">
        <v>1</v>
      </c>
      <c r="E43" s="18" t="s">
        <v>47</v>
      </c>
      <c r="F43" s="16">
        <v>1</v>
      </c>
      <c r="G43" s="20">
        <v>190</v>
      </c>
      <c r="H43" s="18" t="s">
        <v>247</v>
      </c>
      <c r="I43" s="18" t="s">
        <v>243</v>
      </c>
      <c r="J43" s="18" t="s">
        <v>23</v>
      </c>
      <c r="K43" s="18"/>
      <c r="L43" s="21">
        <v>46054</v>
      </c>
    </row>
    <row r="44" spans="1:12" ht="27.5" customHeight="1" x14ac:dyDescent="0.25">
      <c r="A44" s="17" t="str">
        <f>IF(D44="PS","Logan Water",IF(D44="WS","Logan Water",IF(D44="MV","4060000",IF(D44="R","5050000",IF(D44="PK","4090000",IF(D44="CM","Claims Management",IF(D44="E","5060000",VLOOKUP(MID(E44,3,5),'[1]List Data'!$B$1:$D$1134,3,FALSE))))))))</f>
        <v>3020000</v>
      </c>
      <c r="B44" s="18" t="s">
        <v>624</v>
      </c>
      <c r="C44" s="19">
        <v>46023</v>
      </c>
      <c r="D44" s="16" t="s">
        <v>1</v>
      </c>
      <c r="E44" s="18" t="s">
        <v>48</v>
      </c>
      <c r="F44" s="16">
        <v>1</v>
      </c>
      <c r="G44" s="20">
        <v>190</v>
      </c>
      <c r="H44" s="18" t="s">
        <v>248</v>
      </c>
      <c r="I44" s="18" t="s">
        <v>243</v>
      </c>
      <c r="J44" s="18" t="s">
        <v>23</v>
      </c>
      <c r="K44" s="18"/>
      <c r="L44" s="21">
        <v>46054</v>
      </c>
    </row>
    <row r="45" spans="1:12" x14ac:dyDescent="0.25">
      <c r="A45" s="17" t="str">
        <f>IF(D45="PS","Logan Water",IF(D45="WS","Logan Water",IF(D45="MV","4060000",IF(D45="R","5050000",IF(D45="PK","4090000",IF(D45="CM","Claims Management",IF(D45="E","5060000",VLOOKUP(MID(E45,3,5),'[1]List Data'!$B$1:$D$1134,3,FALSE))))))))</f>
        <v>3020000</v>
      </c>
      <c r="B45" s="18" t="s">
        <v>624</v>
      </c>
      <c r="C45" s="19">
        <v>46023</v>
      </c>
      <c r="D45" s="16" t="s">
        <v>1</v>
      </c>
      <c r="E45" s="18" t="s">
        <v>48</v>
      </c>
      <c r="F45" s="16">
        <v>1</v>
      </c>
      <c r="G45" s="20">
        <v>40</v>
      </c>
      <c r="H45" s="18" t="s">
        <v>249</v>
      </c>
      <c r="I45" s="18" t="s">
        <v>246</v>
      </c>
      <c r="J45" s="18" t="s">
        <v>49</v>
      </c>
      <c r="K45" s="18"/>
      <c r="L45" s="21">
        <v>46054</v>
      </c>
    </row>
    <row r="46" spans="1:12" x14ac:dyDescent="0.25">
      <c r="A46" s="17" t="str">
        <f>IF(D46="PS","Logan Water",IF(D46="WS","Logan Water",IF(D46="MV","4060000",IF(D46="R","5050000",IF(D46="PK","4090000",IF(D46="CM","Claims Management",IF(D46="E","5060000",VLOOKUP(MID(E46,3,5),'[1]List Data'!$B$1:$D$1134,3,FALSE))))))))</f>
        <v>3020000</v>
      </c>
      <c r="B46" s="18" t="s">
        <v>624</v>
      </c>
      <c r="C46" s="19">
        <v>46023</v>
      </c>
      <c r="D46" s="16" t="s">
        <v>1</v>
      </c>
      <c r="E46" s="18" t="s">
        <v>47</v>
      </c>
      <c r="F46" s="16">
        <v>2</v>
      </c>
      <c r="G46" s="20">
        <v>390</v>
      </c>
      <c r="H46" s="18" t="s">
        <v>250</v>
      </c>
      <c r="I46" s="18" t="s">
        <v>243</v>
      </c>
      <c r="J46" s="18" t="s">
        <v>23</v>
      </c>
      <c r="K46" s="18"/>
      <c r="L46" s="21">
        <v>46054</v>
      </c>
    </row>
    <row r="47" spans="1:12" x14ac:dyDescent="0.25">
      <c r="A47" s="17" t="str">
        <f>IF(D47="PS","Logan Water",IF(D47="WS","Logan Water",IF(D47="MV","4060000",IF(D47="R","5050000",IF(D47="PK","4090000",IF(D47="CM","Claims Management",IF(D47="E","5060000",VLOOKUP(MID(E47,3,5),'[1]List Data'!$B$1:$D$1134,3,FALSE))))))))</f>
        <v>3020000</v>
      </c>
      <c r="B47" s="18" t="s">
        <v>624</v>
      </c>
      <c r="C47" s="19">
        <v>46054</v>
      </c>
      <c r="D47" s="16" t="s">
        <v>1</v>
      </c>
      <c r="E47" s="18" t="s">
        <v>45</v>
      </c>
      <c r="F47" s="16">
        <v>2</v>
      </c>
      <c r="G47" s="26">
        <v>390</v>
      </c>
      <c r="H47" s="18" t="s">
        <v>251</v>
      </c>
      <c r="I47" s="18" t="s">
        <v>243</v>
      </c>
      <c r="J47" s="18" t="s">
        <v>19</v>
      </c>
      <c r="K47" s="18"/>
      <c r="L47" s="21">
        <v>46054</v>
      </c>
    </row>
    <row r="48" spans="1:12" x14ac:dyDescent="0.25">
      <c r="A48" s="17" t="str">
        <f>IF(D48="PS","Logan Water",IF(D48="WS","Logan Water",IF(D48="MV","4060000",IF(D48="R","5050000",IF(D48="PK","4090000",IF(D48="CM","Claims Management",IF(D48="E","5060000",VLOOKUP(MID(E48,3,5),'[1]List Data'!$B$1:$D$1134,3,FALSE))))))))</f>
        <v>3020000</v>
      </c>
      <c r="B48" s="18" t="s">
        <v>624</v>
      </c>
      <c r="C48" s="19">
        <v>46054</v>
      </c>
      <c r="D48" s="16" t="s">
        <v>1</v>
      </c>
      <c r="E48" s="18" t="s">
        <v>45</v>
      </c>
      <c r="F48" s="16">
        <v>1</v>
      </c>
      <c r="G48" s="26">
        <v>195</v>
      </c>
      <c r="H48" s="18" t="s">
        <v>251</v>
      </c>
      <c r="I48" s="18" t="s">
        <v>243</v>
      </c>
      <c r="J48" s="18" t="s">
        <v>19</v>
      </c>
      <c r="K48" s="18"/>
      <c r="L48" s="21">
        <v>46054</v>
      </c>
    </row>
    <row r="49" spans="1:12" x14ac:dyDescent="0.25">
      <c r="A49" s="17" t="str">
        <f>IF(D49="PS","Logan Water",IF(D49="WS","Logan Water",IF(D49="MV","4060000",IF(D49="R","5050000",IF(D49="PK","4090000",IF(D49="CM","Claims Management",IF(D49="E","5060000",VLOOKUP(MID(E49,3,5),'[1]List Data'!$B$1:$D$1134,3,FALSE))))))))</f>
        <v>3020000</v>
      </c>
      <c r="B49" s="18" t="s">
        <v>624</v>
      </c>
      <c r="C49" s="19">
        <v>46054</v>
      </c>
      <c r="D49" s="16" t="s">
        <v>1</v>
      </c>
      <c r="E49" s="18" t="s">
        <v>48</v>
      </c>
      <c r="F49" s="16">
        <v>1</v>
      </c>
      <c r="G49" s="26">
        <v>27.23</v>
      </c>
      <c r="H49" s="18" t="s">
        <v>252</v>
      </c>
      <c r="I49" s="18" t="s">
        <v>246</v>
      </c>
      <c r="J49" s="18" t="s">
        <v>50</v>
      </c>
      <c r="K49" s="18"/>
      <c r="L49" s="21">
        <v>46054</v>
      </c>
    </row>
    <row r="50" spans="1:12" x14ac:dyDescent="0.25">
      <c r="A50" s="17" t="str">
        <f>IF(D50="PS","Logan Water",IF(D50="WS","Logan Water",IF(D50="MV","4060000",IF(D50="R","5050000",IF(D50="PK","4090000",IF(D50="CM","Claims Management",IF(D50="E","5060000",VLOOKUP(MID(E50,3,5),'[1]List Data'!$B$1:$D$1134,3,FALSE))))))))</f>
        <v>3020000</v>
      </c>
      <c r="B50" s="18" t="s">
        <v>622</v>
      </c>
      <c r="C50" s="19">
        <v>46023</v>
      </c>
      <c r="D50" s="16" t="s">
        <v>1</v>
      </c>
      <c r="E50" s="18" t="s">
        <v>51</v>
      </c>
      <c r="F50" s="16">
        <v>1</v>
      </c>
      <c r="G50" s="20">
        <v>362</v>
      </c>
      <c r="H50" s="18" t="s">
        <v>253</v>
      </c>
      <c r="I50" s="18" t="s">
        <v>246</v>
      </c>
      <c r="J50" s="18" t="s">
        <v>13</v>
      </c>
      <c r="K50" s="18"/>
      <c r="L50" s="21">
        <v>46054</v>
      </c>
    </row>
    <row r="51" spans="1:12" x14ac:dyDescent="0.25">
      <c r="A51" s="17" t="str">
        <f>IF(D51="PS","Logan Water",IF(D51="WS","Logan Water",IF(D51="MV","4060000",IF(D51="R","5050000",IF(D51="PK","4090000",IF(D51="CM","Claims Management",IF(D51="E","5060000",VLOOKUP(MID(E51,3,5),'[1]List Data'!$B$1:$D$1134,3,FALSE))))))))</f>
        <v>3020000</v>
      </c>
      <c r="B51" s="18" t="s">
        <v>622</v>
      </c>
      <c r="C51" s="19">
        <v>46023</v>
      </c>
      <c r="D51" s="16" t="s">
        <v>1</v>
      </c>
      <c r="E51" s="18" t="s">
        <v>52</v>
      </c>
      <c r="F51" s="16">
        <v>1</v>
      </c>
      <c r="G51" s="20">
        <v>205</v>
      </c>
      <c r="H51" s="18" t="s">
        <v>254</v>
      </c>
      <c r="I51" s="18" t="s">
        <v>255</v>
      </c>
      <c r="J51" s="18" t="s">
        <v>32</v>
      </c>
      <c r="K51" s="18"/>
      <c r="L51" s="21">
        <v>46054</v>
      </c>
    </row>
    <row r="52" spans="1:12" x14ac:dyDescent="0.25">
      <c r="A52" s="17" t="str">
        <f>IF(D52="PS","Logan Water",IF(D52="WS","Logan Water",IF(D52="MV","4060000",IF(D52="R","5050000",IF(D52="PK","4090000",IF(D52="CM","Claims Management",IF(D52="E","5060000",VLOOKUP(MID(E52,3,5),'[1]List Data'!$B$1:$D$1134,3,FALSE))))))))</f>
        <v>3020000</v>
      </c>
      <c r="B52" s="18" t="s">
        <v>622</v>
      </c>
      <c r="C52" s="19">
        <v>46023</v>
      </c>
      <c r="D52" s="16" t="s">
        <v>1</v>
      </c>
      <c r="E52" s="18" t="s">
        <v>53</v>
      </c>
      <c r="F52" s="16">
        <v>1</v>
      </c>
      <c r="G52" s="20">
        <v>362</v>
      </c>
      <c r="H52" s="18" t="s">
        <v>256</v>
      </c>
      <c r="I52" s="18" t="s">
        <v>257</v>
      </c>
      <c r="J52" s="18" t="s">
        <v>13</v>
      </c>
      <c r="K52" s="18"/>
      <c r="L52" s="21">
        <v>46054</v>
      </c>
    </row>
    <row r="53" spans="1:12" x14ac:dyDescent="0.25">
      <c r="A53" s="17" t="str">
        <f>IF(D53="PS","Logan Water",IF(D53="WS","Logan Water",IF(D53="MV","4060000",IF(D53="R","5050000",IF(D53="PK","4090000",IF(D53="CM","Claims Management",IF(D53="E","5060000",VLOOKUP(MID(E53,3,5),'[1]List Data'!$B$1:$D$1134,3,FALSE))))))))</f>
        <v>3020000</v>
      </c>
      <c r="B53" s="18" t="s">
        <v>622</v>
      </c>
      <c r="C53" s="19">
        <v>46023</v>
      </c>
      <c r="D53" s="16" t="s">
        <v>1</v>
      </c>
      <c r="E53" s="18" t="s">
        <v>53</v>
      </c>
      <c r="F53" s="16">
        <v>1</v>
      </c>
      <c r="G53" s="20">
        <v>362</v>
      </c>
      <c r="H53" s="18" t="s">
        <v>258</v>
      </c>
      <c r="I53" s="18" t="s">
        <v>243</v>
      </c>
      <c r="J53" s="18" t="s">
        <v>13</v>
      </c>
      <c r="K53" s="18"/>
      <c r="L53" s="21">
        <v>46054</v>
      </c>
    </row>
    <row r="54" spans="1:12" x14ac:dyDescent="0.25">
      <c r="A54" s="17" t="str">
        <f>IF(D54="PS","Logan Water",IF(D54="WS","Logan Water",IF(D54="MV","4060000",IF(D54="R","5050000",IF(D54="PK","4090000",IF(D54="CM","Claims Management",IF(D54="E","5060000",VLOOKUP(MID(E54,3,5),'[1]List Data'!$B$1:$D$1134,3,FALSE))))))))</f>
        <v>3020000</v>
      </c>
      <c r="B54" s="18" t="s">
        <v>622</v>
      </c>
      <c r="C54" s="19">
        <v>46023</v>
      </c>
      <c r="D54" s="16" t="s">
        <v>1</v>
      </c>
      <c r="E54" s="18" t="s">
        <v>53</v>
      </c>
      <c r="F54" s="16">
        <v>1</v>
      </c>
      <c r="G54" s="20">
        <v>320</v>
      </c>
      <c r="H54" s="18" t="s">
        <v>259</v>
      </c>
      <c r="I54" s="18" t="s">
        <v>243</v>
      </c>
      <c r="J54" s="18" t="s">
        <v>13</v>
      </c>
      <c r="K54" s="18"/>
      <c r="L54" s="21">
        <v>46054</v>
      </c>
    </row>
    <row r="55" spans="1:12" x14ac:dyDescent="0.25">
      <c r="A55" s="17" t="str">
        <f>IF(D55="PS","Logan Water",IF(D55="WS","Logan Water",IF(D55="MV","4060000",IF(D55="R","5050000",IF(D55="PK","4090000",IF(D55="CM","Claims Management",IF(D55="E","5060000",VLOOKUP(MID(E55,3,5),'[1]List Data'!$B$1:$D$1134,3,FALSE))))))))</f>
        <v>3020000</v>
      </c>
      <c r="B55" s="18" t="s">
        <v>622</v>
      </c>
      <c r="C55" s="19">
        <v>46054</v>
      </c>
      <c r="D55" s="16" t="s">
        <v>1</v>
      </c>
      <c r="E55" s="18" t="s">
        <v>52</v>
      </c>
      <c r="F55" s="16">
        <v>1</v>
      </c>
      <c r="G55" s="26">
        <v>362</v>
      </c>
      <c r="H55" s="18" t="s">
        <v>260</v>
      </c>
      <c r="I55" s="18" t="s">
        <v>261</v>
      </c>
      <c r="J55" s="18" t="s">
        <v>13</v>
      </c>
      <c r="K55" s="18"/>
      <c r="L55" s="21">
        <v>46054</v>
      </c>
    </row>
    <row r="56" spans="1:12" x14ac:dyDescent="0.25">
      <c r="A56" s="17" t="str">
        <f>IF(D56="PS","Logan Water",IF(D56="WS","Logan Water",IF(D56="MV","4060000",IF(D56="R","5050000",IF(D56="PK","4090000",IF(D56="CM","Claims Management",IF(D56="E","5060000",VLOOKUP(MID(E56,3,5),'[1]List Data'!$B$1:$D$1134,3,FALSE))))))))</f>
        <v>3020000</v>
      </c>
      <c r="B56" s="18" t="s">
        <v>622</v>
      </c>
      <c r="C56" s="19">
        <v>46054</v>
      </c>
      <c r="D56" s="16" t="s">
        <v>1</v>
      </c>
      <c r="E56" s="18" t="s">
        <v>52</v>
      </c>
      <c r="F56" s="16">
        <v>1</v>
      </c>
      <c r="G56" s="26">
        <v>500</v>
      </c>
      <c r="H56" s="18" t="s">
        <v>262</v>
      </c>
      <c r="I56" s="18" t="s">
        <v>263</v>
      </c>
      <c r="J56" s="18" t="s">
        <v>54</v>
      </c>
      <c r="K56" s="18"/>
      <c r="L56" s="21">
        <v>46054</v>
      </c>
    </row>
    <row r="57" spans="1:12" x14ac:dyDescent="0.25">
      <c r="A57" s="17" t="str">
        <f>IF(D57="PS","Logan Water",IF(D57="WS","Logan Water",IF(D57="MV","4060000",IF(D57="R","5050000",IF(D57="PK","4090000",IF(D57="CM","Claims Management",IF(D57="E","5060000",VLOOKUP(MID(E57,3,5),'[1]List Data'!$B$1:$D$1134,3,FALSE))))))))</f>
        <v>3040000</v>
      </c>
      <c r="B57" s="18" t="s">
        <v>624</v>
      </c>
      <c r="C57" s="19">
        <v>46054</v>
      </c>
      <c r="D57" s="16" t="s">
        <v>1</v>
      </c>
      <c r="E57" s="18" t="s">
        <v>55</v>
      </c>
      <c r="F57" s="16">
        <v>1</v>
      </c>
      <c r="G57" s="26">
        <v>195</v>
      </c>
      <c r="H57" s="18" t="s">
        <v>264</v>
      </c>
      <c r="I57" s="18" t="s">
        <v>265</v>
      </c>
      <c r="J57" s="18" t="s">
        <v>9</v>
      </c>
      <c r="K57" s="18"/>
      <c r="L57" s="21">
        <v>46054</v>
      </c>
    </row>
    <row r="58" spans="1:12" x14ac:dyDescent="0.25">
      <c r="A58" s="17" t="str">
        <f>IF(D58="PS","Logan Water",IF(D58="WS","Logan Water",IF(D58="MV","4060000",IF(D58="R","5050000",IF(D58="PK","4090000",IF(D58="CM","Claims Management",IF(D58="E","5060000",VLOOKUP(MID(E58,3,5),'[1]List Data'!$B$1:$D$1134,3,FALSE))))))))</f>
        <v>3040000</v>
      </c>
      <c r="B58" s="18" t="s">
        <v>624</v>
      </c>
      <c r="C58" s="19">
        <v>46023</v>
      </c>
      <c r="D58" s="16" t="s">
        <v>1</v>
      </c>
      <c r="E58" s="18" t="s">
        <v>56</v>
      </c>
      <c r="F58" s="16">
        <v>1</v>
      </c>
      <c r="G58" s="20">
        <v>30</v>
      </c>
      <c r="H58" s="18" t="s">
        <v>266</v>
      </c>
      <c r="I58" s="18" t="s">
        <v>267</v>
      </c>
      <c r="J58" s="18" t="s">
        <v>57</v>
      </c>
      <c r="K58" s="18"/>
      <c r="L58" s="21">
        <v>46054</v>
      </c>
    </row>
    <row r="59" spans="1:12" x14ac:dyDescent="0.25">
      <c r="A59" s="17" t="str">
        <f>IF(D59="PS","Logan Water",IF(D59="WS","Logan Water",IF(D59="MV","4060000",IF(D59="R","5050000",IF(D59="PK","4090000",IF(D59="CM","Claims Management",IF(D59="E","5060000",VLOOKUP(MID(E59,3,5),'[1]List Data'!$B$1:$D$1134,3,FALSE))))))))</f>
        <v>3040000</v>
      </c>
      <c r="B59" s="18" t="s">
        <v>624</v>
      </c>
      <c r="C59" s="19">
        <v>46023</v>
      </c>
      <c r="D59" s="16" t="s">
        <v>1</v>
      </c>
      <c r="E59" s="18" t="s">
        <v>58</v>
      </c>
      <c r="F59" s="16">
        <v>1</v>
      </c>
      <c r="G59" s="20">
        <v>195</v>
      </c>
      <c r="H59" s="18" t="s">
        <v>268</v>
      </c>
      <c r="I59" s="18" t="s">
        <v>269</v>
      </c>
      <c r="J59" s="18" t="s">
        <v>19</v>
      </c>
      <c r="K59" s="18" t="s">
        <v>270</v>
      </c>
      <c r="L59" s="21">
        <v>46054</v>
      </c>
    </row>
    <row r="60" spans="1:12" x14ac:dyDescent="0.25">
      <c r="A60" s="17" t="str">
        <f>IF(D60="PS","Logan Water",IF(D60="WS","Logan Water",IF(D60="MV","4060000",IF(D60="R","5050000",IF(D60="PK","4090000",IF(D60="CM","Claims Management",IF(D60="E","5060000",VLOOKUP(MID(E60,3,5),'[1]List Data'!$B$1:$D$1134,3,FALSE))))))))</f>
        <v>3040000</v>
      </c>
      <c r="B60" s="22" t="s">
        <v>624</v>
      </c>
      <c r="C60" s="19">
        <v>46054</v>
      </c>
      <c r="D60" s="23" t="s">
        <v>1</v>
      </c>
      <c r="E60" s="24" t="s">
        <v>59</v>
      </c>
      <c r="F60" s="23">
        <v>1</v>
      </c>
      <c r="G60" s="25">
        <v>30</v>
      </c>
      <c r="H60" s="24" t="s">
        <v>271</v>
      </c>
      <c r="I60" s="24" t="s">
        <v>272</v>
      </c>
      <c r="J60" s="18" t="s">
        <v>60</v>
      </c>
      <c r="K60" s="18"/>
      <c r="L60" s="21">
        <v>46054</v>
      </c>
    </row>
    <row r="61" spans="1:12" x14ac:dyDescent="0.25">
      <c r="A61" s="17" t="str">
        <f>IF(D61="PS","Logan Water",IF(D61="WS","Logan Water",IF(D61="MV","4060000",IF(D61="R","5050000",IF(D61="PK","4090000",IF(D61="CM","Claims Management",IF(D61="E","5060000",VLOOKUP(MID(E61,3,5),'[1]List Data'!$B$1:$D$1134,3,FALSE))))))))</f>
        <v>3040000</v>
      </c>
      <c r="B61" s="18" t="s">
        <v>624</v>
      </c>
      <c r="C61" s="19">
        <v>46054</v>
      </c>
      <c r="D61" s="16" t="s">
        <v>1</v>
      </c>
      <c r="E61" s="18" t="s">
        <v>55</v>
      </c>
      <c r="F61" s="16">
        <v>1</v>
      </c>
      <c r="G61" s="26">
        <v>210</v>
      </c>
      <c r="H61" s="18" t="s">
        <v>273</v>
      </c>
      <c r="I61" s="18" t="s">
        <v>274</v>
      </c>
      <c r="J61" s="18" t="s">
        <v>23</v>
      </c>
      <c r="K61" s="18"/>
      <c r="L61" s="21">
        <v>46054</v>
      </c>
    </row>
    <row r="62" spans="1:12" x14ac:dyDescent="0.25">
      <c r="A62" s="17" t="str">
        <f>IF(D62="PS","Logan Water",IF(D62="WS","Logan Water",IF(D62="MV","4060000",IF(D62="R","5050000",IF(D62="PK","4090000",IF(D62="CM","Claims Management",IF(D62="E","5060000",VLOOKUP(MID(E62,3,5),'[1]List Data'!$B$1:$D$1134,3,FALSE))))))))</f>
        <v>3040000</v>
      </c>
      <c r="B62" s="18" t="s">
        <v>624</v>
      </c>
      <c r="C62" s="19">
        <v>46054</v>
      </c>
      <c r="D62" s="16" t="s">
        <v>1</v>
      </c>
      <c r="E62" s="18" t="s">
        <v>59</v>
      </c>
      <c r="F62" s="16">
        <v>1</v>
      </c>
      <c r="G62" s="26">
        <v>429</v>
      </c>
      <c r="H62" s="18" t="s">
        <v>275</v>
      </c>
      <c r="I62" s="18" t="s">
        <v>276</v>
      </c>
      <c r="J62" s="18" t="s">
        <v>7</v>
      </c>
      <c r="K62" s="18"/>
      <c r="L62" s="21">
        <v>46054</v>
      </c>
    </row>
    <row r="63" spans="1:12" x14ac:dyDescent="0.25">
      <c r="A63" s="17" t="str">
        <f>IF(D63="PS","Logan Water",IF(D63="WS","Logan Water",IF(D63="MV","4060000",IF(D63="R","5050000",IF(D63="PK","4090000",IF(D63="CM","Claims Management",IF(D63="E","5060000",VLOOKUP(MID(E63,3,5),'[1]List Data'!$B$1:$D$1134,3,FALSE))))))))</f>
        <v>3040000</v>
      </c>
      <c r="B63" s="18" t="s">
        <v>624</v>
      </c>
      <c r="C63" s="19">
        <v>46054</v>
      </c>
      <c r="D63" s="16" t="s">
        <v>1</v>
      </c>
      <c r="E63" s="18" t="s">
        <v>59</v>
      </c>
      <c r="F63" s="16">
        <v>1</v>
      </c>
      <c r="G63" s="26">
        <v>60</v>
      </c>
      <c r="H63" s="18" t="s">
        <v>277</v>
      </c>
      <c r="I63" s="18" t="s">
        <v>278</v>
      </c>
      <c r="J63" s="18" t="s">
        <v>61</v>
      </c>
      <c r="K63" s="18"/>
      <c r="L63" s="21">
        <v>46054</v>
      </c>
    </row>
    <row r="64" spans="1:12" x14ac:dyDescent="0.25">
      <c r="A64" s="17" t="str">
        <f>IF(D64="PS","Logan Water",IF(D64="WS","Logan Water",IF(D64="MV","4060000",IF(D64="R","5050000",IF(D64="PK","4090000",IF(D64="CM","Claims Management",IF(D64="E","5060000",VLOOKUP(MID(E64,3,5),'[1]List Data'!$B$1:$D$1134,3,FALSE))))))))</f>
        <v>3060000</v>
      </c>
      <c r="B64" s="18" t="s">
        <v>623</v>
      </c>
      <c r="C64" s="19">
        <v>46016</v>
      </c>
      <c r="D64" s="16" t="s">
        <v>1</v>
      </c>
      <c r="E64" s="18" t="s">
        <v>62</v>
      </c>
      <c r="F64" s="16">
        <v>1</v>
      </c>
      <c r="G64" s="20">
        <v>1699</v>
      </c>
      <c r="H64" s="18" t="s">
        <v>279</v>
      </c>
      <c r="I64" s="18" t="s">
        <v>280</v>
      </c>
      <c r="J64" s="18" t="s">
        <v>63</v>
      </c>
      <c r="K64" s="18"/>
      <c r="L64" s="21">
        <v>46054</v>
      </c>
    </row>
    <row r="65" spans="1:12" x14ac:dyDescent="0.25">
      <c r="A65" s="17" t="str">
        <f>IF(D65="PS","Logan Water",IF(D65="WS","Logan Water",IF(D65="MV","4060000",IF(D65="R","5050000",IF(D65="PK","4090000",IF(D65="CM","Claims Management",IF(D65="E","5060000",VLOOKUP(MID(E65,3,5),'[1]List Data'!$B$1:$D$1134,3,FALSE))))))))</f>
        <v>3060000</v>
      </c>
      <c r="B65" s="18" t="s">
        <v>624</v>
      </c>
      <c r="C65" s="19">
        <v>46023</v>
      </c>
      <c r="D65" s="16" t="s">
        <v>1</v>
      </c>
      <c r="E65" s="18" t="s">
        <v>64</v>
      </c>
      <c r="F65" s="16">
        <v>1</v>
      </c>
      <c r="G65" s="20">
        <v>195</v>
      </c>
      <c r="H65" s="18" t="s">
        <v>281</v>
      </c>
      <c r="I65" s="18" t="s">
        <v>282</v>
      </c>
      <c r="J65" s="18" t="s">
        <v>9</v>
      </c>
      <c r="K65" s="18"/>
      <c r="L65" s="21">
        <v>46054</v>
      </c>
    </row>
    <row r="66" spans="1:12" x14ac:dyDescent="0.25">
      <c r="A66" s="17" t="str">
        <f>IF(D66="PS","Logan Water",IF(D66="WS","Logan Water",IF(D66="MV","4060000",IF(D66="R","5050000",IF(D66="PK","4090000",IF(D66="CM","Claims Management",IF(D66="E","5060000",VLOOKUP(MID(E66,3,5),'[1]List Data'!$B$1:$D$1134,3,FALSE))))))))</f>
        <v>3060000</v>
      </c>
      <c r="B66" s="18" t="s">
        <v>624</v>
      </c>
      <c r="C66" s="19">
        <v>46023</v>
      </c>
      <c r="D66" s="16" t="s">
        <v>1</v>
      </c>
      <c r="E66" s="18" t="s">
        <v>65</v>
      </c>
      <c r="F66" s="16">
        <v>1</v>
      </c>
      <c r="G66" s="20">
        <v>59</v>
      </c>
      <c r="H66" s="18" t="s">
        <v>283</v>
      </c>
      <c r="I66" s="18" t="s">
        <v>284</v>
      </c>
      <c r="J66" s="18" t="s">
        <v>66</v>
      </c>
      <c r="K66" s="18"/>
      <c r="L66" s="21">
        <v>46054</v>
      </c>
    </row>
    <row r="67" spans="1:12" x14ac:dyDescent="0.25">
      <c r="A67" s="17" t="str">
        <f>IF(D67="PS","Logan Water",IF(D67="WS","Logan Water",IF(D67="MV","4060000",IF(D67="R","5050000",IF(D67="PK","4090000",IF(D67="CM","Claims Management",IF(D67="E","5060000",VLOOKUP(MID(E67,3,5),'[1]List Data'!$B$1:$D$1134,3,FALSE))))))))</f>
        <v>3060000</v>
      </c>
      <c r="B67" s="18" t="s">
        <v>624</v>
      </c>
      <c r="C67" s="19">
        <v>46054</v>
      </c>
      <c r="D67" s="16" t="s">
        <v>1</v>
      </c>
      <c r="E67" s="18" t="s">
        <v>67</v>
      </c>
      <c r="F67" s="16">
        <v>1</v>
      </c>
      <c r="G67" s="26">
        <v>59</v>
      </c>
      <c r="H67" s="18" t="s">
        <v>285</v>
      </c>
      <c r="I67" s="28" t="s">
        <v>286</v>
      </c>
      <c r="J67" s="18" t="s">
        <v>66</v>
      </c>
      <c r="K67" s="18"/>
      <c r="L67" s="21">
        <v>46054</v>
      </c>
    </row>
    <row r="68" spans="1:12" x14ac:dyDescent="0.25">
      <c r="A68" s="17" t="str">
        <f>IF(D68="PS","Logan Water",IF(D68="WS","Logan Water",IF(D68="MV","4060000",IF(D68="R","5050000",IF(D68="PK","4090000",IF(D68="CM","Claims Management",IF(D68="E","5060000",VLOOKUP(MID(E68,3,5),'[1]List Data'!$B$1:$D$1134,3,FALSE))))))))</f>
        <v>3060000</v>
      </c>
      <c r="B68" s="18" t="s">
        <v>622</v>
      </c>
      <c r="C68" s="19">
        <v>46054</v>
      </c>
      <c r="D68" s="16" t="s">
        <v>1</v>
      </c>
      <c r="E68" s="18" t="s">
        <v>68</v>
      </c>
      <c r="F68" s="16">
        <v>1</v>
      </c>
      <c r="G68" s="26">
        <v>410</v>
      </c>
      <c r="H68" s="18" t="s">
        <v>287</v>
      </c>
      <c r="I68" s="18" t="s">
        <v>288</v>
      </c>
      <c r="J68" s="18" t="s">
        <v>11</v>
      </c>
      <c r="K68" s="18"/>
      <c r="L68" s="21">
        <v>46054</v>
      </c>
    </row>
    <row r="69" spans="1:12" x14ac:dyDescent="0.25">
      <c r="A69" s="17" t="str">
        <f>IF(D69="PS","Logan Water",IF(D69="WS","Logan Water",IF(D69="MV","4060000",IF(D69="R","5050000",IF(D69="PK","4090000",IF(D69="CM","Claims Management",IF(D69="E","5060000",VLOOKUP(MID(E69,3,5),'[1]List Data'!$B$1:$D$1134,3,FALSE))))))))</f>
        <v>3060000</v>
      </c>
      <c r="B69" s="18" t="s">
        <v>622</v>
      </c>
      <c r="C69" s="19">
        <v>46054</v>
      </c>
      <c r="D69" s="16" t="s">
        <v>1</v>
      </c>
      <c r="E69" s="18" t="s">
        <v>69</v>
      </c>
      <c r="F69" s="16">
        <v>1</v>
      </c>
      <c r="G69" s="26">
        <v>320</v>
      </c>
      <c r="H69" s="18" t="s">
        <v>289</v>
      </c>
      <c r="I69" s="18" t="s">
        <v>290</v>
      </c>
      <c r="J69" s="18" t="s">
        <v>13</v>
      </c>
      <c r="K69" s="18"/>
      <c r="L69" s="21">
        <v>46054</v>
      </c>
    </row>
    <row r="70" spans="1:12" x14ac:dyDescent="0.25">
      <c r="A70" s="17" t="str">
        <f>IF(D70="PS","Logan Water",IF(D70="WS","Logan Water",IF(D70="MV","4060000",IF(D70="R","5050000",IF(D70="PK","4090000",IF(D70="CM","Claims Management",IF(D70="E","5060000",VLOOKUP(MID(E70,3,5),'[1]List Data'!$B$1:$D$1134,3,FALSE))))))))</f>
        <v>3060000</v>
      </c>
      <c r="B70" s="18" t="s">
        <v>622</v>
      </c>
      <c r="C70" s="19">
        <v>46054</v>
      </c>
      <c r="D70" s="16" t="s">
        <v>1</v>
      </c>
      <c r="E70" s="18" t="s">
        <v>70</v>
      </c>
      <c r="F70" s="16">
        <v>1</v>
      </c>
      <c r="G70" s="26">
        <v>320</v>
      </c>
      <c r="H70" s="18" t="s">
        <v>291</v>
      </c>
      <c r="I70" s="18" t="s">
        <v>292</v>
      </c>
      <c r="J70" s="18" t="s">
        <v>13</v>
      </c>
      <c r="K70" s="18"/>
      <c r="L70" s="21">
        <v>46054</v>
      </c>
    </row>
    <row r="71" spans="1:12" x14ac:dyDescent="0.25">
      <c r="A71" s="17" t="str">
        <f>IF(D71="PS","Logan Water",IF(D71="WS","Logan Water",IF(D71="MV","4060000",IF(D71="R","5050000",IF(D71="PK","4090000",IF(D71="CM","Claims Management",IF(D71="E","5060000",VLOOKUP(MID(E71,3,5),'[1]List Data'!$B$1:$D$1134,3,FALSE))))))))</f>
        <v>3060000</v>
      </c>
      <c r="B71" s="18" t="s">
        <v>622</v>
      </c>
      <c r="C71" s="19">
        <v>46054</v>
      </c>
      <c r="D71" s="16" t="s">
        <v>1</v>
      </c>
      <c r="E71" s="18" t="s">
        <v>70</v>
      </c>
      <c r="F71" s="16">
        <v>1</v>
      </c>
      <c r="G71" s="26">
        <v>320</v>
      </c>
      <c r="H71" s="18" t="s">
        <v>293</v>
      </c>
      <c r="I71" s="18" t="s">
        <v>294</v>
      </c>
      <c r="J71" s="18" t="s">
        <v>13</v>
      </c>
      <c r="K71" s="18"/>
      <c r="L71" s="21">
        <v>46054</v>
      </c>
    </row>
    <row r="72" spans="1:12" x14ac:dyDescent="0.25">
      <c r="A72" s="17" t="str">
        <f>IF(D72="PS","Logan Water",IF(D72="WS","Logan Water",IF(D72="MV","4060000",IF(D72="R","5050000",IF(D72="PK","4090000",IF(D72="CM","Claims Management",IF(D72="E","5060000",VLOOKUP(MID(E72,3,5),'[1]List Data'!$B$1:$D$1134,3,FALSE))))))))</f>
        <v>3070000</v>
      </c>
      <c r="B72" s="18" t="s">
        <v>624</v>
      </c>
      <c r="C72" s="19">
        <v>46023</v>
      </c>
      <c r="D72" s="16" t="s">
        <v>1</v>
      </c>
      <c r="E72" s="18" t="s">
        <v>71</v>
      </c>
      <c r="F72" s="16">
        <v>1</v>
      </c>
      <c r="G72" s="20">
        <v>40</v>
      </c>
      <c r="H72" s="18" t="s">
        <v>295</v>
      </c>
      <c r="I72" s="18" t="s">
        <v>296</v>
      </c>
      <c r="J72" s="18" t="s">
        <v>18</v>
      </c>
      <c r="K72" s="18"/>
      <c r="L72" s="21">
        <v>46054</v>
      </c>
    </row>
    <row r="73" spans="1:12" x14ac:dyDescent="0.25">
      <c r="A73" s="17" t="str">
        <f>IF(D73="PS","Logan Water",IF(D73="WS","Logan Water",IF(D73="MV","4060000",IF(D73="R","5050000",IF(D73="PK","4090000",IF(D73="CM","Claims Management",IF(D73="E","5060000",VLOOKUP(MID(E73,3,5),'[1]List Data'!$B$1:$D$1134,3,FALSE))))))))</f>
        <v>3070000</v>
      </c>
      <c r="B73" s="18" t="s">
        <v>624</v>
      </c>
      <c r="C73" s="19">
        <v>46023</v>
      </c>
      <c r="D73" s="16" t="s">
        <v>1</v>
      </c>
      <c r="E73" s="18" t="s">
        <v>71</v>
      </c>
      <c r="F73" s="16">
        <v>1</v>
      </c>
      <c r="G73" s="20">
        <v>96</v>
      </c>
      <c r="H73" s="18" t="s">
        <v>297</v>
      </c>
      <c r="I73" s="18" t="s">
        <v>298</v>
      </c>
      <c r="J73" s="18" t="s">
        <v>72</v>
      </c>
      <c r="K73" s="18"/>
      <c r="L73" s="21">
        <v>46054</v>
      </c>
    </row>
    <row r="74" spans="1:12" x14ac:dyDescent="0.25">
      <c r="A74" s="17" t="str">
        <f>IF(D74="PS","Logan Water",IF(D74="WS","Logan Water",IF(D74="MV","4060000",IF(D74="R","5050000",IF(D74="PK","4090000",IF(D74="CM","Claims Management",IF(D74="E","5060000",VLOOKUP(MID(E74,3,5),'[1]List Data'!$B$1:$D$1134,3,FALSE))))))))</f>
        <v>3070000</v>
      </c>
      <c r="B74" s="18" t="s">
        <v>622</v>
      </c>
      <c r="C74" s="19">
        <v>46023</v>
      </c>
      <c r="D74" s="16" t="s">
        <v>1</v>
      </c>
      <c r="E74" s="18" t="s">
        <v>73</v>
      </c>
      <c r="F74" s="16">
        <v>1</v>
      </c>
      <c r="G74" s="20">
        <v>523</v>
      </c>
      <c r="H74" s="18" t="s">
        <v>299</v>
      </c>
      <c r="I74" s="18" t="s">
        <v>296</v>
      </c>
      <c r="J74" s="18" t="s">
        <v>74</v>
      </c>
      <c r="K74" s="18" t="s">
        <v>300</v>
      </c>
      <c r="L74" s="21">
        <v>46054</v>
      </c>
    </row>
    <row r="75" spans="1:12" x14ac:dyDescent="0.25">
      <c r="A75" s="17" t="str">
        <f>IF(D75="PS","Logan Water",IF(D75="WS","Logan Water",IF(D75="MV","4060000",IF(D75="R","5050000",IF(D75="PK","4090000",IF(D75="CM","Claims Management",IF(D75="E","5060000",VLOOKUP(MID(E75,3,5),'[1]List Data'!$B$1:$D$1134,3,FALSE))))))))</f>
        <v>4010000</v>
      </c>
      <c r="B75" s="18" t="s">
        <v>622</v>
      </c>
      <c r="C75" s="19">
        <v>46023</v>
      </c>
      <c r="D75" s="16" t="s">
        <v>1</v>
      </c>
      <c r="E75" s="18" t="s">
        <v>75</v>
      </c>
      <c r="F75" s="16">
        <v>1</v>
      </c>
      <c r="G75" s="20">
        <v>362</v>
      </c>
      <c r="H75" s="18" t="s">
        <v>301</v>
      </c>
      <c r="I75" s="18" t="s">
        <v>302</v>
      </c>
      <c r="J75" s="18" t="s">
        <v>13</v>
      </c>
      <c r="K75" s="18"/>
      <c r="L75" s="21">
        <v>46054</v>
      </c>
    </row>
    <row r="76" spans="1:12" x14ac:dyDescent="0.25">
      <c r="A76" s="17" t="str">
        <f>IF(D76="PS","Logan Water",IF(D76="WS","Logan Water",IF(D76="MV","4060000",IF(D76="R","5050000",IF(D76="PK","4090000",IF(D76="CM","Claims Management",IF(D76="E","5060000",VLOOKUP(MID(E76,3,5),'[1]List Data'!$B$1:$D$1134,3,FALSE))))))))</f>
        <v>4020000</v>
      </c>
      <c r="B76" s="18" t="s">
        <v>623</v>
      </c>
      <c r="C76" s="19">
        <v>46016</v>
      </c>
      <c r="D76" s="16" t="s">
        <v>1</v>
      </c>
      <c r="E76" s="18" t="s">
        <v>76</v>
      </c>
      <c r="F76" s="16">
        <v>1</v>
      </c>
      <c r="G76" s="20">
        <v>6158.9</v>
      </c>
      <c r="H76" s="18" t="s">
        <v>303</v>
      </c>
      <c r="I76" s="18" t="s">
        <v>304</v>
      </c>
      <c r="J76" s="18" t="s">
        <v>77</v>
      </c>
      <c r="K76" s="18"/>
      <c r="L76" s="21">
        <v>46054</v>
      </c>
    </row>
    <row r="77" spans="1:12" x14ac:dyDescent="0.25">
      <c r="A77" s="17" t="str">
        <f>IF(D77="PS","Logan Water",IF(D77="WS","Logan Water",IF(D77="MV","4060000",IF(D77="R","5050000",IF(D77="PK","4090000",IF(D77="CM","Claims Management",IF(D77="E","5060000",VLOOKUP(MID(E77,3,5),'[1]List Data'!$B$1:$D$1134,3,FALSE))))))))</f>
        <v>4020000</v>
      </c>
      <c r="B77" s="18" t="s">
        <v>623</v>
      </c>
      <c r="C77" s="19">
        <v>46023</v>
      </c>
      <c r="D77" s="16" t="s">
        <v>1</v>
      </c>
      <c r="E77" s="18" t="s">
        <v>76</v>
      </c>
      <c r="F77" s="16">
        <v>1</v>
      </c>
      <c r="G77" s="20">
        <v>7790</v>
      </c>
      <c r="H77" s="18" t="s">
        <v>303</v>
      </c>
      <c r="I77" s="18" t="s">
        <v>304</v>
      </c>
      <c r="J77" s="18" t="s">
        <v>78</v>
      </c>
      <c r="K77" s="18" t="s">
        <v>305</v>
      </c>
      <c r="L77" s="21">
        <v>46054</v>
      </c>
    </row>
    <row r="78" spans="1:12" x14ac:dyDescent="0.25">
      <c r="A78" s="17" t="str">
        <f>IF(D78="PS","Logan Water",IF(D78="WS","Logan Water",IF(D78="MV","4060000",IF(D78="R","5050000",IF(D78="PK","4090000",IF(D78="CM","Claims Management",IF(D78="E","5060000",VLOOKUP(MID(E78,3,5),'[1]List Data'!$B$1:$D$1134,3,FALSE))))))))</f>
        <v>4020000</v>
      </c>
      <c r="B78" s="18" t="s">
        <v>624</v>
      </c>
      <c r="C78" s="19">
        <v>46054</v>
      </c>
      <c r="D78" s="16" t="s">
        <v>1</v>
      </c>
      <c r="E78" s="18" t="s">
        <v>79</v>
      </c>
      <c r="F78" s="16">
        <v>1</v>
      </c>
      <c r="G78" s="26">
        <v>195</v>
      </c>
      <c r="H78" s="18" t="s">
        <v>306</v>
      </c>
      <c r="I78" s="18" t="s">
        <v>307</v>
      </c>
      <c r="J78" s="18" t="s">
        <v>9</v>
      </c>
      <c r="K78" s="18"/>
      <c r="L78" s="21">
        <v>46054</v>
      </c>
    </row>
    <row r="79" spans="1:12" x14ac:dyDescent="0.25">
      <c r="A79" s="17" t="str">
        <f>IF(D79="PS","Logan Water",IF(D79="WS","Logan Water",IF(D79="MV","4060000",IF(D79="R","5050000",IF(D79="PK","4090000",IF(D79="CM","Claims Management",IF(D79="E","5060000",VLOOKUP(MID(E79,3,5),'[1]List Data'!$B$1:$D$1134,3,FALSE))))))))</f>
        <v>4050000</v>
      </c>
      <c r="B79" s="18" t="s">
        <v>624</v>
      </c>
      <c r="C79" s="19">
        <v>46023</v>
      </c>
      <c r="D79" s="16" t="s">
        <v>1</v>
      </c>
      <c r="E79" s="18" t="s">
        <v>80</v>
      </c>
      <c r="F79" s="16">
        <v>2</v>
      </c>
      <c r="G79" s="20">
        <v>80</v>
      </c>
      <c r="H79" s="18" t="s">
        <v>308</v>
      </c>
      <c r="I79" s="18" t="s">
        <v>309</v>
      </c>
      <c r="J79" s="18" t="s">
        <v>18</v>
      </c>
      <c r="K79" s="18"/>
      <c r="L79" s="21">
        <v>46054</v>
      </c>
    </row>
    <row r="80" spans="1:12" x14ac:dyDescent="0.25">
      <c r="A80" s="17" t="str">
        <f>IF(D80="PS","Logan Water",IF(D80="WS","Logan Water",IF(D80="MV","4060000",IF(D80="R","5050000",IF(D80="PK","4090000",IF(D80="CM","Claims Management",IF(D80="E","5060000",VLOOKUP(MID(E80,3,5),'[1]List Data'!$B$1:$D$1134,3,FALSE))))))))</f>
        <v>4050000</v>
      </c>
      <c r="B80" s="22" t="s">
        <v>624</v>
      </c>
      <c r="C80" s="19">
        <v>46054</v>
      </c>
      <c r="D80" s="23" t="s">
        <v>1</v>
      </c>
      <c r="E80" s="24" t="s">
        <v>81</v>
      </c>
      <c r="F80" s="23">
        <v>1</v>
      </c>
      <c r="G80" s="25">
        <v>96</v>
      </c>
      <c r="H80" s="24" t="s">
        <v>310</v>
      </c>
      <c r="I80" s="24" t="s">
        <v>309</v>
      </c>
      <c r="J80" s="18" t="s">
        <v>72</v>
      </c>
      <c r="K80" s="18"/>
      <c r="L80" s="21">
        <v>46054</v>
      </c>
    </row>
    <row r="81" spans="1:12" x14ac:dyDescent="0.25">
      <c r="A81" s="17" t="str">
        <f>IF(D81="PS","Logan Water",IF(D81="WS","Logan Water",IF(D81="MV","4060000",IF(D81="R","5050000",IF(D81="PK","4090000",IF(D81="CM","Claims Management",IF(D81="E","5060000",VLOOKUP(MID(E81,3,5),'[1]List Data'!$B$1:$D$1134,3,FALSE))))))))</f>
        <v>4050000</v>
      </c>
      <c r="B81" s="18" t="s">
        <v>624</v>
      </c>
      <c r="C81" s="19">
        <v>46054</v>
      </c>
      <c r="D81" s="16" t="s">
        <v>1</v>
      </c>
      <c r="E81" s="18" t="s">
        <v>82</v>
      </c>
      <c r="F81" s="16">
        <v>1</v>
      </c>
      <c r="G81" s="26">
        <v>439</v>
      </c>
      <c r="H81" s="18" t="s">
        <v>311</v>
      </c>
      <c r="I81" s="18" t="s">
        <v>309</v>
      </c>
      <c r="J81" s="18" t="s">
        <v>7</v>
      </c>
      <c r="K81" s="18"/>
      <c r="L81" s="21">
        <v>46054</v>
      </c>
    </row>
    <row r="82" spans="1:12" x14ac:dyDescent="0.25">
      <c r="A82" s="17" t="str">
        <f>IF(D82="PS","Logan Water",IF(D82="WS","Logan Water",IF(D82="MV","4060000",IF(D82="R","5050000",IF(D82="PK","4090000",IF(D82="CM","Claims Management",IF(D82="E","5060000",VLOOKUP(MID(E82,3,5),'[1]List Data'!$B$1:$D$1134,3,FALSE))))))))</f>
        <v>4050000</v>
      </c>
      <c r="B82" s="22" t="s">
        <v>622</v>
      </c>
      <c r="C82" s="19">
        <v>46054</v>
      </c>
      <c r="D82" s="23" t="s">
        <v>1</v>
      </c>
      <c r="E82" s="24" t="s">
        <v>83</v>
      </c>
      <c r="F82" s="23">
        <v>2</v>
      </c>
      <c r="G82" s="25">
        <v>404.72</v>
      </c>
      <c r="H82" s="24" t="s">
        <v>312</v>
      </c>
      <c r="I82" s="24" t="s">
        <v>313</v>
      </c>
      <c r="J82" s="18" t="s">
        <v>84</v>
      </c>
      <c r="K82" s="18"/>
      <c r="L82" s="21">
        <v>46054</v>
      </c>
    </row>
    <row r="83" spans="1:12" x14ac:dyDescent="0.25">
      <c r="A83" s="17" t="str">
        <f>IF(D83="PS","Logan Water",IF(D83="WS","Logan Water",IF(D83="MV","4060000",IF(D83="R","5050000",IF(D83="PK","4090000",IF(D83="CM","Claims Management",IF(D83="E","5060000",VLOOKUP(MID(E83,3,5),'[1]List Data'!$B$1:$D$1134,3,FALSE))))))))</f>
        <v>4050000</v>
      </c>
      <c r="B83" s="18" t="s">
        <v>622</v>
      </c>
      <c r="C83" s="19">
        <v>46023</v>
      </c>
      <c r="D83" s="16" t="s">
        <v>1</v>
      </c>
      <c r="E83" s="18" t="s">
        <v>85</v>
      </c>
      <c r="F83" s="16">
        <v>1</v>
      </c>
      <c r="G83" s="20">
        <v>836.24</v>
      </c>
      <c r="H83" s="18" t="s">
        <v>314</v>
      </c>
      <c r="I83" s="18" t="s">
        <v>315</v>
      </c>
      <c r="J83" s="18" t="s">
        <v>86</v>
      </c>
      <c r="K83" s="18"/>
      <c r="L83" s="21">
        <v>46054</v>
      </c>
    </row>
    <row r="84" spans="1:12" x14ac:dyDescent="0.25">
      <c r="A84" s="17" t="str">
        <f>IF(D84="PS","Logan Water",IF(D84="WS","Logan Water",IF(D84="MV","4060000",IF(D84="R","5050000",IF(D84="PK","4090000",IF(D84="CM","Claims Management",IF(D84="E","5060000",VLOOKUP(MID(E84,3,5),'[1]List Data'!$B$1:$D$1134,3,FALSE))))))))</f>
        <v>4060000</v>
      </c>
      <c r="B84" s="18" t="s">
        <v>624</v>
      </c>
      <c r="C84" s="19">
        <v>46023</v>
      </c>
      <c r="D84" s="16" t="s">
        <v>1</v>
      </c>
      <c r="E84" s="18" t="s">
        <v>87</v>
      </c>
      <c r="F84" s="16">
        <v>1</v>
      </c>
      <c r="G84" s="20">
        <v>27.23</v>
      </c>
      <c r="H84" s="18" t="s">
        <v>316</v>
      </c>
      <c r="I84" s="18" t="s">
        <v>317</v>
      </c>
      <c r="J84" s="18" t="s">
        <v>50</v>
      </c>
      <c r="K84" s="18"/>
      <c r="L84" s="21">
        <v>46054</v>
      </c>
    </row>
    <row r="85" spans="1:12" x14ac:dyDescent="0.25">
      <c r="A85" s="17" t="str">
        <f>IF(D85="PS","Logan Water",IF(D85="WS","Logan Water",IF(D85="MV","4060000",IF(D85="R","5050000",IF(D85="PK","4090000",IF(D85="CM","Claims Management",IF(D85="E","5060000",VLOOKUP(MID(E85,3,5),'[1]List Data'!$B$1:$D$1134,3,FALSE))))))))</f>
        <v>4060000</v>
      </c>
      <c r="B85" s="18" t="s">
        <v>624</v>
      </c>
      <c r="C85" s="19">
        <v>46023</v>
      </c>
      <c r="D85" s="16" t="s">
        <v>1</v>
      </c>
      <c r="E85" s="18" t="s">
        <v>88</v>
      </c>
      <c r="F85" s="16">
        <v>1</v>
      </c>
      <c r="G85" s="20">
        <v>50</v>
      </c>
      <c r="H85" s="18" t="s">
        <v>318</v>
      </c>
      <c r="I85" s="18" t="s">
        <v>319</v>
      </c>
      <c r="J85" s="18" t="s">
        <v>89</v>
      </c>
      <c r="K85" s="18"/>
      <c r="L85" s="21">
        <v>46054</v>
      </c>
    </row>
    <row r="86" spans="1:12" x14ac:dyDescent="0.25">
      <c r="A86" s="17" t="str">
        <f>IF(D86="PS","Logan Water",IF(D86="WS","Logan Water",IF(D86="MV","4060000",IF(D86="R","5050000",IF(D86="PK","4090000",IF(D86="CM","Claims Management",IF(D86="E","5060000",VLOOKUP(MID(E86,3,5),'[1]List Data'!$B$1:$D$1134,3,FALSE))))))))</f>
        <v>4060000</v>
      </c>
      <c r="B86" s="18" t="s">
        <v>624</v>
      </c>
      <c r="C86" s="19">
        <v>46023</v>
      </c>
      <c r="D86" s="16" t="s">
        <v>1</v>
      </c>
      <c r="E86" s="18" t="s">
        <v>90</v>
      </c>
      <c r="F86" s="16">
        <v>1</v>
      </c>
      <c r="G86" s="20">
        <v>59</v>
      </c>
      <c r="H86" s="18" t="s">
        <v>320</v>
      </c>
      <c r="I86" s="18" t="s">
        <v>321</v>
      </c>
      <c r="J86" s="18" t="s">
        <v>66</v>
      </c>
      <c r="K86" s="18"/>
      <c r="L86" s="21">
        <v>46054</v>
      </c>
    </row>
    <row r="87" spans="1:12" x14ac:dyDescent="0.25">
      <c r="A87" s="17" t="str">
        <f>IF(D87="PS","Logan Water",IF(D87="WS","Logan Water",IF(D87="MV","4060000",IF(D87="R","5050000",IF(D87="PK","4090000",IF(D87="CM","Claims Management",IF(D87="E","5060000",VLOOKUP(MID(E87,3,5),'[1]List Data'!$B$1:$D$1134,3,FALSE))))))))</f>
        <v>4060000</v>
      </c>
      <c r="B87" s="18" t="s">
        <v>624</v>
      </c>
      <c r="C87" s="19">
        <v>46023</v>
      </c>
      <c r="D87" s="16" t="s">
        <v>1</v>
      </c>
      <c r="E87" s="18" t="s">
        <v>91</v>
      </c>
      <c r="F87" s="16">
        <v>1</v>
      </c>
      <c r="G87" s="20">
        <v>50</v>
      </c>
      <c r="H87" s="18" t="s">
        <v>322</v>
      </c>
      <c r="I87" s="18" t="s">
        <v>319</v>
      </c>
      <c r="J87" s="18" t="s">
        <v>89</v>
      </c>
      <c r="K87" s="18"/>
      <c r="L87" s="21">
        <v>46054</v>
      </c>
    </row>
    <row r="88" spans="1:12" x14ac:dyDescent="0.25">
      <c r="A88" s="17" t="str">
        <f>IF(D88="PS","Logan Water",IF(D88="WS","Logan Water",IF(D88="MV","4060000",IF(D88="R","5050000",IF(D88="PK","4090000",IF(D88="CM","Claims Management",IF(D88="E","5060000",VLOOKUP(MID(E88,3,5),'[1]List Data'!$B$1:$D$1134,3,FALSE))))))))</f>
        <v>4060000</v>
      </c>
      <c r="B88" s="18" t="s">
        <v>624</v>
      </c>
      <c r="C88" s="19">
        <v>46023</v>
      </c>
      <c r="D88" s="16" t="s">
        <v>1</v>
      </c>
      <c r="E88" s="18" t="s">
        <v>91</v>
      </c>
      <c r="F88" s="16">
        <v>1</v>
      </c>
      <c r="G88" s="20">
        <v>59</v>
      </c>
      <c r="H88" s="18" t="s">
        <v>322</v>
      </c>
      <c r="I88" s="18" t="s">
        <v>319</v>
      </c>
      <c r="J88" s="18" t="s">
        <v>66</v>
      </c>
      <c r="K88" s="18"/>
      <c r="L88" s="21">
        <v>46054</v>
      </c>
    </row>
    <row r="89" spans="1:12" x14ac:dyDescent="0.25">
      <c r="A89" s="17" t="str">
        <f>IF(D89="PS","Logan Water",IF(D89="WS","Logan Water",IF(D89="MV","4060000",IF(D89="R","5050000",IF(D89="PK","4090000",IF(D89="CM","Claims Management",IF(D89="E","5060000",VLOOKUP(MID(E89,3,5),'[1]List Data'!$B$1:$D$1134,3,FALSE))))))))</f>
        <v>4060000</v>
      </c>
      <c r="B89" s="18" t="s">
        <v>624</v>
      </c>
      <c r="C89" s="19">
        <v>46023</v>
      </c>
      <c r="D89" s="16" t="s">
        <v>1</v>
      </c>
      <c r="E89" s="18" t="s">
        <v>91</v>
      </c>
      <c r="F89" s="16">
        <v>1</v>
      </c>
      <c r="G89" s="20">
        <v>30</v>
      </c>
      <c r="H89" s="18" t="s">
        <v>322</v>
      </c>
      <c r="I89" s="18" t="s">
        <v>319</v>
      </c>
      <c r="J89" s="18" t="s">
        <v>92</v>
      </c>
      <c r="K89" s="18"/>
      <c r="L89" s="21">
        <v>46054</v>
      </c>
    </row>
    <row r="90" spans="1:12" x14ac:dyDescent="0.25">
      <c r="A90" s="17" t="str">
        <f>IF(D90="PS","Logan Water",IF(D90="WS","Logan Water",IF(D90="MV","4060000",IF(D90="R","5050000",IF(D90="PK","4090000",IF(D90="CM","Claims Management",IF(D90="E","5060000",VLOOKUP(MID(E90,3,5),'[1]List Data'!$B$1:$D$1134,3,FALSE))))))))</f>
        <v>4060000</v>
      </c>
      <c r="B90" s="18" t="s">
        <v>624</v>
      </c>
      <c r="C90" s="19">
        <v>46023</v>
      </c>
      <c r="D90" s="16" t="s">
        <v>1</v>
      </c>
      <c r="E90" s="18" t="s">
        <v>91</v>
      </c>
      <c r="F90" s="16">
        <v>1</v>
      </c>
      <c r="G90" s="20">
        <v>40</v>
      </c>
      <c r="H90" s="18" t="s">
        <v>322</v>
      </c>
      <c r="I90" s="18" t="s">
        <v>319</v>
      </c>
      <c r="J90" s="18" t="s">
        <v>93</v>
      </c>
      <c r="K90" s="18"/>
      <c r="L90" s="21">
        <v>46054</v>
      </c>
    </row>
    <row r="91" spans="1:12" x14ac:dyDescent="0.25">
      <c r="A91" s="17" t="str">
        <f>IF(D91="PS","Logan Water",IF(D91="WS","Logan Water",IF(D91="MV","4060000",IF(D91="R","5050000",IF(D91="PK","4090000",IF(D91="CM","Claims Management",IF(D91="E","5060000",VLOOKUP(MID(E91,3,5),'[1]List Data'!$B$1:$D$1134,3,FALSE))))))))</f>
        <v>4060000</v>
      </c>
      <c r="B91" s="18" t="s">
        <v>624</v>
      </c>
      <c r="C91" s="19">
        <v>46023</v>
      </c>
      <c r="D91" s="16" t="s">
        <v>1</v>
      </c>
      <c r="E91" s="18" t="s">
        <v>91</v>
      </c>
      <c r="F91" s="16">
        <v>1</v>
      </c>
      <c r="G91" s="20">
        <v>195</v>
      </c>
      <c r="H91" s="18" t="s">
        <v>323</v>
      </c>
      <c r="I91" s="18" t="s">
        <v>319</v>
      </c>
      <c r="J91" s="18" t="s">
        <v>9</v>
      </c>
      <c r="K91" s="18"/>
      <c r="L91" s="21">
        <v>46054</v>
      </c>
    </row>
    <row r="92" spans="1:12" x14ac:dyDescent="0.25">
      <c r="A92" s="17" t="str">
        <f>IF(D92="PS","Logan Water",IF(D92="WS","Logan Water",IF(D92="MV","4060000",IF(D92="R","5050000",IF(D92="PK","4090000",IF(D92="CM","Claims Management",IF(D92="E","5060000",VLOOKUP(MID(E92,3,5),'[1]List Data'!$B$1:$D$1134,3,FALSE))))))))</f>
        <v>4060000</v>
      </c>
      <c r="B92" s="18" t="s">
        <v>624</v>
      </c>
      <c r="C92" s="19">
        <v>46023</v>
      </c>
      <c r="D92" s="16" t="s">
        <v>1</v>
      </c>
      <c r="E92" s="18" t="s">
        <v>94</v>
      </c>
      <c r="F92" s="16">
        <v>1</v>
      </c>
      <c r="G92" s="20">
        <v>40</v>
      </c>
      <c r="H92" s="18" t="s">
        <v>324</v>
      </c>
      <c r="I92" s="18" t="s">
        <v>325</v>
      </c>
      <c r="J92" s="18" t="s">
        <v>18</v>
      </c>
      <c r="K92" s="18"/>
      <c r="L92" s="21">
        <v>46054</v>
      </c>
    </row>
    <row r="93" spans="1:12" x14ac:dyDescent="0.25">
      <c r="A93" s="17" t="str">
        <f>IF(D93="PS","Logan Water",IF(D93="WS","Logan Water",IF(D93="MV","4060000",IF(D93="R","5050000",IF(D93="PK","4090000",IF(D93="CM","Claims Management",IF(D93="E","5060000",VLOOKUP(MID(E93,3,5),'[1]List Data'!$B$1:$D$1134,3,FALSE))))))))</f>
        <v>4060000</v>
      </c>
      <c r="B93" s="18" t="s">
        <v>624</v>
      </c>
      <c r="C93" s="19">
        <v>46023</v>
      </c>
      <c r="D93" s="16" t="s">
        <v>1</v>
      </c>
      <c r="E93" s="18" t="s">
        <v>88</v>
      </c>
      <c r="F93" s="16">
        <v>2</v>
      </c>
      <c r="G93" s="20">
        <v>100</v>
      </c>
      <c r="H93" s="18" t="s">
        <v>326</v>
      </c>
      <c r="I93" s="18" t="s">
        <v>319</v>
      </c>
      <c r="J93" s="18" t="s">
        <v>89</v>
      </c>
      <c r="K93" s="18"/>
      <c r="L93" s="21">
        <v>46054</v>
      </c>
    </row>
    <row r="94" spans="1:12" x14ac:dyDescent="0.25">
      <c r="A94" s="17" t="str">
        <f>IF(D94="PS","Logan Water",IF(D94="WS","Logan Water",IF(D94="MV","4060000",IF(D94="R","5050000",IF(D94="PK","4090000",IF(D94="CM","Claims Management",IF(D94="E","5060000",VLOOKUP(MID(E94,3,5),'[1]List Data'!$B$1:$D$1134,3,FALSE))))))))</f>
        <v>4060000</v>
      </c>
      <c r="B94" s="18" t="s">
        <v>624</v>
      </c>
      <c r="C94" s="19">
        <v>46023</v>
      </c>
      <c r="D94" s="16" t="s">
        <v>1</v>
      </c>
      <c r="E94" s="18" t="s">
        <v>88</v>
      </c>
      <c r="F94" s="16">
        <v>2</v>
      </c>
      <c r="G94" s="20">
        <v>118</v>
      </c>
      <c r="H94" s="18" t="s">
        <v>326</v>
      </c>
      <c r="I94" s="18" t="s">
        <v>319</v>
      </c>
      <c r="J94" s="18" t="s">
        <v>66</v>
      </c>
      <c r="K94" s="18"/>
      <c r="L94" s="21">
        <v>46054</v>
      </c>
    </row>
    <row r="95" spans="1:12" x14ac:dyDescent="0.25">
      <c r="A95" s="17" t="str">
        <f>IF(D95="PS","Logan Water",IF(D95="WS","Logan Water",IF(D95="MV","4060000",IF(D95="R","5050000",IF(D95="PK","4090000",IF(D95="CM","Claims Management",IF(D95="E","5060000",VLOOKUP(MID(E95,3,5),'[1]List Data'!$B$1:$D$1134,3,FALSE))))))))</f>
        <v>4060000</v>
      </c>
      <c r="B95" s="18" t="s">
        <v>624</v>
      </c>
      <c r="C95" s="19">
        <v>46054</v>
      </c>
      <c r="D95" s="16" t="s">
        <v>1</v>
      </c>
      <c r="E95" s="18" t="s">
        <v>91</v>
      </c>
      <c r="F95" s="16">
        <v>1</v>
      </c>
      <c r="G95" s="26">
        <v>45</v>
      </c>
      <c r="H95" s="18" t="s">
        <v>327</v>
      </c>
      <c r="I95" s="18" t="s">
        <v>328</v>
      </c>
      <c r="J95" s="18" t="s">
        <v>95</v>
      </c>
      <c r="K95" s="18"/>
      <c r="L95" s="21">
        <v>46054</v>
      </c>
    </row>
    <row r="96" spans="1:12" x14ac:dyDescent="0.25">
      <c r="A96" s="17" t="str">
        <f>IF(D96="PS","Logan Water",IF(D96="WS","Logan Water",IF(D96="MV","4060000",IF(D96="R","5050000",IF(D96="PK","4090000",IF(D96="CM","Claims Management",IF(D96="E","5060000",VLOOKUP(MID(E96,3,5),'[1]List Data'!$B$1:$D$1134,3,FALSE))))))))</f>
        <v>4060000</v>
      </c>
      <c r="B96" s="18" t="s">
        <v>624</v>
      </c>
      <c r="C96" s="19">
        <v>46054</v>
      </c>
      <c r="D96" s="23" t="s">
        <v>1</v>
      </c>
      <c r="E96" s="24" t="s">
        <v>88</v>
      </c>
      <c r="F96" s="23">
        <v>1</v>
      </c>
      <c r="G96" s="25">
        <v>40</v>
      </c>
      <c r="H96" s="24" t="s">
        <v>329</v>
      </c>
      <c r="I96" s="24" t="s">
        <v>328</v>
      </c>
      <c r="J96" s="18" t="s">
        <v>18</v>
      </c>
      <c r="K96" s="18"/>
      <c r="L96" s="21">
        <v>46054</v>
      </c>
    </row>
    <row r="97" spans="1:12" x14ac:dyDescent="0.25">
      <c r="A97" s="17" t="str">
        <f>IF(D97="PS","Logan Water",IF(D97="WS","Logan Water",IF(D97="MV","4060000",IF(D97="R","5050000",IF(D97="PK","4090000",IF(D97="CM","Claims Management",IF(D97="E","5060000",VLOOKUP(MID(E97,3,5),'[1]List Data'!$B$1:$D$1134,3,FALSE))))))))</f>
        <v>4060000</v>
      </c>
      <c r="B97" s="18" t="s">
        <v>624</v>
      </c>
      <c r="C97" s="19">
        <v>46054</v>
      </c>
      <c r="D97" s="16" t="s">
        <v>1</v>
      </c>
      <c r="E97" s="18" t="s">
        <v>88</v>
      </c>
      <c r="F97" s="16">
        <v>1</v>
      </c>
      <c r="G97" s="26">
        <v>45</v>
      </c>
      <c r="H97" s="18" t="s">
        <v>330</v>
      </c>
      <c r="I97" s="18" t="s">
        <v>328</v>
      </c>
      <c r="J97" s="18" t="s">
        <v>96</v>
      </c>
      <c r="K97" s="18"/>
      <c r="L97" s="21">
        <v>46054</v>
      </c>
    </row>
    <row r="98" spans="1:12" x14ac:dyDescent="0.25">
      <c r="A98" s="17" t="str">
        <f>IF(D98="PS","Logan Water",IF(D98="WS","Logan Water",IF(D98="MV","4060000",IF(D98="R","5050000",IF(D98="PK","4090000",IF(D98="CM","Claims Management",IF(D98="E","5060000",VLOOKUP(MID(E98,3,5),'[1]List Data'!$B$1:$D$1134,3,FALSE))))))))</f>
        <v>4060000</v>
      </c>
      <c r="B98" s="18" t="s">
        <v>624</v>
      </c>
      <c r="C98" s="19">
        <v>46054</v>
      </c>
      <c r="D98" s="16" t="s">
        <v>1</v>
      </c>
      <c r="E98" s="18" t="s">
        <v>87</v>
      </c>
      <c r="F98" s="16">
        <v>1</v>
      </c>
      <c r="G98" s="26">
        <v>230</v>
      </c>
      <c r="H98" s="18" t="s">
        <v>331</v>
      </c>
      <c r="I98" s="18" t="s">
        <v>332</v>
      </c>
      <c r="J98" s="18" t="s">
        <v>97</v>
      </c>
      <c r="K98" s="18"/>
      <c r="L98" s="21">
        <v>46054</v>
      </c>
    </row>
    <row r="99" spans="1:12" x14ac:dyDescent="0.25">
      <c r="A99" s="17" t="str">
        <f>IF(D99="PS","Logan Water",IF(D99="WS","Logan Water",IF(D99="MV","4060000",IF(D99="R","5050000",IF(D99="PK","4090000",IF(D99="CM","Claims Management",IF(D99="E","5060000",VLOOKUP(MID(E99,3,5),'[1]List Data'!$B$1:$D$1134,3,FALSE))))))))</f>
        <v>4080000</v>
      </c>
      <c r="B99" s="18" t="s">
        <v>624</v>
      </c>
      <c r="C99" s="19">
        <v>46023</v>
      </c>
      <c r="D99" s="16" t="s">
        <v>1</v>
      </c>
      <c r="E99" s="18" t="s">
        <v>98</v>
      </c>
      <c r="F99" s="16">
        <v>1</v>
      </c>
      <c r="G99" s="20">
        <v>40</v>
      </c>
      <c r="H99" s="18" t="s">
        <v>333</v>
      </c>
      <c r="I99" s="18" t="s">
        <v>334</v>
      </c>
      <c r="J99" s="18" t="s">
        <v>18</v>
      </c>
      <c r="K99" s="18"/>
      <c r="L99" s="21">
        <v>46054</v>
      </c>
    </row>
    <row r="100" spans="1:12" x14ac:dyDescent="0.25">
      <c r="A100" s="17" t="str">
        <f>IF(D100="PS","Logan Water",IF(D100="WS","Logan Water",IF(D100="MV","4060000",IF(D100="R","5050000",IF(D100="PK","4090000",IF(D100="CM","Claims Management",IF(D100="E","5060000",VLOOKUP(MID(E100,3,5),'[1]List Data'!$B$1:$D$1134,3,FALSE))))))))</f>
        <v>4090000</v>
      </c>
      <c r="B100" s="18" t="s">
        <v>623</v>
      </c>
      <c r="C100" s="19">
        <v>45962</v>
      </c>
      <c r="D100" s="16" t="s">
        <v>99</v>
      </c>
      <c r="E100" s="18" t="s">
        <v>335</v>
      </c>
      <c r="F100" s="16">
        <v>1</v>
      </c>
      <c r="G100" s="20">
        <v>1699</v>
      </c>
      <c r="H100" s="18" t="s">
        <v>336</v>
      </c>
      <c r="I100" s="18" t="s">
        <v>337</v>
      </c>
      <c r="J100" s="18" t="s">
        <v>63</v>
      </c>
      <c r="K100" s="18"/>
      <c r="L100" s="21">
        <v>46054</v>
      </c>
    </row>
    <row r="101" spans="1:12" x14ac:dyDescent="0.25">
      <c r="A101" s="17" t="str">
        <f>IF(D101="PS","Logan Water",IF(D101="WS","Logan Water",IF(D101="MV","4060000",IF(D101="R","5050000",IF(D101="PK","4090000",IF(D101="CM","Claims Management",IF(D101="E","5060000",VLOOKUP(MID(E101,3,5),'[1]List Data'!$B$1:$D$1134,3,FALSE))))))))</f>
        <v>4090000</v>
      </c>
      <c r="B101" s="18" t="s">
        <v>623</v>
      </c>
      <c r="C101" s="19">
        <v>46016</v>
      </c>
      <c r="D101" s="16" t="s">
        <v>99</v>
      </c>
      <c r="E101" s="18" t="s">
        <v>338</v>
      </c>
      <c r="F101" s="16">
        <v>1</v>
      </c>
      <c r="G101" s="20">
        <v>1699</v>
      </c>
      <c r="H101" s="18" t="s">
        <v>339</v>
      </c>
      <c r="I101" s="18" t="s">
        <v>337</v>
      </c>
      <c r="J101" s="18" t="s">
        <v>27</v>
      </c>
      <c r="K101" s="18"/>
      <c r="L101" s="21">
        <v>46054</v>
      </c>
    </row>
    <row r="102" spans="1:12" x14ac:dyDescent="0.25">
      <c r="A102" s="17" t="str">
        <f>IF(D102="PS","Logan Water",IF(D102="WS","Logan Water",IF(D102="MV","4060000",IF(D102="R","5050000",IF(D102="PK","4090000",IF(D102="CM","Claims Management",IF(D102="E","5060000",VLOOKUP(MID(E102,3,5),'[1]List Data'!$B$1:$D$1134,3,FALSE))))))))</f>
        <v>4090000</v>
      </c>
      <c r="B102" s="18" t="s">
        <v>623</v>
      </c>
      <c r="C102" s="19">
        <v>46016</v>
      </c>
      <c r="D102" s="16" t="s">
        <v>99</v>
      </c>
      <c r="E102" s="18" t="s">
        <v>340</v>
      </c>
      <c r="F102" s="16">
        <v>1</v>
      </c>
      <c r="G102" s="20">
        <v>1699</v>
      </c>
      <c r="H102" s="18" t="s">
        <v>341</v>
      </c>
      <c r="I102" s="18" t="s">
        <v>342</v>
      </c>
      <c r="J102" s="18" t="s">
        <v>27</v>
      </c>
      <c r="K102" s="18"/>
      <c r="L102" s="21">
        <v>46054</v>
      </c>
    </row>
    <row r="103" spans="1:12" x14ac:dyDescent="0.25">
      <c r="A103" s="17" t="str">
        <f>IF(D103="PS","Logan Water",IF(D103="WS","Logan Water",IF(D103="MV","4060000",IF(D103="R","5050000",IF(D103="PK","4090000",IF(D103="CM","Claims Management",IF(D103="E","5060000",VLOOKUP(MID(E103,3,5),'[1]List Data'!$B$1:$D$1134,3,FALSE))))))))</f>
        <v>4090000</v>
      </c>
      <c r="B103" s="18" t="s">
        <v>624</v>
      </c>
      <c r="C103" s="19">
        <v>46023</v>
      </c>
      <c r="D103" s="16" t="s">
        <v>99</v>
      </c>
      <c r="E103" s="18" t="s">
        <v>343</v>
      </c>
      <c r="F103" s="16">
        <v>1</v>
      </c>
      <c r="G103" s="20">
        <v>549</v>
      </c>
      <c r="H103" s="18" t="s">
        <v>344</v>
      </c>
      <c r="I103" s="18" t="s">
        <v>345</v>
      </c>
      <c r="J103" s="18" t="s">
        <v>17</v>
      </c>
      <c r="K103" s="18"/>
      <c r="L103" s="21">
        <v>46054</v>
      </c>
    </row>
    <row r="104" spans="1:12" x14ac:dyDescent="0.25">
      <c r="A104" s="17" t="str">
        <f>IF(D104="PS","Logan Water",IF(D104="WS","Logan Water",IF(D104="MV","4060000",IF(D104="R","5050000",IF(D104="PK","4090000",IF(D104="CM","Claims Management",IF(D104="E","5060000",VLOOKUP(MID(E104,3,5),'[1]List Data'!$B$1:$D$1134,3,FALSE))))))))</f>
        <v>4090000</v>
      </c>
      <c r="B104" s="18" t="s">
        <v>624</v>
      </c>
      <c r="C104" s="19">
        <v>46023</v>
      </c>
      <c r="D104" s="16" t="s">
        <v>99</v>
      </c>
      <c r="E104" s="18" t="s">
        <v>346</v>
      </c>
      <c r="F104" s="16">
        <v>1</v>
      </c>
      <c r="G104" s="20">
        <v>549</v>
      </c>
      <c r="H104" s="18" t="s">
        <v>347</v>
      </c>
      <c r="I104" s="18" t="s">
        <v>348</v>
      </c>
      <c r="J104" s="18" t="s">
        <v>17</v>
      </c>
      <c r="K104" s="18"/>
      <c r="L104" s="21">
        <v>46054</v>
      </c>
    </row>
    <row r="105" spans="1:12" x14ac:dyDescent="0.25">
      <c r="A105" s="17" t="str">
        <f>IF(D105="PS","Logan Water",IF(D105="WS","Logan Water",IF(D105="MV","4060000",IF(D105="R","5050000",IF(D105="PK","4090000",IF(D105="CM","Claims Management",IF(D105="E","5060000",VLOOKUP(MID(E105,3,5),'[1]List Data'!$B$1:$D$1134,3,FALSE))))))))</f>
        <v>4090000</v>
      </c>
      <c r="B105" s="18" t="s">
        <v>624</v>
      </c>
      <c r="C105" s="19">
        <v>46023</v>
      </c>
      <c r="D105" s="16" t="s">
        <v>99</v>
      </c>
      <c r="E105" s="18" t="s">
        <v>349</v>
      </c>
      <c r="F105" s="16">
        <v>1</v>
      </c>
      <c r="G105" s="20">
        <v>250</v>
      </c>
      <c r="H105" s="18" t="s">
        <v>350</v>
      </c>
      <c r="I105" s="18" t="s">
        <v>351</v>
      </c>
      <c r="J105" s="18" t="s">
        <v>100</v>
      </c>
      <c r="K105" s="18"/>
      <c r="L105" s="21">
        <v>46054</v>
      </c>
    </row>
    <row r="106" spans="1:12" x14ac:dyDescent="0.25">
      <c r="A106" s="17" t="str">
        <f>IF(D106="PS","Logan Water",IF(D106="WS","Logan Water",IF(D106="MV","4060000",IF(D106="R","5050000",IF(D106="PK","4090000",IF(D106="CM","Claims Management",IF(D106="E","5060000",VLOOKUP(MID(E106,3,5),'[1]List Data'!$B$1:$D$1134,3,FALSE))))))))</f>
        <v>4090000</v>
      </c>
      <c r="B106" s="18" t="s">
        <v>624</v>
      </c>
      <c r="C106" s="19">
        <v>46023</v>
      </c>
      <c r="D106" s="16" t="s">
        <v>99</v>
      </c>
      <c r="E106" s="18" t="s">
        <v>349</v>
      </c>
      <c r="F106" s="16">
        <v>2</v>
      </c>
      <c r="G106" s="20">
        <v>438</v>
      </c>
      <c r="H106" s="18" t="s">
        <v>352</v>
      </c>
      <c r="I106" s="18" t="s">
        <v>351</v>
      </c>
      <c r="J106" s="18" t="s">
        <v>101</v>
      </c>
      <c r="K106" s="18"/>
      <c r="L106" s="21">
        <v>46054</v>
      </c>
    </row>
    <row r="107" spans="1:12" x14ac:dyDescent="0.25">
      <c r="A107" s="17" t="str">
        <f>IF(D107="PS","Logan Water",IF(D107="WS","Logan Water",IF(D107="MV","4060000",IF(D107="R","5050000",IF(D107="PK","4090000",IF(D107="CM","Claims Management",IF(D107="E","5060000",VLOOKUP(MID(E107,3,5),'[1]List Data'!$B$1:$D$1134,3,FALSE))))))))</f>
        <v>4090000</v>
      </c>
      <c r="B107" s="18" t="s">
        <v>624</v>
      </c>
      <c r="C107" s="19">
        <v>46023</v>
      </c>
      <c r="D107" s="16" t="s">
        <v>99</v>
      </c>
      <c r="E107" s="18" t="s">
        <v>349</v>
      </c>
      <c r="F107" s="16">
        <v>2</v>
      </c>
      <c r="G107" s="20">
        <v>878</v>
      </c>
      <c r="H107" s="18" t="s">
        <v>352</v>
      </c>
      <c r="I107" s="18" t="s">
        <v>351</v>
      </c>
      <c r="J107" s="18" t="s">
        <v>7</v>
      </c>
      <c r="K107" s="18"/>
      <c r="L107" s="21">
        <v>46054</v>
      </c>
    </row>
    <row r="108" spans="1:12" x14ac:dyDescent="0.25">
      <c r="A108" s="17" t="str">
        <f>IF(D108="PS","Logan Water",IF(D108="WS","Logan Water",IF(D108="MV","4060000",IF(D108="R","5050000",IF(D108="PK","4090000",IF(D108="CM","Claims Management",IF(D108="E","5060000",VLOOKUP(MID(E108,3,5),'[1]List Data'!$B$1:$D$1134,3,FALSE))))))))</f>
        <v>4090000</v>
      </c>
      <c r="B108" s="18" t="s">
        <v>624</v>
      </c>
      <c r="C108" s="19">
        <v>46054</v>
      </c>
      <c r="D108" s="16" t="s">
        <v>99</v>
      </c>
      <c r="E108" s="18" t="s">
        <v>353</v>
      </c>
      <c r="F108" s="16">
        <v>2</v>
      </c>
      <c r="G108" s="26">
        <v>500</v>
      </c>
      <c r="H108" s="18" t="s">
        <v>354</v>
      </c>
      <c r="I108" s="18" t="s">
        <v>355</v>
      </c>
      <c r="J108" s="18" t="s">
        <v>100</v>
      </c>
      <c r="K108" s="18"/>
      <c r="L108" s="21">
        <v>46054</v>
      </c>
    </row>
    <row r="109" spans="1:12" x14ac:dyDescent="0.25">
      <c r="A109" s="17" t="str">
        <f>IF(D109="PS","Logan Water",IF(D109="WS","Logan Water",IF(D109="MV","4060000",IF(D109="R","5050000",IF(D109="PK","4090000",IF(D109="CM","Claims Management",IF(D109="E","5060000",VLOOKUP(MID(E109,3,5),'[1]List Data'!$B$1:$D$1134,3,FALSE))))))))</f>
        <v>4090000</v>
      </c>
      <c r="B109" s="18" t="s">
        <v>622</v>
      </c>
      <c r="C109" s="19">
        <v>46054</v>
      </c>
      <c r="D109" s="16" t="s">
        <v>99</v>
      </c>
      <c r="E109" s="18" t="s">
        <v>356</v>
      </c>
      <c r="F109" s="16">
        <v>1</v>
      </c>
      <c r="G109" s="26">
        <v>97</v>
      </c>
      <c r="H109" s="18" t="s">
        <v>357</v>
      </c>
      <c r="I109" s="18" t="s">
        <v>358</v>
      </c>
      <c r="J109" s="18" t="s">
        <v>102</v>
      </c>
      <c r="K109" s="18"/>
      <c r="L109" s="21">
        <v>46054</v>
      </c>
    </row>
    <row r="110" spans="1:12" x14ac:dyDescent="0.25">
      <c r="A110" s="17" t="str">
        <f>IF(D110="PS","Logan Water",IF(D110="WS","Logan Water",IF(D110="MV","4060000",IF(D110="R","5050000",IF(D110="PK","4090000",IF(D110="CM","Claims Management",IF(D110="E","5060000",VLOOKUP(MID(E110,3,5),'[1]List Data'!$B$1:$D$1134,3,FALSE))))))))</f>
        <v>4090000</v>
      </c>
      <c r="B110" s="18" t="s">
        <v>622</v>
      </c>
      <c r="C110" s="19">
        <v>46023</v>
      </c>
      <c r="D110" s="16" t="s">
        <v>99</v>
      </c>
      <c r="E110" s="18" t="s">
        <v>335</v>
      </c>
      <c r="F110" s="16">
        <v>1</v>
      </c>
      <c r="G110" s="20">
        <v>362</v>
      </c>
      <c r="H110" s="18" t="s">
        <v>359</v>
      </c>
      <c r="I110" s="18" t="s">
        <v>348</v>
      </c>
      <c r="J110" s="18" t="s">
        <v>13</v>
      </c>
      <c r="K110" s="18"/>
      <c r="L110" s="21">
        <v>46054</v>
      </c>
    </row>
    <row r="111" spans="1:12" x14ac:dyDescent="0.25">
      <c r="A111" s="17" t="str">
        <f>IF(D111="PS","Logan Water",IF(D111="WS","Logan Water",IF(D111="MV","4060000",IF(D111="R","5050000",IF(D111="PK","4090000",IF(D111="CM","Claims Management",IF(D111="E","5060000",VLOOKUP(MID(E111,3,5),'[1]List Data'!$B$1:$D$1134,3,FALSE))))))))</f>
        <v>4090000</v>
      </c>
      <c r="B111" s="18" t="s">
        <v>622</v>
      </c>
      <c r="C111" s="19">
        <v>46023</v>
      </c>
      <c r="D111" s="16" t="s">
        <v>99</v>
      </c>
      <c r="E111" s="18" t="s">
        <v>356</v>
      </c>
      <c r="F111" s="16">
        <v>1</v>
      </c>
      <c r="G111" s="20">
        <v>362</v>
      </c>
      <c r="H111" s="18" t="s">
        <v>360</v>
      </c>
      <c r="I111" s="18" t="s">
        <v>358</v>
      </c>
      <c r="J111" s="18" t="s">
        <v>13</v>
      </c>
      <c r="K111" s="18"/>
      <c r="L111" s="21">
        <v>46054</v>
      </c>
    </row>
    <row r="112" spans="1:12" x14ac:dyDescent="0.25">
      <c r="A112" s="17" t="str">
        <f>IF(D112="PS","Logan Water",IF(D112="WS","Logan Water",IF(D112="MV","4060000",IF(D112="R","5050000",IF(D112="PK","4090000",IF(D112="CM","Claims Management",IF(D112="E","5060000",VLOOKUP(MID(E112,3,5),'[1]List Data'!$B$1:$D$1134,3,FALSE))))))))</f>
        <v>4090000</v>
      </c>
      <c r="B112" s="18" t="s">
        <v>622</v>
      </c>
      <c r="C112" s="19">
        <v>46054</v>
      </c>
      <c r="D112" s="16" t="s">
        <v>99</v>
      </c>
      <c r="E112" s="18" t="s">
        <v>361</v>
      </c>
      <c r="F112" s="16">
        <v>1</v>
      </c>
      <c r="G112" s="26">
        <v>320</v>
      </c>
      <c r="H112" s="18" t="s">
        <v>362</v>
      </c>
      <c r="I112" s="18" t="s">
        <v>363</v>
      </c>
      <c r="J112" s="18" t="s">
        <v>13</v>
      </c>
      <c r="K112" s="18"/>
      <c r="L112" s="21">
        <v>46054</v>
      </c>
    </row>
    <row r="113" spans="1:12" x14ac:dyDescent="0.25">
      <c r="A113" s="17" t="str">
        <f>IF(D113="PS","Logan Water",IF(D113="WS","Logan Water",IF(D113="MV","4060000",IF(D113="R","5050000",IF(D113="PK","4090000",IF(D113="CM","Claims Management",IF(D113="E","5060000",VLOOKUP(MID(E113,3,5),'[1]List Data'!$B$1:$D$1134,3,FALSE))))))))</f>
        <v>4090000</v>
      </c>
      <c r="B113" s="18" t="s">
        <v>625</v>
      </c>
      <c r="C113" s="19">
        <v>46023</v>
      </c>
      <c r="D113" s="16" t="s">
        <v>99</v>
      </c>
      <c r="E113" s="18" t="s">
        <v>364</v>
      </c>
      <c r="F113" s="16">
        <v>1</v>
      </c>
      <c r="G113" s="20">
        <v>420</v>
      </c>
      <c r="H113" s="18" t="s">
        <v>365</v>
      </c>
      <c r="I113" s="18" t="s">
        <v>366</v>
      </c>
      <c r="J113" s="18" t="s">
        <v>103</v>
      </c>
      <c r="K113" s="18"/>
      <c r="L113" s="21">
        <v>46054</v>
      </c>
    </row>
    <row r="114" spans="1:12" x14ac:dyDescent="0.25">
      <c r="A114" s="17" t="str">
        <f>IF(D114="PS","Logan Water",IF(D114="WS","Logan Water",IF(D114="MV","4060000",IF(D114="R","5050000",IF(D114="PK","4090000",IF(D114="CM","Claims Management",IF(D114="E","5060000",VLOOKUP(MID(E114,3,5),'[1]List Data'!$B$1:$D$1134,3,FALSE))))))))</f>
        <v>4090000</v>
      </c>
      <c r="B114" s="18" t="s">
        <v>625</v>
      </c>
      <c r="C114" s="19">
        <v>46023</v>
      </c>
      <c r="D114" s="16" t="s">
        <v>99</v>
      </c>
      <c r="E114" s="18" t="s">
        <v>364</v>
      </c>
      <c r="F114" s="16">
        <v>1</v>
      </c>
      <c r="G114" s="26">
        <v>820</v>
      </c>
      <c r="H114" s="18" t="s">
        <v>365</v>
      </c>
      <c r="I114" s="18" t="s">
        <v>366</v>
      </c>
      <c r="J114" s="18" t="s">
        <v>104</v>
      </c>
      <c r="K114" s="18"/>
      <c r="L114" s="21">
        <v>46054</v>
      </c>
    </row>
    <row r="115" spans="1:12" x14ac:dyDescent="0.25">
      <c r="A115" s="17" t="str">
        <f>IF(D115="PS","Logan Water",IF(D115="WS","Logan Water",IF(D115="MV","4060000",IF(D115="R","5050000",IF(D115="PK","4090000",IF(D115="CM","Claims Management",IF(D115="E","5060000",VLOOKUP(MID(E115,3,5),'[1]List Data'!$B$1:$D$1134,3,FALSE))))))))</f>
        <v>5010000</v>
      </c>
      <c r="B115" s="18" t="s">
        <v>624</v>
      </c>
      <c r="C115" s="19">
        <v>46023</v>
      </c>
      <c r="D115" s="16" t="s">
        <v>1</v>
      </c>
      <c r="E115" s="18" t="s">
        <v>105</v>
      </c>
      <c r="F115" s="16">
        <v>1</v>
      </c>
      <c r="G115" s="20">
        <v>156.44999999999999</v>
      </c>
      <c r="H115" s="18" t="s">
        <v>237</v>
      </c>
      <c r="I115" s="18" t="s">
        <v>238</v>
      </c>
      <c r="J115" s="18" t="s">
        <v>42</v>
      </c>
      <c r="K115" s="18" t="s">
        <v>239</v>
      </c>
      <c r="L115" s="21">
        <v>46054</v>
      </c>
    </row>
    <row r="116" spans="1:12" x14ac:dyDescent="0.25">
      <c r="A116" s="17" t="str">
        <f>IF(D116="PS","Logan Water",IF(D116="WS","Logan Water",IF(D116="MV","4060000",IF(D116="R","5050000",IF(D116="PK","4090000",IF(D116="CM","Claims Management",IF(D116="E","5060000",VLOOKUP(MID(E116,3,5),'[1]List Data'!$B$1:$D$1134,3,FALSE))))))))</f>
        <v>5010000</v>
      </c>
      <c r="B116" s="18" t="s">
        <v>624</v>
      </c>
      <c r="C116" s="19">
        <v>46054</v>
      </c>
      <c r="D116" s="23" t="s">
        <v>1</v>
      </c>
      <c r="E116" s="24" t="s">
        <v>106</v>
      </c>
      <c r="F116" s="23">
        <v>1</v>
      </c>
      <c r="G116" s="25">
        <v>96</v>
      </c>
      <c r="H116" s="24" t="s">
        <v>367</v>
      </c>
      <c r="I116" s="24" t="s">
        <v>368</v>
      </c>
      <c r="J116" s="18" t="s">
        <v>72</v>
      </c>
      <c r="K116" s="18"/>
      <c r="L116" s="21">
        <v>46054</v>
      </c>
    </row>
    <row r="117" spans="1:12" x14ac:dyDescent="0.25">
      <c r="A117" s="17" t="str">
        <f>IF(D117="PS","Logan Water",IF(D117="WS","Logan Water",IF(D117="MV","4060000",IF(D117="R","5050000",IF(D117="PK","4090000",IF(D117="CM","Claims Management",IF(D117="E","5060000",VLOOKUP(MID(E117,3,5),'[1]List Data'!$B$1:$D$1134,3,FALSE))))))))</f>
        <v>5010000</v>
      </c>
      <c r="B117" s="18" t="s">
        <v>624</v>
      </c>
      <c r="C117" s="19">
        <v>46054</v>
      </c>
      <c r="D117" s="16" t="s">
        <v>1</v>
      </c>
      <c r="E117" s="18" t="s">
        <v>107</v>
      </c>
      <c r="F117" s="16">
        <v>1</v>
      </c>
      <c r="G117" s="26">
        <v>210</v>
      </c>
      <c r="H117" s="18" t="s">
        <v>369</v>
      </c>
      <c r="I117" s="18" t="s">
        <v>368</v>
      </c>
      <c r="J117" s="18" t="s">
        <v>23</v>
      </c>
      <c r="K117" s="18"/>
      <c r="L117" s="21">
        <v>46054</v>
      </c>
    </row>
    <row r="118" spans="1:12" x14ac:dyDescent="0.25">
      <c r="A118" s="17" t="str">
        <f>IF(D118="PS","Logan Water",IF(D118="WS","Logan Water",IF(D118="MV","4060000",IF(D118="R","5050000",IF(D118="PK","4090000",IF(D118="CM","Claims Management",IF(D118="E","5060000",VLOOKUP(MID(E118,3,5),'[1]List Data'!$B$1:$D$1134,3,FALSE))))))))</f>
        <v>5030000</v>
      </c>
      <c r="B118" s="22" t="s">
        <v>623</v>
      </c>
      <c r="C118" s="19">
        <v>46054</v>
      </c>
      <c r="D118" s="23" t="s">
        <v>1</v>
      </c>
      <c r="E118" s="24" t="s">
        <v>108</v>
      </c>
      <c r="F118" s="23">
        <v>1</v>
      </c>
      <c r="G118" s="25">
        <v>2272</v>
      </c>
      <c r="H118" s="24" t="s">
        <v>370</v>
      </c>
      <c r="I118" s="24" t="s">
        <v>371</v>
      </c>
      <c r="J118" s="18" t="s">
        <v>109</v>
      </c>
      <c r="K118" s="18"/>
      <c r="L118" s="21">
        <v>46054</v>
      </c>
    </row>
    <row r="119" spans="1:12" x14ac:dyDescent="0.25">
      <c r="A119" s="17" t="str">
        <f>IF(D119="PS","Logan Water",IF(D119="WS","Logan Water",IF(D119="MV","4060000",IF(D119="R","5050000",IF(D119="PK","4090000",IF(D119="CM","Claims Management",IF(D119="E","5060000",VLOOKUP(MID(E119,3,5),'[1]List Data'!$B$1:$D$1134,3,FALSE))))))))</f>
        <v>5030000</v>
      </c>
      <c r="B119" s="18" t="s">
        <v>624</v>
      </c>
      <c r="C119" s="19">
        <v>46054</v>
      </c>
      <c r="D119" s="16" t="s">
        <v>1</v>
      </c>
      <c r="E119" s="18" t="s">
        <v>110</v>
      </c>
      <c r="F119" s="16">
        <v>1</v>
      </c>
      <c r="G119" s="26">
        <v>549</v>
      </c>
      <c r="H119" s="18" t="s">
        <v>370</v>
      </c>
      <c r="I119" s="18" t="s">
        <v>371</v>
      </c>
      <c r="J119" s="18" t="s">
        <v>17</v>
      </c>
      <c r="K119" s="18"/>
      <c r="L119" s="21">
        <v>46054</v>
      </c>
    </row>
    <row r="120" spans="1:12" x14ac:dyDescent="0.25">
      <c r="A120" s="17" t="str">
        <f>IF(D120="PS","Logan Water",IF(D120="WS","Logan Water",IF(D120="MV","4060000",IF(D120="R","5050000",IF(D120="PK","4090000",IF(D120="CM","Claims Management",IF(D120="E","5060000",VLOOKUP(MID(E120,3,5),'[1]List Data'!$B$1:$D$1134,3,FALSE))))))))</f>
        <v>5030000</v>
      </c>
      <c r="B120" s="18" t="s">
        <v>624</v>
      </c>
      <c r="C120" s="19">
        <v>46023</v>
      </c>
      <c r="D120" s="16" t="s">
        <v>1</v>
      </c>
      <c r="E120" s="18" t="s">
        <v>111</v>
      </c>
      <c r="F120" s="16">
        <v>1</v>
      </c>
      <c r="G120" s="20">
        <v>195</v>
      </c>
      <c r="H120" s="18" t="s">
        <v>372</v>
      </c>
      <c r="I120" s="18" t="s">
        <v>373</v>
      </c>
      <c r="J120" s="18" t="s">
        <v>19</v>
      </c>
      <c r="K120" s="18"/>
      <c r="L120" s="21">
        <v>46054</v>
      </c>
    </row>
    <row r="121" spans="1:12" x14ac:dyDescent="0.25">
      <c r="A121" s="17" t="str">
        <f>IF(D121="PS","Logan Water",IF(D121="WS","Logan Water",IF(D121="MV","4060000",IF(D121="R","5050000",IF(D121="PK","4090000",IF(D121="CM","Claims Management",IF(D121="E","5060000",VLOOKUP(MID(E121,3,5),'[1]List Data'!$B$1:$D$1134,3,FALSE))))))))</f>
        <v>5030000</v>
      </c>
      <c r="B121" s="18" t="s">
        <v>624</v>
      </c>
      <c r="C121" s="19">
        <v>46023</v>
      </c>
      <c r="D121" s="16" t="s">
        <v>1</v>
      </c>
      <c r="E121" s="18" t="s">
        <v>111</v>
      </c>
      <c r="F121" s="16">
        <v>1</v>
      </c>
      <c r="G121" s="20">
        <v>195</v>
      </c>
      <c r="H121" s="18" t="s">
        <v>374</v>
      </c>
      <c r="I121" s="18" t="s">
        <v>375</v>
      </c>
      <c r="J121" s="18" t="s">
        <v>19</v>
      </c>
      <c r="K121" s="18"/>
      <c r="L121" s="21">
        <v>46054</v>
      </c>
    </row>
    <row r="122" spans="1:12" x14ac:dyDescent="0.25">
      <c r="A122" s="17" t="str">
        <f>IF(D122="PS","Logan Water",IF(D122="WS","Logan Water",IF(D122="MV","4060000",IF(D122="R","5050000",IF(D122="PK","4090000",IF(D122="CM","Claims Management",IF(D122="E","5060000",VLOOKUP(MID(E122,3,5),'[1]List Data'!$B$1:$D$1134,3,FALSE))))))))</f>
        <v>5030000</v>
      </c>
      <c r="B122" s="18" t="s">
        <v>624</v>
      </c>
      <c r="C122" s="19">
        <v>46023</v>
      </c>
      <c r="D122" s="16" t="s">
        <v>1</v>
      </c>
      <c r="E122" s="18" t="s">
        <v>111</v>
      </c>
      <c r="F122" s="16">
        <v>1</v>
      </c>
      <c r="G122" s="20">
        <v>195</v>
      </c>
      <c r="H122" s="18" t="s">
        <v>376</v>
      </c>
      <c r="I122" s="18" t="s">
        <v>377</v>
      </c>
      <c r="J122" s="18" t="s">
        <v>19</v>
      </c>
      <c r="K122" s="18"/>
      <c r="L122" s="21">
        <v>46054</v>
      </c>
    </row>
    <row r="123" spans="1:12" x14ac:dyDescent="0.25">
      <c r="A123" s="17" t="str">
        <f>IF(D123="PS","Logan Water",IF(D123="WS","Logan Water",IF(D123="MV","4060000",IF(D123="R","5050000",IF(D123="PK","4090000",IF(D123="CM","Claims Management",IF(D123="E","5060000",VLOOKUP(MID(E123,3,5),'[1]List Data'!$B$1:$D$1134,3,FALSE))))))))</f>
        <v>5030000</v>
      </c>
      <c r="B123" s="18" t="s">
        <v>624</v>
      </c>
      <c r="C123" s="19">
        <v>46054</v>
      </c>
      <c r="D123" s="16" t="s">
        <v>1</v>
      </c>
      <c r="E123" s="18" t="s">
        <v>110</v>
      </c>
      <c r="F123" s="16">
        <v>1</v>
      </c>
      <c r="G123" s="26">
        <v>210</v>
      </c>
      <c r="H123" s="18" t="s">
        <v>378</v>
      </c>
      <c r="I123" s="18" t="s">
        <v>371</v>
      </c>
      <c r="J123" s="18" t="s">
        <v>23</v>
      </c>
      <c r="K123" s="18"/>
      <c r="L123" s="21">
        <v>46054</v>
      </c>
    </row>
    <row r="124" spans="1:12" x14ac:dyDescent="0.25">
      <c r="A124" s="17" t="str">
        <f>IF(D124="PS","Logan Water",IF(D124="WS","Logan Water",IF(D124="MV","4060000",IF(D124="R","5050000",IF(D124="PK","4090000",IF(D124="CM","Claims Management",IF(D124="E","5060000",VLOOKUP(MID(E124,3,5),'[1]List Data'!$B$1:$D$1134,3,FALSE))))))))</f>
        <v>5030000</v>
      </c>
      <c r="B124" s="18" t="s">
        <v>622</v>
      </c>
      <c r="C124" s="19">
        <v>46023</v>
      </c>
      <c r="D124" s="16" t="s">
        <v>1</v>
      </c>
      <c r="E124" s="18" t="s">
        <v>112</v>
      </c>
      <c r="F124" s="16">
        <v>2</v>
      </c>
      <c r="G124" s="20">
        <v>918</v>
      </c>
      <c r="H124" s="18" t="s">
        <v>379</v>
      </c>
      <c r="I124" s="18" t="s">
        <v>380</v>
      </c>
      <c r="J124" s="18" t="s">
        <v>113</v>
      </c>
      <c r="K124" s="18"/>
      <c r="L124" s="21">
        <v>46054</v>
      </c>
    </row>
    <row r="125" spans="1:12" x14ac:dyDescent="0.25">
      <c r="A125" s="17" t="str">
        <f>IF(D125="PS","Logan Water",IF(D125="WS","Logan Water",IF(D125="MV","4060000",IF(D125="R","5050000",IF(D125="PK","4090000",IF(D125="CM","Claims Management",IF(D125="E","5060000",VLOOKUP(MID(E125,3,5),'[1]List Data'!$B$1:$D$1134,3,FALSE))))))))</f>
        <v>5050000</v>
      </c>
      <c r="B125" s="18" t="s">
        <v>624</v>
      </c>
      <c r="C125" s="19">
        <v>46023</v>
      </c>
      <c r="D125" s="16" t="s">
        <v>114</v>
      </c>
      <c r="E125" s="18" t="s">
        <v>115</v>
      </c>
      <c r="F125" s="16">
        <v>1</v>
      </c>
      <c r="G125" s="20">
        <v>22</v>
      </c>
      <c r="H125" s="18" t="s">
        <v>381</v>
      </c>
      <c r="I125" s="18" t="s">
        <v>382</v>
      </c>
      <c r="J125" s="18" t="s">
        <v>116</v>
      </c>
      <c r="K125" s="18"/>
      <c r="L125" s="21">
        <v>46054</v>
      </c>
    </row>
    <row r="126" spans="1:12" x14ac:dyDescent="0.25">
      <c r="A126" s="17" t="str">
        <f>IF(D126="PS","Logan Water",IF(D126="WS","Logan Water",IF(D126="MV","4060000",IF(D126="R","5050000",IF(D126="PK","4090000",IF(D126="CM","Claims Management",IF(D126="E","5060000",VLOOKUP(MID(E126,3,5),'[1]List Data'!$B$1:$D$1134,3,FALSE))))))))</f>
        <v>5050000</v>
      </c>
      <c r="B126" s="18" t="s">
        <v>624</v>
      </c>
      <c r="C126" s="19">
        <v>46054</v>
      </c>
      <c r="D126" s="16" t="s">
        <v>114</v>
      </c>
      <c r="E126" s="18" t="s">
        <v>117</v>
      </c>
      <c r="F126" s="16">
        <v>1</v>
      </c>
      <c r="G126" s="26">
        <v>195</v>
      </c>
      <c r="H126" s="18" t="s">
        <v>383</v>
      </c>
      <c r="I126" s="18" t="s">
        <v>384</v>
      </c>
      <c r="J126" s="18" t="s">
        <v>9</v>
      </c>
      <c r="K126" s="18"/>
      <c r="L126" s="21">
        <v>46054</v>
      </c>
    </row>
    <row r="127" spans="1:12" x14ac:dyDescent="0.25">
      <c r="A127" s="17" t="str">
        <f>IF(D127="PS","Logan Water",IF(D127="WS","Logan Water",IF(D127="MV","4060000",IF(D127="R","5050000",IF(D127="PK","4090000",IF(D127="CM","Claims Management",IF(D127="E","5060000",VLOOKUP(MID(E127,3,5),'[1]List Data'!$B$1:$D$1134,3,FALSE))))))))</f>
        <v>5050000</v>
      </c>
      <c r="B127" s="18" t="s">
        <v>622</v>
      </c>
      <c r="C127" s="19">
        <v>46023</v>
      </c>
      <c r="D127" s="16" t="s">
        <v>114</v>
      </c>
      <c r="E127" s="18" t="s">
        <v>118</v>
      </c>
      <c r="F127" s="16">
        <v>1</v>
      </c>
      <c r="G127" s="20">
        <v>362</v>
      </c>
      <c r="H127" s="18" t="s">
        <v>385</v>
      </c>
      <c r="I127" s="18" t="s">
        <v>386</v>
      </c>
      <c r="J127" s="18" t="s">
        <v>13</v>
      </c>
      <c r="K127" s="18"/>
      <c r="L127" s="21">
        <v>46054</v>
      </c>
    </row>
    <row r="128" spans="1:12" x14ac:dyDescent="0.25">
      <c r="A128" s="17" t="str">
        <f>IF(D128="PS","Logan Water",IF(D128="WS","Logan Water",IF(D128="MV","4060000",IF(D128="R","5050000",IF(D128="PK","4090000",IF(D128="CM","Claims Management",IF(D128="E","5060000",VLOOKUP(MID(E128,3,5),'[1]List Data'!$B$1:$D$1134,3,FALSE))))))))</f>
        <v>5050000</v>
      </c>
      <c r="B128" s="18" t="s">
        <v>622</v>
      </c>
      <c r="C128" s="19">
        <v>46054</v>
      </c>
      <c r="D128" s="16" t="s">
        <v>114</v>
      </c>
      <c r="E128" s="18" t="s">
        <v>118</v>
      </c>
      <c r="F128" s="16">
        <v>1</v>
      </c>
      <c r="G128" s="26">
        <v>410</v>
      </c>
      <c r="H128" s="18" t="s">
        <v>387</v>
      </c>
      <c r="I128" s="18" t="s">
        <v>388</v>
      </c>
      <c r="J128" s="18" t="s">
        <v>11</v>
      </c>
      <c r="K128" s="18"/>
      <c r="L128" s="21">
        <v>46054</v>
      </c>
    </row>
    <row r="129" spans="1:12" x14ac:dyDescent="0.25">
      <c r="A129" s="17" t="str">
        <f>IF(D129="PS","Logan Water",IF(D129="WS","Logan Water",IF(D129="MV","4060000",IF(D129="R","5050000",IF(D129="PK","4090000",IF(D129="CM","Claims Management",IF(D129="E","5060000",VLOOKUP(MID(E129,3,5),'[1]List Data'!$B$1:$D$1134,3,FALSE))))))))</f>
        <v>5050000</v>
      </c>
      <c r="B129" s="18" t="s">
        <v>622</v>
      </c>
      <c r="C129" s="19">
        <v>46054</v>
      </c>
      <c r="D129" s="16" t="s">
        <v>114</v>
      </c>
      <c r="E129" s="18" t="s">
        <v>118</v>
      </c>
      <c r="F129" s="16">
        <v>1</v>
      </c>
      <c r="G129" s="26">
        <v>500</v>
      </c>
      <c r="H129" s="18" t="s">
        <v>389</v>
      </c>
      <c r="I129" s="18" t="s">
        <v>390</v>
      </c>
      <c r="J129" s="18" t="s">
        <v>54</v>
      </c>
      <c r="K129" s="18"/>
      <c r="L129" s="21">
        <v>46054</v>
      </c>
    </row>
    <row r="130" spans="1:12" x14ac:dyDescent="0.25">
      <c r="A130" s="17" t="str">
        <f>IF(D130="PS","Logan Water",IF(D130="WS","Logan Water",IF(D130="MV","4060000",IF(D130="R","5050000",IF(D130="PK","4090000",IF(D130="CM","Claims Management",IF(D130="E","5060000",VLOOKUP(MID(E130,3,5),'[1]List Data'!$B$1:$D$1134,3,FALSE))))))))</f>
        <v>5050000</v>
      </c>
      <c r="B130" s="18" t="s">
        <v>622</v>
      </c>
      <c r="C130" s="19">
        <v>46054</v>
      </c>
      <c r="D130" s="16" t="s">
        <v>114</v>
      </c>
      <c r="E130" s="18" t="s">
        <v>118</v>
      </c>
      <c r="F130" s="16">
        <v>1</v>
      </c>
      <c r="G130" s="26">
        <v>362</v>
      </c>
      <c r="H130" s="18" t="s">
        <v>391</v>
      </c>
      <c r="I130" s="18" t="s">
        <v>386</v>
      </c>
      <c r="J130" s="18" t="s">
        <v>13</v>
      </c>
      <c r="K130" s="18"/>
      <c r="L130" s="21">
        <v>46054</v>
      </c>
    </row>
    <row r="131" spans="1:12" x14ac:dyDescent="0.25">
      <c r="A131" s="17" t="str">
        <f>IF(D131="PS","Logan Water",IF(D131="WS","Logan Water",IF(D131="MV","4060000",IF(D131="R","5050000",IF(D131="PK","4090000",IF(D131="CM","Claims Management",IF(D131="E","5060000",VLOOKUP(MID(E131,3,5),'[1]List Data'!$B$1:$D$1134,3,FALSE))))))))</f>
        <v>5050000</v>
      </c>
      <c r="B131" s="18" t="s">
        <v>622</v>
      </c>
      <c r="C131" s="19">
        <v>46054</v>
      </c>
      <c r="D131" s="16" t="s">
        <v>114</v>
      </c>
      <c r="E131" s="18" t="s">
        <v>118</v>
      </c>
      <c r="F131" s="16">
        <v>1</v>
      </c>
      <c r="G131" s="26">
        <v>362</v>
      </c>
      <c r="H131" s="18" t="s">
        <v>391</v>
      </c>
      <c r="I131" s="18" t="s">
        <v>392</v>
      </c>
      <c r="J131" s="18" t="s">
        <v>13</v>
      </c>
      <c r="K131" s="18"/>
      <c r="L131" s="21">
        <v>46054</v>
      </c>
    </row>
    <row r="132" spans="1:12" x14ac:dyDescent="0.25">
      <c r="A132" s="17" t="str">
        <f>IF(D132="PS","Logan Water",IF(D132="WS","Logan Water",IF(D132="MV","4060000",IF(D132="R","5050000",IF(D132="PK","4090000",IF(D132="CM","Claims Management",IF(D132="E","5060000",VLOOKUP(MID(E132,3,5),'[1]List Data'!$B$1:$D$1134,3,FALSE))))))))</f>
        <v>5050000</v>
      </c>
      <c r="B132" s="22" t="s">
        <v>622</v>
      </c>
      <c r="C132" s="19">
        <v>46054</v>
      </c>
      <c r="D132" s="16" t="s">
        <v>114</v>
      </c>
      <c r="E132" s="18" t="s">
        <v>118</v>
      </c>
      <c r="F132" s="23">
        <v>1</v>
      </c>
      <c r="G132" s="26">
        <v>97</v>
      </c>
      <c r="H132" s="18" t="s">
        <v>393</v>
      </c>
      <c r="I132" s="24" t="s">
        <v>394</v>
      </c>
      <c r="J132" s="18" t="s">
        <v>119</v>
      </c>
      <c r="K132" s="18" t="s">
        <v>31</v>
      </c>
      <c r="L132" s="21">
        <v>46054</v>
      </c>
    </row>
    <row r="133" spans="1:12" x14ac:dyDescent="0.25">
      <c r="A133" s="17" t="str">
        <f>IF(D133="PS","Logan Water",IF(D133="WS","Logan Water",IF(D133="MV","4060000",IF(D133="R","5050000",IF(D133="PK","4090000",IF(D133="CM","Claims Management",IF(D133="E","5060000",VLOOKUP(MID(E133,3,5),'[1]List Data'!$B$1:$D$1134,3,FALSE))))))))</f>
        <v>5050000</v>
      </c>
      <c r="B133" s="18" t="s">
        <v>625</v>
      </c>
      <c r="C133" s="19">
        <v>46023</v>
      </c>
      <c r="D133" s="16" t="s">
        <v>114</v>
      </c>
      <c r="E133" s="18" t="s">
        <v>120</v>
      </c>
      <c r="F133" s="16">
        <v>1</v>
      </c>
      <c r="G133" s="20">
        <v>420</v>
      </c>
      <c r="H133" s="18" t="s">
        <v>395</v>
      </c>
      <c r="I133" s="18" t="s">
        <v>394</v>
      </c>
      <c r="J133" s="18" t="s">
        <v>121</v>
      </c>
      <c r="K133" s="18"/>
      <c r="L133" s="21">
        <v>46054</v>
      </c>
    </row>
    <row r="134" spans="1:12" x14ac:dyDescent="0.25">
      <c r="A134" s="17" t="str">
        <f>IF(D134="PS","Logan Water",IF(D134="WS","Logan Water",IF(D134="MV","4060000",IF(D134="R","5050000",IF(D134="PK","4090000",IF(D134="CM","Claims Management",IF(D134="E","5060000",VLOOKUP(MID(E134,3,5),'[1]List Data'!$B$1:$D$1134,3,FALSE))))))))</f>
        <v>5050000</v>
      </c>
      <c r="B134" s="18" t="s">
        <v>625</v>
      </c>
      <c r="C134" s="19">
        <v>46023</v>
      </c>
      <c r="D134" s="16" t="s">
        <v>114</v>
      </c>
      <c r="E134" s="18" t="s">
        <v>120</v>
      </c>
      <c r="F134" s="16">
        <v>1</v>
      </c>
      <c r="G134" s="20">
        <v>420</v>
      </c>
      <c r="H134" s="18" t="s">
        <v>396</v>
      </c>
      <c r="I134" s="18" t="s">
        <v>397</v>
      </c>
      <c r="J134" s="18" t="s">
        <v>103</v>
      </c>
      <c r="K134" s="18"/>
      <c r="L134" s="21">
        <v>46054</v>
      </c>
    </row>
    <row r="135" spans="1:12" x14ac:dyDescent="0.25">
      <c r="A135" s="17" t="str">
        <f>IF(D135="PS","Logan Water",IF(D135="WS","Logan Water",IF(D135="MV","4060000",IF(D135="R","5050000",IF(D135="PK","4090000",IF(D135="CM","Claims Management",IF(D135="E","5060000",VLOOKUP(MID(E135,3,5),'[1]List Data'!$B$1:$D$1134,3,FALSE))))))))</f>
        <v>5060000</v>
      </c>
      <c r="B135" s="18" t="s">
        <v>623</v>
      </c>
      <c r="C135" s="19">
        <v>46054</v>
      </c>
      <c r="D135" s="16" t="s">
        <v>1</v>
      </c>
      <c r="E135" s="18" t="s">
        <v>122</v>
      </c>
      <c r="F135" s="16">
        <v>4</v>
      </c>
      <c r="G135" s="26">
        <v>10300</v>
      </c>
      <c r="H135" s="18" t="s">
        <v>398</v>
      </c>
      <c r="I135" s="18" t="s">
        <v>399</v>
      </c>
      <c r="J135" s="18" t="s">
        <v>123</v>
      </c>
      <c r="K135" s="18"/>
      <c r="L135" s="21">
        <v>46054</v>
      </c>
    </row>
    <row r="136" spans="1:12" x14ac:dyDescent="0.25">
      <c r="A136" s="17" t="str">
        <f>IF(D136="PS","Logan Water",IF(D136="WS","Logan Water",IF(D136="MV","4060000",IF(D136="R","5050000",IF(D136="PK","4090000",IF(D136="CM","Claims Management",IF(D136="E","5060000",VLOOKUP(MID(E136,3,5),'[1]List Data'!$B$1:$D$1134,3,FALSE))))))))</f>
        <v>5060000</v>
      </c>
      <c r="B136" s="18" t="s">
        <v>623</v>
      </c>
      <c r="C136" s="19">
        <v>46054</v>
      </c>
      <c r="D136" s="16" t="s">
        <v>1</v>
      </c>
      <c r="E136" s="18" t="s">
        <v>122</v>
      </c>
      <c r="F136" s="16">
        <v>7</v>
      </c>
      <c r="G136" s="26">
        <v>19740</v>
      </c>
      <c r="H136" s="18" t="s">
        <v>398</v>
      </c>
      <c r="I136" s="18" t="s">
        <v>399</v>
      </c>
      <c r="J136" s="18" t="s">
        <v>124</v>
      </c>
      <c r="K136" s="18"/>
      <c r="L136" s="21">
        <v>46054</v>
      </c>
    </row>
    <row r="137" spans="1:12" x14ac:dyDescent="0.25">
      <c r="A137" s="17" t="str">
        <f>IF(D137="PS","Logan Water",IF(D137="WS","Logan Water",IF(D137="MV","4060000",IF(D137="R","5050000",IF(D137="PK","4090000",IF(D137="CM","Claims Management",IF(D137="E","5060000",VLOOKUP(MID(E137,3,5),'[1]List Data'!$B$1:$D$1134,3,FALSE))))))))</f>
        <v>5060000</v>
      </c>
      <c r="B137" s="18" t="s">
        <v>622</v>
      </c>
      <c r="C137" s="19">
        <v>46054</v>
      </c>
      <c r="D137" s="16" t="s">
        <v>1</v>
      </c>
      <c r="E137" s="18" t="s">
        <v>122</v>
      </c>
      <c r="F137" s="16">
        <v>1</v>
      </c>
      <c r="G137" s="26">
        <v>320</v>
      </c>
      <c r="H137" s="18" t="s">
        <v>400</v>
      </c>
      <c r="I137" s="18" t="s">
        <v>401</v>
      </c>
      <c r="J137" s="18" t="s">
        <v>13</v>
      </c>
      <c r="K137" s="18"/>
      <c r="L137" s="21">
        <v>46054</v>
      </c>
    </row>
    <row r="138" spans="1:12" x14ac:dyDescent="0.25">
      <c r="A138" s="17" t="str">
        <f>IF(D138="PS","Logan Water",IF(D138="WS","Logan Water",IF(D138="MV","4060000",IF(D138="R","5050000",IF(D138="PK","4090000",IF(D138="CM","Claims Management",IF(D138="E","5060000",VLOOKUP(MID(E138,3,5),'[1]List Data'!$B$1:$D$1134,3,FALSE))))))))</f>
        <v>5060000</v>
      </c>
      <c r="B138" s="18" t="s">
        <v>622</v>
      </c>
      <c r="C138" s="19">
        <v>46023</v>
      </c>
      <c r="D138" s="16" t="s">
        <v>1</v>
      </c>
      <c r="E138" s="18" t="s">
        <v>122</v>
      </c>
      <c r="F138" s="16">
        <v>1</v>
      </c>
      <c r="G138" s="20">
        <v>610</v>
      </c>
      <c r="H138" s="18" t="s">
        <v>402</v>
      </c>
      <c r="I138" s="18" t="s">
        <v>403</v>
      </c>
      <c r="J138" s="18" t="s">
        <v>125</v>
      </c>
      <c r="K138" s="18"/>
      <c r="L138" s="21">
        <v>46054</v>
      </c>
    </row>
    <row r="139" spans="1:12" x14ac:dyDescent="0.25">
      <c r="A139" s="17" t="str">
        <f>IF(D139="PS","Logan Water",IF(D139="WS","Logan Water",IF(D139="MV","4060000",IF(D139="R","5050000",IF(D139="PK","4090000",IF(D139="CM","Claims Management",IF(D139="E","5060000",VLOOKUP(MID(E139,3,5),'[1]List Data'!$B$1:$D$1134,3,FALSE))))))))</f>
        <v>5060000</v>
      </c>
      <c r="B139" s="18" t="s">
        <v>622</v>
      </c>
      <c r="C139" s="19">
        <v>46023</v>
      </c>
      <c r="D139" s="16" t="s">
        <v>1</v>
      </c>
      <c r="E139" s="18" t="s">
        <v>122</v>
      </c>
      <c r="F139" s="16">
        <v>1</v>
      </c>
      <c r="G139" s="20">
        <v>362</v>
      </c>
      <c r="H139" s="18" t="s">
        <v>404</v>
      </c>
      <c r="I139" s="18" t="s">
        <v>405</v>
      </c>
      <c r="J139" s="18" t="s">
        <v>13</v>
      </c>
      <c r="K139" s="18"/>
      <c r="L139" s="21">
        <v>46054</v>
      </c>
    </row>
    <row r="140" spans="1:12" x14ac:dyDescent="0.25">
      <c r="A140" s="17" t="str">
        <f>IF(D140="PS","Logan Water",IF(D140="WS","Logan Water",IF(D140="MV","4060000",IF(D140="R","5050000",IF(D140="PK","4090000",IF(D140="CM","Claims Management",IF(D140="E","5060000",VLOOKUP(MID(E140,3,5),'[1]List Data'!$B$1:$D$1134,3,FALSE))))))))</f>
        <v>5060000</v>
      </c>
      <c r="B140" s="18" t="s">
        <v>622</v>
      </c>
      <c r="C140" s="19">
        <v>46023</v>
      </c>
      <c r="D140" s="16" t="s">
        <v>1</v>
      </c>
      <c r="E140" s="18" t="s">
        <v>122</v>
      </c>
      <c r="F140" s="16">
        <v>1</v>
      </c>
      <c r="G140" s="20">
        <v>362</v>
      </c>
      <c r="H140" s="18" t="s">
        <v>406</v>
      </c>
      <c r="I140" s="18" t="s">
        <v>407</v>
      </c>
      <c r="J140" s="18" t="s">
        <v>13</v>
      </c>
      <c r="K140" s="18"/>
      <c r="L140" s="21">
        <v>46054</v>
      </c>
    </row>
    <row r="141" spans="1:12" x14ac:dyDescent="0.25">
      <c r="A141" s="17" t="str">
        <f>IF(D141="PS","Logan Water",IF(D141="WS","Logan Water",IF(D141="MV","4060000",IF(D141="R","5050000",IF(D141="PK","4090000",IF(D141="CM","Claims Management",IF(D141="E","5060000",VLOOKUP(MID(E141,3,5),'[1]List Data'!$B$1:$D$1134,3,FALSE))))))))</f>
        <v>5060000</v>
      </c>
      <c r="B141" s="18" t="s">
        <v>622</v>
      </c>
      <c r="C141" s="19">
        <v>46023</v>
      </c>
      <c r="D141" s="16" t="s">
        <v>1</v>
      </c>
      <c r="E141" s="18" t="s">
        <v>122</v>
      </c>
      <c r="F141" s="16">
        <v>1</v>
      </c>
      <c r="G141" s="20">
        <v>610</v>
      </c>
      <c r="H141" s="18" t="s">
        <v>408</v>
      </c>
      <c r="I141" s="18" t="s">
        <v>399</v>
      </c>
      <c r="J141" s="18" t="s">
        <v>125</v>
      </c>
      <c r="K141" s="18"/>
      <c r="L141" s="21">
        <v>46054</v>
      </c>
    </row>
    <row r="142" spans="1:12" x14ac:dyDescent="0.25">
      <c r="A142" s="17" t="str">
        <f>IF(D142="PS","Logan Water",IF(D142="WS","Logan Water",IF(D142="MV","4060000",IF(D142="R","5050000",IF(D142="PK","4090000",IF(D142="CM","Claims Management",IF(D142="E","5060000",VLOOKUP(MID(E142,3,5),'[1]List Data'!$B$1:$D$1134,3,FALSE))))))))</f>
        <v>5060000</v>
      </c>
      <c r="B142" s="18" t="s">
        <v>622</v>
      </c>
      <c r="C142" s="19">
        <v>46054</v>
      </c>
      <c r="D142" s="16" t="s">
        <v>1</v>
      </c>
      <c r="E142" s="18" t="s">
        <v>122</v>
      </c>
      <c r="F142" s="16">
        <v>1</v>
      </c>
      <c r="G142" s="26">
        <v>410</v>
      </c>
      <c r="H142" s="28" t="s">
        <v>409</v>
      </c>
      <c r="I142" s="18" t="s">
        <v>410</v>
      </c>
      <c r="J142" s="18" t="s">
        <v>11</v>
      </c>
      <c r="K142" s="18"/>
      <c r="L142" s="21">
        <v>46054</v>
      </c>
    </row>
    <row r="143" spans="1:12" x14ac:dyDescent="0.25">
      <c r="A143" s="17" t="str">
        <f>IF(D143="PS","Logan Water",IF(D143="WS","Logan Water",IF(D143="MV","4060000",IF(D143="R","5050000",IF(D143="PK","4090000",IF(D143="CM","Claims Management",IF(D143="E","5060000",VLOOKUP(MID(E143,3,5),'[1]List Data'!$B$1:$D$1134,3,FALSE))))))))</f>
        <v>5060000</v>
      </c>
      <c r="B143" s="18" t="s">
        <v>622</v>
      </c>
      <c r="C143" s="19">
        <v>46054</v>
      </c>
      <c r="D143" s="16" t="s">
        <v>1</v>
      </c>
      <c r="E143" s="18" t="s">
        <v>122</v>
      </c>
      <c r="F143" s="16">
        <v>1</v>
      </c>
      <c r="G143" s="26">
        <v>500</v>
      </c>
      <c r="H143" s="18" t="s">
        <v>409</v>
      </c>
      <c r="I143" s="18" t="s">
        <v>410</v>
      </c>
      <c r="J143" s="18" t="s">
        <v>54</v>
      </c>
      <c r="K143" s="18"/>
      <c r="L143" s="21">
        <v>46054</v>
      </c>
    </row>
    <row r="144" spans="1:12" x14ac:dyDescent="0.25">
      <c r="A144" s="17" t="str">
        <f>IF(D144="PS","Logan Water",IF(D144="WS","Logan Water",IF(D144="MV","4060000",IF(D144="R","5050000",IF(D144="PK","4090000",IF(D144="CM","Claims Management",IF(D144="E","5060000",VLOOKUP(MID(E144,3,5),'[1]List Data'!$B$1:$D$1134,3,FALSE))))))))</f>
        <v>5060000</v>
      </c>
      <c r="B144" s="18" t="s">
        <v>622</v>
      </c>
      <c r="C144" s="19">
        <v>46054</v>
      </c>
      <c r="D144" s="16" t="s">
        <v>1</v>
      </c>
      <c r="E144" s="18" t="s">
        <v>122</v>
      </c>
      <c r="F144" s="16">
        <v>1</v>
      </c>
      <c r="G144" s="26">
        <v>410</v>
      </c>
      <c r="H144" s="18" t="s">
        <v>411</v>
      </c>
      <c r="I144" s="18" t="s">
        <v>412</v>
      </c>
      <c r="J144" s="18" t="s">
        <v>11</v>
      </c>
      <c r="K144" s="18"/>
      <c r="L144" s="21">
        <v>46054</v>
      </c>
    </row>
    <row r="145" spans="1:12" x14ac:dyDescent="0.25">
      <c r="A145" s="17" t="str">
        <f>IF(D145="PS","Logan Water",IF(D145="WS","Logan Water",IF(D145="MV","4060000",IF(D145="R","5050000",IF(D145="PK","4090000",IF(D145="CM","Claims Management",IF(D145="E","5060000",VLOOKUP(MID(E145,3,5),'[1]List Data'!$B$1:$D$1134,3,FALSE))))))))</f>
        <v>5060000</v>
      </c>
      <c r="B145" s="18" t="s">
        <v>622</v>
      </c>
      <c r="C145" s="19">
        <v>46054</v>
      </c>
      <c r="D145" s="16" t="s">
        <v>1</v>
      </c>
      <c r="E145" s="18" t="s">
        <v>122</v>
      </c>
      <c r="F145" s="16">
        <v>1</v>
      </c>
      <c r="G145" s="26">
        <v>410</v>
      </c>
      <c r="H145" s="18" t="s">
        <v>411</v>
      </c>
      <c r="I145" s="18" t="s">
        <v>412</v>
      </c>
      <c r="J145" s="18" t="s">
        <v>11</v>
      </c>
      <c r="K145" s="18"/>
      <c r="L145" s="21">
        <v>46054</v>
      </c>
    </row>
    <row r="146" spans="1:12" x14ac:dyDescent="0.25">
      <c r="A146" s="17" t="str">
        <f>IF(D146="PS","Logan Water",IF(D146="WS","Logan Water",IF(D146="MV","4060000",IF(D146="R","5050000",IF(D146="PK","4090000",IF(D146="CM","Claims Management",IF(D146="E","5060000",VLOOKUP(MID(E146,3,5),'[1]List Data'!$B$1:$D$1134,3,FALSE))))))))</f>
        <v>5060000</v>
      </c>
      <c r="B146" s="18" t="s">
        <v>622</v>
      </c>
      <c r="C146" s="19">
        <v>46054</v>
      </c>
      <c r="D146" s="16" t="s">
        <v>1</v>
      </c>
      <c r="E146" s="18" t="s">
        <v>122</v>
      </c>
      <c r="F146" s="16">
        <v>1</v>
      </c>
      <c r="G146" s="26">
        <v>500</v>
      </c>
      <c r="H146" s="18" t="s">
        <v>411</v>
      </c>
      <c r="I146" s="18" t="s">
        <v>412</v>
      </c>
      <c r="J146" s="18" t="s">
        <v>54</v>
      </c>
      <c r="K146" s="18"/>
      <c r="L146" s="21">
        <v>46054</v>
      </c>
    </row>
    <row r="147" spans="1:12" x14ac:dyDescent="0.25">
      <c r="A147" s="17" t="str">
        <f>IF(D147="PS","Logan Water",IF(D147="WS","Logan Water",IF(D147="MV","4060000",IF(D147="R","5050000",IF(D147="PK","4090000",IF(D147="CM","Claims Management",IF(D147="E","5060000",VLOOKUP(MID(E147,3,5),'[1]List Data'!$B$1:$D$1134,3,FALSE))))))))</f>
        <v>5060000</v>
      </c>
      <c r="B147" s="18" t="s">
        <v>622</v>
      </c>
      <c r="C147" s="19">
        <v>46054</v>
      </c>
      <c r="D147" s="16" t="s">
        <v>1</v>
      </c>
      <c r="E147" s="18" t="s">
        <v>122</v>
      </c>
      <c r="F147" s="16">
        <v>1</v>
      </c>
      <c r="G147" s="26">
        <v>410</v>
      </c>
      <c r="H147" s="18" t="s">
        <v>413</v>
      </c>
      <c r="I147" s="18" t="s">
        <v>414</v>
      </c>
      <c r="J147" s="18" t="s">
        <v>11</v>
      </c>
      <c r="K147" s="18"/>
      <c r="L147" s="21">
        <v>46054</v>
      </c>
    </row>
    <row r="148" spans="1:12" x14ac:dyDescent="0.25">
      <c r="A148" s="17" t="str">
        <f>IF(D148="PS","Logan Water",IF(D148="WS","Logan Water",IF(D148="MV","4060000",IF(D148="R","5050000",IF(D148="PK","4090000",IF(D148="CM","Claims Management",IF(D148="E","5060000",VLOOKUP(MID(E148,3,5),'[1]List Data'!$B$1:$D$1134,3,FALSE))))))))</f>
        <v>5090000</v>
      </c>
      <c r="B148" s="18" t="s">
        <v>623</v>
      </c>
      <c r="C148" s="19">
        <v>46023</v>
      </c>
      <c r="D148" s="16" t="s">
        <v>1</v>
      </c>
      <c r="E148" s="18" t="s">
        <v>126</v>
      </c>
      <c r="F148" s="16">
        <v>1</v>
      </c>
      <c r="G148" s="20">
        <v>3099</v>
      </c>
      <c r="H148" s="18" t="s">
        <v>415</v>
      </c>
      <c r="I148" s="18" t="s">
        <v>416</v>
      </c>
      <c r="J148" s="18" t="s">
        <v>127</v>
      </c>
      <c r="K148" s="18"/>
      <c r="L148" s="21">
        <v>46054</v>
      </c>
    </row>
    <row r="149" spans="1:12" x14ac:dyDescent="0.25">
      <c r="A149" s="17" t="str">
        <f>IF(D149="PS","Logan Water",IF(D149="WS","Logan Water",IF(D149="MV","4060000",IF(D149="R","5050000",IF(D149="PK","4090000",IF(D149="CM","Claims Management",IF(D149="E","5060000",VLOOKUP(MID(E149,3,5),'[1]List Data'!$B$1:$D$1134,3,FALSE))))))))</f>
        <v>5090000</v>
      </c>
      <c r="B149" s="18" t="s">
        <v>623</v>
      </c>
      <c r="C149" s="19">
        <v>46054</v>
      </c>
      <c r="D149" s="16" t="s">
        <v>1</v>
      </c>
      <c r="E149" s="18" t="s">
        <v>126</v>
      </c>
      <c r="F149" s="16">
        <v>1</v>
      </c>
      <c r="G149" s="26">
        <v>3099</v>
      </c>
      <c r="H149" s="18" t="s">
        <v>417</v>
      </c>
      <c r="I149" s="18" t="s">
        <v>418</v>
      </c>
      <c r="J149" s="18" t="s">
        <v>127</v>
      </c>
      <c r="K149" s="18"/>
      <c r="L149" s="21">
        <v>46054</v>
      </c>
    </row>
    <row r="150" spans="1:12" x14ac:dyDescent="0.25">
      <c r="A150" s="17" t="str">
        <f>IF(D150="PS","Logan Water",IF(D150="WS","Logan Water",IF(D150="MV","4060000",IF(D150="R","5050000",IF(D150="PK","4090000",IF(D150="CM","Claims Management",IF(D150="E","5060000",VLOOKUP(MID(E150,3,5),'[1]List Data'!$B$1:$D$1134,3,FALSE))))))))</f>
        <v>5090000</v>
      </c>
      <c r="B150" s="18" t="s">
        <v>623</v>
      </c>
      <c r="C150" s="19">
        <v>46054</v>
      </c>
      <c r="D150" s="16" t="s">
        <v>1</v>
      </c>
      <c r="E150" s="18" t="s">
        <v>126</v>
      </c>
      <c r="F150" s="16">
        <v>1</v>
      </c>
      <c r="G150" s="26">
        <v>3099</v>
      </c>
      <c r="H150" s="18" t="s">
        <v>419</v>
      </c>
      <c r="I150" s="18" t="s">
        <v>418</v>
      </c>
      <c r="J150" s="18" t="s">
        <v>127</v>
      </c>
      <c r="K150" s="18"/>
      <c r="L150" s="21">
        <v>46054</v>
      </c>
    </row>
    <row r="151" spans="1:12" x14ac:dyDescent="0.25">
      <c r="A151" s="17" t="str">
        <f>IF(D151="PS","Logan Water",IF(D151="WS","Logan Water",IF(D151="MV","4060000",IF(D151="R","5050000",IF(D151="PK","4090000",IF(D151="CM","Claims Management",IF(D151="E","5060000",VLOOKUP(MID(E151,3,5),'[1]List Data'!$B$1:$D$1134,3,FALSE))))))))</f>
        <v>5090000</v>
      </c>
      <c r="B151" s="18" t="s">
        <v>623</v>
      </c>
      <c r="C151" s="19">
        <v>46054</v>
      </c>
      <c r="D151" s="16" t="s">
        <v>1</v>
      </c>
      <c r="E151" s="18" t="s">
        <v>126</v>
      </c>
      <c r="F151" s="16">
        <v>1</v>
      </c>
      <c r="G151" s="26">
        <v>3099</v>
      </c>
      <c r="H151" s="18" t="s">
        <v>420</v>
      </c>
      <c r="I151" s="18" t="s">
        <v>418</v>
      </c>
      <c r="J151" s="18" t="s">
        <v>127</v>
      </c>
      <c r="K151" s="18"/>
      <c r="L151" s="21">
        <v>46054</v>
      </c>
    </row>
    <row r="152" spans="1:12" x14ac:dyDescent="0.25">
      <c r="A152" s="17" t="str">
        <f>IF(D152="PS","Logan Water",IF(D152="WS","Logan Water",IF(D152="MV","4060000",IF(D152="R","5050000",IF(D152="PK","4090000",IF(D152="CM","Claims Management",IF(D152="E","5060000",VLOOKUP(MID(E152,3,5),'[1]List Data'!$B$1:$D$1134,3,FALSE))))))))</f>
        <v>5090000</v>
      </c>
      <c r="B152" s="18" t="s">
        <v>624</v>
      </c>
      <c r="C152" s="19">
        <v>46023</v>
      </c>
      <c r="D152" s="16" t="s">
        <v>1</v>
      </c>
      <c r="E152" s="18" t="s">
        <v>128</v>
      </c>
      <c r="F152" s="16">
        <v>1</v>
      </c>
      <c r="G152" s="20">
        <v>59</v>
      </c>
      <c r="H152" s="18" t="s">
        <v>415</v>
      </c>
      <c r="I152" s="18" t="s">
        <v>416</v>
      </c>
      <c r="J152" s="18" t="s">
        <v>129</v>
      </c>
      <c r="K152" s="18"/>
      <c r="L152" s="21">
        <v>46054</v>
      </c>
    </row>
    <row r="153" spans="1:12" x14ac:dyDescent="0.25">
      <c r="A153" s="17" t="str">
        <f>IF(D153="PS","Logan Water",IF(D153="WS","Logan Water",IF(D153="MV","4060000",IF(D153="R","5050000",IF(D153="PK","4090000",IF(D153="CM","Claims Management",IF(D153="E","5060000",VLOOKUP(MID(E153,3,5),'[1]List Data'!$B$1:$D$1134,3,FALSE))))))))</f>
        <v>5090000</v>
      </c>
      <c r="B153" s="18" t="s">
        <v>624</v>
      </c>
      <c r="C153" s="19">
        <v>46023</v>
      </c>
      <c r="D153" s="16" t="s">
        <v>1</v>
      </c>
      <c r="E153" s="18" t="s">
        <v>130</v>
      </c>
      <c r="F153" s="16">
        <v>1</v>
      </c>
      <c r="G153" s="20">
        <v>549</v>
      </c>
      <c r="H153" s="18" t="s">
        <v>421</v>
      </c>
      <c r="I153" s="18" t="s">
        <v>422</v>
      </c>
      <c r="J153" s="18" t="s">
        <v>17</v>
      </c>
      <c r="K153" s="18"/>
      <c r="L153" s="21">
        <v>46054</v>
      </c>
    </row>
    <row r="154" spans="1:12" x14ac:dyDescent="0.25">
      <c r="A154" s="17" t="str">
        <f>IF(D154="PS","Logan Water",IF(D154="WS","Logan Water",IF(D154="MV","4060000",IF(D154="R","5050000",IF(D154="PK","4090000",IF(D154="CM","Claims Management",IF(D154="E","5060000",VLOOKUP(MID(E154,3,5),'[1]List Data'!$B$1:$D$1134,3,FALSE))))))))</f>
        <v>5090000</v>
      </c>
      <c r="B154" s="18" t="s">
        <v>624</v>
      </c>
      <c r="C154" s="19">
        <v>46054</v>
      </c>
      <c r="D154" s="16" t="s">
        <v>1</v>
      </c>
      <c r="E154" s="18" t="s">
        <v>128</v>
      </c>
      <c r="F154" s="16">
        <v>1</v>
      </c>
      <c r="G154" s="26">
        <v>59</v>
      </c>
      <c r="H154" s="18" t="s">
        <v>417</v>
      </c>
      <c r="I154" s="18" t="s">
        <v>418</v>
      </c>
      <c r="J154" s="18" t="s">
        <v>129</v>
      </c>
      <c r="K154" s="18"/>
      <c r="L154" s="21">
        <v>46054</v>
      </c>
    </row>
    <row r="155" spans="1:12" x14ac:dyDescent="0.25">
      <c r="A155" s="17" t="str">
        <f>IF(D155="PS","Logan Water",IF(D155="WS","Logan Water",IF(D155="MV","4060000",IF(D155="R","5050000",IF(D155="PK","4090000",IF(D155="CM","Claims Management",IF(D155="E","5060000",VLOOKUP(MID(E155,3,5),'[1]List Data'!$B$1:$D$1134,3,FALSE))))))))</f>
        <v>5090000</v>
      </c>
      <c r="B155" s="18" t="s">
        <v>624</v>
      </c>
      <c r="C155" s="19">
        <v>46054</v>
      </c>
      <c r="D155" s="16" t="s">
        <v>1</v>
      </c>
      <c r="E155" s="18" t="s">
        <v>128</v>
      </c>
      <c r="F155" s="16">
        <v>1</v>
      </c>
      <c r="G155" s="26">
        <v>59</v>
      </c>
      <c r="H155" s="18" t="s">
        <v>419</v>
      </c>
      <c r="I155" s="18" t="s">
        <v>418</v>
      </c>
      <c r="J155" s="18" t="s">
        <v>129</v>
      </c>
      <c r="K155" s="18"/>
      <c r="L155" s="21">
        <v>46054</v>
      </c>
    </row>
    <row r="156" spans="1:12" x14ac:dyDescent="0.25">
      <c r="A156" s="17" t="str">
        <f>IF(D156="PS","Logan Water",IF(D156="WS","Logan Water",IF(D156="MV","4060000",IF(D156="R","5050000",IF(D156="PK","4090000",IF(D156="CM","Claims Management",IF(D156="E","5060000",VLOOKUP(MID(E156,3,5),'[1]List Data'!$B$1:$D$1134,3,FALSE))))))))</f>
        <v>5090000</v>
      </c>
      <c r="B156" s="18" t="s">
        <v>624</v>
      </c>
      <c r="C156" s="19">
        <v>46054</v>
      </c>
      <c r="D156" s="16" t="s">
        <v>1</v>
      </c>
      <c r="E156" s="18" t="s">
        <v>128</v>
      </c>
      <c r="F156" s="16">
        <v>1</v>
      </c>
      <c r="G156" s="26">
        <v>59</v>
      </c>
      <c r="H156" s="18" t="s">
        <v>420</v>
      </c>
      <c r="I156" s="18" t="s">
        <v>418</v>
      </c>
      <c r="J156" s="18" t="s">
        <v>129</v>
      </c>
      <c r="K156" s="18"/>
      <c r="L156" s="21">
        <v>46054</v>
      </c>
    </row>
    <row r="157" spans="1:12" x14ac:dyDescent="0.25">
      <c r="A157" s="17" t="str">
        <f>IF(D157="PS","Logan Water",IF(D157="WS","Logan Water",IF(D157="MV","4060000",IF(D157="R","5050000",IF(D157="PK","4090000",IF(D157="CM","Claims Management",IF(D157="E","5060000",VLOOKUP(MID(E157,3,5),'[1]List Data'!$B$1:$D$1134,3,FALSE))))))))</f>
        <v>5090000</v>
      </c>
      <c r="B157" s="18" t="s">
        <v>622</v>
      </c>
      <c r="C157" s="19">
        <v>46054</v>
      </c>
      <c r="D157" s="16" t="s">
        <v>1</v>
      </c>
      <c r="E157" s="18" t="s">
        <v>131</v>
      </c>
      <c r="F157" s="16">
        <v>1</v>
      </c>
      <c r="G157" s="26">
        <v>320</v>
      </c>
      <c r="H157" s="18" t="s">
        <v>423</v>
      </c>
      <c r="I157" s="18" t="s">
        <v>424</v>
      </c>
      <c r="J157" s="18" t="s">
        <v>13</v>
      </c>
      <c r="K157" s="18"/>
      <c r="L157" s="21">
        <v>46054</v>
      </c>
    </row>
    <row r="158" spans="1:12" x14ac:dyDescent="0.25">
      <c r="A158" s="17" t="str">
        <f>IF(D158="PS","Logan Water",IF(D158="WS","Logan Water",IF(D158="MV","4060000",IF(D158="R","5050000",IF(D158="PK","4090000",IF(D158="CM","Claims Management",IF(D158="E","5060000",VLOOKUP(MID(E158,3,5),'[1]List Data'!$B$1:$D$1134,3,FALSE))))))))</f>
        <v>8010000</v>
      </c>
      <c r="B158" s="18" t="s">
        <v>624</v>
      </c>
      <c r="C158" s="19">
        <v>46023</v>
      </c>
      <c r="D158" s="16" t="s">
        <v>1</v>
      </c>
      <c r="E158" s="18" t="s">
        <v>132</v>
      </c>
      <c r="F158" s="16">
        <v>1</v>
      </c>
      <c r="G158" s="20">
        <v>156.44999999999999</v>
      </c>
      <c r="H158" s="18" t="s">
        <v>237</v>
      </c>
      <c r="I158" s="18" t="s">
        <v>238</v>
      </c>
      <c r="J158" s="18" t="s">
        <v>42</v>
      </c>
      <c r="K158" s="18" t="s">
        <v>239</v>
      </c>
      <c r="L158" s="21">
        <v>46054</v>
      </c>
    </row>
    <row r="159" spans="1:12" x14ac:dyDescent="0.25">
      <c r="A159" s="17" t="str">
        <f>IF(D159="PS","Logan Water",IF(D159="WS","Logan Water",IF(D159="MV","4060000",IF(D159="R","5050000",IF(D159="PK","4090000",IF(D159="CM","Claims Management",IF(D159="E","5060000",VLOOKUP(MID(E159,3,5),'[1]List Data'!$B$1:$D$1134,3,FALSE))))))))</f>
        <v>8020000</v>
      </c>
      <c r="B159" s="18" t="s">
        <v>622</v>
      </c>
      <c r="C159" s="19">
        <v>46023</v>
      </c>
      <c r="D159" s="16" t="s">
        <v>1</v>
      </c>
      <c r="E159" s="18" t="s">
        <v>133</v>
      </c>
      <c r="F159" s="16">
        <v>3</v>
      </c>
      <c r="G159" s="20">
        <v>1230</v>
      </c>
      <c r="H159" s="18" t="s">
        <v>425</v>
      </c>
      <c r="I159" s="18" t="s">
        <v>426</v>
      </c>
      <c r="J159" s="18" t="s">
        <v>11</v>
      </c>
      <c r="K159" s="18"/>
      <c r="L159" s="21">
        <v>46054</v>
      </c>
    </row>
    <row r="160" spans="1:12" x14ac:dyDescent="0.25">
      <c r="A160" s="17" t="str">
        <f>IF(D160="PS","Logan Water",IF(D160="WS","Logan Water",IF(D160="MV","4060000",IF(D160="R","5050000",IF(D160="PK","4090000",IF(D160="CM","Claims Management",IF(D160="E","5060000",VLOOKUP(MID(E160,3,5),'[1]List Data'!$B$1:$D$1134,3,FALSE))))))))</f>
        <v>8020000</v>
      </c>
      <c r="B160" s="18" t="s">
        <v>622</v>
      </c>
      <c r="C160" s="19">
        <v>46023</v>
      </c>
      <c r="D160" s="16" t="s">
        <v>1</v>
      </c>
      <c r="E160" s="18" t="s">
        <v>133</v>
      </c>
      <c r="F160" s="16">
        <v>4</v>
      </c>
      <c r="G160" s="20">
        <v>-548</v>
      </c>
      <c r="H160" s="18" t="s">
        <v>425</v>
      </c>
      <c r="I160" s="18" t="s">
        <v>426</v>
      </c>
      <c r="J160" s="18" t="s">
        <v>134</v>
      </c>
      <c r="K160" s="18" t="s">
        <v>427</v>
      </c>
      <c r="L160" s="21">
        <v>46054</v>
      </c>
    </row>
    <row r="161" spans="1:12" x14ac:dyDescent="0.25">
      <c r="A161" s="17" t="str">
        <f>IF(D161="PS","Logan Water",IF(D161="WS","Logan Water",IF(D161="MV","4060000",IF(D161="R","5050000",IF(D161="PK","4090000",IF(D161="CM","Claims Management",IF(D161="E","5060000",VLOOKUP(MID(E161,3,5),'[1]List Data'!$B$1:$D$1134,3,FALSE))))))))</f>
        <v>8020000</v>
      </c>
      <c r="B161" s="18" t="s">
        <v>622</v>
      </c>
      <c r="C161" s="19">
        <v>46023</v>
      </c>
      <c r="D161" s="16" t="s">
        <v>1</v>
      </c>
      <c r="E161" s="18" t="s">
        <v>133</v>
      </c>
      <c r="F161" s="16">
        <v>1</v>
      </c>
      <c r="G161" s="20">
        <v>836.24</v>
      </c>
      <c r="H161" s="18" t="s">
        <v>428</v>
      </c>
      <c r="I161" s="18" t="s">
        <v>429</v>
      </c>
      <c r="J161" s="18" t="s">
        <v>86</v>
      </c>
      <c r="K161" s="18" t="s">
        <v>430</v>
      </c>
      <c r="L161" s="21">
        <v>46054</v>
      </c>
    </row>
    <row r="162" spans="1:12" x14ac:dyDescent="0.25">
      <c r="A162" s="17" t="str">
        <f>IF(D162="PS","Logan Water",IF(D162="WS","Logan Water",IF(D162="MV","4060000",IF(D162="R","5050000",IF(D162="PK","4090000",IF(D162="CM","Claims Management",IF(D162="E","5060000",VLOOKUP(MID(E162,3,5),'[1]List Data'!$B$1:$D$1134,3,FALSE))))))))</f>
        <v>8040000</v>
      </c>
      <c r="B162" s="18" t="s">
        <v>624</v>
      </c>
      <c r="C162" s="19">
        <v>46023</v>
      </c>
      <c r="D162" s="16" t="s">
        <v>1</v>
      </c>
      <c r="E162" s="18" t="s">
        <v>135</v>
      </c>
      <c r="F162" s="16">
        <v>1</v>
      </c>
      <c r="G162" s="20">
        <v>190</v>
      </c>
      <c r="H162" s="18" t="s">
        <v>431</v>
      </c>
      <c r="I162" s="18" t="s">
        <v>432</v>
      </c>
      <c r="J162" s="18" t="s">
        <v>29</v>
      </c>
      <c r="K162" s="18"/>
      <c r="L162" s="21">
        <v>46054</v>
      </c>
    </row>
    <row r="163" spans="1:12" x14ac:dyDescent="0.25">
      <c r="A163" s="17" t="str">
        <f>IF(D163="PS","Logan Water",IF(D163="WS","Logan Water",IF(D163="MV","4060000",IF(D163="R","5050000",IF(D163="PK","4090000",IF(D163="CM","Claims Management",IF(D163="E","5060000",VLOOKUP(MID(E163,3,5),'[1]List Data'!$B$1:$D$1134,3,FALSE))))))))</f>
        <v>8040000</v>
      </c>
      <c r="B163" s="18" t="s">
        <v>624</v>
      </c>
      <c r="C163" s="19">
        <v>46023</v>
      </c>
      <c r="D163" s="16" t="s">
        <v>1</v>
      </c>
      <c r="E163" s="18" t="s">
        <v>135</v>
      </c>
      <c r="F163" s="16">
        <v>1</v>
      </c>
      <c r="G163" s="20">
        <v>190</v>
      </c>
      <c r="H163" s="18" t="s">
        <v>433</v>
      </c>
      <c r="I163" s="18" t="s">
        <v>434</v>
      </c>
      <c r="J163" s="18" t="s">
        <v>29</v>
      </c>
      <c r="K163" s="18"/>
      <c r="L163" s="21">
        <v>46054</v>
      </c>
    </row>
    <row r="164" spans="1:12" x14ac:dyDescent="0.25">
      <c r="A164" s="17" t="str">
        <f>IF(D164="PS","Logan Water",IF(D164="WS","Logan Water",IF(D164="MV","4060000",IF(D164="R","5050000",IF(D164="PK","4090000",IF(D164="CM","Claims Management",IF(D164="E","5060000",VLOOKUP(MID(E164,3,5),'[1]List Data'!$B$1:$D$1134,3,FALSE))))))))</f>
        <v>8040000</v>
      </c>
      <c r="B164" s="18" t="s">
        <v>624</v>
      </c>
      <c r="C164" s="19">
        <v>46023</v>
      </c>
      <c r="D164" s="16" t="s">
        <v>1</v>
      </c>
      <c r="E164" s="18" t="s">
        <v>135</v>
      </c>
      <c r="F164" s="16">
        <v>1</v>
      </c>
      <c r="G164" s="20">
        <v>190</v>
      </c>
      <c r="H164" s="18" t="s">
        <v>435</v>
      </c>
      <c r="I164" s="18" t="s">
        <v>436</v>
      </c>
      <c r="J164" s="18" t="s">
        <v>29</v>
      </c>
      <c r="K164" s="18"/>
      <c r="L164" s="21">
        <v>46054</v>
      </c>
    </row>
    <row r="165" spans="1:12" x14ac:dyDescent="0.25">
      <c r="A165" s="17" t="str">
        <f>IF(D165="PS","Logan Water",IF(D165="WS","Logan Water",IF(D165="MV","4060000",IF(D165="R","5050000",IF(D165="PK","4090000",IF(D165="CM","Claims Management",IF(D165="E","5060000",VLOOKUP(MID(E165,3,5),'[1]List Data'!$B$1:$D$1134,3,FALSE))))))))</f>
        <v>8040000</v>
      </c>
      <c r="B165" s="18" t="s">
        <v>624</v>
      </c>
      <c r="C165" s="19">
        <v>46023</v>
      </c>
      <c r="D165" s="16" t="s">
        <v>1</v>
      </c>
      <c r="E165" s="18" t="s">
        <v>135</v>
      </c>
      <c r="F165" s="16">
        <v>3</v>
      </c>
      <c r="G165" s="20">
        <v>177</v>
      </c>
      <c r="H165" s="18" t="s">
        <v>437</v>
      </c>
      <c r="I165" s="18" t="s">
        <v>438</v>
      </c>
      <c r="J165" s="18" t="s">
        <v>66</v>
      </c>
      <c r="K165" s="18"/>
      <c r="L165" s="21">
        <v>46054</v>
      </c>
    </row>
    <row r="166" spans="1:12" x14ac:dyDescent="0.25">
      <c r="A166" s="17" t="str">
        <f>IF(D166="PS","Logan Water",IF(D166="WS","Logan Water",IF(D166="MV","4060000",IF(D166="R","5050000",IF(D166="PK","4090000",IF(D166="CM","Claims Management",IF(D166="E","5060000",VLOOKUP(MID(E166,3,5),'[1]List Data'!$B$1:$D$1134,3,FALSE))))))))</f>
        <v>8040000</v>
      </c>
      <c r="B166" s="18" t="s">
        <v>622</v>
      </c>
      <c r="C166" s="19">
        <v>46054</v>
      </c>
      <c r="D166" s="16" t="s">
        <v>1</v>
      </c>
      <c r="E166" s="18" t="s">
        <v>136</v>
      </c>
      <c r="F166" s="16">
        <v>1</v>
      </c>
      <c r="G166" s="26">
        <v>1300</v>
      </c>
      <c r="H166" s="18" t="s">
        <v>439</v>
      </c>
      <c r="I166" s="18" t="s">
        <v>440</v>
      </c>
      <c r="J166" s="18" t="s">
        <v>137</v>
      </c>
      <c r="K166" s="18"/>
      <c r="L166" s="21">
        <v>46054</v>
      </c>
    </row>
    <row r="167" spans="1:12" x14ac:dyDescent="0.25">
      <c r="A167" s="17" t="str">
        <f>IF(D167="PS","Logan Water",IF(D167="WS","Logan Water",IF(D167="MV","4060000",IF(D167="R","5050000",IF(D167="PK","4090000",IF(D167="CM","Claims Management",IF(D167="E","5060000",VLOOKUP(MID(E167,3,5),'[1]List Data'!$B$1:$D$1134,3,FALSE))))))))</f>
        <v>8040000</v>
      </c>
      <c r="B167" s="22" t="s">
        <v>625</v>
      </c>
      <c r="C167" s="19">
        <v>46054</v>
      </c>
      <c r="D167" s="23" t="s">
        <v>1</v>
      </c>
      <c r="E167" s="24" t="s">
        <v>138</v>
      </c>
      <c r="F167" s="23">
        <v>1</v>
      </c>
      <c r="G167" s="25">
        <v>420</v>
      </c>
      <c r="H167" s="24" t="s">
        <v>441</v>
      </c>
      <c r="I167" s="24" t="s">
        <v>440</v>
      </c>
      <c r="J167" s="18" t="s">
        <v>103</v>
      </c>
      <c r="K167" s="18"/>
      <c r="L167" s="21">
        <v>46054</v>
      </c>
    </row>
    <row r="168" spans="1:12" ht="25" x14ac:dyDescent="0.25">
      <c r="A168" s="17" t="str">
        <f>IF(D168="PS","Logan Water",IF(D168="WS","Logan Water",IF(D168="MV","4060000",IF(D168="R","5050000",IF(D168="PK","4090000",IF(D168="CM","Claims Management",IF(D168="E","5060000",VLOOKUP(MID(E168,3,5),'[1]List Data'!$B$1:$D$1134,3,FALSE))))))))</f>
        <v>8050000</v>
      </c>
      <c r="B168" s="18" t="s">
        <v>623</v>
      </c>
      <c r="C168" s="19">
        <v>46023</v>
      </c>
      <c r="D168" s="16" t="s">
        <v>1</v>
      </c>
      <c r="E168" s="18" t="s">
        <v>139</v>
      </c>
      <c r="F168" s="16">
        <v>1</v>
      </c>
      <c r="G168" s="20">
        <v>3686</v>
      </c>
      <c r="H168" s="18" t="s">
        <v>442</v>
      </c>
      <c r="I168" s="18" t="s">
        <v>443</v>
      </c>
      <c r="J168" s="18" t="s">
        <v>140</v>
      </c>
      <c r="K168" s="30" t="s">
        <v>444</v>
      </c>
      <c r="L168" s="21">
        <v>46054</v>
      </c>
    </row>
    <row r="169" spans="1:12" x14ac:dyDescent="0.25">
      <c r="A169" s="17" t="str">
        <f>IF(D169="PS","Logan Water",IF(D169="WS","Logan Water",IF(D169="MV","4060000",IF(D169="R","5050000",IF(D169="PK","4090000",IF(D169="CM","Claims Management",IF(D169="E","5060000",VLOOKUP(MID(E169,3,5),'[1]List Data'!$B$1:$D$1134,3,FALSE))))))))</f>
        <v>8050000</v>
      </c>
      <c r="B169" s="18" t="s">
        <v>623</v>
      </c>
      <c r="C169" s="19">
        <v>46054</v>
      </c>
      <c r="D169" s="16" t="s">
        <v>1</v>
      </c>
      <c r="E169" s="18" t="s">
        <v>141</v>
      </c>
      <c r="F169" s="16">
        <v>2</v>
      </c>
      <c r="G169" s="26">
        <v>3398</v>
      </c>
      <c r="H169" s="18" t="s">
        <v>445</v>
      </c>
      <c r="I169" s="18" t="s">
        <v>446</v>
      </c>
      <c r="J169" s="18" t="s">
        <v>27</v>
      </c>
      <c r="K169" s="18"/>
      <c r="L169" s="21">
        <v>46054</v>
      </c>
    </row>
    <row r="170" spans="1:12" x14ac:dyDescent="0.25">
      <c r="A170" s="17" t="str">
        <f>IF(D170="PS","Logan Water",IF(D170="WS","Logan Water",IF(D170="MV","4060000",IF(D170="R","5050000",IF(D170="PK","4090000",IF(D170="CM","Claims Management",IF(D170="E","5060000",VLOOKUP(MID(E170,3,5),'[1]List Data'!$B$1:$D$1134,3,FALSE))))))))</f>
        <v>8050000</v>
      </c>
      <c r="B170" s="18" t="s">
        <v>623</v>
      </c>
      <c r="C170" s="19">
        <v>46054</v>
      </c>
      <c r="D170" s="16" t="s">
        <v>1</v>
      </c>
      <c r="E170" s="18" t="s">
        <v>141</v>
      </c>
      <c r="F170" s="16">
        <v>5</v>
      </c>
      <c r="G170" s="26">
        <v>11360</v>
      </c>
      <c r="H170" s="18" t="s">
        <v>447</v>
      </c>
      <c r="I170" s="18" t="s">
        <v>446</v>
      </c>
      <c r="J170" s="18" t="s">
        <v>142</v>
      </c>
      <c r="K170" s="18"/>
      <c r="L170" s="21">
        <v>46054</v>
      </c>
    </row>
    <row r="171" spans="1:12" x14ac:dyDescent="0.25">
      <c r="A171" s="17" t="str">
        <f>IF(D171="PS","Logan Water",IF(D171="WS","Logan Water",IF(D171="MV","4060000",IF(D171="R","5050000",IF(D171="PK","4090000",IF(D171="CM","Claims Management",IF(D171="E","5060000",VLOOKUP(MID(E171,3,5),'[1]List Data'!$B$1:$D$1134,3,FALSE))))))))</f>
        <v>8050000</v>
      </c>
      <c r="B171" s="18" t="s">
        <v>624</v>
      </c>
      <c r="C171" s="19">
        <v>46023</v>
      </c>
      <c r="D171" s="16" t="s">
        <v>1</v>
      </c>
      <c r="E171" s="18" t="s">
        <v>143</v>
      </c>
      <c r="F171" s="16">
        <v>10</v>
      </c>
      <c r="G171" s="20">
        <v>1900</v>
      </c>
      <c r="H171" s="18" t="s">
        <v>448</v>
      </c>
      <c r="I171" s="18" t="s">
        <v>446</v>
      </c>
      <c r="J171" s="18" t="s">
        <v>29</v>
      </c>
      <c r="K171" s="18"/>
      <c r="L171" s="21">
        <v>46054</v>
      </c>
    </row>
    <row r="172" spans="1:12" x14ac:dyDescent="0.25">
      <c r="A172" s="17" t="str">
        <f>IF(D172="PS","Logan Water",IF(D172="WS","Logan Water",IF(D172="MV","4060000",IF(D172="R","5050000",IF(D172="PK","4090000",IF(D172="CM","Claims Management",IF(D172="E","5060000",VLOOKUP(MID(E172,3,5),'[1]List Data'!$B$1:$D$1134,3,FALSE))))))))</f>
        <v>8050000</v>
      </c>
      <c r="B172" s="18" t="s">
        <v>624</v>
      </c>
      <c r="C172" s="19">
        <v>46023</v>
      </c>
      <c r="D172" s="16" t="s">
        <v>1</v>
      </c>
      <c r="E172" s="18" t="s">
        <v>144</v>
      </c>
      <c r="F172" s="16">
        <v>1</v>
      </c>
      <c r="G172" s="20">
        <v>549</v>
      </c>
      <c r="H172" s="18" t="s">
        <v>449</v>
      </c>
      <c r="I172" s="18" t="s">
        <v>450</v>
      </c>
      <c r="J172" s="18" t="s">
        <v>17</v>
      </c>
      <c r="K172" s="18"/>
      <c r="L172" s="21">
        <v>46054</v>
      </c>
    </row>
    <row r="173" spans="1:12" x14ac:dyDescent="0.25">
      <c r="A173" s="17" t="str">
        <f>IF(D173="PS","Logan Water",IF(D173="WS","Logan Water",IF(D173="MV","4060000",IF(D173="R","5050000",IF(D173="PK","4090000",IF(D173="CM","Claims Management",IF(D173="E","5060000",VLOOKUP(MID(E173,3,5),'[1]List Data'!$B$1:$D$1134,3,FALSE))))))))</f>
        <v>8050000</v>
      </c>
      <c r="B173" s="18" t="s">
        <v>624</v>
      </c>
      <c r="C173" s="19">
        <v>46023</v>
      </c>
      <c r="D173" s="16" t="s">
        <v>1</v>
      </c>
      <c r="E173" s="18" t="s">
        <v>144</v>
      </c>
      <c r="F173" s="16">
        <v>1</v>
      </c>
      <c r="G173" s="20">
        <v>329</v>
      </c>
      <c r="H173" s="18" t="s">
        <v>449</v>
      </c>
      <c r="I173" s="18" t="s">
        <v>450</v>
      </c>
      <c r="J173" s="18" t="s">
        <v>4</v>
      </c>
      <c r="K173" s="18"/>
      <c r="L173" s="21">
        <v>46054</v>
      </c>
    </row>
    <row r="174" spans="1:12" x14ac:dyDescent="0.25">
      <c r="A174" s="17" t="str">
        <f>IF(D174="PS","Logan Water",IF(D174="WS","Logan Water",IF(D174="MV","4060000",IF(D174="R","5050000",IF(D174="PK","4090000",IF(D174="CM","Claims Management",IF(D174="E","5060000",VLOOKUP(MID(E174,3,5),'[1]List Data'!$B$1:$D$1134,3,FALSE))))))))</f>
        <v>8050000</v>
      </c>
      <c r="B174" s="18" t="s">
        <v>624</v>
      </c>
      <c r="C174" s="19">
        <v>46023</v>
      </c>
      <c r="D174" s="16" t="s">
        <v>1</v>
      </c>
      <c r="E174" s="18" t="s">
        <v>144</v>
      </c>
      <c r="F174" s="16">
        <v>3</v>
      </c>
      <c r="G174" s="20">
        <v>288</v>
      </c>
      <c r="H174" s="18" t="s">
        <v>451</v>
      </c>
      <c r="I174" s="18" t="s">
        <v>452</v>
      </c>
      <c r="J174" s="18" t="s">
        <v>72</v>
      </c>
      <c r="K174" s="18"/>
      <c r="L174" s="21">
        <v>46054</v>
      </c>
    </row>
    <row r="175" spans="1:12" x14ac:dyDescent="0.25">
      <c r="A175" s="17" t="str">
        <f>IF(D175="PS","Logan Water",IF(D175="WS","Logan Water",IF(D175="MV","4060000",IF(D175="R","5050000",IF(D175="PK","4090000",IF(D175="CM","Claims Management",IF(D175="E","5060000",VLOOKUP(MID(E175,3,5),'[1]List Data'!$B$1:$D$1134,3,FALSE))))))))</f>
        <v>8050000</v>
      </c>
      <c r="B175" s="18" t="s">
        <v>624</v>
      </c>
      <c r="C175" s="19">
        <v>46023</v>
      </c>
      <c r="D175" s="16" t="s">
        <v>1</v>
      </c>
      <c r="E175" s="18" t="s">
        <v>144</v>
      </c>
      <c r="F175" s="16">
        <v>3</v>
      </c>
      <c r="G175" s="20">
        <v>750</v>
      </c>
      <c r="H175" s="18" t="s">
        <v>453</v>
      </c>
      <c r="I175" s="18" t="s">
        <v>452</v>
      </c>
      <c r="J175" s="18" t="s">
        <v>100</v>
      </c>
      <c r="K175" s="18"/>
      <c r="L175" s="21">
        <v>46054</v>
      </c>
    </row>
    <row r="176" spans="1:12" x14ac:dyDescent="0.25">
      <c r="A176" s="17" t="str">
        <f>IF(D176="PS","Logan Water",IF(D176="WS","Logan Water",IF(D176="MV","4060000",IF(D176="R","5050000",IF(D176="PK","4090000",IF(D176="CM","Claims Management",IF(D176="E","5060000",VLOOKUP(MID(E176,3,5),'[1]List Data'!$B$1:$D$1134,3,FALSE))))))))</f>
        <v>8050000</v>
      </c>
      <c r="B176" s="18" t="s">
        <v>624</v>
      </c>
      <c r="C176" s="19">
        <v>46023</v>
      </c>
      <c r="D176" s="16" t="s">
        <v>1</v>
      </c>
      <c r="E176" s="18" t="s">
        <v>143</v>
      </c>
      <c r="F176" s="16">
        <v>5</v>
      </c>
      <c r="G176" s="20">
        <v>200</v>
      </c>
      <c r="H176" s="18" t="s">
        <v>454</v>
      </c>
      <c r="I176" s="18" t="s">
        <v>446</v>
      </c>
      <c r="J176" s="18" t="s">
        <v>18</v>
      </c>
      <c r="K176" s="18"/>
      <c r="L176" s="21">
        <v>46054</v>
      </c>
    </row>
    <row r="177" spans="1:12" x14ac:dyDescent="0.25">
      <c r="A177" s="17" t="str">
        <f>IF(D177="PS","Logan Water",IF(D177="WS","Logan Water",IF(D177="MV","4060000",IF(D177="R","5050000",IF(D177="PK","4090000",IF(D177="CM","Claims Management",IF(D177="E","5060000",VLOOKUP(MID(E177,3,5),'[1]List Data'!$B$1:$D$1134,3,FALSE))))))))</f>
        <v>8050000</v>
      </c>
      <c r="B177" s="18" t="s">
        <v>624</v>
      </c>
      <c r="C177" s="19">
        <v>46023</v>
      </c>
      <c r="D177" s="16" t="s">
        <v>1</v>
      </c>
      <c r="E177" s="18" t="s">
        <v>145</v>
      </c>
      <c r="F177" s="16">
        <v>1</v>
      </c>
      <c r="G177" s="20">
        <v>549</v>
      </c>
      <c r="H177" s="18" t="s">
        <v>442</v>
      </c>
      <c r="I177" s="18" t="s">
        <v>443</v>
      </c>
      <c r="J177" s="18" t="s">
        <v>17</v>
      </c>
      <c r="K177" s="18"/>
      <c r="L177" s="21">
        <v>46054</v>
      </c>
    </row>
    <row r="178" spans="1:12" x14ac:dyDescent="0.25">
      <c r="A178" s="17" t="str">
        <f>IF(D178="PS","Logan Water",IF(D178="WS","Logan Water",IF(D178="MV","4060000",IF(D178="R","5050000",IF(D178="PK","4090000",IF(D178="CM","Claims Management",IF(D178="E","5060000",VLOOKUP(MID(E178,3,5),'[1]List Data'!$B$1:$D$1134,3,FALSE))))))))</f>
        <v>8050000</v>
      </c>
      <c r="B178" s="18" t="s">
        <v>624</v>
      </c>
      <c r="C178" s="19">
        <v>46023</v>
      </c>
      <c r="D178" s="16" t="s">
        <v>1</v>
      </c>
      <c r="E178" s="18" t="s">
        <v>145</v>
      </c>
      <c r="F178" s="16">
        <v>1</v>
      </c>
      <c r="G178" s="20">
        <v>329</v>
      </c>
      <c r="H178" s="18" t="s">
        <v>442</v>
      </c>
      <c r="I178" s="18" t="s">
        <v>443</v>
      </c>
      <c r="J178" s="18" t="s">
        <v>146</v>
      </c>
      <c r="K178" s="18"/>
      <c r="L178" s="21">
        <v>46054</v>
      </c>
    </row>
    <row r="179" spans="1:12" x14ac:dyDescent="0.25">
      <c r="A179" s="17" t="str">
        <f>IF(D179="PS","Logan Water",IF(D179="WS","Logan Water",IF(D179="MV","4060000",IF(D179="R","5050000",IF(D179="PK","4090000",IF(D179="CM","Claims Management",IF(D179="E","5060000",VLOOKUP(MID(E179,3,5),'[1]List Data'!$B$1:$D$1134,3,FALSE))))))))</f>
        <v>8050000</v>
      </c>
      <c r="B179" s="18" t="s">
        <v>624</v>
      </c>
      <c r="C179" s="19">
        <v>46023</v>
      </c>
      <c r="D179" s="16" t="s">
        <v>1</v>
      </c>
      <c r="E179" s="18" t="s">
        <v>145</v>
      </c>
      <c r="F179" s="16">
        <v>1</v>
      </c>
      <c r="G179" s="20">
        <v>50</v>
      </c>
      <c r="H179" s="18" t="s">
        <v>442</v>
      </c>
      <c r="I179" s="18" t="s">
        <v>443</v>
      </c>
      <c r="J179" s="18" t="s">
        <v>89</v>
      </c>
      <c r="K179" s="18"/>
      <c r="L179" s="21">
        <v>46054</v>
      </c>
    </row>
    <row r="180" spans="1:12" x14ac:dyDescent="0.25">
      <c r="A180" s="17" t="str">
        <f>IF(D180="PS","Logan Water",IF(D180="WS","Logan Water",IF(D180="MV","4060000",IF(D180="R","5050000",IF(D180="PK","4090000",IF(D180="CM","Claims Management",IF(D180="E","5060000",VLOOKUP(MID(E180,3,5),'[1]List Data'!$B$1:$D$1134,3,FALSE))))))))</f>
        <v>8050000</v>
      </c>
      <c r="B180" s="18" t="s">
        <v>624</v>
      </c>
      <c r="C180" s="19">
        <v>46023</v>
      </c>
      <c r="D180" s="16" t="s">
        <v>1</v>
      </c>
      <c r="E180" s="18" t="s">
        <v>145</v>
      </c>
      <c r="F180" s="16">
        <v>1</v>
      </c>
      <c r="G180" s="20">
        <v>96</v>
      </c>
      <c r="H180" s="18" t="s">
        <v>442</v>
      </c>
      <c r="I180" s="18" t="s">
        <v>443</v>
      </c>
      <c r="J180" s="18" t="s">
        <v>72</v>
      </c>
      <c r="K180" s="18"/>
      <c r="L180" s="21">
        <v>46054</v>
      </c>
    </row>
    <row r="181" spans="1:12" x14ac:dyDescent="0.25">
      <c r="A181" s="17" t="str">
        <f>IF(D181="PS","Logan Water",IF(D181="WS","Logan Water",IF(D181="MV","4060000",IF(D181="R","5050000",IF(D181="PK","4090000",IF(D181="CM","Claims Management",IF(D181="E","5060000",VLOOKUP(MID(E181,3,5),'[1]List Data'!$B$1:$D$1134,3,FALSE))))))))</f>
        <v>8050000</v>
      </c>
      <c r="B181" s="22" t="s">
        <v>624</v>
      </c>
      <c r="C181" s="19">
        <v>46054</v>
      </c>
      <c r="D181" s="23" t="s">
        <v>1</v>
      </c>
      <c r="E181" s="24" t="s">
        <v>143</v>
      </c>
      <c r="F181" s="23">
        <v>10</v>
      </c>
      <c r="G181" s="25">
        <v>400</v>
      </c>
      <c r="H181" s="24" t="s">
        <v>455</v>
      </c>
      <c r="I181" s="24" t="s">
        <v>456</v>
      </c>
      <c r="J181" s="18" t="s">
        <v>18</v>
      </c>
      <c r="K181" s="18"/>
      <c r="L181" s="21">
        <v>46054</v>
      </c>
    </row>
    <row r="182" spans="1:12" x14ac:dyDescent="0.25">
      <c r="A182" s="17" t="str">
        <f>IF(D182="PS","Logan Water",IF(D182="WS","Logan Water",IF(D182="MV","4060000",IF(D182="R","5050000",IF(D182="PK","4090000",IF(D182="CM","Claims Management",IF(D182="E","5060000",VLOOKUP(MID(E182,3,5),'[1]List Data'!$B$1:$D$1134,3,FALSE))))))))</f>
        <v>8050000</v>
      </c>
      <c r="B182" s="18" t="s">
        <v>624</v>
      </c>
      <c r="C182" s="19">
        <v>46054</v>
      </c>
      <c r="D182" s="16" t="s">
        <v>1</v>
      </c>
      <c r="E182" s="18" t="s">
        <v>143</v>
      </c>
      <c r="F182" s="16">
        <v>10</v>
      </c>
      <c r="G182" s="26">
        <v>2100</v>
      </c>
      <c r="H182" s="18" t="s">
        <v>457</v>
      </c>
      <c r="I182" s="18" t="s">
        <v>446</v>
      </c>
      <c r="J182" s="18" t="s">
        <v>23</v>
      </c>
      <c r="K182" s="18"/>
      <c r="L182" s="21">
        <v>46054</v>
      </c>
    </row>
    <row r="183" spans="1:12" x14ac:dyDescent="0.25">
      <c r="A183" s="17" t="str">
        <f>IF(D183="PS","Logan Water",IF(D183="WS","Logan Water",IF(D183="MV","4060000",IF(D183="R","5050000",IF(D183="PK","4090000",IF(D183="CM","Claims Management",IF(D183="E","5060000",VLOOKUP(MID(E183,3,5),'[1]List Data'!$B$1:$D$1134,3,FALSE))))))))</f>
        <v>8050000</v>
      </c>
      <c r="B183" s="22" t="s">
        <v>624</v>
      </c>
      <c r="C183" s="19">
        <v>46054</v>
      </c>
      <c r="D183" s="23" t="s">
        <v>1</v>
      </c>
      <c r="E183" s="24" t="s">
        <v>143</v>
      </c>
      <c r="F183" s="23">
        <v>5</v>
      </c>
      <c r="G183" s="25">
        <v>150</v>
      </c>
      <c r="H183" s="24" t="s">
        <v>458</v>
      </c>
      <c r="I183" s="24" t="s">
        <v>446</v>
      </c>
      <c r="J183" s="18" t="s">
        <v>60</v>
      </c>
      <c r="K183" s="18"/>
      <c r="L183" s="21">
        <v>46054</v>
      </c>
    </row>
    <row r="184" spans="1:12" x14ac:dyDescent="0.25">
      <c r="A184" s="17" t="str">
        <f>IF(D184="PS","Logan Water",IF(D184="WS","Logan Water",IF(D184="MV","4060000",IF(D184="R","5050000",IF(D184="PK","4090000",IF(D184="CM","Claims Management",IF(D184="E","5060000",VLOOKUP(MID(E184,3,5),'[1]List Data'!$B$1:$D$1134,3,FALSE))))))))</f>
        <v>8050000</v>
      </c>
      <c r="B184" s="18" t="s">
        <v>622</v>
      </c>
      <c r="C184" s="19">
        <v>46054</v>
      </c>
      <c r="D184" s="16" t="s">
        <v>1</v>
      </c>
      <c r="E184" s="18" t="s">
        <v>141</v>
      </c>
      <c r="F184" s="16">
        <v>1</v>
      </c>
      <c r="G184" s="26">
        <v>205</v>
      </c>
      <c r="H184" s="18" t="s">
        <v>459</v>
      </c>
      <c r="I184" s="18" t="s">
        <v>460</v>
      </c>
      <c r="J184" s="18" t="s">
        <v>32</v>
      </c>
      <c r="K184" s="18"/>
      <c r="L184" s="21">
        <v>46054</v>
      </c>
    </row>
    <row r="185" spans="1:12" x14ac:dyDescent="0.25">
      <c r="A185" s="17" t="str">
        <f>IF(D185="PS","Logan Water",IF(D185="WS","Logan Water",IF(D185="MV","4060000",IF(D185="R","5050000",IF(D185="PK","4090000",IF(D185="CM","Claims Management",IF(D185="E","5060000",VLOOKUP(MID(E185,3,5),'[1]List Data'!$B$1:$D$1134,3,FALSE))))))))</f>
        <v>Logan Water</v>
      </c>
      <c r="B185" s="22" t="s">
        <v>623</v>
      </c>
      <c r="C185" s="19">
        <v>46054</v>
      </c>
      <c r="D185" s="23" t="s">
        <v>147</v>
      </c>
      <c r="E185" s="24" t="s">
        <v>148</v>
      </c>
      <c r="F185" s="23">
        <v>1</v>
      </c>
      <c r="G185" s="25">
        <v>2272</v>
      </c>
      <c r="H185" s="24" t="s">
        <v>461</v>
      </c>
      <c r="I185" s="24" t="s">
        <v>462</v>
      </c>
      <c r="J185" s="18" t="s">
        <v>109</v>
      </c>
      <c r="K185" s="18"/>
      <c r="L185" s="21">
        <v>46054</v>
      </c>
    </row>
    <row r="186" spans="1:12" x14ac:dyDescent="0.25">
      <c r="A186" s="17" t="str">
        <f>IF(D186="PS","Logan Water",IF(D186="WS","Logan Water",IF(D186="MV","4060000",IF(D186="R","5050000",IF(D186="PK","4090000",IF(D186="CM","Claims Management",IF(D186="E","5060000",VLOOKUP(MID(E186,3,5),'[1]List Data'!$B$1:$D$1134,3,FALSE))))))))</f>
        <v>Logan Water</v>
      </c>
      <c r="B186" s="18" t="s">
        <v>623</v>
      </c>
      <c r="C186" s="19">
        <v>46054</v>
      </c>
      <c r="D186" s="16" t="s">
        <v>147</v>
      </c>
      <c r="E186" s="18" t="s">
        <v>148</v>
      </c>
      <c r="F186" s="16">
        <v>1</v>
      </c>
      <c r="G186" s="26">
        <v>1979</v>
      </c>
      <c r="H186" s="18" t="s">
        <v>463</v>
      </c>
      <c r="I186" s="18" t="s">
        <v>464</v>
      </c>
      <c r="J186" s="18" t="s">
        <v>149</v>
      </c>
      <c r="K186" s="18" t="s">
        <v>465</v>
      </c>
      <c r="L186" s="21">
        <v>46054</v>
      </c>
    </row>
    <row r="187" spans="1:12" x14ac:dyDescent="0.25">
      <c r="A187" s="17" t="str">
        <f>IF(D187="PS","Logan Water",IF(D187="WS","Logan Water",IF(D187="MV","4060000",IF(D187="R","5050000",IF(D187="PK","4090000",IF(D187="CM","Claims Management",IF(D187="E","5060000",VLOOKUP(MID(E187,3,5),'[1]List Data'!$B$1:$D$1134,3,FALSE))))))))</f>
        <v>Logan Water</v>
      </c>
      <c r="B187" s="22" t="s">
        <v>623</v>
      </c>
      <c r="C187" s="19">
        <v>46054</v>
      </c>
      <c r="D187" s="23" t="s">
        <v>147</v>
      </c>
      <c r="E187" s="24" t="s">
        <v>148</v>
      </c>
      <c r="F187" s="23">
        <v>1</v>
      </c>
      <c r="G187" s="25">
        <v>2272</v>
      </c>
      <c r="H187" s="24" t="s">
        <v>466</v>
      </c>
      <c r="I187" s="24" t="s">
        <v>467</v>
      </c>
      <c r="J187" s="18" t="s">
        <v>109</v>
      </c>
      <c r="K187" s="18"/>
      <c r="L187" s="21">
        <v>46054</v>
      </c>
    </row>
    <row r="188" spans="1:12" x14ac:dyDescent="0.25">
      <c r="A188" s="17" t="str">
        <f>IF(D188="PS","Logan Water",IF(D188="WS","Logan Water",IF(D188="MV","4060000",IF(D188="R","5050000",IF(D188="PK","4090000",IF(D188="CM","Claims Management",IF(D188="E","5060000",VLOOKUP(MID(E188,3,5),'[1]List Data'!$B$1:$D$1134,3,FALSE))))))))</f>
        <v>Logan Water</v>
      </c>
      <c r="B188" s="18" t="s">
        <v>623</v>
      </c>
      <c r="C188" s="19">
        <v>46054</v>
      </c>
      <c r="D188" s="16" t="s">
        <v>147</v>
      </c>
      <c r="E188" s="18" t="s">
        <v>148</v>
      </c>
      <c r="F188" s="16">
        <v>1</v>
      </c>
      <c r="G188" s="26">
        <v>2272</v>
      </c>
      <c r="H188" s="18" t="s">
        <v>468</v>
      </c>
      <c r="I188" s="18" t="s">
        <v>469</v>
      </c>
      <c r="J188" s="18" t="s">
        <v>142</v>
      </c>
      <c r="K188" s="18"/>
      <c r="L188" s="21">
        <v>46054</v>
      </c>
    </row>
    <row r="189" spans="1:12" x14ac:dyDescent="0.25">
      <c r="A189" s="17" t="str">
        <f>IF(D189="PS","Logan Water",IF(D189="WS","Logan Water",IF(D189="MV","4060000",IF(D189="R","5050000",IF(D189="PK","4090000",IF(D189="CM","Claims Management",IF(D189="E","5060000",VLOOKUP(MID(E189,3,5),'[1]List Data'!$B$1:$D$1134,3,FALSE))))))))</f>
        <v>Logan Water</v>
      </c>
      <c r="B189" s="22" t="s">
        <v>623</v>
      </c>
      <c r="C189" s="19">
        <v>46054</v>
      </c>
      <c r="D189" s="23" t="s">
        <v>147</v>
      </c>
      <c r="E189" s="24" t="s">
        <v>148</v>
      </c>
      <c r="F189" s="23">
        <v>1</v>
      </c>
      <c r="G189" s="25">
        <v>2272</v>
      </c>
      <c r="H189" s="24" t="s">
        <v>470</v>
      </c>
      <c r="I189" s="24" t="s">
        <v>471</v>
      </c>
      <c r="J189" s="18" t="s">
        <v>109</v>
      </c>
      <c r="K189" s="18"/>
      <c r="L189" s="21">
        <v>46054</v>
      </c>
    </row>
    <row r="190" spans="1:12" x14ac:dyDescent="0.25">
      <c r="A190" s="17" t="str">
        <f>IF(D190="PS","Logan Water",IF(D190="WS","Logan Water",IF(D190="MV","4060000",IF(D190="R","5050000",IF(D190="PK","4090000",IF(D190="CM","Claims Management",IF(D190="E","5060000",VLOOKUP(MID(E190,3,5),'[1]List Data'!$B$1:$D$1134,3,FALSE))))))))</f>
        <v>Logan Water</v>
      </c>
      <c r="B190" s="18" t="s">
        <v>623</v>
      </c>
      <c r="C190" s="19">
        <v>46016</v>
      </c>
      <c r="D190" s="16" t="s">
        <v>147</v>
      </c>
      <c r="E190" s="18" t="s">
        <v>148</v>
      </c>
      <c r="F190" s="16">
        <v>1</v>
      </c>
      <c r="G190" s="20">
        <v>1699</v>
      </c>
      <c r="H190" s="18" t="s">
        <v>472</v>
      </c>
      <c r="I190" s="18" t="s">
        <v>473</v>
      </c>
      <c r="J190" s="18" t="s">
        <v>63</v>
      </c>
      <c r="K190" s="18"/>
      <c r="L190" s="21">
        <v>46054</v>
      </c>
    </row>
    <row r="191" spans="1:12" x14ac:dyDescent="0.25">
      <c r="A191" s="17" t="str">
        <f>IF(D191="PS","Logan Water",IF(D191="WS","Logan Water",IF(D191="MV","4060000",IF(D191="R","5050000",IF(D191="PK","4090000",IF(D191="CM","Claims Management",IF(D191="E","5060000",VLOOKUP(MID(E191,3,5),'[1]List Data'!$B$1:$D$1134,3,FALSE))))))))</f>
        <v>Logan Water</v>
      </c>
      <c r="B191" s="18" t="s">
        <v>623</v>
      </c>
      <c r="C191" s="19">
        <v>46016</v>
      </c>
      <c r="D191" s="16" t="s">
        <v>147</v>
      </c>
      <c r="E191" s="18" t="s">
        <v>148</v>
      </c>
      <c r="F191" s="16">
        <v>1</v>
      </c>
      <c r="G191" s="20">
        <v>1699</v>
      </c>
      <c r="H191" s="18" t="s">
        <v>474</v>
      </c>
      <c r="I191" s="18" t="s">
        <v>469</v>
      </c>
      <c r="J191" s="18" t="s">
        <v>63</v>
      </c>
      <c r="K191" s="18"/>
      <c r="L191" s="21">
        <v>46054</v>
      </c>
    </row>
    <row r="192" spans="1:12" x14ac:dyDescent="0.25">
      <c r="A192" s="17" t="str">
        <f>IF(D192="PS","Logan Water",IF(D192="WS","Logan Water",IF(D192="MV","4060000",IF(D192="R","5050000",IF(D192="PK","4090000",IF(D192="CM","Claims Management",IF(D192="E","5060000",VLOOKUP(MID(E192,3,5),'[1]List Data'!$B$1:$D$1134,3,FALSE))))))))</f>
        <v>Logan Water</v>
      </c>
      <c r="B192" s="18" t="s">
        <v>623</v>
      </c>
      <c r="C192" s="19">
        <v>46016</v>
      </c>
      <c r="D192" s="16" t="s">
        <v>147</v>
      </c>
      <c r="E192" s="18" t="s">
        <v>148</v>
      </c>
      <c r="F192" s="16">
        <v>1</v>
      </c>
      <c r="G192" s="20">
        <v>1699</v>
      </c>
      <c r="H192" s="18" t="s">
        <v>475</v>
      </c>
      <c r="I192" s="18" t="s">
        <v>476</v>
      </c>
      <c r="J192" s="18" t="s">
        <v>63</v>
      </c>
      <c r="K192" s="18"/>
      <c r="L192" s="21">
        <v>46054</v>
      </c>
    </row>
    <row r="193" spans="1:12" x14ac:dyDescent="0.25">
      <c r="A193" s="17" t="str">
        <f>IF(D193="PS","Logan Water",IF(D193="WS","Logan Water",IF(D193="MV","4060000",IF(D193="R","5050000",IF(D193="PK","4090000",IF(D193="CM","Claims Management",IF(D193="E","5060000",VLOOKUP(MID(E193,3,5),'[1]List Data'!$B$1:$D$1134,3,FALSE))))))))</f>
        <v>Logan Water</v>
      </c>
      <c r="B193" s="18" t="s">
        <v>623</v>
      </c>
      <c r="C193" s="19">
        <v>46016</v>
      </c>
      <c r="D193" s="16" t="s">
        <v>147</v>
      </c>
      <c r="E193" s="18" t="s">
        <v>148</v>
      </c>
      <c r="F193" s="16">
        <v>6</v>
      </c>
      <c r="G193" s="20">
        <v>10194</v>
      </c>
      <c r="H193" s="18" t="s">
        <v>477</v>
      </c>
      <c r="I193" s="18" t="s">
        <v>464</v>
      </c>
      <c r="J193" s="18" t="s">
        <v>27</v>
      </c>
      <c r="K193" s="18"/>
      <c r="L193" s="21">
        <v>46054</v>
      </c>
    </row>
    <row r="194" spans="1:12" x14ac:dyDescent="0.25">
      <c r="A194" s="17" t="str">
        <f>IF(D194="PS","Logan Water",IF(D194="WS","Logan Water",IF(D194="MV","4060000",IF(D194="R","5050000",IF(D194="PK","4090000",IF(D194="CM","Claims Management",IF(D194="E","5060000",VLOOKUP(MID(E194,3,5),'[1]List Data'!$B$1:$D$1134,3,FALSE))))))))</f>
        <v>Logan Water</v>
      </c>
      <c r="B194" s="18" t="s">
        <v>623</v>
      </c>
      <c r="C194" s="19">
        <v>46016</v>
      </c>
      <c r="D194" s="16" t="s">
        <v>147</v>
      </c>
      <c r="E194" s="18" t="s">
        <v>148</v>
      </c>
      <c r="F194" s="16">
        <v>1</v>
      </c>
      <c r="G194" s="20">
        <v>1699</v>
      </c>
      <c r="H194" s="18" t="s">
        <v>478</v>
      </c>
      <c r="I194" s="18" t="s">
        <v>479</v>
      </c>
      <c r="J194" s="18" t="s">
        <v>27</v>
      </c>
      <c r="K194" s="18"/>
      <c r="L194" s="21">
        <v>46054</v>
      </c>
    </row>
    <row r="195" spans="1:12" x14ac:dyDescent="0.25">
      <c r="A195" s="17" t="str">
        <f>IF(D195="PS","Logan Water",IF(D195="WS","Logan Water",IF(D195="MV","4060000",IF(D195="R","5050000",IF(D195="PK","4090000",IF(D195="CM","Claims Management",IF(D195="E","5060000",VLOOKUP(MID(E195,3,5),'[1]List Data'!$B$1:$D$1134,3,FALSE))))))))</f>
        <v>Logan Water</v>
      </c>
      <c r="B195" s="18" t="s">
        <v>623</v>
      </c>
      <c r="C195" s="19">
        <v>46023</v>
      </c>
      <c r="D195" s="16" t="s">
        <v>147</v>
      </c>
      <c r="E195" s="18" t="s">
        <v>148</v>
      </c>
      <c r="F195" s="16">
        <v>1</v>
      </c>
      <c r="G195" s="20">
        <v>3099</v>
      </c>
      <c r="H195" s="18" t="s">
        <v>480</v>
      </c>
      <c r="I195" s="18" t="s">
        <v>476</v>
      </c>
      <c r="J195" s="18" t="s">
        <v>127</v>
      </c>
      <c r="K195" s="18"/>
      <c r="L195" s="21">
        <v>46054</v>
      </c>
    </row>
    <row r="196" spans="1:12" x14ac:dyDescent="0.25">
      <c r="A196" s="17" t="str">
        <f>IF(D196="PS","Logan Water",IF(D196="WS","Logan Water",IF(D196="MV","4060000",IF(D196="R","5050000",IF(D196="PK","4090000",IF(D196="CM","Claims Management",IF(D196="E","5060000",VLOOKUP(MID(E196,3,5),'[1]List Data'!$B$1:$D$1134,3,FALSE))))))))</f>
        <v>Logan Water</v>
      </c>
      <c r="B196" s="18" t="s">
        <v>623</v>
      </c>
      <c r="C196" s="19">
        <v>46023</v>
      </c>
      <c r="D196" s="16" t="s">
        <v>147</v>
      </c>
      <c r="E196" s="18" t="s">
        <v>148</v>
      </c>
      <c r="F196" s="16">
        <v>1</v>
      </c>
      <c r="G196" s="20">
        <v>1699</v>
      </c>
      <c r="H196" s="18" t="s">
        <v>481</v>
      </c>
      <c r="I196" s="18" t="s">
        <v>476</v>
      </c>
      <c r="J196" s="18" t="s">
        <v>63</v>
      </c>
      <c r="K196" s="18"/>
      <c r="L196" s="21">
        <v>46054</v>
      </c>
    </row>
    <row r="197" spans="1:12" x14ac:dyDescent="0.25">
      <c r="A197" s="17" t="str">
        <f>IF(D197="PS","Logan Water",IF(D197="WS","Logan Water",IF(D197="MV","4060000",IF(D197="R","5050000",IF(D197="PK","4090000",IF(D197="CM","Claims Management",IF(D197="E","5060000",VLOOKUP(MID(E197,3,5),'[1]List Data'!$B$1:$D$1134,3,FALSE))))))))</f>
        <v>Logan Water</v>
      </c>
      <c r="B197" s="18" t="s">
        <v>623</v>
      </c>
      <c r="C197" s="19">
        <v>46023</v>
      </c>
      <c r="D197" s="16" t="s">
        <v>147</v>
      </c>
      <c r="E197" s="18" t="s">
        <v>148</v>
      </c>
      <c r="F197" s="16">
        <v>1</v>
      </c>
      <c r="G197" s="20">
        <v>1699</v>
      </c>
      <c r="H197" s="18" t="s">
        <v>482</v>
      </c>
      <c r="I197" s="18" t="s">
        <v>476</v>
      </c>
      <c r="J197" s="18" t="s">
        <v>63</v>
      </c>
      <c r="K197" s="18"/>
      <c r="L197" s="21">
        <v>46054</v>
      </c>
    </row>
    <row r="198" spans="1:12" x14ac:dyDescent="0.25">
      <c r="A198" s="17" t="str">
        <f>IF(D198="PS","Logan Water",IF(D198="WS","Logan Water",IF(D198="MV","4060000",IF(D198="R","5050000",IF(D198="PK","4090000",IF(D198="CM","Claims Management",IF(D198="E","5060000",VLOOKUP(MID(E198,3,5),'[1]List Data'!$B$1:$D$1134,3,FALSE))))))))</f>
        <v>Logan Water</v>
      </c>
      <c r="B198" s="18" t="s">
        <v>623</v>
      </c>
      <c r="C198" s="19">
        <v>46023</v>
      </c>
      <c r="D198" s="16" t="s">
        <v>147</v>
      </c>
      <c r="E198" s="18" t="s">
        <v>148</v>
      </c>
      <c r="F198" s="16">
        <v>1</v>
      </c>
      <c r="G198" s="20">
        <v>1699</v>
      </c>
      <c r="H198" s="18" t="s">
        <v>483</v>
      </c>
      <c r="I198" s="18" t="s">
        <v>469</v>
      </c>
      <c r="J198" s="18" t="s">
        <v>63</v>
      </c>
      <c r="K198" s="18"/>
      <c r="L198" s="21">
        <v>46054</v>
      </c>
    </row>
    <row r="199" spans="1:12" x14ac:dyDescent="0.25">
      <c r="A199" s="17" t="str">
        <f>IF(D199="PS","Logan Water",IF(D199="WS","Logan Water",IF(D199="MV","4060000",IF(D199="R","5050000",IF(D199="PK","4090000",IF(D199="CM","Claims Management",IF(D199="E","5060000",VLOOKUP(MID(E199,3,5),'[1]List Data'!$B$1:$D$1134,3,FALSE))))))))</f>
        <v>Logan Water</v>
      </c>
      <c r="B199" s="18" t="s">
        <v>623</v>
      </c>
      <c r="C199" s="19">
        <v>46023</v>
      </c>
      <c r="D199" s="16" t="s">
        <v>147</v>
      </c>
      <c r="E199" s="18" t="s">
        <v>148</v>
      </c>
      <c r="F199" s="16">
        <v>1</v>
      </c>
      <c r="G199" s="20">
        <v>1699</v>
      </c>
      <c r="H199" s="18" t="s">
        <v>484</v>
      </c>
      <c r="I199" s="18" t="s">
        <v>469</v>
      </c>
      <c r="J199" s="18" t="s">
        <v>63</v>
      </c>
      <c r="K199" s="18"/>
      <c r="L199" s="21">
        <v>46054</v>
      </c>
    </row>
    <row r="200" spans="1:12" x14ac:dyDescent="0.25">
      <c r="A200" s="17" t="str">
        <f>IF(D200="PS","Logan Water",IF(D200="WS","Logan Water",IF(D200="MV","4060000",IF(D200="R","5050000",IF(D200="PK","4090000",IF(D200="CM","Claims Management",IF(D200="E","5060000",VLOOKUP(MID(E200,3,5),'[1]List Data'!$B$1:$D$1134,3,FALSE))))))))</f>
        <v>Logan Water</v>
      </c>
      <c r="B200" s="18" t="s">
        <v>623</v>
      </c>
      <c r="C200" s="19">
        <v>46023</v>
      </c>
      <c r="D200" s="16" t="s">
        <v>147</v>
      </c>
      <c r="E200" s="18" t="s">
        <v>148</v>
      </c>
      <c r="F200" s="16">
        <v>1</v>
      </c>
      <c r="G200" s="20">
        <v>3099</v>
      </c>
      <c r="H200" s="18" t="s">
        <v>485</v>
      </c>
      <c r="I200" s="18" t="s">
        <v>469</v>
      </c>
      <c r="J200" s="18" t="s">
        <v>127</v>
      </c>
      <c r="K200" s="18"/>
      <c r="L200" s="21">
        <v>46054</v>
      </c>
    </row>
    <row r="201" spans="1:12" x14ac:dyDescent="0.25">
      <c r="A201" s="17" t="str">
        <f>IF(D201="PS","Logan Water",IF(D201="WS","Logan Water",IF(D201="MV","4060000",IF(D201="R","5050000",IF(D201="PK","4090000",IF(D201="CM","Claims Management",IF(D201="E","5060000",VLOOKUP(MID(E201,3,5),'[1]List Data'!$B$1:$D$1134,3,FALSE))))))))</f>
        <v>Logan Water</v>
      </c>
      <c r="B201" s="18" t="s">
        <v>623</v>
      </c>
      <c r="C201" s="19">
        <v>46023</v>
      </c>
      <c r="D201" s="16" t="s">
        <v>147</v>
      </c>
      <c r="E201" s="18" t="s">
        <v>148</v>
      </c>
      <c r="F201" s="16">
        <v>1</v>
      </c>
      <c r="G201" s="20">
        <v>1699</v>
      </c>
      <c r="H201" s="18" t="s">
        <v>486</v>
      </c>
      <c r="I201" s="18" t="s">
        <v>487</v>
      </c>
      <c r="J201" s="18" t="s">
        <v>63</v>
      </c>
      <c r="K201" s="18"/>
      <c r="L201" s="21">
        <v>46054</v>
      </c>
    </row>
    <row r="202" spans="1:12" x14ac:dyDescent="0.25">
      <c r="A202" s="17" t="str">
        <f>IF(D202="PS","Logan Water",IF(D202="WS","Logan Water",IF(D202="MV","4060000",IF(D202="R","5050000",IF(D202="PK","4090000",IF(D202="CM","Claims Management",IF(D202="E","5060000",VLOOKUP(MID(E202,3,5),'[1]List Data'!$B$1:$D$1134,3,FALSE))))))))</f>
        <v>Logan Water</v>
      </c>
      <c r="B202" s="18" t="s">
        <v>623</v>
      </c>
      <c r="C202" s="19">
        <v>46023</v>
      </c>
      <c r="D202" s="16" t="s">
        <v>147</v>
      </c>
      <c r="E202" s="18" t="s">
        <v>148</v>
      </c>
      <c r="F202" s="16">
        <v>1</v>
      </c>
      <c r="G202" s="20">
        <v>1699</v>
      </c>
      <c r="H202" s="18" t="s">
        <v>488</v>
      </c>
      <c r="I202" s="18" t="s">
        <v>489</v>
      </c>
      <c r="J202" s="18" t="s">
        <v>63</v>
      </c>
      <c r="K202" s="18"/>
      <c r="L202" s="21">
        <v>46054</v>
      </c>
    </row>
    <row r="203" spans="1:12" x14ac:dyDescent="0.25">
      <c r="A203" s="17" t="str">
        <f>IF(D203="PS","Logan Water",IF(D203="WS","Logan Water",IF(D203="MV","4060000",IF(D203="R","5050000",IF(D203="PK","4090000",IF(D203="CM","Claims Management",IF(D203="E","5060000",VLOOKUP(MID(E203,3,5),'[1]List Data'!$B$1:$D$1134,3,FALSE))))))))</f>
        <v>Logan Water</v>
      </c>
      <c r="B203" s="18" t="s">
        <v>623</v>
      </c>
      <c r="C203" s="19">
        <v>46023</v>
      </c>
      <c r="D203" s="16" t="s">
        <v>147</v>
      </c>
      <c r="E203" s="18" t="s">
        <v>148</v>
      </c>
      <c r="F203" s="16">
        <v>1</v>
      </c>
      <c r="G203" s="20">
        <v>1699</v>
      </c>
      <c r="H203" s="18" t="s">
        <v>490</v>
      </c>
      <c r="I203" s="18" t="s">
        <v>491</v>
      </c>
      <c r="J203" s="18" t="s">
        <v>26</v>
      </c>
      <c r="K203" s="18"/>
      <c r="L203" s="21">
        <v>46054</v>
      </c>
    </row>
    <row r="204" spans="1:12" x14ac:dyDescent="0.25">
      <c r="A204" s="17" t="str">
        <f>IF(D204="PS","Logan Water",IF(D204="WS","Logan Water",IF(D204="MV","4060000",IF(D204="R","5050000",IF(D204="PK","4090000",IF(D204="CM","Claims Management",IF(D204="E","5060000",VLOOKUP(MID(E204,3,5),'[1]List Data'!$B$1:$D$1134,3,FALSE))))))))</f>
        <v>Logan Water</v>
      </c>
      <c r="B204" s="18" t="s">
        <v>623</v>
      </c>
      <c r="C204" s="19">
        <v>46023</v>
      </c>
      <c r="D204" s="16" t="s">
        <v>147</v>
      </c>
      <c r="E204" s="18" t="s">
        <v>148</v>
      </c>
      <c r="F204" s="16">
        <v>1</v>
      </c>
      <c r="G204" s="20">
        <v>1699</v>
      </c>
      <c r="H204" s="18" t="s">
        <v>492</v>
      </c>
      <c r="I204" s="18" t="s">
        <v>493</v>
      </c>
      <c r="J204" s="18" t="s">
        <v>26</v>
      </c>
      <c r="K204" s="18"/>
      <c r="L204" s="21">
        <v>46054</v>
      </c>
    </row>
    <row r="205" spans="1:12" x14ac:dyDescent="0.25">
      <c r="A205" s="17" t="str">
        <f>IF(D205="PS","Logan Water",IF(D205="WS","Logan Water",IF(D205="MV","4060000",IF(D205="R","5050000",IF(D205="PK","4090000",IF(D205="CM","Claims Management",IF(D205="E","5060000",VLOOKUP(MID(E205,3,5),'[1]List Data'!$B$1:$D$1134,3,FALSE))))))))</f>
        <v>Logan Water</v>
      </c>
      <c r="B205" s="18" t="s">
        <v>623</v>
      </c>
      <c r="C205" s="19">
        <v>46023</v>
      </c>
      <c r="D205" s="16" t="s">
        <v>147</v>
      </c>
      <c r="E205" s="18" t="s">
        <v>148</v>
      </c>
      <c r="F205" s="16">
        <v>1</v>
      </c>
      <c r="G205" s="20">
        <v>1699</v>
      </c>
      <c r="H205" s="18" t="s">
        <v>494</v>
      </c>
      <c r="I205" s="18" t="s">
        <v>495</v>
      </c>
      <c r="J205" s="18" t="s">
        <v>27</v>
      </c>
      <c r="K205" s="18"/>
      <c r="L205" s="21">
        <v>46054</v>
      </c>
    </row>
    <row r="206" spans="1:12" x14ac:dyDescent="0.25">
      <c r="A206" s="17" t="str">
        <f>IF(D206="PS","Logan Water",IF(D206="WS","Logan Water",IF(D206="MV","4060000",IF(D206="R","5050000",IF(D206="PK","4090000",IF(D206="CM","Claims Management",IF(D206="E","5060000",VLOOKUP(MID(E206,3,5),'[1]List Data'!$B$1:$D$1134,3,FALSE))))))))</f>
        <v>Logan Water</v>
      </c>
      <c r="B206" s="18" t="s">
        <v>623</v>
      </c>
      <c r="C206" s="19">
        <v>46023</v>
      </c>
      <c r="D206" s="16" t="s">
        <v>147</v>
      </c>
      <c r="E206" s="18" t="s">
        <v>148</v>
      </c>
      <c r="F206" s="16">
        <v>1</v>
      </c>
      <c r="G206" s="20">
        <v>1699</v>
      </c>
      <c r="H206" s="18" t="s">
        <v>494</v>
      </c>
      <c r="I206" s="18" t="s">
        <v>495</v>
      </c>
      <c r="J206" s="18" t="s">
        <v>27</v>
      </c>
      <c r="K206" s="18"/>
      <c r="L206" s="21">
        <v>46054</v>
      </c>
    </row>
    <row r="207" spans="1:12" x14ac:dyDescent="0.25">
      <c r="A207" s="17" t="str">
        <f>IF(D207="PS","Logan Water",IF(D207="WS","Logan Water",IF(D207="MV","4060000",IF(D207="R","5050000",IF(D207="PK","4090000",IF(D207="CM","Claims Management",IF(D207="E","5060000",VLOOKUP(MID(E207,3,5),'[1]List Data'!$B$1:$D$1134,3,FALSE))))))))</f>
        <v>Logan Water</v>
      </c>
      <c r="B207" s="18" t="s">
        <v>623</v>
      </c>
      <c r="C207" s="19">
        <v>46023</v>
      </c>
      <c r="D207" s="16" t="s">
        <v>147</v>
      </c>
      <c r="E207" s="18" t="s">
        <v>148</v>
      </c>
      <c r="F207" s="16">
        <v>1</v>
      </c>
      <c r="G207" s="20">
        <v>1699</v>
      </c>
      <c r="H207" s="18" t="s">
        <v>496</v>
      </c>
      <c r="I207" s="18" t="s">
        <v>469</v>
      </c>
      <c r="J207" s="18" t="s">
        <v>27</v>
      </c>
      <c r="K207" s="18"/>
      <c r="L207" s="21">
        <v>46054</v>
      </c>
    </row>
    <row r="208" spans="1:12" x14ac:dyDescent="0.25">
      <c r="A208" s="17" t="str">
        <f>IF(D208="PS","Logan Water",IF(D208="WS","Logan Water",IF(D208="MV","4060000",IF(D208="R","5050000",IF(D208="PK","4090000",IF(D208="CM","Claims Management",IF(D208="E","5060000",VLOOKUP(MID(E208,3,5),'[1]List Data'!$B$1:$D$1134,3,FALSE))))))))</f>
        <v>Logan Water</v>
      </c>
      <c r="B208" s="18" t="s">
        <v>623</v>
      </c>
      <c r="C208" s="19">
        <v>46023</v>
      </c>
      <c r="D208" s="16" t="s">
        <v>147</v>
      </c>
      <c r="E208" s="18" t="s">
        <v>148</v>
      </c>
      <c r="F208" s="16">
        <v>1</v>
      </c>
      <c r="G208" s="20">
        <v>1699</v>
      </c>
      <c r="H208" s="18" t="s">
        <v>497</v>
      </c>
      <c r="I208" s="18" t="s">
        <v>469</v>
      </c>
      <c r="J208" s="18" t="s">
        <v>27</v>
      </c>
      <c r="K208" s="18"/>
      <c r="L208" s="21">
        <v>46054</v>
      </c>
    </row>
    <row r="209" spans="1:12" x14ac:dyDescent="0.25">
      <c r="A209" s="17" t="str">
        <f>IF(D209="PS","Logan Water",IF(D209="WS","Logan Water",IF(D209="MV","4060000",IF(D209="R","5050000",IF(D209="PK","4090000",IF(D209="CM","Claims Management",IF(D209="E","5060000",VLOOKUP(MID(E209,3,5),'[1]List Data'!$B$1:$D$1134,3,FALSE))))))))</f>
        <v>Logan Water</v>
      </c>
      <c r="B209" s="18" t="s">
        <v>623</v>
      </c>
      <c r="C209" s="19">
        <v>46054</v>
      </c>
      <c r="D209" s="16" t="s">
        <v>147</v>
      </c>
      <c r="E209" s="18" t="s">
        <v>148</v>
      </c>
      <c r="F209" s="16">
        <v>1</v>
      </c>
      <c r="G209" s="26">
        <v>1699</v>
      </c>
      <c r="H209" s="18" t="s">
        <v>498</v>
      </c>
      <c r="I209" s="18" t="s">
        <v>499</v>
      </c>
      <c r="J209" s="18" t="s">
        <v>150</v>
      </c>
      <c r="K209" s="18"/>
      <c r="L209" s="21">
        <v>46054</v>
      </c>
    </row>
    <row r="210" spans="1:12" x14ac:dyDescent="0.25">
      <c r="A210" s="17" t="str">
        <f>IF(D210="PS","Logan Water",IF(D210="WS","Logan Water",IF(D210="MV","4060000",IF(D210="R","5050000",IF(D210="PK","4090000",IF(D210="CM","Claims Management",IF(D210="E","5060000",VLOOKUP(MID(E210,3,5),'[1]List Data'!$B$1:$D$1134,3,FALSE))))))))</f>
        <v>Logan Water</v>
      </c>
      <c r="B210" s="18" t="s">
        <v>623</v>
      </c>
      <c r="C210" s="19">
        <v>46054</v>
      </c>
      <c r="D210" s="16" t="s">
        <v>147</v>
      </c>
      <c r="E210" s="18" t="s">
        <v>148</v>
      </c>
      <c r="F210" s="16">
        <v>1</v>
      </c>
      <c r="G210" s="26">
        <v>2272</v>
      </c>
      <c r="H210" s="18" t="s">
        <v>500</v>
      </c>
      <c r="I210" s="28" t="s">
        <v>476</v>
      </c>
      <c r="J210" s="18" t="s">
        <v>142</v>
      </c>
      <c r="K210" s="29"/>
      <c r="L210" s="21">
        <v>46054</v>
      </c>
    </row>
    <row r="211" spans="1:12" x14ac:dyDescent="0.25">
      <c r="A211" s="17" t="str">
        <f>IF(D211="PS","Logan Water",IF(D211="WS","Logan Water",IF(D211="MV","4060000",IF(D211="R","5050000",IF(D211="PK","4090000",IF(D211="CM","Claims Management",IF(D211="E","5060000",VLOOKUP(MID(E211,3,5),'[1]List Data'!$B$1:$D$1134,3,FALSE))))))))</f>
        <v>Logan Water</v>
      </c>
      <c r="B211" s="18" t="s">
        <v>623</v>
      </c>
      <c r="C211" s="19">
        <v>46054</v>
      </c>
      <c r="D211" s="16" t="s">
        <v>147</v>
      </c>
      <c r="E211" s="18" t="s">
        <v>148</v>
      </c>
      <c r="F211" s="16">
        <v>1</v>
      </c>
      <c r="G211" s="26">
        <v>3099</v>
      </c>
      <c r="H211" s="18" t="s">
        <v>501</v>
      </c>
      <c r="I211" s="18" t="s">
        <v>469</v>
      </c>
      <c r="J211" s="18" t="s">
        <v>127</v>
      </c>
      <c r="K211" s="18"/>
      <c r="L211" s="21">
        <v>46054</v>
      </c>
    </row>
    <row r="212" spans="1:12" x14ac:dyDescent="0.25">
      <c r="A212" s="17" t="str">
        <f>IF(D212="PS","Logan Water",IF(D212="WS","Logan Water",IF(D212="MV","4060000",IF(D212="R","5050000",IF(D212="PK","4090000",IF(D212="CM","Claims Management",IF(D212="E","5060000",VLOOKUP(MID(E212,3,5),'[1]List Data'!$B$1:$D$1134,3,FALSE))))))))</f>
        <v>Logan Water</v>
      </c>
      <c r="B212" s="18" t="s">
        <v>623</v>
      </c>
      <c r="C212" s="19">
        <v>46054</v>
      </c>
      <c r="D212" s="16" t="s">
        <v>147</v>
      </c>
      <c r="E212" s="18" t="s">
        <v>148</v>
      </c>
      <c r="F212" s="16">
        <v>1</v>
      </c>
      <c r="G212" s="26">
        <v>3099</v>
      </c>
      <c r="H212" s="18" t="s">
        <v>502</v>
      </c>
      <c r="I212" s="18" t="s">
        <v>469</v>
      </c>
      <c r="J212" s="18" t="s">
        <v>127</v>
      </c>
      <c r="K212" s="18"/>
      <c r="L212" s="21">
        <v>46054</v>
      </c>
    </row>
    <row r="213" spans="1:12" x14ac:dyDescent="0.25">
      <c r="A213" s="17" t="str">
        <f>IF(D213="PS","Logan Water",IF(D213="WS","Logan Water",IF(D213="MV","4060000",IF(D213="R","5050000",IF(D213="PK","4090000",IF(D213="CM","Claims Management",IF(D213="E","5060000",VLOOKUP(MID(E213,3,5),'[1]List Data'!$B$1:$D$1134,3,FALSE))))))))</f>
        <v>Logan Water</v>
      </c>
      <c r="B213" s="18" t="s">
        <v>623</v>
      </c>
      <c r="C213" s="19">
        <v>46054</v>
      </c>
      <c r="D213" s="16" t="s">
        <v>147</v>
      </c>
      <c r="E213" s="18" t="s">
        <v>148</v>
      </c>
      <c r="F213" s="16">
        <v>1</v>
      </c>
      <c r="G213" s="26">
        <v>1699</v>
      </c>
      <c r="H213" s="18" t="s">
        <v>503</v>
      </c>
      <c r="I213" s="18" t="s">
        <v>504</v>
      </c>
      <c r="J213" s="18" t="s">
        <v>150</v>
      </c>
      <c r="K213" s="18"/>
      <c r="L213" s="21">
        <v>46054</v>
      </c>
    </row>
    <row r="214" spans="1:12" x14ac:dyDescent="0.25">
      <c r="A214" s="17" t="str">
        <f>IF(D214="PS","Logan Water",IF(D214="WS","Logan Water",IF(D214="MV","4060000",IF(D214="R","5050000",IF(D214="PK","4090000",IF(D214="CM","Claims Management",IF(D214="E","5060000",VLOOKUP(MID(E214,3,5),'[1]List Data'!$B$1:$D$1134,3,FALSE))))))))</f>
        <v>Logan Water</v>
      </c>
      <c r="B214" s="18" t="s">
        <v>623</v>
      </c>
      <c r="C214" s="19">
        <v>46054</v>
      </c>
      <c r="D214" s="16" t="s">
        <v>147</v>
      </c>
      <c r="E214" s="18" t="s">
        <v>148</v>
      </c>
      <c r="F214" s="16">
        <v>1</v>
      </c>
      <c r="G214" s="26">
        <v>2272</v>
      </c>
      <c r="H214" s="18" t="s">
        <v>505</v>
      </c>
      <c r="I214" s="18" t="s">
        <v>476</v>
      </c>
      <c r="J214" s="18" t="s">
        <v>142</v>
      </c>
      <c r="K214" s="18"/>
      <c r="L214" s="21">
        <v>46054</v>
      </c>
    </row>
    <row r="215" spans="1:12" x14ac:dyDescent="0.25">
      <c r="A215" s="17" t="str">
        <f>IF(D215="PS","Logan Water",IF(D215="WS","Logan Water",IF(D215="MV","4060000",IF(D215="R","5050000",IF(D215="PK","4090000",IF(D215="CM","Claims Management",IF(D215="E","5060000",VLOOKUP(MID(E215,3,5),'[1]List Data'!$B$1:$D$1134,3,FALSE))))))))</f>
        <v>Logan Water</v>
      </c>
      <c r="B215" s="22" t="s">
        <v>623</v>
      </c>
      <c r="C215" s="19">
        <v>46054</v>
      </c>
      <c r="D215" s="23" t="s">
        <v>147</v>
      </c>
      <c r="E215" s="24" t="s">
        <v>148</v>
      </c>
      <c r="F215" s="23">
        <v>1</v>
      </c>
      <c r="G215" s="25">
        <v>2272</v>
      </c>
      <c r="H215" s="24" t="s">
        <v>506</v>
      </c>
      <c r="I215" s="24" t="s">
        <v>507</v>
      </c>
      <c r="J215" s="18" t="s">
        <v>109</v>
      </c>
      <c r="K215" s="18"/>
      <c r="L215" s="21">
        <v>46054</v>
      </c>
    </row>
    <row r="216" spans="1:12" x14ac:dyDescent="0.25">
      <c r="A216" s="17" t="str">
        <f>IF(D216="PS","Logan Water",IF(D216="WS","Logan Water",IF(D216="MV","4060000",IF(D216="R","5050000",IF(D216="PK","4090000",IF(D216="CM","Claims Management",IF(D216="E","5060000",VLOOKUP(MID(E216,3,5),'[1]List Data'!$B$1:$D$1134,3,FALSE))))))))</f>
        <v>Logan Water</v>
      </c>
      <c r="B216" s="22" t="s">
        <v>624</v>
      </c>
      <c r="C216" s="19">
        <v>46054</v>
      </c>
      <c r="D216" s="23" t="s">
        <v>147</v>
      </c>
      <c r="E216" s="24" t="s">
        <v>151</v>
      </c>
      <c r="F216" s="23">
        <v>1</v>
      </c>
      <c r="G216" s="25">
        <v>90</v>
      </c>
      <c r="H216" s="24" t="s">
        <v>463</v>
      </c>
      <c r="I216" s="24" t="s">
        <v>464</v>
      </c>
      <c r="J216" s="18" t="s">
        <v>152</v>
      </c>
      <c r="K216" s="18"/>
      <c r="L216" s="21">
        <v>46054</v>
      </c>
    </row>
    <row r="217" spans="1:12" x14ac:dyDescent="0.25">
      <c r="A217" s="17" t="str">
        <f>IF(D217="PS","Logan Water",IF(D217="WS","Logan Water",IF(D217="MV","4060000",IF(D217="R","5050000",IF(D217="PK","4090000",IF(D217="CM","Claims Management",IF(D217="E","5060000",VLOOKUP(MID(E217,3,5),'[1]List Data'!$B$1:$D$1134,3,FALSE))))))))</f>
        <v>Logan Water</v>
      </c>
      <c r="B217" s="22" t="s">
        <v>624</v>
      </c>
      <c r="C217" s="19">
        <v>46054</v>
      </c>
      <c r="D217" s="23" t="s">
        <v>147</v>
      </c>
      <c r="E217" s="24" t="s">
        <v>151</v>
      </c>
      <c r="F217" s="23">
        <v>1</v>
      </c>
      <c r="G217" s="25">
        <v>95</v>
      </c>
      <c r="H217" s="24" t="s">
        <v>463</v>
      </c>
      <c r="I217" s="24" t="s">
        <v>464</v>
      </c>
      <c r="J217" s="18" t="s">
        <v>153</v>
      </c>
      <c r="K217" s="18"/>
      <c r="L217" s="21">
        <v>46054</v>
      </c>
    </row>
    <row r="218" spans="1:12" x14ac:dyDescent="0.25">
      <c r="A218" s="17" t="str">
        <f>IF(D218="PS","Logan Water",IF(D218="WS","Logan Water",IF(D218="MV","4060000",IF(D218="R","5050000",IF(D218="PK","4090000",IF(D218="CM","Claims Management",IF(D218="E","5060000",VLOOKUP(MID(E218,3,5),'[1]List Data'!$B$1:$D$1134,3,FALSE))))))))</f>
        <v>Logan Water</v>
      </c>
      <c r="B218" s="18" t="s">
        <v>624</v>
      </c>
      <c r="C218" s="19">
        <v>46054</v>
      </c>
      <c r="D218" s="16" t="s">
        <v>147</v>
      </c>
      <c r="E218" s="18" t="s">
        <v>151</v>
      </c>
      <c r="F218" s="16">
        <v>1</v>
      </c>
      <c r="G218" s="26">
        <v>50</v>
      </c>
      <c r="H218" s="18" t="s">
        <v>463</v>
      </c>
      <c r="I218" s="18" t="s">
        <v>464</v>
      </c>
      <c r="J218" s="18" t="s">
        <v>89</v>
      </c>
      <c r="K218" s="18"/>
      <c r="L218" s="21">
        <v>46054</v>
      </c>
    </row>
    <row r="219" spans="1:12" x14ac:dyDescent="0.25">
      <c r="A219" s="17" t="str">
        <f>IF(D219="PS","Logan Water",IF(D219="WS","Logan Water",IF(D219="MV","4060000",IF(D219="R","5050000",IF(D219="PK","4090000",IF(D219="CM","Claims Management",IF(D219="E","5060000",VLOOKUP(MID(E219,3,5),'[1]List Data'!$B$1:$D$1134,3,FALSE))))))))</f>
        <v>Logan Water</v>
      </c>
      <c r="B219" s="18" t="s">
        <v>624</v>
      </c>
      <c r="C219" s="19">
        <v>46054</v>
      </c>
      <c r="D219" s="16" t="s">
        <v>147</v>
      </c>
      <c r="E219" s="18" t="s">
        <v>151</v>
      </c>
      <c r="F219" s="16">
        <v>1</v>
      </c>
      <c r="G219" s="26">
        <v>549</v>
      </c>
      <c r="H219" s="28" t="s">
        <v>508</v>
      </c>
      <c r="I219" s="18" t="s">
        <v>469</v>
      </c>
      <c r="J219" s="18" t="s">
        <v>154</v>
      </c>
      <c r="K219" s="18"/>
      <c r="L219" s="21">
        <v>46054</v>
      </c>
    </row>
    <row r="220" spans="1:12" x14ac:dyDescent="0.25">
      <c r="A220" s="17" t="str">
        <f>IF(D220="PS","Logan Water",IF(D220="WS","Logan Water",IF(D220="MV","4060000",IF(D220="R","5050000",IF(D220="PK","4090000",IF(D220="CM","Claims Management",IF(D220="E","5060000",VLOOKUP(MID(E220,3,5),'[1]List Data'!$B$1:$D$1134,3,FALSE))))))))</f>
        <v>Logan Water</v>
      </c>
      <c r="B220" s="18" t="s">
        <v>624</v>
      </c>
      <c r="C220" s="19">
        <v>46054</v>
      </c>
      <c r="D220" s="16" t="s">
        <v>147</v>
      </c>
      <c r="E220" s="18" t="s">
        <v>151</v>
      </c>
      <c r="F220" s="16">
        <v>1</v>
      </c>
      <c r="G220" s="26">
        <v>429</v>
      </c>
      <c r="H220" s="28" t="s">
        <v>468</v>
      </c>
      <c r="I220" s="18" t="s">
        <v>469</v>
      </c>
      <c r="J220" s="18" t="s">
        <v>7</v>
      </c>
      <c r="K220" s="18"/>
      <c r="L220" s="21">
        <v>46054</v>
      </c>
    </row>
    <row r="221" spans="1:12" x14ac:dyDescent="0.25">
      <c r="A221" s="17" t="str">
        <f>IF(D221="PS","Logan Water",IF(D221="WS","Logan Water",IF(D221="MV","4060000",IF(D221="R","5050000",IF(D221="PK","4090000",IF(D221="CM","Claims Management",IF(D221="E","5060000",VLOOKUP(MID(E221,3,5),'[1]List Data'!$B$1:$D$1134,3,FALSE))))))))</f>
        <v>Logan Water</v>
      </c>
      <c r="B221" s="18" t="s">
        <v>624</v>
      </c>
      <c r="C221" s="19">
        <v>46023</v>
      </c>
      <c r="D221" s="16" t="s">
        <v>147</v>
      </c>
      <c r="E221" s="18" t="s">
        <v>151</v>
      </c>
      <c r="F221" s="16">
        <v>1</v>
      </c>
      <c r="G221" s="20">
        <v>59</v>
      </c>
      <c r="H221" s="18" t="s">
        <v>509</v>
      </c>
      <c r="I221" s="18" t="s">
        <v>464</v>
      </c>
      <c r="J221" s="18" t="s">
        <v>66</v>
      </c>
      <c r="K221" s="18"/>
      <c r="L221" s="21">
        <v>46054</v>
      </c>
    </row>
    <row r="222" spans="1:12" x14ac:dyDescent="0.25">
      <c r="A222" s="17" t="str">
        <f>IF(D222="PS","Logan Water",IF(D222="WS","Logan Water",IF(D222="MV","4060000",IF(D222="R","5050000",IF(D222="PK","4090000",IF(D222="CM","Claims Management",IF(D222="E","5060000",VLOOKUP(MID(E222,3,5),'[1]List Data'!$B$1:$D$1134,3,FALSE))))))))</f>
        <v>Logan Water</v>
      </c>
      <c r="B222" s="18" t="s">
        <v>624</v>
      </c>
      <c r="C222" s="19">
        <v>46023</v>
      </c>
      <c r="D222" s="16" t="s">
        <v>147</v>
      </c>
      <c r="E222" s="18" t="s">
        <v>151</v>
      </c>
      <c r="F222" s="16">
        <v>1</v>
      </c>
      <c r="G222" s="20">
        <v>50</v>
      </c>
      <c r="H222" s="18" t="s">
        <v>509</v>
      </c>
      <c r="I222" s="18" t="s">
        <v>464</v>
      </c>
      <c r="J222" s="18" t="s">
        <v>89</v>
      </c>
      <c r="K222" s="18"/>
      <c r="L222" s="21">
        <v>46054</v>
      </c>
    </row>
    <row r="223" spans="1:12" x14ac:dyDescent="0.25">
      <c r="A223" s="17" t="str">
        <f>IF(D223="PS","Logan Water",IF(D223="WS","Logan Water",IF(D223="MV","4060000",IF(D223="R","5050000",IF(D223="PK","4090000",IF(D223="CM","Claims Management",IF(D223="E","5060000",VLOOKUP(MID(E223,3,5),'[1]List Data'!$B$1:$D$1134,3,FALSE))))))))</f>
        <v>Logan Water</v>
      </c>
      <c r="B223" s="18" t="s">
        <v>624</v>
      </c>
      <c r="C223" s="19">
        <v>46023</v>
      </c>
      <c r="D223" s="16" t="s">
        <v>147</v>
      </c>
      <c r="E223" s="18" t="s">
        <v>151</v>
      </c>
      <c r="F223" s="16">
        <v>1</v>
      </c>
      <c r="G223" s="20">
        <v>190</v>
      </c>
      <c r="H223" s="18" t="s">
        <v>510</v>
      </c>
      <c r="I223" s="18" t="s">
        <v>464</v>
      </c>
      <c r="J223" s="18" t="s">
        <v>29</v>
      </c>
      <c r="K223" s="18"/>
      <c r="L223" s="21">
        <v>46054</v>
      </c>
    </row>
    <row r="224" spans="1:12" x14ac:dyDescent="0.25">
      <c r="A224" s="17" t="str">
        <f>IF(D224="PS","Logan Water",IF(D224="WS","Logan Water",IF(D224="MV","4060000",IF(D224="R","5050000",IF(D224="PK","4090000",IF(D224="CM","Claims Management",IF(D224="E","5060000",VLOOKUP(MID(E224,3,5),'[1]List Data'!$B$1:$D$1134,3,FALSE))))))))</f>
        <v>Logan Water</v>
      </c>
      <c r="B224" s="18" t="s">
        <v>624</v>
      </c>
      <c r="C224" s="19">
        <v>46023</v>
      </c>
      <c r="D224" s="16" t="s">
        <v>147</v>
      </c>
      <c r="E224" s="18" t="s">
        <v>151</v>
      </c>
      <c r="F224" s="16">
        <v>1</v>
      </c>
      <c r="G224" s="20">
        <v>250</v>
      </c>
      <c r="H224" s="18" t="s">
        <v>511</v>
      </c>
      <c r="I224" s="18" t="s">
        <v>512</v>
      </c>
      <c r="J224" s="18" t="s">
        <v>155</v>
      </c>
      <c r="K224" s="18"/>
      <c r="L224" s="21">
        <v>46054</v>
      </c>
    </row>
    <row r="225" spans="1:12" x14ac:dyDescent="0.25">
      <c r="A225" s="17" t="str">
        <f>IF(D225="PS","Logan Water",IF(D225="WS","Logan Water",IF(D225="MV","4060000",IF(D225="R","5050000",IF(D225="PK","4090000",IF(D225="CM","Claims Management",IF(D225="E","5060000",VLOOKUP(MID(E225,3,5),'[1]List Data'!$B$1:$D$1134,3,FALSE))))))))</f>
        <v>Logan Water</v>
      </c>
      <c r="B225" s="18" t="s">
        <v>624</v>
      </c>
      <c r="C225" s="19">
        <v>46023</v>
      </c>
      <c r="D225" s="16" t="s">
        <v>147</v>
      </c>
      <c r="E225" s="18" t="s">
        <v>151</v>
      </c>
      <c r="F225" s="16">
        <v>1</v>
      </c>
      <c r="G225" s="20">
        <v>50</v>
      </c>
      <c r="H225" s="18" t="s">
        <v>513</v>
      </c>
      <c r="I225" s="18" t="s">
        <v>464</v>
      </c>
      <c r="J225" s="18" t="s">
        <v>89</v>
      </c>
      <c r="K225" s="18"/>
      <c r="L225" s="21">
        <v>46054</v>
      </c>
    </row>
    <row r="226" spans="1:12" x14ac:dyDescent="0.25">
      <c r="A226" s="17" t="str">
        <f>IF(D226="PS","Logan Water",IF(D226="WS","Logan Water",IF(D226="MV","4060000",IF(D226="R","5050000",IF(D226="PK","4090000",IF(D226="CM","Claims Management",IF(D226="E","5060000",VLOOKUP(MID(E226,3,5),'[1]List Data'!$B$1:$D$1134,3,FALSE))))))))</f>
        <v>Logan Water</v>
      </c>
      <c r="B226" s="18" t="s">
        <v>624</v>
      </c>
      <c r="C226" s="19">
        <v>46023</v>
      </c>
      <c r="D226" s="16" t="s">
        <v>147</v>
      </c>
      <c r="E226" s="18" t="s">
        <v>151</v>
      </c>
      <c r="F226" s="16">
        <v>1</v>
      </c>
      <c r="G226" s="20">
        <v>190</v>
      </c>
      <c r="H226" s="18" t="s">
        <v>514</v>
      </c>
      <c r="I226" s="18" t="s">
        <v>476</v>
      </c>
      <c r="J226" s="18" t="s">
        <v>29</v>
      </c>
      <c r="K226" s="18"/>
      <c r="L226" s="21">
        <v>46054</v>
      </c>
    </row>
    <row r="227" spans="1:12" x14ac:dyDescent="0.25">
      <c r="A227" s="17" t="str">
        <f>IF(D227="PS","Logan Water",IF(D227="WS","Logan Water",IF(D227="MV","4060000",IF(D227="R","5050000",IF(D227="PK","4090000",IF(D227="CM","Claims Management",IF(D227="E","5060000",VLOOKUP(MID(E227,3,5),'[1]List Data'!$B$1:$D$1134,3,FALSE))))))))</f>
        <v>Logan Water</v>
      </c>
      <c r="B227" s="18" t="s">
        <v>624</v>
      </c>
      <c r="C227" s="19">
        <v>46023</v>
      </c>
      <c r="D227" s="16" t="s">
        <v>147</v>
      </c>
      <c r="E227" s="18" t="s">
        <v>151</v>
      </c>
      <c r="F227" s="16">
        <v>1</v>
      </c>
      <c r="G227" s="20">
        <v>190</v>
      </c>
      <c r="H227" s="18" t="s">
        <v>515</v>
      </c>
      <c r="I227" s="18" t="s">
        <v>476</v>
      </c>
      <c r="J227" s="18" t="s">
        <v>29</v>
      </c>
      <c r="K227" s="18"/>
      <c r="L227" s="21">
        <v>46054</v>
      </c>
    </row>
    <row r="228" spans="1:12" x14ac:dyDescent="0.25">
      <c r="A228" s="17" t="str">
        <f>IF(D228="PS","Logan Water",IF(D228="WS","Logan Water",IF(D228="MV","4060000",IF(D228="R","5050000",IF(D228="PK","4090000",IF(D228="CM","Claims Management",IF(D228="E","5060000",VLOOKUP(MID(E228,3,5),'[1]List Data'!$B$1:$D$1134,3,FALSE))))))))</f>
        <v>Logan Water</v>
      </c>
      <c r="B228" s="18" t="s">
        <v>624</v>
      </c>
      <c r="C228" s="19">
        <v>46023</v>
      </c>
      <c r="D228" s="16" t="s">
        <v>147</v>
      </c>
      <c r="E228" s="18" t="s">
        <v>151</v>
      </c>
      <c r="F228" s="16">
        <v>1</v>
      </c>
      <c r="G228" s="20">
        <v>59</v>
      </c>
      <c r="H228" s="18" t="s">
        <v>480</v>
      </c>
      <c r="I228" s="18" t="s">
        <v>476</v>
      </c>
      <c r="J228" s="18" t="s">
        <v>129</v>
      </c>
      <c r="K228" s="18"/>
      <c r="L228" s="21">
        <v>46054</v>
      </c>
    </row>
    <row r="229" spans="1:12" x14ac:dyDescent="0.25">
      <c r="A229" s="17" t="str">
        <f>IF(D229="PS","Logan Water",IF(D229="WS","Logan Water",IF(D229="MV","4060000",IF(D229="R","5050000",IF(D229="PK","4090000",IF(D229="CM","Claims Management",IF(D229="E","5060000",VLOOKUP(MID(E229,3,5),'[1]List Data'!$B$1:$D$1134,3,FALSE))))))))</f>
        <v>Logan Water</v>
      </c>
      <c r="B229" s="18" t="s">
        <v>624</v>
      </c>
      <c r="C229" s="19">
        <v>46023</v>
      </c>
      <c r="D229" s="16" t="s">
        <v>147</v>
      </c>
      <c r="E229" s="18" t="s">
        <v>151</v>
      </c>
      <c r="F229" s="16">
        <v>1</v>
      </c>
      <c r="G229" s="20">
        <v>22</v>
      </c>
      <c r="H229" s="18" t="s">
        <v>516</v>
      </c>
      <c r="I229" s="18" t="s">
        <v>476</v>
      </c>
      <c r="J229" s="18" t="s">
        <v>156</v>
      </c>
      <c r="K229" s="18"/>
      <c r="L229" s="21">
        <v>46054</v>
      </c>
    </row>
    <row r="230" spans="1:12" x14ac:dyDescent="0.25">
      <c r="A230" s="17" t="str">
        <f>IF(D230="PS","Logan Water",IF(D230="WS","Logan Water",IF(D230="MV","4060000",IF(D230="R","5050000",IF(D230="PK","4090000",IF(D230="CM","Claims Management",IF(D230="E","5060000",VLOOKUP(MID(E230,3,5),'[1]List Data'!$B$1:$D$1134,3,FALSE))))))))</f>
        <v>Logan Water</v>
      </c>
      <c r="B230" s="18" t="s">
        <v>624</v>
      </c>
      <c r="C230" s="19">
        <v>46023</v>
      </c>
      <c r="D230" s="16" t="s">
        <v>147</v>
      </c>
      <c r="E230" s="18" t="s">
        <v>151</v>
      </c>
      <c r="F230" s="16">
        <v>1</v>
      </c>
      <c r="G230" s="20">
        <v>50</v>
      </c>
      <c r="H230" s="18" t="s">
        <v>517</v>
      </c>
      <c r="I230" s="18" t="s">
        <v>476</v>
      </c>
      <c r="J230" s="18" t="s">
        <v>89</v>
      </c>
      <c r="K230" s="18"/>
      <c r="L230" s="21">
        <v>46054</v>
      </c>
    </row>
    <row r="231" spans="1:12" x14ac:dyDescent="0.25">
      <c r="A231" s="17" t="str">
        <f>IF(D231="PS","Logan Water",IF(D231="WS","Logan Water",IF(D231="MV","4060000",IF(D231="R","5050000",IF(D231="PK","4090000",IF(D231="CM","Claims Management",IF(D231="E","5060000",VLOOKUP(MID(E231,3,5),'[1]List Data'!$B$1:$D$1134,3,FALSE))))))))</f>
        <v>Logan Water</v>
      </c>
      <c r="B231" s="18" t="s">
        <v>624</v>
      </c>
      <c r="C231" s="19">
        <v>46023</v>
      </c>
      <c r="D231" s="16" t="s">
        <v>147</v>
      </c>
      <c r="E231" s="18" t="s">
        <v>151</v>
      </c>
      <c r="F231" s="16">
        <v>2</v>
      </c>
      <c r="G231" s="20">
        <v>380</v>
      </c>
      <c r="H231" s="18" t="s">
        <v>518</v>
      </c>
      <c r="I231" s="18" t="s">
        <v>476</v>
      </c>
      <c r="J231" s="18" t="s">
        <v>29</v>
      </c>
      <c r="K231" s="18"/>
      <c r="L231" s="21">
        <v>46054</v>
      </c>
    </row>
    <row r="232" spans="1:12" x14ac:dyDescent="0.25">
      <c r="A232" s="17" t="str">
        <f>IF(D232="PS","Logan Water",IF(D232="WS","Logan Water",IF(D232="MV","4060000",IF(D232="R","5050000",IF(D232="PK","4090000",IF(D232="CM","Claims Management",IF(D232="E","5060000",VLOOKUP(MID(E232,3,5),'[1]List Data'!$B$1:$D$1134,3,FALSE))))))))</f>
        <v>Logan Water</v>
      </c>
      <c r="B232" s="18" t="s">
        <v>624</v>
      </c>
      <c r="C232" s="19">
        <v>46023</v>
      </c>
      <c r="D232" s="16" t="s">
        <v>147</v>
      </c>
      <c r="E232" s="18" t="s">
        <v>151</v>
      </c>
      <c r="F232" s="16">
        <v>1</v>
      </c>
      <c r="G232" s="20">
        <v>59</v>
      </c>
      <c r="H232" s="18" t="s">
        <v>519</v>
      </c>
      <c r="I232" s="18" t="s">
        <v>469</v>
      </c>
      <c r="J232" s="18" t="s">
        <v>66</v>
      </c>
      <c r="K232" s="18"/>
      <c r="L232" s="21">
        <v>46054</v>
      </c>
    </row>
    <row r="233" spans="1:12" x14ac:dyDescent="0.25">
      <c r="A233" s="17" t="str">
        <f>IF(D233="PS","Logan Water",IF(D233="WS","Logan Water",IF(D233="MV","4060000",IF(D233="R","5050000",IF(D233="PK","4090000",IF(D233="CM","Claims Management",IF(D233="E","5060000",VLOOKUP(MID(E233,3,5),'[1]List Data'!$B$1:$D$1134,3,FALSE))))))))</f>
        <v>Logan Water</v>
      </c>
      <c r="B233" s="18" t="s">
        <v>624</v>
      </c>
      <c r="C233" s="19">
        <v>46023</v>
      </c>
      <c r="D233" s="16" t="s">
        <v>147</v>
      </c>
      <c r="E233" s="18" t="s">
        <v>151</v>
      </c>
      <c r="F233" s="16">
        <v>1</v>
      </c>
      <c r="G233" s="20">
        <v>50</v>
      </c>
      <c r="H233" s="18" t="s">
        <v>519</v>
      </c>
      <c r="I233" s="18" t="s">
        <v>469</v>
      </c>
      <c r="J233" s="18" t="s">
        <v>89</v>
      </c>
      <c r="K233" s="18"/>
      <c r="L233" s="21">
        <v>46054</v>
      </c>
    </row>
    <row r="234" spans="1:12" x14ac:dyDescent="0.25">
      <c r="A234" s="17" t="str">
        <f>IF(D234="PS","Logan Water",IF(D234="WS","Logan Water",IF(D234="MV","4060000",IF(D234="R","5050000",IF(D234="PK","4090000",IF(D234="CM","Claims Management",IF(D234="E","5060000",VLOOKUP(MID(E234,3,5),'[1]List Data'!$B$1:$D$1134,3,FALSE))))))))</f>
        <v>Logan Water</v>
      </c>
      <c r="B234" s="18" t="s">
        <v>624</v>
      </c>
      <c r="C234" s="19">
        <v>46023</v>
      </c>
      <c r="D234" s="16" t="s">
        <v>147</v>
      </c>
      <c r="E234" s="18" t="s">
        <v>151</v>
      </c>
      <c r="F234" s="16">
        <v>1</v>
      </c>
      <c r="G234" s="20">
        <v>59</v>
      </c>
      <c r="H234" s="18" t="s">
        <v>520</v>
      </c>
      <c r="I234" s="18" t="s">
        <v>469</v>
      </c>
      <c r="J234" s="18" t="s">
        <v>66</v>
      </c>
      <c r="K234" s="18"/>
      <c r="L234" s="21">
        <v>46054</v>
      </c>
    </row>
    <row r="235" spans="1:12" x14ac:dyDescent="0.25">
      <c r="A235" s="17" t="str">
        <f>IF(D235="PS","Logan Water",IF(D235="WS","Logan Water",IF(D235="MV","4060000",IF(D235="R","5050000",IF(D235="PK","4090000",IF(D235="CM","Claims Management",IF(D235="E","5060000",VLOOKUP(MID(E235,3,5),'[1]List Data'!$B$1:$D$1134,3,FALSE))))))))</f>
        <v>Logan Water</v>
      </c>
      <c r="B235" s="18" t="s">
        <v>624</v>
      </c>
      <c r="C235" s="19">
        <v>46023</v>
      </c>
      <c r="D235" s="16" t="s">
        <v>147</v>
      </c>
      <c r="E235" s="18" t="s">
        <v>151</v>
      </c>
      <c r="F235" s="16">
        <v>1</v>
      </c>
      <c r="G235" s="20">
        <v>50</v>
      </c>
      <c r="H235" s="18" t="s">
        <v>520</v>
      </c>
      <c r="I235" s="18" t="s">
        <v>469</v>
      </c>
      <c r="J235" s="18" t="s">
        <v>89</v>
      </c>
      <c r="K235" s="18"/>
      <c r="L235" s="21">
        <v>46054</v>
      </c>
    </row>
    <row r="236" spans="1:12" x14ac:dyDescent="0.25">
      <c r="A236" s="17" t="str">
        <f>IF(D236="PS","Logan Water",IF(D236="WS","Logan Water",IF(D236="MV","4060000",IF(D236="R","5050000",IF(D236="PK","4090000",IF(D236="CM","Claims Management",IF(D236="E","5060000",VLOOKUP(MID(E236,3,5),'[1]List Data'!$B$1:$D$1134,3,FALSE))))))))</f>
        <v>Logan Water</v>
      </c>
      <c r="B236" s="18" t="s">
        <v>624</v>
      </c>
      <c r="C236" s="19">
        <v>46023</v>
      </c>
      <c r="D236" s="16" t="s">
        <v>147</v>
      </c>
      <c r="E236" s="18" t="s">
        <v>151</v>
      </c>
      <c r="F236" s="16">
        <v>1</v>
      </c>
      <c r="G236" s="20">
        <v>59</v>
      </c>
      <c r="H236" s="18" t="s">
        <v>521</v>
      </c>
      <c r="I236" s="18" t="s">
        <v>469</v>
      </c>
      <c r="J236" s="18" t="s">
        <v>66</v>
      </c>
      <c r="K236" s="18"/>
      <c r="L236" s="21">
        <v>46054</v>
      </c>
    </row>
    <row r="237" spans="1:12" x14ac:dyDescent="0.25">
      <c r="A237" s="17" t="str">
        <f>IF(D237="PS","Logan Water",IF(D237="WS","Logan Water",IF(D237="MV","4060000",IF(D237="R","5050000",IF(D237="PK","4090000",IF(D237="CM","Claims Management",IF(D237="E","5060000",VLOOKUP(MID(E237,3,5),'[1]List Data'!$B$1:$D$1134,3,FALSE))))))))</f>
        <v>Logan Water</v>
      </c>
      <c r="B237" s="18" t="s">
        <v>624</v>
      </c>
      <c r="C237" s="19">
        <v>46023</v>
      </c>
      <c r="D237" s="16" t="s">
        <v>147</v>
      </c>
      <c r="E237" s="18" t="s">
        <v>151</v>
      </c>
      <c r="F237" s="16">
        <v>1</v>
      </c>
      <c r="G237" s="20">
        <v>50</v>
      </c>
      <c r="H237" s="18" t="s">
        <v>521</v>
      </c>
      <c r="I237" s="18" t="s">
        <v>469</v>
      </c>
      <c r="J237" s="18" t="s">
        <v>89</v>
      </c>
      <c r="K237" s="18"/>
      <c r="L237" s="21">
        <v>46054</v>
      </c>
    </row>
    <row r="238" spans="1:12" x14ac:dyDescent="0.25">
      <c r="A238" s="17" t="str">
        <f>IF(D238="PS","Logan Water",IF(D238="WS","Logan Water",IF(D238="MV","4060000",IF(D238="R","5050000",IF(D238="PK","4090000",IF(D238="CM","Claims Management",IF(D238="E","5060000",VLOOKUP(MID(E238,3,5),'[1]List Data'!$B$1:$D$1134,3,FALSE))))))))</f>
        <v>Logan Water</v>
      </c>
      <c r="B238" s="18" t="s">
        <v>624</v>
      </c>
      <c r="C238" s="19">
        <v>46023</v>
      </c>
      <c r="D238" s="16" t="s">
        <v>147</v>
      </c>
      <c r="E238" s="18" t="s">
        <v>151</v>
      </c>
      <c r="F238" s="16">
        <v>1</v>
      </c>
      <c r="G238" s="20">
        <v>59</v>
      </c>
      <c r="H238" s="18" t="s">
        <v>522</v>
      </c>
      <c r="I238" s="18" t="s">
        <v>469</v>
      </c>
      <c r="J238" s="18" t="s">
        <v>66</v>
      </c>
      <c r="K238" s="18"/>
      <c r="L238" s="21">
        <v>46054</v>
      </c>
    </row>
    <row r="239" spans="1:12" x14ac:dyDescent="0.25">
      <c r="A239" s="17" t="str">
        <f>IF(D239="PS","Logan Water",IF(D239="WS","Logan Water",IF(D239="MV","4060000",IF(D239="R","5050000",IF(D239="PK","4090000",IF(D239="CM","Claims Management",IF(D239="E","5060000",VLOOKUP(MID(E239,3,5),'[1]List Data'!$B$1:$D$1134,3,FALSE))))))))</f>
        <v>Logan Water</v>
      </c>
      <c r="B239" s="18" t="s">
        <v>624</v>
      </c>
      <c r="C239" s="19">
        <v>46023</v>
      </c>
      <c r="D239" s="16" t="s">
        <v>147</v>
      </c>
      <c r="E239" s="18" t="s">
        <v>151</v>
      </c>
      <c r="F239" s="16">
        <v>1</v>
      </c>
      <c r="G239" s="20">
        <v>50</v>
      </c>
      <c r="H239" s="18" t="s">
        <v>522</v>
      </c>
      <c r="I239" s="18" t="s">
        <v>469</v>
      </c>
      <c r="J239" s="18" t="s">
        <v>89</v>
      </c>
      <c r="K239" s="18"/>
      <c r="L239" s="21">
        <v>46054</v>
      </c>
    </row>
    <row r="240" spans="1:12" x14ac:dyDescent="0.25">
      <c r="A240" s="17" t="str">
        <f>IF(D240="PS","Logan Water",IF(D240="WS","Logan Water",IF(D240="MV","4060000",IF(D240="R","5050000",IF(D240="PK","4090000",IF(D240="CM","Claims Management",IF(D240="E","5060000",VLOOKUP(MID(E240,3,5),'[1]List Data'!$B$1:$D$1134,3,FALSE))))))))</f>
        <v>Logan Water</v>
      </c>
      <c r="B240" s="18" t="s">
        <v>624</v>
      </c>
      <c r="C240" s="19">
        <v>46023</v>
      </c>
      <c r="D240" s="16" t="s">
        <v>147</v>
      </c>
      <c r="E240" s="18" t="s">
        <v>151</v>
      </c>
      <c r="F240" s="16">
        <v>1</v>
      </c>
      <c r="G240" s="20">
        <v>59</v>
      </c>
      <c r="H240" s="18" t="s">
        <v>523</v>
      </c>
      <c r="I240" s="18" t="s">
        <v>464</v>
      </c>
      <c r="J240" s="18" t="s">
        <v>66</v>
      </c>
      <c r="K240" s="18"/>
      <c r="L240" s="21">
        <v>46054</v>
      </c>
    </row>
    <row r="241" spans="1:12" x14ac:dyDescent="0.25">
      <c r="A241" s="17" t="str">
        <f>IF(D241="PS","Logan Water",IF(D241="WS","Logan Water",IF(D241="MV","4060000",IF(D241="R","5050000",IF(D241="PK","4090000",IF(D241="CM","Claims Management",IF(D241="E","5060000",VLOOKUP(MID(E241,3,5),'[1]List Data'!$B$1:$D$1134,3,FALSE))))))))</f>
        <v>Logan Water</v>
      </c>
      <c r="B241" s="18" t="s">
        <v>624</v>
      </c>
      <c r="C241" s="19">
        <v>46023</v>
      </c>
      <c r="D241" s="16" t="s">
        <v>147</v>
      </c>
      <c r="E241" s="18" t="s">
        <v>151</v>
      </c>
      <c r="F241" s="16">
        <v>1</v>
      </c>
      <c r="G241" s="20">
        <v>50</v>
      </c>
      <c r="H241" s="18" t="s">
        <v>523</v>
      </c>
      <c r="I241" s="18" t="s">
        <v>464</v>
      </c>
      <c r="J241" s="18" t="s">
        <v>89</v>
      </c>
      <c r="K241" s="18"/>
      <c r="L241" s="21">
        <v>46054</v>
      </c>
    </row>
    <row r="242" spans="1:12" x14ac:dyDescent="0.25">
      <c r="A242" s="17" t="str">
        <f>IF(D242="PS","Logan Water",IF(D242="WS","Logan Water",IF(D242="MV","4060000",IF(D242="R","5050000",IF(D242="PK","4090000",IF(D242="CM","Claims Management",IF(D242="E","5060000",VLOOKUP(MID(E242,3,5),'[1]List Data'!$B$1:$D$1134,3,FALSE))))))))</f>
        <v>Logan Water</v>
      </c>
      <c r="B242" s="18" t="s">
        <v>624</v>
      </c>
      <c r="C242" s="19">
        <v>46023</v>
      </c>
      <c r="D242" s="16" t="s">
        <v>147</v>
      </c>
      <c r="E242" s="18" t="s">
        <v>151</v>
      </c>
      <c r="F242" s="16">
        <v>1</v>
      </c>
      <c r="G242" s="20">
        <v>50</v>
      </c>
      <c r="H242" s="18" t="s">
        <v>524</v>
      </c>
      <c r="I242" s="18" t="s">
        <v>525</v>
      </c>
      <c r="J242" s="18" t="s">
        <v>89</v>
      </c>
      <c r="K242" s="18"/>
      <c r="L242" s="21">
        <v>46054</v>
      </c>
    </row>
    <row r="243" spans="1:12" x14ac:dyDescent="0.25">
      <c r="A243" s="17" t="str">
        <f>IF(D243="PS","Logan Water",IF(D243="WS","Logan Water",IF(D243="MV","4060000",IF(D243="R","5050000",IF(D243="PK","4090000",IF(D243="CM","Claims Management",IF(D243="E","5060000",VLOOKUP(MID(E243,3,5),'[1]List Data'!$B$1:$D$1134,3,FALSE))))))))</f>
        <v>Logan Water</v>
      </c>
      <c r="B243" s="18" t="s">
        <v>624</v>
      </c>
      <c r="C243" s="19">
        <v>46023</v>
      </c>
      <c r="D243" s="16" t="s">
        <v>147</v>
      </c>
      <c r="E243" s="18" t="s">
        <v>151</v>
      </c>
      <c r="F243" s="16">
        <v>1</v>
      </c>
      <c r="G243" s="20">
        <v>59</v>
      </c>
      <c r="H243" s="18" t="s">
        <v>524</v>
      </c>
      <c r="I243" s="18" t="s">
        <v>525</v>
      </c>
      <c r="J243" s="18" t="s">
        <v>66</v>
      </c>
      <c r="K243" s="18"/>
      <c r="L243" s="21">
        <v>46054</v>
      </c>
    </row>
    <row r="244" spans="1:12" x14ac:dyDescent="0.25">
      <c r="A244" s="17" t="str">
        <f>IF(D244="PS","Logan Water",IF(D244="WS","Logan Water",IF(D244="MV","4060000",IF(D244="R","5050000",IF(D244="PK","4090000",IF(D244="CM","Claims Management",IF(D244="E","5060000",VLOOKUP(MID(E244,3,5),'[1]List Data'!$B$1:$D$1134,3,FALSE))))))))</f>
        <v>Logan Water</v>
      </c>
      <c r="B244" s="18" t="s">
        <v>624</v>
      </c>
      <c r="C244" s="19">
        <v>46023</v>
      </c>
      <c r="D244" s="16" t="s">
        <v>147</v>
      </c>
      <c r="E244" s="18" t="s">
        <v>151</v>
      </c>
      <c r="F244" s="16">
        <v>2</v>
      </c>
      <c r="G244" s="20">
        <v>100</v>
      </c>
      <c r="H244" s="18" t="s">
        <v>526</v>
      </c>
      <c r="I244" s="18" t="s">
        <v>476</v>
      </c>
      <c r="J244" s="18" t="s">
        <v>89</v>
      </c>
      <c r="K244" s="18"/>
      <c r="L244" s="21">
        <v>46054</v>
      </c>
    </row>
    <row r="245" spans="1:12" x14ac:dyDescent="0.25">
      <c r="A245" s="17" t="str">
        <f>IF(D245="PS","Logan Water",IF(D245="WS","Logan Water",IF(D245="MV","4060000",IF(D245="R","5050000",IF(D245="PK","4090000",IF(D245="CM","Claims Management",IF(D245="E","5060000",VLOOKUP(MID(E245,3,5),'[1]List Data'!$B$1:$D$1134,3,FALSE))))))))</f>
        <v>Logan Water</v>
      </c>
      <c r="B245" s="18" t="s">
        <v>624</v>
      </c>
      <c r="C245" s="19">
        <v>46023</v>
      </c>
      <c r="D245" s="16" t="s">
        <v>147</v>
      </c>
      <c r="E245" s="18" t="s">
        <v>151</v>
      </c>
      <c r="F245" s="16">
        <v>2</v>
      </c>
      <c r="G245" s="20">
        <v>100</v>
      </c>
      <c r="H245" s="18" t="s">
        <v>527</v>
      </c>
      <c r="I245" s="18" t="s">
        <v>476</v>
      </c>
      <c r="J245" s="18" t="s">
        <v>89</v>
      </c>
      <c r="K245" s="18"/>
      <c r="L245" s="21">
        <v>46054</v>
      </c>
    </row>
    <row r="246" spans="1:12" x14ac:dyDescent="0.25">
      <c r="A246" s="17" t="str">
        <f>IF(D246="PS","Logan Water",IF(D246="WS","Logan Water",IF(D246="MV","4060000",IF(D246="R","5050000",IF(D246="PK","4090000",IF(D246="CM","Claims Management",IF(D246="E","5060000",VLOOKUP(MID(E246,3,5),'[1]List Data'!$B$1:$D$1134,3,FALSE))))))))</f>
        <v>Logan Water</v>
      </c>
      <c r="B246" s="18" t="s">
        <v>624</v>
      </c>
      <c r="C246" s="19">
        <v>46023</v>
      </c>
      <c r="D246" s="16" t="s">
        <v>147</v>
      </c>
      <c r="E246" s="18" t="s">
        <v>151</v>
      </c>
      <c r="F246" s="16">
        <v>1</v>
      </c>
      <c r="G246" s="20">
        <v>190</v>
      </c>
      <c r="H246" s="18" t="s">
        <v>528</v>
      </c>
      <c r="I246" s="18" t="s">
        <v>525</v>
      </c>
      <c r="J246" s="18" t="s">
        <v>23</v>
      </c>
      <c r="K246" s="18"/>
      <c r="L246" s="21">
        <v>46054</v>
      </c>
    </row>
    <row r="247" spans="1:12" x14ac:dyDescent="0.25">
      <c r="A247" s="17" t="str">
        <f>IF(D247="PS","Logan Water",IF(D247="WS","Logan Water",IF(D247="MV","4060000",IF(D247="R","5050000",IF(D247="PK","4090000",IF(D247="CM","Claims Management",IF(D247="E","5060000",VLOOKUP(MID(E247,3,5),'[1]List Data'!$B$1:$D$1134,3,FALSE))))))))</f>
        <v>Logan Water</v>
      </c>
      <c r="B247" s="18" t="s">
        <v>624</v>
      </c>
      <c r="C247" s="19">
        <v>46023</v>
      </c>
      <c r="D247" s="16" t="s">
        <v>147</v>
      </c>
      <c r="E247" s="18" t="s">
        <v>151</v>
      </c>
      <c r="F247" s="16">
        <v>1</v>
      </c>
      <c r="G247" s="20">
        <v>50</v>
      </c>
      <c r="H247" s="18" t="s">
        <v>529</v>
      </c>
      <c r="I247" s="18" t="s">
        <v>464</v>
      </c>
      <c r="J247" s="18" t="s">
        <v>89</v>
      </c>
      <c r="K247" s="18"/>
      <c r="L247" s="21">
        <v>46054</v>
      </c>
    </row>
    <row r="248" spans="1:12" x14ac:dyDescent="0.25">
      <c r="A248" s="17" t="str">
        <f>IF(D248="PS","Logan Water",IF(D248="WS","Logan Water",IF(D248="MV","4060000",IF(D248="R","5050000",IF(D248="PK","4090000",IF(D248="CM","Claims Management",IF(D248="E","5060000",VLOOKUP(MID(E248,3,5),'[1]List Data'!$B$1:$D$1134,3,FALSE))))))))</f>
        <v>Logan Water</v>
      </c>
      <c r="B248" s="18" t="s">
        <v>624</v>
      </c>
      <c r="C248" s="19">
        <v>46023</v>
      </c>
      <c r="D248" s="16" t="s">
        <v>147</v>
      </c>
      <c r="E248" s="18" t="s">
        <v>151</v>
      </c>
      <c r="F248" s="16">
        <v>1</v>
      </c>
      <c r="G248" s="20">
        <v>190</v>
      </c>
      <c r="H248" s="18" t="s">
        <v>530</v>
      </c>
      <c r="I248" s="18" t="s">
        <v>464</v>
      </c>
      <c r="J248" s="18" t="s">
        <v>23</v>
      </c>
      <c r="K248" s="18"/>
      <c r="L248" s="21">
        <v>46054</v>
      </c>
    </row>
    <row r="249" spans="1:12" x14ac:dyDescent="0.25">
      <c r="A249" s="17" t="str">
        <f>IF(D249="PS","Logan Water",IF(D249="WS","Logan Water",IF(D249="MV","4060000",IF(D249="R","5050000",IF(D249="PK","4090000",IF(D249="CM","Claims Management",IF(D249="E","5060000",VLOOKUP(MID(E249,3,5),'[1]List Data'!$B$1:$D$1134,3,FALSE))))))))</f>
        <v>Logan Water</v>
      </c>
      <c r="B249" s="18" t="s">
        <v>624</v>
      </c>
      <c r="C249" s="19">
        <v>46023</v>
      </c>
      <c r="D249" s="16" t="s">
        <v>157</v>
      </c>
      <c r="E249" s="18" t="s">
        <v>531</v>
      </c>
      <c r="F249" s="16">
        <v>1</v>
      </c>
      <c r="G249" s="20">
        <v>549</v>
      </c>
      <c r="H249" s="18" t="s">
        <v>532</v>
      </c>
      <c r="I249" s="18" t="s">
        <v>533</v>
      </c>
      <c r="J249" s="18" t="s">
        <v>154</v>
      </c>
      <c r="K249" s="18"/>
      <c r="L249" s="21">
        <v>46054</v>
      </c>
    </row>
    <row r="250" spans="1:12" x14ac:dyDescent="0.25">
      <c r="A250" s="17" t="str">
        <f>IF(D250="PS","Logan Water",IF(D250="WS","Logan Water",IF(D250="MV","4060000",IF(D250="R","5050000",IF(D250="PK","4090000",IF(D250="CM","Claims Management",IF(D250="E","5060000",VLOOKUP(MID(E250,3,5),'[1]List Data'!$B$1:$D$1134,3,FALSE))))))))</f>
        <v>Logan Water</v>
      </c>
      <c r="B250" s="18" t="s">
        <v>624</v>
      </c>
      <c r="C250" s="19">
        <v>46023</v>
      </c>
      <c r="D250" s="16" t="s">
        <v>147</v>
      </c>
      <c r="E250" s="18" t="s">
        <v>151</v>
      </c>
      <c r="F250" s="16">
        <v>1</v>
      </c>
      <c r="G250" s="20">
        <v>50</v>
      </c>
      <c r="H250" s="18" t="s">
        <v>534</v>
      </c>
      <c r="I250" s="18" t="s">
        <v>469</v>
      </c>
      <c r="J250" s="18" t="s">
        <v>89</v>
      </c>
      <c r="K250" s="18"/>
      <c r="L250" s="21">
        <v>46054</v>
      </c>
    </row>
    <row r="251" spans="1:12" x14ac:dyDescent="0.25">
      <c r="A251" s="17" t="str">
        <f>IF(D251="PS","Logan Water",IF(D251="WS","Logan Water",IF(D251="MV","4060000",IF(D251="R","5050000",IF(D251="PK","4090000",IF(D251="CM","Claims Management",IF(D251="E","5060000",VLOOKUP(MID(E251,3,5),'[1]List Data'!$B$1:$D$1134,3,FALSE))))))))</f>
        <v>Logan Water</v>
      </c>
      <c r="B251" s="18" t="s">
        <v>624</v>
      </c>
      <c r="C251" s="19">
        <v>46023</v>
      </c>
      <c r="D251" s="16" t="s">
        <v>147</v>
      </c>
      <c r="E251" s="18" t="s">
        <v>151</v>
      </c>
      <c r="F251" s="16">
        <v>1</v>
      </c>
      <c r="G251" s="20">
        <v>109</v>
      </c>
      <c r="H251" s="18" t="s">
        <v>534</v>
      </c>
      <c r="I251" s="18" t="s">
        <v>469</v>
      </c>
      <c r="J251" s="18" t="s">
        <v>66</v>
      </c>
      <c r="K251" s="18"/>
      <c r="L251" s="21">
        <v>46054</v>
      </c>
    </row>
    <row r="252" spans="1:12" x14ac:dyDescent="0.25">
      <c r="A252" s="17" t="str">
        <f>IF(D252="PS","Logan Water",IF(D252="WS","Logan Water",IF(D252="MV","4060000",IF(D252="R","5050000",IF(D252="PK","4090000",IF(D252="CM","Claims Management",IF(D252="E","5060000",VLOOKUP(MID(E252,3,5),'[1]List Data'!$B$1:$D$1134,3,FALSE))))))))</f>
        <v>Logan Water</v>
      </c>
      <c r="B252" s="18" t="s">
        <v>624</v>
      </c>
      <c r="C252" s="19">
        <v>46023</v>
      </c>
      <c r="D252" s="16" t="s">
        <v>147</v>
      </c>
      <c r="E252" s="18" t="s">
        <v>151</v>
      </c>
      <c r="F252" s="16">
        <v>1</v>
      </c>
      <c r="G252" s="20">
        <v>50</v>
      </c>
      <c r="H252" s="18" t="s">
        <v>535</v>
      </c>
      <c r="I252" s="18" t="s">
        <v>469</v>
      </c>
      <c r="J252" s="18" t="s">
        <v>89</v>
      </c>
      <c r="K252" s="18"/>
      <c r="L252" s="21">
        <v>46054</v>
      </c>
    </row>
    <row r="253" spans="1:12" x14ac:dyDescent="0.25">
      <c r="A253" s="17" t="str">
        <f>IF(D253="PS","Logan Water",IF(D253="WS","Logan Water",IF(D253="MV","4060000",IF(D253="R","5050000",IF(D253="PK","4090000",IF(D253="CM","Claims Management",IF(D253="E","5060000",VLOOKUP(MID(E253,3,5),'[1]List Data'!$B$1:$D$1134,3,FALSE))))))))</f>
        <v>Logan Water</v>
      </c>
      <c r="B253" s="18" t="s">
        <v>624</v>
      </c>
      <c r="C253" s="19">
        <v>46023</v>
      </c>
      <c r="D253" s="16" t="s">
        <v>147</v>
      </c>
      <c r="E253" s="18" t="s">
        <v>151</v>
      </c>
      <c r="F253" s="16">
        <v>1</v>
      </c>
      <c r="G253" s="20">
        <v>109</v>
      </c>
      <c r="H253" s="18" t="s">
        <v>535</v>
      </c>
      <c r="I253" s="18" t="s">
        <v>469</v>
      </c>
      <c r="J253" s="18" t="s">
        <v>66</v>
      </c>
      <c r="K253" s="18"/>
      <c r="L253" s="21">
        <v>46054</v>
      </c>
    </row>
    <row r="254" spans="1:12" x14ac:dyDescent="0.25">
      <c r="A254" s="17" t="str">
        <f>IF(D254="PS","Logan Water",IF(D254="WS","Logan Water",IF(D254="MV","4060000",IF(D254="R","5050000",IF(D254="PK","4090000",IF(D254="CM","Claims Management",IF(D254="E","5060000",VLOOKUP(MID(E254,3,5),'[1]List Data'!$B$1:$D$1134,3,FALSE))))))))</f>
        <v>Logan Water</v>
      </c>
      <c r="B254" s="18" t="s">
        <v>624</v>
      </c>
      <c r="C254" s="19">
        <v>46023</v>
      </c>
      <c r="D254" s="16" t="s">
        <v>147</v>
      </c>
      <c r="E254" s="18" t="s">
        <v>151</v>
      </c>
      <c r="F254" s="16">
        <v>1</v>
      </c>
      <c r="G254" s="20">
        <v>50</v>
      </c>
      <c r="H254" s="18" t="s">
        <v>536</v>
      </c>
      <c r="I254" s="18" t="s">
        <v>495</v>
      </c>
      <c r="J254" s="18" t="s">
        <v>89</v>
      </c>
      <c r="K254" s="18"/>
      <c r="L254" s="21">
        <v>46054</v>
      </c>
    </row>
    <row r="255" spans="1:12" x14ac:dyDescent="0.25">
      <c r="A255" s="17" t="str">
        <f>IF(D255="PS","Logan Water",IF(D255="WS","Logan Water",IF(D255="MV","4060000",IF(D255="R","5050000",IF(D255="PK","4090000",IF(D255="CM","Claims Management",IF(D255="E","5060000",VLOOKUP(MID(E255,3,5),'[1]List Data'!$B$1:$D$1134,3,FALSE))))))))</f>
        <v>Logan Water</v>
      </c>
      <c r="B255" s="18" t="s">
        <v>624</v>
      </c>
      <c r="C255" s="19">
        <v>46023</v>
      </c>
      <c r="D255" s="16" t="s">
        <v>147</v>
      </c>
      <c r="E255" s="18" t="s">
        <v>151</v>
      </c>
      <c r="F255" s="16">
        <v>1</v>
      </c>
      <c r="G255" s="20">
        <v>109</v>
      </c>
      <c r="H255" s="18" t="s">
        <v>536</v>
      </c>
      <c r="I255" s="18" t="s">
        <v>495</v>
      </c>
      <c r="J255" s="18" t="s">
        <v>66</v>
      </c>
      <c r="K255" s="18"/>
      <c r="L255" s="21">
        <v>46054</v>
      </c>
    </row>
    <row r="256" spans="1:12" x14ac:dyDescent="0.25">
      <c r="A256" s="17" t="str">
        <f>IF(D256="PS","Logan Water",IF(D256="WS","Logan Water",IF(D256="MV","4060000",IF(D256="R","5050000",IF(D256="PK","4090000",IF(D256="CM","Claims Management",IF(D256="E","5060000",VLOOKUP(MID(E256,3,5),'[1]List Data'!$B$1:$D$1134,3,FALSE))))))))</f>
        <v>Logan Water</v>
      </c>
      <c r="B256" s="18" t="s">
        <v>624</v>
      </c>
      <c r="C256" s="19">
        <v>46023</v>
      </c>
      <c r="D256" s="16" t="s">
        <v>147</v>
      </c>
      <c r="E256" s="18" t="s">
        <v>151</v>
      </c>
      <c r="F256" s="16">
        <v>1</v>
      </c>
      <c r="G256" s="20">
        <v>59</v>
      </c>
      <c r="H256" s="18" t="s">
        <v>537</v>
      </c>
      <c r="I256" s="18" t="s">
        <v>469</v>
      </c>
      <c r="J256" s="18" t="s">
        <v>66</v>
      </c>
      <c r="K256" s="18"/>
      <c r="L256" s="21">
        <v>46054</v>
      </c>
    </row>
    <row r="257" spans="1:12" x14ac:dyDescent="0.25">
      <c r="A257" s="17" t="str">
        <f>IF(D257="PS","Logan Water",IF(D257="WS","Logan Water",IF(D257="MV","4060000",IF(D257="R","5050000",IF(D257="PK","4090000",IF(D257="CM","Claims Management",IF(D257="E","5060000",VLOOKUP(MID(E257,3,5),'[1]List Data'!$B$1:$D$1134,3,FALSE))))))))</f>
        <v>Logan Water</v>
      </c>
      <c r="B257" s="18" t="s">
        <v>624</v>
      </c>
      <c r="C257" s="19">
        <v>46023</v>
      </c>
      <c r="D257" s="16" t="s">
        <v>147</v>
      </c>
      <c r="E257" s="18" t="s">
        <v>151</v>
      </c>
      <c r="F257" s="16">
        <v>1</v>
      </c>
      <c r="G257" s="20">
        <v>190</v>
      </c>
      <c r="H257" s="18" t="s">
        <v>538</v>
      </c>
      <c r="I257" s="18" t="s">
        <v>495</v>
      </c>
      <c r="J257" s="18" t="s">
        <v>23</v>
      </c>
      <c r="K257" s="18"/>
      <c r="L257" s="21">
        <v>46054</v>
      </c>
    </row>
    <row r="258" spans="1:12" x14ac:dyDescent="0.25">
      <c r="A258" s="17" t="str">
        <f>IF(D258="PS","Logan Water",IF(D258="WS","Logan Water",IF(D258="MV","4060000",IF(D258="R","5050000",IF(D258="PK","4090000",IF(D258="CM","Claims Management",IF(D258="E","5060000",VLOOKUP(MID(E258,3,5),'[1]List Data'!$B$1:$D$1134,3,FALSE))))))))</f>
        <v>Logan Water</v>
      </c>
      <c r="B258" s="18" t="s">
        <v>624</v>
      </c>
      <c r="C258" s="19">
        <v>46023</v>
      </c>
      <c r="D258" s="16" t="s">
        <v>147</v>
      </c>
      <c r="E258" s="18" t="s">
        <v>151</v>
      </c>
      <c r="F258" s="16">
        <v>1</v>
      </c>
      <c r="G258" s="20">
        <v>45</v>
      </c>
      <c r="H258" s="18" t="s">
        <v>539</v>
      </c>
      <c r="I258" s="18" t="s">
        <v>540</v>
      </c>
      <c r="J258" s="18" t="s">
        <v>95</v>
      </c>
      <c r="K258" s="18"/>
      <c r="L258" s="21">
        <v>46054</v>
      </c>
    </row>
    <row r="259" spans="1:12" x14ac:dyDescent="0.25">
      <c r="A259" s="17" t="str">
        <f>IF(D259="PS","Logan Water",IF(D259="WS","Logan Water",IF(D259="MV","4060000",IF(D259="R","5050000",IF(D259="PK","4090000",IF(D259="CM","Claims Management",IF(D259="E","5060000",VLOOKUP(MID(E259,3,5),'[1]List Data'!$B$1:$D$1134,3,FALSE))))))))</f>
        <v>Logan Water</v>
      </c>
      <c r="B259" s="27" t="s">
        <v>624</v>
      </c>
      <c r="C259" s="19">
        <v>46054</v>
      </c>
      <c r="D259" s="23" t="s">
        <v>147</v>
      </c>
      <c r="E259" s="24" t="s">
        <v>151</v>
      </c>
      <c r="F259" s="23">
        <v>6</v>
      </c>
      <c r="G259" s="25">
        <v>36</v>
      </c>
      <c r="H259" s="24" t="s">
        <v>541</v>
      </c>
      <c r="I259" s="24" t="s">
        <v>542</v>
      </c>
      <c r="J259" s="18" t="s">
        <v>15</v>
      </c>
      <c r="K259" s="18"/>
      <c r="L259" s="21">
        <v>46054</v>
      </c>
    </row>
    <row r="260" spans="1:12" x14ac:dyDescent="0.25">
      <c r="A260" s="17" t="str">
        <f>IF(D260="PS","Logan Water",IF(D260="WS","Logan Water",IF(D260="MV","4060000",IF(D260="R","5050000",IF(D260="PK","4090000",IF(D260="CM","Claims Management",IF(D260="E","5060000",VLOOKUP(MID(E260,3,5),'[1]List Data'!$B$1:$D$1134,3,FALSE))))))))</f>
        <v>Logan Water</v>
      </c>
      <c r="B260" s="18" t="s">
        <v>624</v>
      </c>
      <c r="C260" s="19">
        <v>46054</v>
      </c>
      <c r="D260" s="23" t="s">
        <v>147</v>
      </c>
      <c r="E260" s="24" t="s">
        <v>151</v>
      </c>
      <c r="F260" s="23">
        <v>6</v>
      </c>
      <c r="G260" s="25">
        <v>78</v>
      </c>
      <c r="H260" s="24" t="s">
        <v>541</v>
      </c>
      <c r="I260" s="24" t="s">
        <v>542</v>
      </c>
      <c r="J260" s="18" t="s">
        <v>158</v>
      </c>
      <c r="K260" s="18"/>
      <c r="L260" s="21">
        <v>46054</v>
      </c>
    </row>
    <row r="261" spans="1:12" x14ac:dyDescent="0.25">
      <c r="A261" s="17" t="str">
        <f>IF(D261="PS","Logan Water",IF(D261="WS","Logan Water",IF(D261="MV","4060000",IF(D261="R","5050000",IF(D261="PK","4090000",IF(D261="CM","Claims Management",IF(D261="E","5060000",VLOOKUP(MID(E261,3,5),'[1]List Data'!$B$1:$D$1134,3,FALSE))))))))</f>
        <v>Logan Water</v>
      </c>
      <c r="B261" s="18" t="s">
        <v>624</v>
      </c>
      <c r="C261" s="19">
        <v>46054</v>
      </c>
      <c r="D261" s="16" t="s">
        <v>147</v>
      </c>
      <c r="E261" s="18" t="s">
        <v>151</v>
      </c>
      <c r="F261" s="16">
        <v>1</v>
      </c>
      <c r="G261" s="26">
        <v>59</v>
      </c>
      <c r="H261" s="18" t="s">
        <v>543</v>
      </c>
      <c r="I261" s="18" t="s">
        <v>544</v>
      </c>
      <c r="J261" s="18" t="s">
        <v>66</v>
      </c>
      <c r="K261" s="18"/>
      <c r="L261" s="21">
        <v>46054</v>
      </c>
    </row>
    <row r="262" spans="1:12" x14ac:dyDescent="0.25">
      <c r="A262" s="17" t="str">
        <f>IF(D262="PS","Logan Water",IF(D262="WS","Logan Water",IF(D262="MV","4060000",IF(D262="R","5050000",IF(D262="PK","4090000",IF(D262="CM","Claims Management",IF(D262="E","5060000",VLOOKUP(MID(E262,3,5),'[1]List Data'!$B$1:$D$1134,3,FALSE))))))))</f>
        <v>Logan Water</v>
      </c>
      <c r="B262" s="18" t="s">
        <v>624</v>
      </c>
      <c r="C262" s="19">
        <v>46054</v>
      </c>
      <c r="D262" s="16" t="s">
        <v>147</v>
      </c>
      <c r="E262" s="18" t="s">
        <v>151</v>
      </c>
      <c r="F262" s="16">
        <v>1</v>
      </c>
      <c r="G262" s="26">
        <v>50</v>
      </c>
      <c r="H262" s="18" t="s">
        <v>543</v>
      </c>
      <c r="I262" s="18" t="s">
        <v>544</v>
      </c>
      <c r="J262" s="18" t="s">
        <v>89</v>
      </c>
      <c r="K262" s="18"/>
      <c r="L262" s="21">
        <v>46054</v>
      </c>
    </row>
    <row r="263" spans="1:12" x14ac:dyDescent="0.25">
      <c r="A263" s="17" t="str">
        <f>IF(D263="PS","Logan Water",IF(D263="WS","Logan Water",IF(D263="MV","4060000",IF(D263="R","5050000",IF(D263="PK","4090000",IF(D263="CM","Claims Management",IF(D263="E","5060000",VLOOKUP(MID(E263,3,5),'[1]List Data'!$B$1:$D$1134,3,FALSE))))))))</f>
        <v>Logan Water</v>
      </c>
      <c r="B263" s="18" t="s">
        <v>624</v>
      </c>
      <c r="C263" s="19">
        <v>46023</v>
      </c>
      <c r="D263" s="16" t="s">
        <v>147</v>
      </c>
      <c r="E263" s="18" t="s">
        <v>151</v>
      </c>
      <c r="F263" s="16">
        <v>1</v>
      </c>
      <c r="G263" s="20">
        <v>190</v>
      </c>
      <c r="H263" s="18" t="s">
        <v>545</v>
      </c>
      <c r="I263" s="18" t="s">
        <v>499</v>
      </c>
      <c r="J263" s="18" t="s">
        <v>23</v>
      </c>
      <c r="K263" s="18"/>
      <c r="L263" s="21">
        <v>46054</v>
      </c>
    </row>
    <row r="264" spans="1:12" x14ac:dyDescent="0.25">
      <c r="A264" s="17" t="str">
        <f>IF(D264="PS","Logan Water",IF(D264="WS","Logan Water",IF(D264="MV","4060000",IF(D264="R","5050000",IF(D264="PK","4090000",IF(D264="CM","Claims Management",IF(D264="E","5060000",VLOOKUP(MID(E264,3,5),'[1]List Data'!$B$1:$D$1134,3,FALSE))))))))</f>
        <v>Logan Water</v>
      </c>
      <c r="B264" s="18" t="s">
        <v>624</v>
      </c>
      <c r="C264" s="19">
        <v>46023</v>
      </c>
      <c r="D264" s="16" t="s">
        <v>147</v>
      </c>
      <c r="E264" s="18" t="s">
        <v>151</v>
      </c>
      <c r="F264" s="16">
        <v>1</v>
      </c>
      <c r="G264" s="20">
        <v>50</v>
      </c>
      <c r="H264" s="18" t="s">
        <v>546</v>
      </c>
      <c r="I264" s="18" t="s">
        <v>499</v>
      </c>
      <c r="J264" s="18" t="s">
        <v>89</v>
      </c>
      <c r="K264" s="18"/>
      <c r="L264" s="21">
        <v>46054</v>
      </c>
    </row>
    <row r="265" spans="1:12" x14ac:dyDescent="0.25">
      <c r="A265" s="17" t="str">
        <f>IF(D265="PS","Logan Water",IF(D265="WS","Logan Water",IF(D265="MV","4060000",IF(D265="R","5050000",IF(D265="PK","4090000",IF(D265="CM","Claims Management",IF(D265="E","5060000",VLOOKUP(MID(E265,3,5),'[1]List Data'!$B$1:$D$1134,3,FALSE))))))))</f>
        <v>Logan Water</v>
      </c>
      <c r="B265" s="18" t="s">
        <v>624</v>
      </c>
      <c r="C265" s="19">
        <v>46054</v>
      </c>
      <c r="D265" s="16" t="s">
        <v>147</v>
      </c>
      <c r="E265" s="18" t="s">
        <v>151</v>
      </c>
      <c r="F265" s="16">
        <v>1</v>
      </c>
      <c r="G265" s="26">
        <v>820</v>
      </c>
      <c r="H265" s="18" t="s">
        <v>547</v>
      </c>
      <c r="I265" s="18" t="s">
        <v>544</v>
      </c>
      <c r="J265" s="18" t="s">
        <v>159</v>
      </c>
      <c r="K265" s="29"/>
      <c r="L265" s="21">
        <v>46054</v>
      </c>
    </row>
    <row r="266" spans="1:12" x14ac:dyDescent="0.25">
      <c r="A266" s="17" t="str">
        <f>IF(D266="PS","Logan Water",IF(D266="WS","Logan Water",IF(D266="MV","4060000",IF(D266="R","5050000",IF(D266="PK","4090000",IF(D266="CM","Claims Management",IF(D266="E","5060000",VLOOKUP(MID(E266,3,5),'[1]List Data'!$B$1:$D$1134,3,FALSE))))))))</f>
        <v>Logan Water</v>
      </c>
      <c r="B266" s="18" t="s">
        <v>624</v>
      </c>
      <c r="C266" s="19">
        <v>46054</v>
      </c>
      <c r="D266" s="16" t="s">
        <v>147</v>
      </c>
      <c r="E266" s="18" t="s">
        <v>151</v>
      </c>
      <c r="F266" s="16">
        <v>1</v>
      </c>
      <c r="G266" s="26">
        <v>59</v>
      </c>
      <c r="H266" s="18" t="s">
        <v>501</v>
      </c>
      <c r="I266" s="18" t="s">
        <v>469</v>
      </c>
      <c r="J266" s="18" t="s">
        <v>129</v>
      </c>
      <c r="K266" s="18"/>
      <c r="L266" s="21">
        <v>46054</v>
      </c>
    </row>
    <row r="267" spans="1:12" x14ac:dyDescent="0.25">
      <c r="A267" s="17" t="str">
        <f>IF(D267="PS","Logan Water",IF(D267="WS","Logan Water",IF(D267="MV","4060000",IF(D267="R","5050000",IF(D267="PK","4090000",IF(D267="CM","Claims Management",IF(D267="E","5060000",VLOOKUP(MID(E267,3,5),'[1]List Data'!$B$1:$D$1134,3,FALSE))))))))</f>
        <v>Logan Water</v>
      </c>
      <c r="B267" s="18" t="s">
        <v>624</v>
      </c>
      <c r="C267" s="19">
        <v>46054</v>
      </c>
      <c r="D267" s="16" t="s">
        <v>147</v>
      </c>
      <c r="E267" s="18" t="s">
        <v>151</v>
      </c>
      <c r="F267" s="16">
        <v>1</v>
      </c>
      <c r="G267" s="26">
        <v>59</v>
      </c>
      <c r="H267" s="18" t="s">
        <v>502</v>
      </c>
      <c r="I267" s="18" t="s">
        <v>469</v>
      </c>
      <c r="J267" s="18" t="s">
        <v>129</v>
      </c>
      <c r="K267" s="18"/>
      <c r="L267" s="21">
        <v>46054</v>
      </c>
    </row>
    <row r="268" spans="1:12" x14ac:dyDescent="0.25">
      <c r="A268" s="17" t="str">
        <f>IF(D268="PS","Logan Water",IF(D268="WS","Logan Water",IF(D268="MV","4060000",IF(D268="R","5050000",IF(D268="PK","4090000",IF(D268="CM","Claims Management",IF(D268="E","5060000",VLOOKUP(MID(E268,3,5),'[1]List Data'!$B$1:$D$1134,3,FALSE))))))))</f>
        <v>Logan Water</v>
      </c>
      <c r="B268" s="18" t="s">
        <v>624</v>
      </c>
      <c r="C268" s="19">
        <v>46054</v>
      </c>
      <c r="D268" s="16" t="s">
        <v>147</v>
      </c>
      <c r="E268" s="18" t="s">
        <v>151</v>
      </c>
      <c r="F268" s="16">
        <v>7</v>
      </c>
      <c r="G268" s="26">
        <v>413</v>
      </c>
      <c r="H268" s="18" t="s">
        <v>548</v>
      </c>
      <c r="I268" s="18" t="s">
        <v>469</v>
      </c>
      <c r="J268" s="18" t="s">
        <v>66</v>
      </c>
      <c r="K268" s="18"/>
      <c r="L268" s="21">
        <v>46054</v>
      </c>
    </row>
    <row r="269" spans="1:12" x14ac:dyDescent="0.25">
      <c r="A269" s="17" t="str">
        <f>IF(D269="PS","Logan Water",IF(D269="WS","Logan Water",IF(D269="MV","4060000",IF(D269="R","5050000",IF(D269="PK","4090000",IF(D269="CM","Claims Management",IF(D269="E","5060000",VLOOKUP(MID(E269,3,5),'[1]List Data'!$B$1:$D$1134,3,FALSE))))))))</f>
        <v>Logan Water</v>
      </c>
      <c r="B269" s="18" t="s">
        <v>624</v>
      </c>
      <c r="C269" s="19">
        <v>46054</v>
      </c>
      <c r="D269" s="16" t="s">
        <v>147</v>
      </c>
      <c r="E269" s="18" t="s">
        <v>151</v>
      </c>
      <c r="F269" s="16">
        <v>1</v>
      </c>
      <c r="G269" s="26">
        <v>50</v>
      </c>
      <c r="H269" s="18" t="s">
        <v>549</v>
      </c>
      <c r="I269" s="18" t="s">
        <v>504</v>
      </c>
      <c r="J269" s="18" t="s">
        <v>89</v>
      </c>
      <c r="K269" s="18"/>
      <c r="L269" s="21">
        <v>46054</v>
      </c>
    </row>
    <row r="270" spans="1:12" x14ac:dyDescent="0.25">
      <c r="A270" s="17" t="str">
        <f>IF(D270="PS","Logan Water",IF(D270="WS","Logan Water",IF(D270="MV","4060000",IF(D270="R","5050000",IF(D270="PK","4090000",IF(D270="CM","Claims Management",IF(D270="E","5060000",VLOOKUP(MID(E270,3,5),'[1]List Data'!$B$1:$D$1134,3,FALSE))))))))</f>
        <v>Logan Water</v>
      </c>
      <c r="B270" s="18" t="s">
        <v>624</v>
      </c>
      <c r="C270" s="19">
        <v>46054</v>
      </c>
      <c r="D270" s="16" t="s">
        <v>147</v>
      </c>
      <c r="E270" s="18" t="s">
        <v>151</v>
      </c>
      <c r="F270" s="16">
        <v>1</v>
      </c>
      <c r="G270" s="26">
        <v>210</v>
      </c>
      <c r="H270" s="18" t="s">
        <v>550</v>
      </c>
      <c r="I270" s="18" t="s">
        <v>504</v>
      </c>
      <c r="J270" s="18" t="s">
        <v>23</v>
      </c>
      <c r="K270" s="18"/>
      <c r="L270" s="21">
        <v>46054</v>
      </c>
    </row>
    <row r="271" spans="1:12" x14ac:dyDescent="0.25">
      <c r="A271" s="17" t="str">
        <f>IF(D271="PS","Logan Water",IF(D271="WS","Logan Water",IF(D271="MV","4060000",IF(D271="R","5050000",IF(D271="PK","4090000",IF(D271="CM","Claims Management",IF(D271="E","5060000",VLOOKUP(MID(E271,3,5),'[1]List Data'!$B$1:$D$1134,3,FALSE))))))))</f>
        <v>Logan Water</v>
      </c>
      <c r="B271" s="18" t="s">
        <v>624</v>
      </c>
      <c r="C271" s="19">
        <v>46054</v>
      </c>
      <c r="D271" s="23" t="s">
        <v>147</v>
      </c>
      <c r="E271" s="24" t="s">
        <v>151</v>
      </c>
      <c r="F271" s="23">
        <v>1</v>
      </c>
      <c r="G271" s="25">
        <v>549</v>
      </c>
      <c r="H271" s="24" t="s">
        <v>551</v>
      </c>
      <c r="I271" s="24" t="s">
        <v>469</v>
      </c>
      <c r="J271" s="18" t="s">
        <v>154</v>
      </c>
      <c r="K271" s="18"/>
      <c r="L271" s="21">
        <v>46054</v>
      </c>
    </row>
    <row r="272" spans="1:12" x14ac:dyDescent="0.25">
      <c r="A272" s="17" t="str">
        <f>IF(D272="PS","Logan Water",IF(D272="WS","Logan Water",IF(D272="MV","4060000",IF(D272="R","5050000",IF(D272="PK","4090000",IF(D272="CM","Claims Management",IF(D272="E","5060000",VLOOKUP(MID(E272,3,5),'[1]List Data'!$B$1:$D$1134,3,FALSE))))))))</f>
        <v>Logan Water</v>
      </c>
      <c r="B272" s="27" t="s">
        <v>624</v>
      </c>
      <c r="C272" s="19">
        <v>46054</v>
      </c>
      <c r="D272" s="23" t="s">
        <v>157</v>
      </c>
      <c r="E272" s="24" t="s">
        <v>552</v>
      </c>
      <c r="F272" s="23">
        <v>12</v>
      </c>
      <c r="G272" s="25">
        <v>360</v>
      </c>
      <c r="H272" s="24" t="s">
        <v>553</v>
      </c>
      <c r="I272" s="24" t="s">
        <v>554</v>
      </c>
      <c r="J272" s="18" t="s">
        <v>160</v>
      </c>
      <c r="K272" s="18"/>
      <c r="L272" s="21">
        <v>46054</v>
      </c>
    </row>
    <row r="273" spans="1:12" x14ac:dyDescent="0.25">
      <c r="A273" s="17" t="str">
        <f>IF(D273="PS","Logan Water",IF(D273="WS","Logan Water",IF(D273="MV","4060000",IF(D273="R","5050000",IF(D273="PK","4090000",IF(D273="CM","Claims Management",IF(D273="E","5060000",VLOOKUP(MID(E273,3,5),'[1]List Data'!$B$1:$D$1134,3,FALSE))))))))</f>
        <v>Logan Water</v>
      </c>
      <c r="B273" s="18" t="s">
        <v>624</v>
      </c>
      <c r="C273" s="19">
        <v>46054</v>
      </c>
      <c r="D273" s="16" t="s">
        <v>157</v>
      </c>
      <c r="E273" s="18" t="s">
        <v>552</v>
      </c>
      <c r="F273" s="16">
        <v>6</v>
      </c>
      <c r="G273" s="26">
        <v>354</v>
      </c>
      <c r="H273" s="28" t="s">
        <v>553</v>
      </c>
      <c r="I273" s="18" t="s">
        <v>554</v>
      </c>
      <c r="J273" s="18" t="s">
        <v>66</v>
      </c>
      <c r="K273" s="18"/>
      <c r="L273" s="21">
        <v>46054</v>
      </c>
    </row>
    <row r="274" spans="1:12" x14ac:dyDescent="0.25">
      <c r="A274" s="17" t="str">
        <f>IF(D274="PS","Logan Water",IF(D274="WS","Logan Water",IF(D274="MV","4060000",IF(D274="R","5050000",IF(D274="PK","4090000",IF(D274="CM","Claims Management",IF(D274="E","5060000",VLOOKUP(MID(E274,3,5),'[1]List Data'!$B$1:$D$1134,3,FALSE))))))))</f>
        <v>Logan Water</v>
      </c>
      <c r="B274" s="18" t="s">
        <v>624</v>
      </c>
      <c r="C274" s="19">
        <v>46054</v>
      </c>
      <c r="D274" s="16" t="s">
        <v>157</v>
      </c>
      <c r="E274" s="18" t="s">
        <v>552</v>
      </c>
      <c r="F274" s="16">
        <v>3</v>
      </c>
      <c r="G274" s="26">
        <v>150</v>
      </c>
      <c r="H274" s="18" t="s">
        <v>553</v>
      </c>
      <c r="I274" s="18" t="s">
        <v>554</v>
      </c>
      <c r="J274" s="18" t="s">
        <v>89</v>
      </c>
      <c r="K274" s="18"/>
      <c r="L274" s="21">
        <v>46054</v>
      </c>
    </row>
    <row r="275" spans="1:12" x14ac:dyDescent="0.25">
      <c r="A275" s="17" t="str">
        <f>IF(D275="PS","Logan Water",IF(D275="WS","Logan Water",IF(D275="MV","4060000",IF(D275="R","5050000",IF(D275="PK","4090000",IF(D275="CM","Claims Management",IF(D275="E","5060000",VLOOKUP(MID(E275,3,5),'[1]List Data'!$B$1:$D$1134,3,FALSE))))))))</f>
        <v>Logan Water</v>
      </c>
      <c r="B275" s="18" t="s">
        <v>624</v>
      </c>
      <c r="C275" s="19">
        <v>46054</v>
      </c>
      <c r="D275" s="16" t="s">
        <v>147</v>
      </c>
      <c r="E275" s="18" t="s">
        <v>151</v>
      </c>
      <c r="F275" s="16">
        <v>2</v>
      </c>
      <c r="G275" s="26">
        <v>118</v>
      </c>
      <c r="H275" s="18" t="s">
        <v>555</v>
      </c>
      <c r="I275" s="18" t="s">
        <v>469</v>
      </c>
      <c r="J275" s="18" t="s">
        <v>66</v>
      </c>
      <c r="K275" s="18"/>
      <c r="L275" s="21">
        <v>46054</v>
      </c>
    </row>
    <row r="276" spans="1:12" x14ac:dyDescent="0.25">
      <c r="A276" s="17" t="str">
        <f>IF(D276="PS","Logan Water",IF(D276="WS","Logan Water",IF(D276="MV","4060000",IF(D276="R","5050000",IF(D276="PK","4090000",IF(D276="CM","Claims Management",IF(D276="E","5060000",VLOOKUP(MID(E276,3,5),'[1]List Data'!$B$1:$D$1134,3,FALSE))))))))</f>
        <v>Logan Water</v>
      </c>
      <c r="B276" s="18" t="s">
        <v>624</v>
      </c>
      <c r="C276" s="19">
        <v>46054</v>
      </c>
      <c r="D276" s="16" t="s">
        <v>147</v>
      </c>
      <c r="E276" s="18" t="s">
        <v>151</v>
      </c>
      <c r="F276" s="16">
        <v>4</v>
      </c>
      <c r="G276" s="26">
        <v>240</v>
      </c>
      <c r="H276" s="18" t="s">
        <v>556</v>
      </c>
      <c r="I276" s="18" t="s">
        <v>557</v>
      </c>
      <c r="J276" s="18" t="s">
        <v>61</v>
      </c>
      <c r="K276" s="18"/>
      <c r="L276" s="21">
        <v>46054</v>
      </c>
    </row>
    <row r="277" spans="1:12" x14ac:dyDescent="0.25">
      <c r="A277" s="17" t="str">
        <f>IF(D277="PS","Logan Water",IF(D277="WS","Logan Water",IF(D277="MV","4060000",IF(D277="R","5050000",IF(D277="PK","4090000",IF(D277="CM","Claims Management",IF(D277="E","5060000",VLOOKUP(MID(E277,3,5),'[1]List Data'!$B$1:$D$1134,3,FALSE))))))))</f>
        <v>Logan Water</v>
      </c>
      <c r="B277" s="18" t="s">
        <v>624</v>
      </c>
      <c r="C277" s="19">
        <v>46054</v>
      </c>
      <c r="D277" s="16" t="s">
        <v>147</v>
      </c>
      <c r="E277" s="18" t="s">
        <v>151</v>
      </c>
      <c r="F277" s="16">
        <v>1</v>
      </c>
      <c r="G277" s="26">
        <v>50</v>
      </c>
      <c r="H277" s="18" t="s">
        <v>558</v>
      </c>
      <c r="I277" s="18" t="s">
        <v>476</v>
      </c>
      <c r="J277" s="18" t="s">
        <v>89</v>
      </c>
      <c r="K277" s="18"/>
      <c r="L277" s="21">
        <v>46054</v>
      </c>
    </row>
    <row r="278" spans="1:12" x14ac:dyDescent="0.25">
      <c r="A278" s="17" t="str">
        <f>IF(D278="PS","Logan Water",IF(D278="WS","Logan Water",IF(D278="MV","4060000",IF(D278="R","5050000",IF(D278="PK","4090000",IF(D278="CM","Claims Management",IF(D278="E","5060000",VLOOKUP(MID(E278,3,5),'[1]List Data'!$B$1:$D$1134,3,FALSE))))))))</f>
        <v>Logan Water</v>
      </c>
      <c r="B278" s="18" t="s">
        <v>624</v>
      </c>
      <c r="C278" s="19">
        <v>46054</v>
      </c>
      <c r="D278" s="16" t="s">
        <v>147</v>
      </c>
      <c r="E278" s="18" t="s">
        <v>151</v>
      </c>
      <c r="F278" s="16">
        <v>1</v>
      </c>
      <c r="G278" s="26">
        <v>210</v>
      </c>
      <c r="H278" s="18" t="s">
        <v>559</v>
      </c>
      <c r="I278" s="18" t="s">
        <v>476</v>
      </c>
      <c r="J278" s="18" t="s">
        <v>23</v>
      </c>
      <c r="K278" s="18"/>
      <c r="L278" s="21">
        <v>46054</v>
      </c>
    </row>
    <row r="279" spans="1:12" x14ac:dyDescent="0.25">
      <c r="A279" s="17" t="str">
        <f>IF(D279="PS","Logan Water",IF(D279="WS","Logan Water",IF(D279="MV","4060000",IF(D279="R","5050000",IF(D279="PK","4090000",IF(D279="CM","Claims Management",IF(D279="E","5060000",VLOOKUP(MID(E279,3,5),'[1]List Data'!$B$1:$D$1134,3,FALSE))))))))</f>
        <v>Logan Water</v>
      </c>
      <c r="B279" s="18" t="s">
        <v>624</v>
      </c>
      <c r="C279" s="19">
        <v>46054</v>
      </c>
      <c r="D279" s="16" t="s">
        <v>147</v>
      </c>
      <c r="E279" s="18" t="s">
        <v>151</v>
      </c>
      <c r="F279" s="16">
        <v>1</v>
      </c>
      <c r="G279" s="26">
        <v>210</v>
      </c>
      <c r="H279" s="18" t="s">
        <v>560</v>
      </c>
      <c r="I279" s="18" t="s">
        <v>464</v>
      </c>
      <c r="J279" s="18" t="s">
        <v>23</v>
      </c>
      <c r="K279" s="18"/>
      <c r="L279" s="21">
        <v>46054</v>
      </c>
    </row>
    <row r="280" spans="1:12" x14ac:dyDescent="0.25">
      <c r="A280" s="17" t="str">
        <f>IF(D280="PS","Logan Water",IF(D280="WS","Logan Water",IF(D280="MV","4060000",IF(D280="R","5050000",IF(D280="PK","4090000",IF(D280="CM","Claims Management",IF(D280="E","5060000",VLOOKUP(MID(E280,3,5),'[1]List Data'!$B$1:$D$1134,3,FALSE))))))))</f>
        <v>Logan Water</v>
      </c>
      <c r="B280" s="18" t="s">
        <v>624</v>
      </c>
      <c r="C280" s="19">
        <v>46054</v>
      </c>
      <c r="D280" s="16" t="s">
        <v>147</v>
      </c>
      <c r="E280" s="18" t="s">
        <v>151</v>
      </c>
      <c r="F280" s="16">
        <v>1</v>
      </c>
      <c r="G280" s="26">
        <v>50</v>
      </c>
      <c r="H280" s="18" t="s">
        <v>561</v>
      </c>
      <c r="I280" s="18" t="s">
        <v>464</v>
      </c>
      <c r="J280" s="18" t="s">
        <v>89</v>
      </c>
      <c r="K280" s="18"/>
      <c r="L280" s="21">
        <v>46054</v>
      </c>
    </row>
    <row r="281" spans="1:12" x14ac:dyDescent="0.25">
      <c r="A281" s="17" t="str">
        <f>IF(D281="PS","Logan Water",IF(D281="WS","Logan Water",IF(D281="MV","4060000",IF(D281="R","5050000",IF(D281="PK","4090000",IF(D281="CM","Claims Management",IF(D281="E","5060000",VLOOKUP(MID(E281,3,5),'[1]List Data'!$B$1:$D$1134,3,FALSE))))))))</f>
        <v>Logan Water</v>
      </c>
      <c r="B281" s="18" t="s">
        <v>624</v>
      </c>
      <c r="C281" s="19">
        <v>46054</v>
      </c>
      <c r="D281" s="16" t="s">
        <v>147</v>
      </c>
      <c r="E281" s="18" t="s">
        <v>151</v>
      </c>
      <c r="F281" s="16">
        <v>1</v>
      </c>
      <c r="G281" s="26">
        <v>210</v>
      </c>
      <c r="H281" s="28" t="s">
        <v>562</v>
      </c>
      <c r="I281" s="18" t="s">
        <v>476</v>
      </c>
      <c r="J281" s="18" t="s">
        <v>23</v>
      </c>
      <c r="K281" s="18"/>
      <c r="L281" s="21">
        <v>46054</v>
      </c>
    </row>
    <row r="282" spans="1:12" x14ac:dyDescent="0.25">
      <c r="A282" s="17" t="str">
        <f>IF(D282="PS","Logan Water",IF(D282="WS","Logan Water",IF(D282="MV","4060000",IF(D282="R","5050000",IF(D282="PK","4090000",IF(D282="CM","Claims Management",IF(D282="E","5060000",VLOOKUP(MID(E282,3,5),'[1]List Data'!$B$1:$D$1134,3,FALSE))))))))</f>
        <v>Logan Water</v>
      </c>
      <c r="B282" s="18" t="s">
        <v>624</v>
      </c>
      <c r="C282" s="19">
        <v>46054</v>
      </c>
      <c r="D282" s="16" t="s">
        <v>147</v>
      </c>
      <c r="E282" s="18" t="s">
        <v>151</v>
      </c>
      <c r="F282" s="16">
        <v>1</v>
      </c>
      <c r="G282" s="26">
        <v>50</v>
      </c>
      <c r="H282" s="18" t="s">
        <v>563</v>
      </c>
      <c r="I282" s="18" t="s">
        <v>476</v>
      </c>
      <c r="J282" s="18" t="s">
        <v>89</v>
      </c>
      <c r="K282" s="18"/>
      <c r="L282" s="21">
        <v>46054</v>
      </c>
    </row>
    <row r="283" spans="1:12" x14ac:dyDescent="0.25">
      <c r="A283" s="17" t="str">
        <f>IF(D283="PS","Logan Water",IF(D283="WS","Logan Water",IF(D283="MV","4060000",IF(D283="R","5050000",IF(D283="PK","4090000",IF(D283="CM","Claims Management",IF(D283="E","5060000",VLOOKUP(MID(E283,3,5),'[1]List Data'!$B$1:$D$1134,3,FALSE))))))))</f>
        <v>Logan Water</v>
      </c>
      <c r="B283" s="18" t="s">
        <v>624</v>
      </c>
      <c r="C283" s="19">
        <v>46054</v>
      </c>
      <c r="D283" s="23" t="s">
        <v>147</v>
      </c>
      <c r="E283" s="24" t="s">
        <v>151</v>
      </c>
      <c r="F283" s="23">
        <v>1</v>
      </c>
      <c r="G283" s="25">
        <v>22</v>
      </c>
      <c r="H283" s="24" t="s">
        <v>564</v>
      </c>
      <c r="I283" s="24" t="s">
        <v>464</v>
      </c>
      <c r="J283" s="18" t="s">
        <v>116</v>
      </c>
      <c r="K283" s="18"/>
      <c r="L283" s="21">
        <v>46054</v>
      </c>
    </row>
    <row r="284" spans="1:12" x14ac:dyDescent="0.25">
      <c r="A284" s="17" t="str">
        <f>IF(D284="PS","Logan Water",IF(D284="WS","Logan Water",IF(D284="MV","4060000",IF(D284="R","5050000",IF(D284="PK","4090000",IF(D284="CM","Claims Management",IF(D284="E","5060000",VLOOKUP(MID(E284,3,5),'[1]List Data'!$B$1:$D$1134,3,FALSE))))))))</f>
        <v>Logan Water</v>
      </c>
      <c r="B284" s="18" t="s">
        <v>624</v>
      </c>
      <c r="C284" s="19">
        <v>46054</v>
      </c>
      <c r="D284" s="16" t="s">
        <v>147</v>
      </c>
      <c r="E284" s="18" t="s">
        <v>151</v>
      </c>
      <c r="F284" s="16">
        <v>1</v>
      </c>
      <c r="G284" s="26">
        <v>24</v>
      </c>
      <c r="H284" s="18" t="s">
        <v>564</v>
      </c>
      <c r="I284" s="18" t="s">
        <v>464</v>
      </c>
      <c r="J284" s="18" t="s">
        <v>161</v>
      </c>
      <c r="K284" s="18"/>
      <c r="L284" s="21">
        <v>46054</v>
      </c>
    </row>
    <row r="285" spans="1:12" x14ac:dyDescent="0.25">
      <c r="A285" s="17" t="str">
        <f>IF(D285="PS","Logan Water",IF(D285="WS","Logan Water",IF(D285="MV","4060000",IF(D285="R","5050000",IF(D285="PK","4090000",IF(D285="CM","Claims Management",IF(D285="E","5060000",VLOOKUP(MID(E285,3,5),'[1]List Data'!$B$1:$D$1134,3,FALSE))))))))</f>
        <v>Logan Water</v>
      </c>
      <c r="B285" s="18" t="s">
        <v>624</v>
      </c>
      <c r="C285" s="19">
        <v>46054</v>
      </c>
      <c r="D285" s="16" t="s">
        <v>147</v>
      </c>
      <c r="E285" s="18" t="s">
        <v>151</v>
      </c>
      <c r="F285" s="16">
        <v>1</v>
      </c>
      <c r="G285" s="26">
        <v>59</v>
      </c>
      <c r="H285" s="18" t="s">
        <v>565</v>
      </c>
      <c r="I285" s="18" t="s">
        <v>469</v>
      </c>
      <c r="J285" s="18" t="s">
        <v>66</v>
      </c>
      <c r="K285" s="18"/>
      <c r="L285" s="21">
        <v>46054</v>
      </c>
    </row>
    <row r="286" spans="1:12" x14ac:dyDescent="0.25">
      <c r="A286" s="17" t="str">
        <f>IF(D286="PS","Logan Water",IF(D286="WS","Logan Water",IF(D286="MV","4060000",IF(D286="R","5050000",IF(D286="PK","4090000",IF(D286="CM","Claims Management",IF(D286="E","5060000",VLOOKUP(MID(E286,3,5),'[1]List Data'!$B$1:$D$1134,3,FALSE))))))))</f>
        <v>Logan Water</v>
      </c>
      <c r="B286" s="18" t="s">
        <v>624</v>
      </c>
      <c r="C286" s="19">
        <v>46054</v>
      </c>
      <c r="D286" s="16" t="s">
        <v>147</v>
      </c>
      <c r="E286" s="18" t="s">
        <v>151</v>
      </c>
      <c r="F286" s="16">
        <v>1</v>
      </c>
      <c r="G286" s="26">
        <v>50</v>
      </c>
      <c r="H286" s="18" t="s">
        <v>565</v>
      </c>
      <c r="I286" s="18" t="s">
        <v>469</v>
      </c>
      <c r="J286" s="18" t="s">
        <v>89</v>
      </c>
      <c r="K286" s="18"/>
      <c r="L286" s="21">
        <v>46054</v>
      </c>
    </row>
    <row r="287" spans="1:12" x14ac:dyDescent="0.25">
      <c r="A287" s="17" t="str">
        <f>IF(D287="PS","Logan Water",IF(D287="WS","Logan Water",IF(D287="MV","4060000",IF(D287="R","5050000",IF(D287="PK","4090000",IF(D287="CM","Claims Management",IF(D287="E","5060000",VLOOKUP(MID(E287,3,5),'[1]List Data'!$B$1:$D$1134,3,FALSE))))))))</f>
        <v>Logan Water</v>
      </c>
      <c r="B287" s="18" t="s">
        <v>624</v>
      </c>
      <c r="C287" s="19">
        <v>46054</v>
      </c>
      <c r="D287" s="16" t="s">
        <v>147</v>
      </c>
      <c r="E287" s="18" t="s">
        <v>151</v>
      </c>
      <c r="F287" s="16">
        <v>1</v>
      </c>
      <c r="G287" s="26">
        <v>210</v>
      </c>
      <c r="H287" s="18" t="s">
        <v>566</v>
      </c>
      <c r="I287" s="18" t="s">
        <v>469</v>
      </c>
      <c r="J287" s="18" t="s">
        <v>23</v>
      </c>
      <c r="K287" s="18"/>
      <c r="L287" s="21">
        <v>46054</v>
      </c>
    </row>
    <row r="288" spans="1:12" x14ac:dyDescent="0.25">
      <c r="A288" s="17" t="str">
        <f>IF(D288="PS","Logan Water",IF(D288="WS","Logan Water",IF(D288="MV","4060000",IF(D288="R","5050000",IF(D288="PK","4090000",IF(D288="CM","Claims Management",IF(D288="E","5060000",VLOOKUP(MID(E288,3,5),'[1]List Data'!$B$1:$D$1134,3,FALSE))))))))</f>
        <v>Logan Water</v>
      </c>
      <c r="B288" s="18" t="s">
        <v>624</v>
      </c>
      <c r="C288" s="19">
        <v>46054</v>
      </c>
      <c r="D288" s="16" t="s">
        <v>147</v>
      </c>
      <c r="E288" s="18" t="s">
        <v>151</v>
      </c>
      <c r="F288" s="16">
        <v>1</v>
      </c>
      <c r="G288" s="26">
        <v>1880.8</v>
      </c>
      <c r="H288" s="18" t="s">
        <v>567</v>
      </c>
      <c r="I288" s="18" t="s">
        <v>469</v>
      </c>
      <c r="J288" s="18" t="s">
        <v>162</v>
      </c>
      <c r="K288" s="18"/>
      <c r="L288" s="21">
        <v>46054</v>
      </c>
    </row>
    <row r="289" spans="1:12" x14ac:dyDescent="0.25">
      <c r="A289" s="17" t="str">
        <f>IF(D289="PS","Logan Water",IF(D289="WS","Logan Water",IF(D289="MV","4060000",IF(D289="R","5050000",IF(D289="PK","4090000",IF(D289="CM","Claims Management",IF(D289="E","5060000",VLOOKUP(MID(E289,3,5),'[1]List Data'!$B$1:$D$1134,3,FALSE))))))))</f>
        <v>Logan Water</v>
      </c>
      <c r="B289" s="18" t="s">
        <v>624</v>
      </c>
      <c r="C289" s="19">
        <v>46054</v>
      </c>
      <c r="D289" s="16" t="s">
        <v>147</v>
      </c>
      <c r="E289" s="18" t="s">
        <v>151</v>
      </c>
      <c r="F289" s="16">
        <v>1</v>
      </c>
      <c r="G289" s="26">
        <v>50</v>
      </c>
      <c r="H289" s="18" t="s">
        <v>568</v>
      </c>
      <c r="I289" s="18" t="s">
        <v>462</v>
      </c>
      <c r="J289" s="18" t="s">
        <v>89</v>
      </c>
      <c r="K289" s="18"/>
      <c r="L289" s="21">
        <v>46054</v>
      </c>
    </row>
    <row r="290" spans="1:12" x14ac:dyDescent="0.25">
      <c r="A290" s="17" t="str">
        <f>IF(D290="PS","Logan Water",IF(D290="WS","Logan Water",IF(D290="MV","4060000",IF(D290="R","5050000",IF(D290="PK","4090000",IF(D290="CM","Claims Management",IF(D290="E","5060000",VLOOKUP(MID(E290,3,5),'[1]List Data'!$B$1:$D$1134,3,FALSE))))))))</f>
        <v>Logan Water</v>
      </c>
      <c r="B290" s="18" t="s">
        <v>624</v>
      </c>
      <c r="C290" s="19">
        <v>46054</v>
      </c>
      <c r="D290" s="16" t="s">
        <v>147</v>
      </c>
      <c r="E290" s="18" t="s">
        <v>151</v>
      </c>
      <c r="F290" s="16">
        <v>1</v>
      </c>
      <c r="G290" s="26">
        <v>210</v>
      </c>
      <c r="H290" s="18" t="s">
        <v>569</v>
      </c>
      <c r="I290" s="18" t="s">
        <v>462</v>
      </c>
      <c r="J290" s="18" t="s">
        <v>23</v>
      </c>
      <c r="K290" s="18"/>
      <c r="L290" s="21">
        <v>46054</v>
      </c>
    </row>
    <row r="291" spans="1:12" x14ac:dyDescent="0.25">
      <c r="A291" s="17" t="str">
        <f>IF(D291="PS","Logan Water",IF(D291="WS","Logan Water",IF(D291="MV","4060000",IF(D291="R","5050000",IF(D291="PK","4090000",IF(D291="CM","Claims Management",IF(D291="E","5060000",VLOOKUP(MID(E291,3,5),'[1]List Data'!$B$1:$D$1134,3,FALSE))))))))</f>
        <v>Logan Water</v>
      </c>
      <c r="B291" s="18" t="s">
        <v>624</v>
      </c>
      <c r="C291" s="19">
        <v>46054</v>
      </c>
      <c r="D291" s="16" t="s">
        <v>147</v>
      </c>
      <c r="E291" s="18" t="s">
        <v>151</v>
      </c>
      <c r="F291" s="16">
        <v>1</v>
      </c>
      <c r="G291" s="26">
        <v>59</v>
      </c>
      <c r="H291" s="18" t="s">
        <v>570</v>
      </c>
      <c r="I291" s="18" t="s">
        <v>571</v>
      </c>
      <c r="J291" s="18" t="s">
        <v>66</v>
      </c>
      <c r="K291" s="18"/>
      <c r="L291" s="21">
        <v>46054</v>
      </c>
    </row>
    <row r="292" spans="1:12" x14ac:dyDescent="0.25">
      <c r="A292" s="17" t="str">
        <f>IF(D292="PS","Logan Water",IF(D292="WS","Logan Water",IF(D292="MV","4060000",IF(D292="R","5050000",IF(D292="PK","4090000",IF(D292="CM","Claims Management",IF(D292="E","5060000",VLOOKUP(MID(E292,3,5),'[1]List Data'!$B$1:$D$1134,3,FALSE))))))))</f>
        <v>Logan Water</v>
      </c>
      <c r="B292" s="18" t="s">
        <v>624</v>
      </c>
      <c r="C292" s="19">
        <v>46054</v>
      </c>
      <c r="D292" s="16" t="s">
        <v>147</v>
      </c>
      <c r="E292" s="18" t="s">
        <v>151</v>
      </c>
      <c r="F292" s="16">
        <v>1</v>
      </c>
      <c r="G292" s="26">
        <v>50</v>
      </c>
      <c r="H292" s="18" t="s">
        <v>570</v>
      </c>
      <c r="I292" s="18" t="s">
        <v>571</v>
      </c>
      <c r="J292" s="18" t="s">
        <v>89</v>
      </c>
      <c r="K292" s="18"/>
      <c r="L292" s="21">
        <v>46054</v>
      </c>
    </row>
    <row r="293" spans="1:12" x14ac:dyDescent="0.25">
      <c r="A293" s="17" t="str">
        <f>IF(D293="PS","Logan Water",IF(D293="WS","Logan Water",IF(D293="MV","4060000",IF(D293="R","5050000",IF(D293="PK","4090000",IF(D293="CM","Claims Management",IF(D293="E","5060000",VLOOKUP(MID(E293,3,5),'[1]List Data'!$B$1:$D$1134,3,FALSE))))))))</f>
        <v>Logan Water</v>
      </c>
      <c r="B293" s="18" t="s">
        <v>624</v>
      </c>
      <c r="C293" s="19">
        <v>46054</v>
      </c>
      <c r="D293" s="16" t="s">
        <v>147</v>
      </c>
      <c r="E293" s="18" t="s">
        <v>151</v>
      </c>
      <c r="F293" s="16">
        <v>1</v>
      </c>
      <c r="G293" s="26">
        <v>195</v>
      </c>
      <c r="H293" s="18" t="s">
        <v>572</v>
      </c>
      <c r="I293" s="18" t="s">
        <v>573</v>
      </c>
      <c r="J293" s="18" t="s">
        <v>9</v>
      </c>
      <c r="K293" s="18"/>
      <c r="L293" s="21">
        <v>46054</v>
      </c>
    </row>
    <row r="294" spans="1:12" x14ac:dyDescent="0.25">
      <c r="A294" s="17" t="str">
        <f>IF(D294="PS","Logan Water",IF(D294="WS","Logan Water",IF(D294="MV","4060000",IF(D294="R","5050000",IF(D294="PK","4090000",IF(D294="CM","Claims Management",IF(D294="E","5060000",VLOOKUP(MID(E294,3,5),'[1]List Data'!$B$1:$D$1134,3,FALSE))))))))</f>
        <v>Logan Water</v>
      </c>
      <c r="B294" s="18" t="s">
        <v>624</v>
      </c>
      <c r="C294" s="19">
        <v>46054</v>
      </c>
      <c r="D294" s="16" t="s">
        <v>147</v>
      </c>
      <c r="E294" s="18" t="s">
        <v>151</v>
      </c>
      <c r="F294" s="16">
        <v>3</v>
      </c>
      <c r="G294" s="26">
        <v>180</v>
      </c>
      <c r="H294" s="18" t="s">
        <v>574</v>
      </c>
      <c r="I294" s="18" t="s">
        <v>575</v>
      </c>
      <c r="J294" s="18" t="s">
        <v>61</v>
      </c>
      <c r="K294" s="18"/>
      <c r="L294" s="21">
        <v>46054</v>
      </c>
    </row>
    <row r="295" spans="1:12" x14ac:dyDescent="0.25">
      <c r="A295" s="17" t="str">
        <f>IF(D295="PS","Logan Water",IF(D295="WS","Logan Water",IF(D295="MV","4060000",IF(D295="R","5050000",IF(D295="PK","4090000",IF(D295="CM","Claims Management",IF(D295="E","5060000",VLOOKUP(MID(E295,3,5),'[1]List Data'!$B$1:$D$1134,3,FALSE))))))))</f>
        <v>Logan Water</v>
      </c>
      <c r="B295" s="18" t="s">
        <v>624</v>
      </c>
      <c r="C295" s="19">
        <v>46054</v>
      </c>
      <c r="D295" s="16" t="s">
        <v>147</v>
      </c>
      <c r="E295" s="18" t="s">
        <v>151</v>
      </c>
      <c r="F295" s="16">
        <v>1</v>
      </c>
      <c r="G295" s="26">
        <v>50</v>
      </c>
      <c r="H295" s="18" t="s">
        <v>576</v>
      </c>
      <c r="I295" s="18" t="s">
        <v>471</v>
      </c>
      <c r="J295" s="18" t="s">
        <v>89</v>
      </c>
      <c r="K295" s="18"/>
      <c r="L295" s="21">
        <v>46054</v>
      </c>
    </row>
    <row r="296" spans="1:12" x14ac:dyDescent="0.25">
      <c r="A296" s="17" t="str">
        <f>IF(D296="PS","Logan Water",IF(D296="WS","Logan Water",IF(D296="MV","4060000",IF(D296="R","5050000",IF(D296="PK","4090000",IF(D296="CM","Claims Management",IF(D296="E","5060000",VLOOKUP(MID(E296,3,5),'[1]List Data'!$B$1:$D$1134,3,FALSE))))))))</f>
        <v>Logan Water</v>
      </c>
      <c r="B296" s="18" t="s">
        <v>624</v>
      </c>
      <c r="C296" s="19">
        <v>46054</v>
      </c>
      <c r="D296" s="16" t="s">
        <v>147</v>
      </c>
      <c r="E296" s="18" t="s">
        <v>151</v>
      </c>
      <c r="F296" s="16">
        <v>1</v>
      </c>
      <c r="G296" s="26">
        <v>195</v>
      </c>
      <c r="H296" s="18" t="s">
        <v>577</v>
      </c>
      <c r="I296" s="18" t="s">
        <v>471</v>
      </c>
      <c r="J296" s="18" t="s">
        <v>9</v>
      </c>
      <c r="K296" s="18"/>
      <c r="L296" s="21">
        <v>46054</v>
      </c>
    </row>
    <row r="297" spans="1:12" x14ac:dyDescent="0.25">
      <c r="A297" s="17" t="str">
        <f>IF(D297="PS","Logan Water",IF(D297="WS","Logan Water",IF(D297="MV","4060000",IF(D297="R","5050000",IF(D297="PK","4090000",IF(D297="CM","Claims Management",IF(D297="E","5060000",VLOOKUP(MID(E297,3,5),'[1]List Data'!$B$1:$D$1134,3,FALSE))))))))</f>
        <v>Logan Water</v>
      </c>
      <c r="B297" s="18" t="s">
        <v>624</v>
      </c>
      <c r="C297" s="19">
        <v>46054</v>
      </c>
      <c r="D297" s="16" t="s">
        <v>147</v>
      </c>
      <c r="E297" s="18" t="s">
        <v>151</v>
      </c>
      <c r="F297" s="16">
        <v>1</v>
      </c>
      <c r="G297" s="26">
        <v>50</v>
      </c>
      <c r="H297" s="18" t="s">
        <v>578</v>
      </c>
      <c r="I297" s="18" t="s">
        <v>464</v>
      </c>
      <c r="J297" s="18" t="s">
        <v>89</v>
      </c>
      <c r="K297" s="18"/>
      <c r="L297" s="21">
        <v>46054</v>
      </c>
    </row>
    <row r="298" spans="1:12" x14ac:dyDescent="0.25">
      <c r="A298" s="17" t="str">
        <f>IF(D298="PS","Logan Water",IF(D298="WS","Logan Water",IF(D298="MV","4060000",IF(D298="R","5050000",IF(D298="PK","4090000",IF(D298="CM","Claims Management",IF(D298="E","5060000",VLOOKUP(MID(E298,3,5),'[1]List Data'!$B$1:$D$1134,3,FALSE))))))))</f>
        <v>Logan Water</v>
      </c>
      <c r="B298" s="18" t="s">
        <v>624</v>
      </c>
      <c r="C298" s="19">
        <v>46054</v>
      </c>
      <c r="D298" s="16" t="s">
        <v>147</v>
      </c>
      <c r="E298" s="18" t="s">
        <v>151</v>
      </c>
      <c r="F298" s="16">
        <v>1</v>
      </c>
      <c r="G298" s="26">
        <v>195</v>
      </c>
      <c r="H298" s="18" t="s">
        <v>579</v>
      </c>
      <c r="I298" s="18" t="s">
        <v>507</v>
      </c>
      <c r="J298" s="18" t="s">
        <v>9</v>
      </c>
      <c r="K298" s="18"/>
      <c r="L298" s="21">
        <v>46054</v>
      </c>
    </row>
    <row r="299" spans="1:12" x14ac:dyDescent="0.25">
      <c r="A299" s="17" t="str">
        <f>IF(D299="PS","Logan Water",IF(D299="WS","Logan Water",IF(D299="MV","4060000",IF(D299="R","5050000",IF(D299="PK","4090000",IF(D299="CM","Claims Management",IF(D299="E","5060000",VLOOKUP(MID(E299,3,5),'[1]List Data'!$B$1:$D$1134,3,FALSE))))))))</f>
        <v>Logan Water</v>
      </c>
      <c r="B299" s="18" t="s">
        <v>622</v>
      </c>
      <c r="C299" s="19">
        <v>46054</v>
      </c>
      <c r="D299" s="16" t="s">
        <v>147</v>
      </c>
      <c r="E299" s="18" t="s">
        <v>148</v>
      </c>
      <c r="F299" s="16">
        <v>1</v>
      </c>
      <c r="G299" s="26">
        <v>2300</v>
      </c>
      <c r="H299" s="28" t="s">
        <v>580</v>
      </c>
      <c r="I299" s="18" t="s">
        <v>469</v>
      </c>
      <c r="J299" s="18" t="s">
        <v>163</v>
      </c>
      <c r="K299" s="18"/>
      <c r="L299" s="21">
        <v>46054</v>
      </c>
    </row>
    <row r="300" spans="1:12" x14ac:dyDescent="0.25">
      <c r="A300" s="17" t="str">
        <f>IF(D300="PS","Logan Water",IF(D300="WS","Logan Water",IF(D300="MV","4060000",IF(D300="R","5050000",IF(D300="PK","4090000",IF(D300="CM","Claims Management",IF(D300="E","5060000",VLOOKUP(MID(E300,3,5),'[1]List Data'!$B$1:$D$1134,3,FALSE))))))))</f>
        <v>Logan Water</v>
      </c>
      <c r="B300" s="18" t="s">
        <v>622</v>
      </c>
      <c r="C300" s="19">
        <v>46054</v>
      </c>
      <c r="D300" s="16" t="s">
        <v>147</v>
      </c>
      <c r="E300" s="18" t="s">
        <v>148</v>
      </c>
      <c r="F300" s="16">
        <v>1</v>
      </c>
      <c r="G300" s="26">
        <v>674.3</v>
      </c>
      <c r="H300" s="18" t="s">
        <v>581</v>
      </c>
      <c r="I300" s="18" t="s">
        <v>582</v>
      </c>
      <c r="J300" s="18" t="s">
        <v>164</v>
      </c>
      <c r="K300" s="18"/>
      <c r="L300" s="21">
        <v>46054</v>
      </c>
    </row>
    <row r="301" spans="1:12" x14ac:dyDescent="0.25">
      <c r="A301" s="17" t="str">
        <f>IF(D301="PS","Logan Water",IF(D301="WS","Logan Water",IF(D301="MV","4060000",IF(D301="R","5050000",IF(D301="PK","4090000",IF(D301="CM","Claims Management",IF(D301="E","5060000",VLOOKUP(MID(E301,3,5),'[1]List Data'!$B$1:$D$1134,3,FALSE))))))))</f>
        <v>Logan Water</v>
      </c>
      <c r="B301" s="18" t="s">
        <v>622</v>
      </c>
      <c r="C301" s="19">
        <v>46023</v>
      </c>
      <c r="D301" s="16" t="s">
        <v>147</v>
      </c>
      <c r="E301" s="18" t="s">
        <v>148</v>
      </c>
      <c r="F301" s="16">
        <v>1</v>
      </c>
      <c r="G301" s="20">
        <v>205</v>
      </c>
      <c r="H301" s="18" t="s">
        <v>583</v>
      </c>
      <c r="I301" s="18" t="s">
        <v>584</v>
      </c>
      <c r="J301" s="18" t="s">
        <v>32</v>
      </c>
      <c r="K301" s="18"/>
      <c r="L301" s="21">
        <v>46054</v>
      </c>
    </row>
    <row r="302" spans="1:12" x14ac:dyDescent="0.25">
      <c r="A302" s="17" t="str">
        <f>IF(D302="PS","Logan Water",IF(D302="WS","Logan Water",IF(D302="MV","4060000",IF(D302="R","5050000",IF(D302="PK","4090000",IF(D302="CM","Claims Management",IF(D302="E","5060000",VLOOKUP(MID(E302,3,5),'[1]List Data'!$B$1:$D$1134,3,FALSE))))))))</f>
        <v>Logan Water</v>
      </c>
      <c r="B302" s="18" t="s">
        <v>622</v>
      </c>
      <c r="C302" s="19">
        <v>46023</v>
      </c>
      <c r="D302" s="16" t="s">
        <v>147</v>
      </c>
      <c r="E302" s="18" t="s">
        <v>148</v>
      </c>
      <c r="F302" s="16">
        <v>1</v>
      </c>
      <c r="G302" s="20">
        <v>362</v>
      </c>
      <c r="H302" s="18" t="s">
        <v>585</v>
      </c>
      <c r="I302" s="18" t="s">
        <v>464</v>
      </c>
      <c r="J302" s="18" t="s">
        <v>13</v>
      </c>
      <c r="K302" s="18"/>
      <c r="L302" s="21">
        <v>46054</v>
      </c>
    </row>
    <row r="303" spans="1:12" x14ac:dyDescent="0.25">
      <c r="A303" s="17" t="str">
        <f>IF(D303="PS","Logan Water",IF(D303="WS","Logan Water",IF(D303="MV","4060000",IF(D303="R","5050000",IF(D303="PK","4090000",IF(D303="CM","Claims Management",IF(D303="E","5060000",VLOOKUP(MID(E303,3,5),'[1]List Data'!$B$1:$D$1134,3,FALSE))))))))</f>
        <v>Logan Water</v>
      </c>
      <c r="B303" s="18" t="s">
        <v>622</v>
      </c>
      <c r="C303" s="19">
        <v>46054</v>
      </c>
      <c r="D303" s="23" t="s">
        <v>147</v>
      </c>
      <c r="E303" s="24" t="s">
        <v>148</v>
      </c>
      <c r="F303" s="23">
        <v>1</v>
      </c>
      <c r="G303" s="25">
        <v>97</v>
      </c>
      <c r="H303" s="24" t="s">
        <v>586</v>
      </c>
      <c r="I303" s="24" t="s">
        <v>587</v>
      </c>
      <c r="J303" s="18" t="s">
        <v>31</v>
      </c>
      <c r="K303" s="18"/>
      <c r="L303" s="21">
        <v>46054</v>
      </c>
    </row>
    <row r="304" spans="1:12" x14ac:dyDescent="0.25">
      <c r="A304" s="17" t="str">
        <f>IF(D304="PS","Logan Water",IF(D304="WS","Logan Water",IF(D304="MV","4060000",IF(D304="R","5050000",IF(D304="PK","4090000",IF(D304="CM","Claims Management",IF(D304="E","5060000",VLOOKUP(MID(E304,3,5),'[1]List Data'!$B$1:$D$1134,3,FALSE))))))))</f>
        <v>Logan Water</v>
      </c>
      <c r="B304" s="18" t="s">
        <v>622</v>
      </c>
      <c r="C304" s="19">
        <v>46023</v>
      </c>
      <c r="D304" s="16" t="s">
        <v>147</v>
      </c>
      <c r="E304" s="18" t="s">
        <v>148</v>
      </c>
      <c r="F304" s="16">
        <v>4</v>
      </c>
      <c r="G304" s="20">
        <v>2440</v>
      </c>
      <c r="H304" s="18" t="s">
        <v>588</v>
      </c>
      <c r="I304" s="18" t="s">
        <v>476</v>
      </c>
      <c r="J304" s="18" t="s">
        <v>125</v>
      </c>
      <c r="K304" s="18"/>
      <c r="L304" s="21">
        <v>46054</v>
      </c>
    </row>
    <row r="305" spans="1:12" x14ac:dyDescent="0.25">
      <c r="A305" s="17" t="str">
        <f>IF(D305="PS","Logan Water",IF(D305="WS","Logan Water",IF(D305="MV","4060000",IF(D305="R","5050000",IF(D305="PK","4090000",IF(D305="CM","Claims Management",IF(D305="E","5060000",VLOOKUP(MID(E305,3,5),'[1]List Data'!$B$1:$D$1134,3,FALSE))))))))</f>
        <v>Logan Water</v>
      </c>
      <c r="B305" s="18" t="s">
        <v>622</v>
      </c>
      <c r="C305" s="19">
        <v>46023</v>
      </c>
      <c r="D305" s="16" t="s">
        <v>147</v>
      </c>
      <c r="E305" s="18" t="s">
        <v>148</v>
      </c>
      <c r="F305" s="16">
        <v>1</v>
      </c>
      <c r="G305" s="20">
        <v>1165</v>
      </c>
      <c r="H305" s="18" t="s">
        <v>589</v>
      </c>
      <c r="I305" s="18" t="s">
        <v>590</v>
      </c>
      <c r="J305" s="18" t="s">
        <v>165</v>
      </c>
      <c r="K305" s="18"/>
      <c r="L305" s="21">
        <v>46054</v>
      </c>
    </row>
    <row r="306" spans="1:12" x14ac:dyDescent="0.25">
      <c r="A306" s="17" t="str">
        <f>IF(D306="PS","Logan Water",IF(D306="WS","Logan Water",IF(D306="MV","4060000",IF(D306="R","5050000",IF(D306="PK","4090000",IF(D306="CM","Claims Management",IF(D306="E","5060000",VLOOKUP(MID(E306,3,5),'[1]List Data'!$B$1:$D$1134,3,FALSE))))))))</f>
        <v>Logan Water</v>
      </c>
      <c r="B306" s="18" t="s">
        <v>622</v>
      </c>
      <c r="C306" s="19">
        <v>46023</v>
      </c>
      <c r="D306" s="16" t="s">
        <v>147</v>
      </c>
      <c r="E306" s="18" t="s">
        <v>148</v>
      </c>
      <c r="F306" s="16">
        <v>1</v>
      </c>
      <c r="G306" s="20">
        <v>523</v>
      </c>
      <c r="H306" s="18" t="s">
        <v>591</v>
      </c>
      <c r="I306" s="18" t="s">
        <v>592</v>
      </c>
      <c r="J306" s="18" t="s">
        <v>74</v>
      </c>
      <c r="K306" s="18" t="s">
        <v>300</v>
      </c>
      <c r="L306" s="21">
        <v>46054</v>
      </c>
    </row>
    <row r="307" spans="1:12" x14ac:dyDescent="0.25">
      <c r="A307" s="17" t="str">
        <f>IF(D307="PS","Logan Water",IF(D307="WS","Logan Water",IF(D307="MV","4060000",IF(D307="R","5050000",IF(D307="PK","4090000",IF(D307="CM","Claims Management",IF(D307="E","5060000",VLOOKUP(MID(E307,3,5),'[1]List Data'!$B$1:$D$1134,3,FALSE))))))))</f>
        <v>Logan Water</v>
      </c>
      <c r="B307" s="18" t="s">
        <v>622</v>
      </c>
      <c r="C307" s="19">
        <v>46023</v>
      </c>
      <c r="D307" s="16" t="s">
        <v>147</v>
      </c>
      <c r="E307" s="18" t="s">
        <v>148</v>
      </c>
      <c r="F307" s="16">
        <v>1</v>
      </c>
      <c r="G307" s="20">
        <v>460</v>
      </c>
      <c r="H307" s="18" t="s">
        <v>593</v>
      </c>
      <c r="I307" s="18" t="s">
        <v>464</v>
      </c>
      <c r="J307" s="18" t="s">
        <v>54</v>
      </c>
      <c r="K307" s="18"/>
      <c r="L307" s="21">
        <v>46054</v>
      </c>
    </row>
    <row r="308" spans="1:12" x14ac:dyDescent="0.25">
      <c r="A308" s="17" t="str">
        <f>IF(D308="PS","Logan Water",IF(D308="WS","Logan Water",IF(D308="MV","4060000",IF(D308="R","5050000",IF(D308="PK","4090000",IF(D308="CM","Claims Management",IF(D308="E","5060000",VLOOKUP(MID(E308,3,5),'[1]List Data'!$B$1:$D$1134,3,FALSE))))))))</f>
        <v>Logan Water</v>
      </c>
      <c r="B308" s="18" t="s">
        <v>622</v>
      </c>
      <c r="C308" s="19">
        <v>46023</v>
      </c>
      <c r="D308" s="16" t="s">
        <v>147</v>
      </c>
      <c r="E308" s="18" t="s">
        <v>148</v>
      </c>
      <c r="F308" s="16">
        <v>1</v>
      </c>
      <c r="G308" s="20">
        <v>1165</v>
      </c>
      <c r="H308" s="18" t="s">
        <v>594</v>
      </c>
      <c r="I308" s="18" t="s">
        <v>595</v>
      </c>
      <c r="J308" s="18" t="s">
        <v>165</v>
      </c>
      <c r="K308" s="18"/>
      <c r="L308" s="21">
        <v>46054</v>
      </c>
    </row>
    <row r="309" spans="1:12" x14ac:dyDescent="0.25">
      <c r="A309" s="17" t="str">
        <f>IF(D309="PS","Logan Water",IF(D309="WS","Logan Water",IF(D309="MV","4060000",IF(D309="R","5050000",IF(D309="PK","4090000",IF(D309="CM","Claims Management",IF(D309="E","5060000",VLOOKUP(MID(E309,3,5),'[1]List Data'!$B$1:$D$1134,3,FALSE))))))))</f>
        <v>Logan Water</v>
      </c>
      <c r="B309" s="18" t="s">
        <v>622</v>
      </c>
      <c r="C309" s="19">
        <v>46023</v>
      </c>
      <c r="D309" s="16" t="s">
        <v>147</v>
      </c>
      <c r="E309" s="18" t="s">
        <v>148</v>
      </c>
      <c r="F309" s="16">
        <v>1</v>
      </c>
      <c r="G309" s="20">
        <v>362</v>
      </c>
      <c r="H309" s="18" t="s">
        <v>596</v>
      </c>
      <c r="I309" s="18" t="s">
        <v>464</v>
      </c>
      <c r="J309" s="18" t="s">
        <v>13</v>
      </c>
      <c r="K309" s="18"/>
      <c r="L309" s="21">
        <v>46054</v>
      </c>
    </row>
    <row r="310" spans="1:12" x14ac:dyDescent="0.25">
      <c r="A310" s="17" t="str">
        <f>IF(D310="PS","Logan Water",IF(D310="WS","Logan Water",IF(D310="MV","4060000",IF(D310="R","5050000",IF(D310="PK","4090000",IF(D310="CM","Claims Management",IF(D310="E","5060000",VLOOKUP(MID(E310,3,5),'[1]List Data'!$B$1:$D$1134,3,FALSE))))))))</f>
        <v>Logan Water</v>
      </c>
      <c r="B310" s="18" t="s">
        <v>622</v>
      </c>
      <c r="C310" s="19">
        <v>46054</v>
      </c>
      <c r="D310" s="16" t="s">
        <v>147</v>
      </c>
      <c r="E310" s="18" t="s">
        <v>148</v>
      </c>
      <c r="F310" s="16">
        <v>1</v>
      </c>
      <c r="G310" s="26">
        <v>410</v>
      </c>
      <c r="H310" s="18" t="s">
        <v>597</v>
      </c>
      <c r="I310" s="18" t="s">
        <v>598</v>
      </c>
      <c r="J310" s="18" t="s">
        <v>11</v>
      </c>
      <c r="K310" s="18"/>
      <c r="L310" s="21">
        <v>46054</v>
      </c>
    </row>
    <row r="311" spans="1:12" x14ac:dyDescent="0.25">
      <c r="A311" s="17" t="str">
        <f>IF(D311="PS","Logan Water",IF(D311="WS","Logan Water",IF(D311="MV","4060000",IF(D311="R","5050000",IF(D311="PK","4090000",IF(D311="CM","Claims Management",IF(D311="E","5060000",VLOOKUP(MID(E311,3,5),'[1]List Data'!$B$1:$D$1134,3,FALSE))))))))</f>
        <v>Logan Water</v>
      </c>
      <c r="B311" s="18" t="s">
        <v>622</v>
      </c>
      <c r="C311" s="19">
        <v>46054</v>
      </c>
      <c r="D311" s="16" t="s">
        <v>147</v>
      </c>
      <c r="E311" s="18" t="s">
        <v>148</v>
      </c>
      <c r="F311" s="16">
        <v>1</v>
      </c>
      <c r="G311" s="26">
        <v>410</v>
      </c>
      <c r="H311" s="18" t="s">
        <v>409</v>
      </c>
      <c r="I311" s="18" t="s">
        <v>410</v>
      </c>
      <c r="J311" s="18" t="s">
        <v>11</v>
      </c>
      <c r="K311" s="18"/>
      <c r="L311" s="21">
        <v>46054</v>
      </c>
    </row>
    <row r="312" spans="1:12" x14ac:dyDescent="0.25">
      <c r="A312" s="17" t="str">
        <f>IF(D312="PS","Logan Water",IF(D312="WS","Logan Water",IF(D312="MV","4060000",IF(D312="R","5050000",IF(D312="PK","4090000",IF(D312="CM","Claims Management",IF(D312="E","5060000",VLOOKUP(MID(E312,3,5),'[1]List Data'!$B$1:$D$1134,3,FALSE))))))))</f>
        <v>Logan Water</v>
      </c>
      <c r="B312" s="18" t="s">
        <v>622</v>
      </c>
      <c r="C312" s="19">
        <v>46023</v>
      </c>
      <c r="D312" s="16" t="s">
        <v>147</v>
      </c>
      <c r="E312" s="18" t="s">
        <v>148</v>
      </c>
      <c r="F312" s="16">
        <v>1</v>
      </c>
      <c r="G312" s="20">
        <v>205</v>
      </c>
      <c r="H312" s="18" t="s">
        <v>599</v>
      </c>
      <c r="I312" s="18" t="s">
        <v>479</v>
      </c>
      <c r="J312" s="18" t="s">
        <v>32</v>
      </c>
      <c r="K312" s="18"/>
      <c r="L312" s="21">
        <v>46054</v>
      </c>
    </row>
    <row r="313" spans="1:12" x14ac:dyDescent="0.25">
      <c r="A313" s="17" t="str">
        <f>IF(D313="PS","Logan Water",IF(D313="WS","Logan Water",IF(D313="MV","4060000",IF(D313="R","5050000",IF(D313="PK","4090000",IF(D313="CM","Claims Management",IF(D313="E","5060000",VLOOKUP(MID(E313,3,5),'[1]List Data'!$B$1:$D$1134,3,FALSE))))))))</f>
        <v>Logan Water</v>
      </c>
      <c r="B313" s="18" t="s">
        <v>622</v>
      </c>
      <c r="C313" s="19">
        <v>46054</v>
      </c>
      <c r="D313" s="16" t="s">
        <v>147</v>
      </c>
      <c r="E313" s="18" t="s">
        <v>148</v>
      </c>
      <c r="F313" s="16">
        <v>1</v>
      </c>
      <c r="G313" s="26">
        <v>500</v>
      </c>
      <c r="H313" s="18" t="s">
        <v>600</v>
      </c>
      <c r="I313" s="18" t="s">
        <v>601</v>
      </c>
      <c r="J313" s="18" t="s">
        <v>54</v>
      </c>
      <c r="K313" s="18"/>
      <c r="L313" s="21">
        <v>46054</v>
      </c>
    </row>
    <row r="314" spans="1:12" x14ac:dyDescent="0.25">
      <c r="A314" s="17" t="str">
        <f>IF(D314="PS","Logan Water",IF(D314="WS","Logan Water",IF(D314="MV","4060000",IF(D314="R","5050000",IF(D314="PK","4090000",IF(D314="CM","Claims Management",IF(D314="E","5060000",VLOOKUP(MID(E314,3,5),'[1]List Data'!$B$1:$D$1134,3,FALSE))))))))</f>
        <v>Logan Water</v>
      </c>
      <c r="B314" s="18" t="s">
        <v>622</v>
      </c>
      <c r="C314" s="19">
        <v>46054</v>
      </c>
      <c r="D314" s="16" t="s">
        <v>147</v>
      </c>
      <c r="E314" s="18" t="s">
        <v>148</v>
      </c>
      <c r="F314" s="16">
        <v>17</v>
      </c>
      <c r="G314" s="26">
        <v>8500</v>
      </c>
      <c r="H314" s="18" t="s">
        <v>602</v>
      </c>
      <c r="I314" s="18" t="s">
        <v>603</v>
      </c>
      <c r="J314" s="18" t="s">
        <v>54</v>
      </c>
      <c r="K314" s="18"/>
      <c r="L314" s="21">
        <v>46054</v>
      </c>
    </row>
    <row r="315" spans="1:12" x14ac:dyDescent="0.25">
      <c r="A315" s="17" t="str">
        <f>IF(D315="PS","Logan Water",IF(D315="WS","Logan Water",IF(D315="MV","4060000",IF(D315="R","5050000",IF(D315="PK","4090000",IF(D315="CM","Claims Management",IF(D315="E","5060000",VLOOKUP(MID(E315,3,5),'[1]List Data'!$B$1:$D$1134,3,FALSE))))))))</f>
        <v>Logan Water</v>
      </c>
      <c r="B315" s="22" t="s">
        <v>625</v>
      </c>
      <c r="C315" s="19">
        <v>46054</v>
      </c>
      <c r="D315" s="23" t="s">
        <v>147</v>
      </c>
      <c r="E315" s="24" t="s">
        <v>166</v>
      </c>
      <c r="F315" s="23">
        <v>1</v>
      </c>
      <c r="G315" s="25">
        <v>420</v>
      </c>
      <c r="H315" s="24" t="s">
        <v>564</v>
      </c>
      <c r="I315" s="24" t="s">
        <v>464</v>
      </c>
      <c r="J315" s="18" t="s">
        <v>103</v>
      </c>
      <c r="K315" s="18"/>
      <c r="L315" s="21">
        <v>46054</v>
      </c>
    </row>
    <row r="316" spans="1:12" x14ac:dyDescent="0.25">
      <c r="A316" s="17" t="str">
        <f>IF(D316="PS","Logan Water",IF(D316="WS","Logan Water",IF(D316="MV","4060000",IF(D316="R","5050000",IF(D316="PK","4090000",IF(D316="CM","Claims Management",IF(D316="E","5060000",VLOOKUP(MID(E316,3,5),'[1]List Data'!$B$1:$D$1134,3,FALSE))))))))</f>
        <v>Logan Water</v>
      </c>
      <c r="B316" s="18" t="s">
        <v>622</v>
      </c>
      <c r="C316" s="19">
        <v>46054</v>
      </c>
      <c r="D316" s="16" t="s">
        <v>147</v>
      </c>
      <c r="E316" s="18" t="s">
        <v>148</v>
      </c>
      <c r="F316" s="16">
        <v>1</v>
      </c>
      <c r="G316" s="26">
        <v>410</v>
      </c>
      <c r="H316" s="18" t="s">
        <v>604</v>
      </c>
      <c r="I316" s="18" t="s">
        <v>469</v>
      </c>
      <c r="J316" s="18" t="s">
        <v>11</v>
      </c>
      <c r="K316" s="18"/>
      <c r="L316" s="21">
        <v>46054</v>
      </c>
    </row>
    <row r="317" spans="1:12" x14ac:dyDescent="0.25">
      <c r="A317" s="17" t="str">
        <f>IF(D317="PS","Logan Water",IF(D317="WS","Logan Water",IF(D317="MV","4060000",IF(D317="R","5050000",IF(D317="PK","4090000",IF(D317="CM","Claims Management",IF(D317="E","5060000",VLOOKUP(MID(E317,3,5),'[1]List Data'!$B$1:$D$1134,3,FALSE))))))))</f>
        <v>Logan Water</v>
      </c>
      <c r="B317" s="18" t="s">
        <v>622</v>
      </c>
      <c r="C317" s="19">
        <v>46054</v>
      </c>
      <c r="D317" s="16" t="s">
        <v>147</v>
      </c>
      <c r="E317" s="18" t="s">
        <v>148</v>
      </c>
      <c r="F317" s="16">
        <v>1</v>
      </c>
      <c r="G317" s="26">
        <v>320</v>
      </c>
      <c r="H317" s="18" t="s">
        <v>604</v>
      </c>
      <c r="I317" s="18" t="s">
        <v>469</v>
      </c>
      <c r="J317" s="18" t="s">
        <v>13</v>
      </c>
      <c r="K317" s="18"/>
      <c r="L317" s="21">
        <v>46054</v>
      </c>
    </row>
    <row r="318" spans="1:12" x14ac:dyDescent="0.25">
      <c r="A318" s="17" t="str">
        <f>IF(D318="PS","Logan Water",IF(D318="WS","Logan Water",IF(D318="MV","4060000",IF(D318="R","5050000",IF(D318="PK","4090000",IF(D318="CM","Claims Management",IF(D318="E","5060000",VLOOKUP(MID(E318,3,5),'[1]List Data'!$B$1:$D$1134,3,FALSE))))))))</f>
        <v>Logan Water</v>
      </c>
      <c r="B318" s="18" t="s">
        <v>622</v>
      </c>
      <c r="C318" s="19">
        <v>46054</v>
      </c>
      <c r="D318" s="16" t="s">
        <v>147</v>
      </c>
      <c r="E318" s="18" t="s">
        <v>148</v>
      </c>
      <c r="F318" s="16">
        <v>1</v>
      </c>
      <c r="G318" s="26">
        <v>410</v>
      </c>
      <c r="H318" s="18" t="s">
        <v>605</v>
      </c>
      <c r="I318" s="28" t="s">
        <v>606</v>
      </c>
      <c r="J318" s="18" t="s">
        <v>11</v>
      </c>
      <c r="K318" s="18"/>
      <c r="L318" s="21">
        <v>46054</v>
      </c>
    </row>
    <row r="319" spans="1:12" x14ac:dyDescent="0.25">
      <c r="A319" s="17" t="str">
        <f>IF(D319="PS","Logan Water",IF(D319="WS","Logan Water",IF(D319="MV","4060000",IF(D319="R","5050000",IF(D319="PK","4090000",IF(D319="CM","Claims Management",IF(D319="E","5060000",VLOOKUP(MID(E319,3,5),'[1]List Data'!$B$1:$D$1134,3,FALSE))))))))</f>
        <v>Logan Water</v>
      </c>
      <c r="B319" s="18" t="s">
        <v>622</v>
      </c>
      <c r="C319" s="19">
        <v>46054</v>
      </c>
      <c r="D319" s="16" t="s">
        <v>147</v>
      </c>
      <c r="E319" s="18" t="s">
        <v>148</v>
      </c>
      <c r="F319" s="16">
        <v>1</v>
      </c>
      <c r="G319" s="26">
        <v>362</v>
      </c>
      <c r="H319" s="18" t="s">
        <v>607</v>
      </c>
      <c r="I319" s="18" t="s">
        <v>608</v>
      </c>
      <c r="J319" s="18" t="s">
        <v>13</v>
      </c>
      <c r="K319" s="18"/>
      <c r="L319" s="21">
        <v>46054</v>
      </c>
    </row>
    <row r="320" spans="1:12" x14ac:dyDescent="0.25">
      <c r="A320" s="17" t="str">
        <f>IF(D320="PS","Logan Water",IF(D320="WS","Logan Water",IF(D320="MV","4060000",IF(D320="R","5050000",IF(D320="PK","4090000",IF(D320="CM","Claims Management",IF(D320="E","5060000",VLOOKUP(MID(E320,3,5),'[1]List Data'!$B$1:$D$1134,3,FALSE))))))))</f>
        <v>Logan Water</v>
      </c>
      <c r="B320" s="27" t="s">
        <v>622</v>
      </c>
      <c r="C320" s="19">
        <v>46054</v>
      </c>
      <c r="D320" s="23" t="s">
        <v>147</v>
      </c>
      <c r="E320" s="24" t="s">
        <v>167</v>
      </c>
      <c r="F320" s="23">
        <v>1</v>
      </c>
      <c r="G320" s="25">
        <v>97</v>
      </c>
      <c r="H320" s="24" t="s">
        <v>609</v>
      </c>
      <c r="I320" s="24" t="s">
        <v>610</v>
      </c>
      <c r="J320" s="18" t="s">
        <v>168</v>
      </c>
      <c r="K320" s="18" t="s">
        <v>31</v>
      </c>
      <c r="L320" s="21">
        <v>46054</v>
      </c>
    </row>
    <row r="321" spans="1:12" x14ac:dyDescent="0.25">
      <c r="A321" s="17" t="str">
        <f>IF(D321="PS","Logan Water",IF(D321="WS","Logan Water",IF(D321="MV","4060000",IF(D321="R","5050000",IF(D321="PK","4090000",IF(D321="CM","Claims Management",IF(D321="E","5060000",VLOOKUP(MID(E321,3,5),'[1]List Data'!$B$1:$D$1134,3,FALSE))))))))</f>
        <v>Logan Water</v>
      </c>
      <c r="B321" s="18" t="s">
        <v>625</v>
      </c>
      <c r="C321" s="19">
        <v>46023</v>
      </c>
      <c r="D321" s="16" t="s">
        <v>147</v>
      </c>
      <c r="E321" s="18" t="s">
        <v>166</v>
      </c>
      <c r="F321" s="16">
        <v>1</v>
      </c>
      <c r="G321" s="20">
        <v>420</v>
      </c>
      <c r="H321" s="18" t="s">
        <v>516</v>
      </c>
      <c r="I321" s="18" t="s">
        <v>476</v>
      </c>
      <c r="J321" s="18" t="s">
        <v>103</v>
      </c>
      <c r="K321" s="18"/>
      <c r="L321" s="21">
        <v>46054</v>
      </c>
    </row>
    <row r="322" spans="1:12" x14ac:dyDescent="0.25">
      <c r="A322" s="17" t="str">
        <f>IF(D322="PS","Logan Water",IF(D322="WS","Logan Water",IF(D322="MV","4060000",IF(D322="R","5050000",IF(D322="PK","4090000",IF(D322="CM","Claims Management",IF(D322="E","5060000",VLOOKUP(MID(E322,3,5),'[1]List Data'!$B$1:$D$1134,3,FALSE))))))))</f>
        <v>Logan Water</v>
      </c>
      <c r="B322" s="18" t="s">
        <v>625</v>
      </c>
      <c r="C322" s="19">
        <v>46023</v>
      </c>
      <c r="D322" s="16" t="s">
        <v>157</v>
      </c>
      <c r="E322" s="18" t="s">
        <v>611</v>
      </c>
      <c r="F322" s="16">
        <v>1</v>
      </c>
      <c r="G322" s="20">
        <v>420</v>
      </c>
      <c r="H322" s="18" t="s">
        <v>532</v>
      </c>
      <c r="I322" s="18" t="s">
        <v>533</v>
      </c>
      <c r="J322" s="18" t="s">
        <v>103</v>
      </c>
      <c r="K322" s="18"/>
      <c r="L322" s="21">
        <v>46054</v>
      </c>
    </row>
    <row r="323" spans="1:12" x14ac:dyDescent="0.25">
      <c r="A323" s="17" t="str">
        <f>IF(D323="PS","Logan Water",IF(D323="WS","Logan Water",IF(D323="MV","4060000",IF(D323="R","5050000",IF(D323="PK","4090000",IF(D323="CM","Claims Management",IF(D323="E","5060000",VLOOKUP(MID(E323,3,5),'[1]List Data'!$B$1:$D$1134,3,FALSE))))))))</f>
        <v>Logan Water</v>
      </c>
      <c r="B323" s="18" t="s">
        <v>625</v>
      </c>
      <c r="C323" s="19">
        <v>46023</v>
      </c>
      <c r="D323" s="16" t="s">
        <v>147</v>
      </c>
      <c r="E323" s="18" t="s">
        <v>166</v>
      </c>
      <c r="F323" s="16">
        <v>1</v>
      </c>
      <c r="G323" s="20">
        <v>420</v>
      </c>
      <c r="H323" s="18" t="s">
        <v>612</v>
      </c>
      <c r="I323" s="18" t="s">
        <v>595</v>
      </c>
      <c r="J323" s="18" t="s">
        <v>121</v>
      </c>
      <c r="K323" s="18"/>
      <c r="L323" s="21">
        <v>46054</v>
      </c>
    </row>
    <row r="324" spans="1:12" x14ac:dyDescent="0.25">
      <c r="A324" s="17" t="str">
        <f>IF(D324="PS","Logan Water",IF(D324="WS","Logan Water",IF(D324="MV","4060000",IF(D324="R","5050000",IF(D324="PK","4090000",IF(D324="CM","Claims Management",IF(D324="E","5060000",VLOOKUP(MID(E324,3,5),'[1]List Data'!$B$1:$D$1134,3,FALSE))))))))</f>
        <v>Logan Water</v>
      </c>
      <c r="B324" s="18" t="s">
        <v>625</v>
      </c>
      <c r="C324" s="19">
        <v>46023</v>
      </c>
      <c r="D324" s="16" t="s">
        <v>147</v>
      </c>
      <c r="E324" s="18" t="s">
        <v>166</v>
      </c>
      <c r="F324" s="16">
        <v>1</v>
      </c>
      <c r="G324" s="20">
        <v>420</v>
      </c>
      <c r="H324" s="18" t="s">
        <v>613</v>
      </c>
      <c r="I324" s="18" t="s">
        <v>590</v>
      </c>
      <c r="J324" s="18" t="s">
        <v>121</v>
      </c>
      <c r="K324" s="18"/>
      <c r="L324" s="21">
        <v>46054</v>
      </c>
    </row>
    <row r="325" spans="1:12" x14ac:dyDescent="0.25">
      <c r="A325" s="17" t="str">
        <f>IF(D325="PS","Logan Water",IF(D325="WS","Logan Water",IF(D325="MV","4060000",IF(D325="R","5050000",IF(D325="PK","4090000",IF(D325="CM","Claims Management",IF(D325="E","5060000",VLOOKUP(MID(E325,3,5),'[1]List Data'!$B$1:$D$1134,3,FALSE))))))))</f>
        <v>Logan Water</v>
      </c>
      <c r="B325" s="18" t="s">
        <v>625</v>
      </c>
      <c r="C325" s="19">
        <v>46023</v>
      </c>
      <c r="D325" s="16" t="s">
        <v>147</v>
      </c>
      <c r="E325" s="18" t="s">
        <v>166</v>
      </c>
      <c r="F325" s="16">
        <v>1</v>
      </c>
      <c r="G325" s="20">
        <v>420</v>
      </c>
      <c r="H325" s="18" t="s">
        <v>539</v>
      </c>
      <c r="I325" s="18" t="s">
        <v>540</v>
      </c>
      <c r="J325" s="18" t="s">
        <v>121</v>
      </c>
      <c r="K325" s="18"/>
      <c r="L325" s="21">
        <v>46054</v>
      </c>
    </row>
    <row r="326" spans="1:12" x14ac:dyDescent="0.25">
      <c r="A326" s="17" t="str">
        <f>IF(D326="PS","Logan Water",IF(D326="WS","Logan Water",IF(D326="MV","4060000",IF(D326="R","5050000",IF(D326="PK","4090000",IF(D326="CM","Claims Management",IF(D326="E","5060000",VLOOKUP(MID(E326,3,5),'[1]List Data'!$B$1:$D$1134,3,FALSE))))))))</f>
        <v>Logan Water</v>
      </c>
      <c r="B326" s="18" t="s">
        <v>625</v>
      </c>
      <c r="C326" s="19">
        <v>46023</v>
      </c>
      <c r="D326" s="16" t="s">
        <v>147</v>
      </c>
      <c r="E326" s="18" t="s">
        <v>166</v>
      </c>
      <c r="F326" s="16">
        <v>1</v>
      </c>
      <c r="G326" s="20">
        <v>420</v>
      </c>
      <c r="H326" s="18" t="s">
        <v>614</v>
      </c>
      <c r="I326" s="18" t="s">
        <v>615</v>
      </c>
      <c r="J326" s="18" t="s">
        <v>169</v>
      </c>
      <c r="K326" s="18"/>
      <c r="L326" s="21">
        <v>46054</v>
      </c>
    </row>
    <row r="327" spans="1:12" x14ac:dyDescent="0.25">
      <c r="A327" s="17" t="str">
        <f>IF(D327="PS","Logan Water",IF(D327="WS","Logan Water",IF(D327="MV","4060000",IF(D327="R","5050000",IF(D327="PK","4090000",IF(D327="CM","Claims Management",IF(D327="E","5060000",VLOOKUP(MID(E327,3,5),'[1]List Data'!$B$1:$D$1134,3,FALSE))))))))</f>
        <v>Logan Water</v>
      </c>
      <c r="B327" s="22" t="s">
        <v>625</v>
      </c>
      <c r="C327" s="19">
        <v>46054</v>
      </c>
      <c r="D327" s="23" t="s">
        <v>147</v>
      </c>
      <c r="E327" s="24" t="s">
        <v>166</v>
      </c>
      <c r="F327" s="23">
        <v>1</v>
      </c>
      <c r="G327" s="25">
        <v>420</v>
      </c>
      <c r="H327" s="24" t="s">
        <v>616</v>
      </c>
      <c r="I327" s="24" t="s">
        <v>487</v>
      </c>
      <c r="J327" s="18" t="s">
        <v>103</v>
      </c>
      <c r="K327" s="18"/>
      <c r="L327" s="21">
        <v>46054</v>
      </c>
    </row>
    <row r="328" spans="1:12" x14ac:dyDescent="0.25">
      <c r="A328" s="17" t="str">
        <f>IF(D328="PS","Logan Water",IF(D328="WS","Logan Water",IF(D328="MV","4060000",IF(D328="R","5050000",IF(D328="PK","4090000",IF(D328="CM","Claims Management",IF(D328="E","5060000",VLOOKUP(MID(E328,3,5),'[1]List Data'!$B$1:$D$1134,3,FALSE))))))))</f>
        <v>Logan Water</v>
      </c>
      <c r="B328" s="22" t="s">
        <v>625</v>
      </c>
      <c r="C328" s="19">
        <v>46054</v>
      </c>
      <c r="D328" s="23" t="s">
        <v>147</v>
      </c>
      <c r="E328" s="24" t="s">
        <v>148</v>
      </c>
      <c r="F328" s="23">
        <v>1</v>
      </c>
      <c r="G328" s="25">
        <v>420</v>
      </c>
      <c r="H328" s="24" t="s">
        <v>547</v>
      </c>
      <c r="I328" s="24" t="s">
        <v>544</v>
      </c>
      <c r="J328" s="18" t="s">
        <v>103</v>
      </c>
      <c r="K328" s="18"/>
      <c r="L328" s="21">
        <v>46054</v>
      </c>
    </row>
    <row r="329" spans="1:12" x14ac:dyDescent="0.25">
      <c r="A329" s="17" t="str">
        <f>IF(D329="PS","Logan Water",IF(D329="WS","Logan Water",IF(D329="MV","4060000",IF(D329="R","5050000",IF(D329="PK","4090000",IF(D329="CM","Claims Management",IF(D329="E","5060000",VLOOKUP(MID(E329,3,5),'[1]List Data'!$B$1:$D$1134,3,FALSE))))))))</f>
        <v>Logan Water</v>
      </c>
      <c r="B329" s="27" t="s">
        <v>625</v>
      </c>
      <c r="C329" s="19">
        <v>46054</v>
      </c>
      <c r="D329" s="23" t="s">
        <v>147</v>
      </c>
      <c r="E329" s="24" t="s">
        <v>166</v>
      </c>
      <c r="F329" s="23">
        <v>1</v>
      </c>
      <c r="G329" s="25">
        <v>420</v>
      </c>
      <c r="H329" s="24" t="s">
        <v>617</v>
      </c>
      <c r="I329" s="24" t="s">
        <v>469</v>
      </c>
      <c r="J329" s="18" t="s">
        <v>103</v>
      </c>
      <c r="K329" s="18"/>
      <c r="L329" s="21">
        <v>46054</v>
      </c>
    </row>
    <row r="330" spans="1:12" x14ac:dyDescent="0.25">
      <c r="A330" s="17" t="str">
        <f>IF(D330="PS","Logan Water",IF(D330="WS","Logan Water",IF(D330="MV","4060000",IF(D330="R","5050000",IF(D330="PK","4090000",IF(D330="CM","Claims Management",IF(D330="E","5060000",VLOOKUP(MID(E330,3,5),'[1]List Data'!$B$1:$D$1134,3,FALSE))))))))</f>
        <v>Logan Water</v>
      </c>
      <c r="B330" s="22" t="s">
        <v>625</v>
      </c>
      <c r="C330" s="19">
        <v>46054</v>
      </c>
      <c r="D330" s="23" t="s">
        <v>147</v>
      </c>
      <c r="E330" s="24" t="s">
        <v>166</v>
      </c>
      <c r="F330" s="23">
        <v>1</v>
      </c>
      <c r="G330" s="25">
        <v>420</v>
      </c>
      <c r="H330" s="24" t="s">
        <v>551</v>
      </c>
      <c r="I330" s="24" t="s">
        <v>469</v>
      </c>
      <c r="J330" s="18" t="s">
        <v>103</v>
      </c>
      <c r="K330" s="18"/>
      <c r="L330" s="21">
        <v>46054</v>
      </c>
    </row>
    <row r="331" spans="1:12" x14ac:dyDescent="0.25">
      <c r="A331" s="17" t="str">
        <f>IF(D331="PS","Logan Water",IF(D331="WS","Logan Water",IF(D331="MV","4060000",IF(D331="R","5050000",IF(D331="PK","4090000",IF(D331="CM","Claims Management",IF(D331="E","5060000",VLOOKUP(MID(E331,3,5),'[1]List Data'!$B$1:$D$1134,3,FALSE))))))))</f>
        <v>Logan Water</v>
      </c>
      <c r="B331" s="22" t="s">
        <v>625</v>
      </c>
      <c r="C331" s="19">
        <v>46054</v>
      </c>
      <c r="D331" s="23" t="s">
        <v>147</v>
      </c>
      <c r="E331" s="24" t="s">
        <v>166</v>
      </c>
      <c r="F331" s="23">
        <v>1</v>
      </c>
      <c r="G331" s="25">
        <v>420</v>
      </c>
      <c r="H331" s="24" t="s">
        <v>567</v>
      </c>
      <c r="I331" s="24" t="s">
        <v>469</v>
      </c>
      <c r="J331" s="18" t="s">
        <v>103</v>
      </c>
      <c r="K331" s="18"/>
      <c r="L331" s="21">
        <v>46054</v>
      </c>
    </row>
    <row r="332" spans="1:12" x14ac:dyDescent="0.25">
      <c r="A332" s="17" t="str">
        <f>IF(D332="PS","Logan Water",IF(D332="WS","Logan Water",IF(D332="MV","4060000",IF(D332="R","5050000",IF(D332="PK","4090000",IF(D332="CM","Claims Management",IF(D332="E","5060000",VLOOKUP(MID(E332,3,5),'[1]List Data'!$B$1:$D$1134,3,FALSE))))))))</f>
        <v>Logan Water</v>
      </c>
      <c r="B332" s="22" t="s">
        <v>625</v>
      </c>
      <c r="C332" s="19">
        <v>46054</v>
      </c>
      <c r="D332" s="23" t="s">
        <v>147</v>
      </c>
      <c r="E332" s="24" t="s">
        <v>166</v>
      </c>
      <c r="F332" s="23">
        <v>1</v>
      </c>
      <c r="G332" s="25">
        <v>420</v>
      </c>
      <c r="H332" s="24" t="s">
        <v>618</v>
      </c>
      <c r="I332" s="24" t="s">
        <v>571</v>
      </c>
      <c r="J332" s="18" t="s">
        <v>103</v>
      </c>
      <c r="K332" s="18"/>
      <c r="L332" s="21">
        <v>46054</v>
      </c>
    </row>
  </sheetData>
  <autoFilter ref="A2:L332" xr:uid="{37E510B4-80B2-49B4-B382-3D29CAB46079}"/>
  <dataValidations count="5">
    <dataValidation type="list" errorStyle="warning" allowBlank="1" showInputMessage="1" sqref="J207:J242 J244:J249" xr:uid="{15FD264D-5DC8-44B6-89E4-CC293EF90D6F}">
      <formula1>INDIRECT(B207)</formula1>
    </dataValidation>
    <dataValidation type="list" allowBlank="1" showInputMessage="1" sqref="J243 J250:J332" xr:uid="{F16EE495-2097-4B49-AC2E-9A2AC9C9B7CB}">
      <formula1>INDIRECT(B243)</formula1>
    </dataValidation>
    <dataValidation type="list" allowBlank="1" showInputMessage="1" showErrorMessage="1" sqref="B243 B167 B250:B332" xr:uid="{AD8109AC-8761-43DC-A108-9134AC8FF2F0}">
      <formula1>"Software, Mobile_TIPT, Hardware, Minor Equipment"</formula1>
    </dataValidation>
    <dataValidation type="list" errorStyle="warning" allowBlank="1" showInputMessage="1" sqref="B216:B217 B219 B223 B235 B245:B248" xr:uid="{4B620550-51D0-40E5-9FD1-5D432B81A111}">
      <formula1>"Hardware,Minor_IT_Equipment"</formula1>
    </dataValidation>
    <dataValidation type="textLength" allowBlank="1" showInputMessage="1" showErrorMessage="1" sqref="H2:L2" xr:uid="{5B1B2437-FB54-4001-81E3-BA9543ACFEC4}">
      <formula1>0</formula1>
      <formula2>40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Adhoc Transactions 25-26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Tanya Swan</cp:lastModifiedBy>
  <dcterms:modified xsi:type="dcterms:W3CDTF">2026-03-04T02:20:54Z</dcterms:modified>
  <cp:category/>
</cp:coreProperties>
</file>