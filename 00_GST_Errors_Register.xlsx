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ST Err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<sst xmlns="http://schemas.openxmlformats.org/spreadsheetml/2006/main" count="299" uniqueCount="166">
  <si>
    <t xml:space="preserve">LCC Parks 4090000 — GST Errors Register — CN-23167</t>
  </si>
  <si>
    <t xml:space="preserve">Standing rule (Spero, 10-Jun-2026): every GST error found in the NA review is recorded here, not only in line notes. ITC = input tax credit. Dollar errors are the ITC over/under-claim, not the line value.</t>
  </si>
  <si>
    <t xml:space="preserve">ID</t>
  </si>
  <si>
    <t xml:space="preserve">Account</t>
  </si>
  <si>
    <t xml:space="preserve">Reference</t>
  </si>
  <si>
    <t xml:space="preserve">Vendor / document</t>
  </si>
  <si>
    <t xml:space="preserve">GL ex-GST</t>
  </si>
  <si>
    <t xml:space="preserve">ITC claimed</t>
  </si>
  <si>
    <t xml:space="preserve">ITC correct</t>
  </si>
  <si>
    <t xml:space="preserve">Error $</t>
  </si>
  <si>
    <t xml:space="preserve">Direction</t>
  </si>
  <si>
    <t xml:space="preserve">Error class</t>
  </si>
  <si>
    <t xml:space="preserve">Found</t>
  </si>
  <si>
    <t xml:space="preserve">Status</t>
  </si>
  <si>
    <t xml:space="preserve">Corrective action</t>
  </si>
  <si>
    <t xml:space="preserve">Evidence</t>
  </si>
  <si>
    <t xml:space="preserve">GSTE-01</t>
  </si>
  <si>
    <t xml:space="preserve">72111</t>
  </si>
  <si>
    <t xml:space="preserve">TE005080</t>
  </si>
  <si>
    <t xml:space="preserve">Coles 4502 Marsden — milk (receipt sighted)</t>
  </si>
  <si>
    <t xml:space="preserve">Over-claim</t>
  </si>
  <si>
    <t xml:space="preserve">GST-free basic food grossed: $12.50 GST-free booked $11.36 ex, asserting a 1/11 credit no invoice charges</t>
  </si>
  <si>
    <t xml:space="preserve">9-Jun-2026</t>
  </si>
  <si>
    <t xml:space="preserve">OPEN</t>
  </si>
  <si>
    <t xml:space="preserve">Gross GL to $12.50, reverse $1.14 ITC. Awaiting Spero instruction (flagged as line RED)</t>
  </si>
  <si>
    <t xml:space="preserve">NA72111_TE005080_Coles_Milk_CoverSlip_Receipt.pdf</t>
  </si>
  <si>
    <t xml:space="preserve">GSTE-02</t>
  </si>
  <si>
    <t xml:space="preserve">TE004477</t>
  </si>
  <si>
    <t xml:space="preserve">Steel Post &amp; Rail (Square) — payment receipt 621</t>
  </si>
  <si>
    <t xml:space="preserve">Input-taxed $2.02 finance charge inside a fully grossed $93.63; document is a payment receipt, not a tax invoice</t>
  </si>
  <si>
    <t xml:space="preserve">Obtain compliant tax invoice; reverse $0.18 ITC on the finance-charge component. Awaiting Spero instruction</t>
  </si>
  <si>
    <t xml:space="preserve">NA72111_TE004477_SteelPostRail_PaymentReceipt621.pdf</t>
  </si>
  <si>
    <t xml:space="preserve">GSTE-03</t>
  </si>
  <si>
    <t xml:space="preserve">Total Training Group T/A Play Safety — INV-1155 (ABN 54 614 341 641 PASS)</t>
  </si>
  <si>
    <t xml:space="preserve">GST-FREE education (RTO 45588 accredited course AHCPGD212) booked as taxable: $750.00 GST-free grossed to $681.82 ex + $68.18 phantom ITC</t>
  </si>
  <si>
    <t xml:space="preserve">10-Jun-2026</t>
  </si>
  <si>
    <t xml:space="preserve">Gross GL to $750.00, reverse $68.18 ITC. NA also wrong: training course (J Burke) belongs in 73544 Training &amp; Development, not 72111. Invoice dated 25-Jul-2024 (FY25) on the FY26 ledger — period query. Awaiting Spero instruction</t>
  </si>
  <si>
    <t xml:space="preserve">NA72111_TE004477_PlaySafety_INV-1155.pdf</t>
  </si>
  <si>
    <t xml:space="preserve">GSTE-04</t>
  </si>
  <si>
    <t xml:space="preserve">73533</t>
  </si>
  <si>
    <t xml:space="preserve">Booking.com (ibis Melbourne) — confirmation, no ABN, states not a tax invoice</t>
  </si>
  <si>
    <t xml:space="preserve">Exposure</t>
  </si>
  <si>
    <t xml:space="preserve">ITC claimed without a compliant tax invoice (offshore agent document); substantiation risk if ATO reviewed</t>
  </si>
  <si>
    <t xml:space="preserve">WAIVED</t>
  </si>
  <si>
    <t xml:space="preserve">Waived by Spero 9-Jun-2026 (recorded waiver; only Spero may waive). $28.82 exposure noted; obtaining the Accor AU tax invoice remains advisory</t>
  </si>
  <si>
    <t xml:space="preserve">NA73533_L07_BookingCom_ibis_TE005080.pdf</t>
  </si>
  <si>
    <t xml:space="preserve">GSTE-05</t>
  </si>
  <si>
    <t xml:space="preserve">73564</t>
  </si>
  <si>
    <t xml:space="preserve">TE005499</t>
  </si>
  <si>
    <t xml:space="preserve">Anthropic (US) — Claude Team subscription</t>
  </si>
  <si>
    <t xml:space="preserve">Query</t>
  </si>
  <si>
    <t xml:space="preserve">Offshore digital supply; verify whether AU GST was charged/claimable (non-resident supplier GST rules)</t>
  </si>
  <si>
    <t xml:space="preserve">QUERY</t>
  </si>
  <si>
    <t xml:space="preserve">Sight the TE005499 backup; confirm GST treatment before any ITC stands. Line is in journal for the 73566 NA move (unaffected)</t>
  </si>
  <si>
    <t xml:space="preserve">GAP — backup not yet sighted</t>
  </si>
  <si>
    <t xml:space="preserve">GSTE-06</t>
  </si>
  <si>
    <t xml:space="preserve">72114</t>
  </si>
  <si>
    <t xml:space="preserve">PKLCC2026-0331</t>
  </si>
  <si>
    <t xml:space="preserve">Reali Supply (One Stop Workwear UT) - Mar-2026 consolidated C00281989</t>
  </si>
  <si>
    <t xml:space="preserve">Rounding artefact: AP booked ITC at gross/11 ($2,837.09/11 = $257.92) vs invoice GST charged $257.91; invoice math itself exact</t>
  </si>
  <si>
    <t xml:space="preserve">NOTE</t>
  </si>
  <si>
    <t xml:space="preserve">No correction proposed at $0.01; recorded per the standing rule only</t>
  </si>
  <si>
    <t xml:space="preserve">NA72114_Evidence/NA72114_PKLCC2026-0331_Reali_C00281989.pdf</t>
  </si>
  <si>
    <t xml:space="preserve">GSTE-07</t>
  </si>
  <si>
    <t xml:space="preserve">73128</t>
  </si>
  <si>
    <t xml:space="preserve">396217</t>
  </si>
  <si>
    <t xml:space="preserve">TCB Distributors Pty Ltd — weekly milk standing order PO 709655 (GST-free basic food)</t>
  </si>
  <si>
    <t xml:space="preserve">GST-free fresh milk: invoice $47.35 GST $0.00; AP extracted 1/11th, GL keyed $43.05</t>
  </si>
  <si>
    <t xml:space="preserve">BAS adjustment: gross GL to invoice value, reverse ITC. Corrected at source from INV-399504 (21-Sep-2025). No GENJNL movement.</t>
  </si>
  <si>
    <t xml:space="preserve">NA73128_L01_TCB_INV-396217.pdf (sighted; hash in NA73128_Evidence_Manifest.csv)</t>
  </si>
  <si>
    <t xml:space="preserve">GSTE-08</t>
  </si>
  <si>
    <t xml:space="preserve">396428</t>
  </si>
  <si>
    <t xml:space="preserve">NA73128_L02_TCB_INV-396428.pdf (sighted; hash in NA73128_Evidence_Manifest.csv)</t>
  </si>
  <si>
    <t xml:space="preserve">GSTE-09</t>
  </si>
  <si>
    <t xml:space="preserve">396633</t>
  </si>
  <si>
    <t xml:space="preserve">NA73128_L03_TCB_INV-396633.pdf (sighted; hash in NA73128_Evidence_Manifest.csv)</t>
  </si>
  <si>
    <t xml:space="preserve">GSTE-10</t>
  </si>
  <si>
    <t xml:space="preserve">396827</t>
  </si>
  <si>
    <t xml:space="preserve">NA73128_L04_TCB_INV-396827.pdf (sighted; hash in NA73128_Evidence_Manifest.csv)</t>
  </si>
  <si>
    <t xml:space="preserve">GSTE-11</t>
  </si>
  <si>
    <t xml:space="preserve">397026</t>
  </si>
  <si>
    <t xml:space="preserve">NA73128_L05_TCB_INV-397026.pdf (sighted; hash in NA73128_Evidence_Manifest.csv)</t>
  </si>
  <si>
    <t xml:space="preserve">GSTE-12</t>
  </si>
  <si>
    <t xml:space="preserve">397411</t>
  </si>
  <si>
    <t xml:space="preserve">NA73128_L11_TCB_INV-397411.pdf (sighted; hash in NA73128_Evidence_Manifest.csv)</t>
  </si>
  <si>
    <t xml:space="preserve">GSTE-13</t>
  </si>
  <si>
    <t xml:space="preserve">397642</t>
  </si>
  <si>
    <t xml:space="preserve">NA73128_L12_TCB_INV-397642.pdf (sighted; hash in NA73128_Evidence_Manifest.csv)</t>
  </si>
  <si>
    <t xml:space="preserve">GSTE-14</t>
  </si>
  <si>
    <t xml:space="preserve">397820</t>
  </si>
  <si>
    <t xml:space="preserve">NA73128_L13_TCB_INV-397820.pdf (sighted; hash in NA73128_Evidence_Manifest.csv)</t>
  </si>
  <si>
    <t xml:space="preserve">GSTE-15</t>
  </si>
  <si>
    <t xml:space="preserve">398238</t>
  </si>
  <si>
    <t xml:space="preserve">NA73128_L15_TCB_INV-398238.pdf (sighted; hash in NA73128_Evidence_Manifest.csv)</t>
  </si>
  <si>
    <t xml:space="preserve">GSTE-16</t>
  </si>
  <si>
    <t xml:space="preserve">398437</t>
  </si>
  <si>
    <t xml:space="preserve">NA73128_L16_TCB_INV-398437.pdf (sighted; hash in NA73128_Evidence_Manifest.csv)</t>
  </si>
  <si>
    <t xml:space="preserve">GSTE-17</t>
  </si>
  <si>
    <t xml:space="preserve">397213</t>
  </si>
  <si>
    <t xml:space="preserve">GST-free fresh milk: invoice $40.50 GST $0.00; AP extracted 1/11th</t>
  </si>
  <si>
    <t xml:space="preserve">NA73128_L06_TCB_INV-397213.pdf (sighted; hash in NA73128_Evidence_Manifest.csv)</t>
  </si>
  <si>
    <t xml:space="preserve">GSTE-18</t>
  </si>
  <si>
    <t xml:space="preserve">398029</t>
  </si>
  <si>
    <t xml:space="preserve">GST-free fresh milk: invoice $27.00 GST $0.00; AP extracted 1/11th</t>
  </si>
  <si>
    <t xml:space="preserve">NA73128_L14_TCB_INV-398029.pdf (sighted; hash in NA73128_Evidence_Manifest.csv)</t>
  </si>
  <si>
    <t xml:space="preserve">GSTE-19</t>
  </si>
  <si>
    <t xml:space="preserve">398653</t>
  </si>
  <si>
    <t xml:space="preserve">GST-free fresh milk: invoice $20.25 GST $0.00; AP extracted 1/11th</t>
  </si>
  <si>
    <t xml:space="preserve">NA73128_L17_TCB_INV-398653.pdf (sighted; hash in NA73128_Evidence_Manifest.csv)</t>
  </si>
  <si>
    <t xml:space="preserve">GSTE-20</t>
  </si>
  <si>
    <t xml:space="preserve">398878</t>
  </si>
  <si>
    <t xml:space="preserve">GST-free fresh milk: invoice $20.94 GST $0.00; AP extracted 1/11th</t>
  </si>
  <si>
    <t xml:space="preserve">NA73128_L19_TCB_INV-398878.pdf (sighted; hash in NA73128_Evidence_Manifest.csv)</t>
  </si>
  <si>
    <t xml:space="preserve">GSTE-21</t>
  </si>
  <si>
    <t xml:space="preserve">399080</t>
  </si>
  <si>
    <t xml:space="preserve">GST-free fresh milk: invoice $48.91 GST $0.00; AP extracted 1/11th</t>
  </si>
  <si>
    <t xml:space="preserve">NA73128_L21_TCB_INV-399080.pdf (sighted; hash in NA73128_Evidence_Manifest.csv)</t>
  </si>
  <si>
    <t xml:space="preserve">GSTE-22</t>
  </si>
  <si>
    <t xml:space="preserve">399291</t>
  </si>
  <si>
    <t xml:space="preserve">GST-free fresh milk: invoice $41.88 GST $0.00; AP extracted 1/11th off the $41.90 docket figure</t>
  </si>
  <si>
    <t xml:space="preserve">NA73128_L22_TCB_INV-399291.pdf (sighted; hash in NA73128_Evidence_Manifest.csv)</t>
  </si>
  <si>
    <t xml:space="preserve">GSTE-23</t>
  </si>
  <si>
    <t xml:space="preserve">12022026 / AP003810</t>
  </si>
  <si>
    <t xml:space="preserve">Raj Aggarwal — Mundoolun Estate Community and Environmental Group INC (ABN 72 940 549 625, active, NOT GST registered)</t>
  </si>
  <si>
    <t xml:space="preserve">Net nil (timing)</t>
  </si>
  <si>
    <t xml:space="preserve">$3,000 bond refund to a non-GST-registered association booked $2,727.27 ex-GST on Cred inv 12022026 (12-Feb-2026), implying $272.73 ITC on a non-creditable payment; fully reversed by AP003810 (10-Mar-2026, R/N 19355382). Net GST effect nil; Feb-2026 to Mar-2026 cross-period misstatement $272.73.</t>
  </si>
  <si>
    <t xml:space="preserve">None. Reversed in full; recorded for completeness. Bond pair excluded from the NA73128 recode.</t>
  </si>
  <si>
    <t xml:space="preserve">NA73128_SecondIntake_Binder_C00216123.pdf (QCB statement, ABN Lookup, email chain)</t>
  </si>
  <si>
    <t xml:space="preserve">GSTE-24</t>
  </si>
  <si>
    <t xml:space="preserve">73512 / 73544</t>
  </si>
  <si>
    <t xml:space="preserve">1215540 / AP003847</t>
  </si>
  <si>
    <t xml:space="preserve">Kerry Warnholtz (sole trader, ABN 25 942 534 049) - staff training INVOICE #001</t>
  </si>
  <si>
    <t xml:space="preserve">ITC claimed at reallocation doc 1215540 (GST code C) on a GST-free supply; supplier NOT GST registered per ABR. Original doc 1211033 posted correctly at NA</t>
  </si>
  <si>
    <t xml:space="preserve">CORRECTED</t>
  </si>
  <si>
    <t xml:space="preserve">Corrected in ledger by AP003847 (22-Apr-2026): 73512 credited -$676.64 clearing the net, 73544 debited +$744.30 full GST-free amount. Verified correct; no further movement</t>
  </si>
  <si>
    <t xml:space="preserve">NA73544_L01_Warnholtz_INV001.pdf; L01b_GST_Amendment_Note.pdf; L01c_ABR_Warnholtz.pdf</t>
  </si>
  <si>
    <t xml:space="preserve">GSTE-25</t>
  </si>
  <si>
    <t xml:space="preserve">73544</t>
  </si>
  <si>
    <t xml:space="preserve">TE004766 / 194770</t>
  </si>
  <si>
    <t xml:space="preserve">Blue Dog Training Pty Ltd (ABN 51 110 179 407, RTO 31193) - White Card course, Villiers</t>
  </si>
  <si>
    <t xml:space="preserve">GST-free accredited course grossed: invoice $129.00 states No GST Applicable; AP booked $117.27 ex + $11.73 ITC, a phantom credit (Coles-milk class)</t>
  </si>
  <si>
    <t xml:space="preserve">Gross GL to $129.00, reverse $11.73 ITC (BAS adjustment, no GENJNL movement). Awaiting Spero instruction</t>
  </si>
  <si>
    <t xml:space="preserve">NA73544_L18_BlueDog_194770_TE004766.pdf; L18b cover slip</t>
  </si>
  <si>
    <t xml:space="preserve">GSTE-26</t>
  </si>
  <si>
    <t xml:space="preserve">58974030233</t>
  </si>
  <si>
    <t xml:space="preserve">Blue Card Services (Qld Govt) - blue card application fee, A Barter reimbursement</t>
  </si>
  <si>
    <t xml:space="preserve">Division 81 GST-exempt government fee grossed: receipt $104.70 states GST exempt; AP booked $95.18 ex + $9.52 phantom ITC. NA candidate: blue cards belong in 73433 (GJ078933 precedent)</t>
  </si>
  <si>
    <t xml:space="preserve">Gross GL to $104.70, reverse $9.52 ITC (BAS adjustment). 73433 recode candidate held un-instructed</t>
  </si>
  <si>
    <t xml:space="preserve">NA73544_L20_BlueCard_Barter_58974030233.png; L20b ING identity</t>
  </si>
  <si>
    <t xml:space="preserve">GSTE-27</t>
  </si>
  <si>
    <t xml:space="preserve">TE004236</t>
  </si>
  <si>
    <t xml:space="preserve">Office of Industrial Relations (Qld Govt) - high-risk work licence, Powell PCard</t>
  </si>
  <si>
    <t xml:space="preserve">Division 81 government licence fee posted GST code C extracting $8.76; later regrossed in-ledger to $96.35 net (the export's net), so the credit was reversed at source</t>
  </si>
  <si>
    <t xml:space="preserve">Corrected in ledger (net regross to $96.35 = $87.59 x 1.1). No further movement; OIR source receipt remains a narrowed GAP</t>
  </si>
  <si>
    <t xml:space="preserve">NA73544_L19_OIR_TE004236_PCardDataEntry.jpg; L19b ledger view</t>
  </si>
  <si>
    <t xml:space="preserve">TOTAL quantified ITC over-claim (OPEN)</t>
  </si>
  <si>
    <t xml:space="preserve">AP books ex as incl/1.1 while Telstra discloses actual GST (mixed GST-free content). Quantified: Oct-25 claimed $90.56 vs disclosed $90.46 (+$0.10 over-claim). Nov-25 runs the other way (claimed $91.08 vs disclosed $91.19, -$0.11). Cents-level pattern both directions across the eleven-month series ($9,237.48 ex).</t>
  </si>
  <si>
    <t xml:space="preserve">11-Jun-2026</t>
  </si>
  <si>
    <t xml:space="preserve">Advisory pattern; no GENJNL. Verify disclosed GST per bill as each remaining month is sighted (Dec-25 GAP).</t>
  </si>
  <si>
    <t xml:space="preserve">NA73211_49359879351025_Telstra_Oct25.pdf; NA73211_49359879351125_Telstra_Nov25.pdf</t>
  </si>
  <si>
    <t xml:space="preserve">Waived exposure (noted, not corrected)</t>
  </si>
  <si>
    <t xml:space="preserve">GSTE-28</t>
  </si>
  <si>
    <t xml:space="preserve">73211</t>
  </si>
  <si>
    <t xml:space="preserve">Telstra 49359879-series (acct 493 5987 935)</t>
  </si>
  <si>
    <t xml:space="preserve">AP books ex-GST as incl/1.1; Telstra discloses actual GST (mixed GST-free content). Oct-25 disclosed $90.46 vs $90.56 claimed (+$0.10 over-claim); Nov-25 disclosed $91.19 vs $91.08 (-$0.11). Cents-level, both directions across the series.</t>
  </si>
  <si>
    <t xml:space="preserve">Advisory pattern; no GENJNL. Verify disclosed GST per bill as the series is re-sighted.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</si>
</sst>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9C0006"/>
      <name val="Segoe UI"/>
      <family val="0"/>
      <charset val="1"/>
    </font>
    <font>
      <b val="true"/>
      <sz val="10"/>
      <color rgb="FF9C6500"/>
      <name val="Segoe UI"/>
      <family val="0"/>
      <charset val="1"/>
    </font>
    <font>
      <b val="true"/>
      <sz val="10"/>
      <color rgb="FF595959"/>
      <name val="Segoe UI"/>
      <family val="0"/>
      <charset val="1"/>
    </font>
    <font>
      <b val="true"/>
      <sz val="10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2236"/>
        <bgColor rgb="FF003366"/>
      </patternFill>
    </fill>
    <fill>
      <patternFill patternType="solid">
        <fgColor rgb="FF1F4E79"/>
        <bgColor rgb="FF003366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9"/>
    <col collapsed="false" customWidth="true" hidden="false" outlineLevel="0" max="9" min="9" style="1" width="13"/>
    <col collapsed="false" customWidth="true" hidden="false" outlineLevel="0" max="10" min="10" style="1" width="30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46"/>
    <col collapsed="false" customWidth="true" hidden="false" outlineLevel="0" max="14" min="14" style="1" width="34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</row>
    <row r="5" customFormat="false" ht="45.75" hidden="false" customHeight="true" outlineLevel="0" collapsed="false">
      <c r="A5" s="5" t="s">
        <v>16</v>
      </c>
      <c r="B5" s="5" t="s">
        <v>17</v>
      </c>
      <c r="C5" s="5" t="s">
        <v>18</v>
      </c>
      <c r="D5" s="6" t="s">
        <v>19</v>
      </c>
      <c r="E5" s="7" t="n">
        <v>11.36</v>
      </c>
      <c r="F5" s="7" t="n">
        <v>1.14</v>
      </c>
      <c r="G5" s="7" t="n">
        <v>0</v>
      </c>
      <c r="H5" s="7" t="n">
        <f aca="false">F5-G5</f>
        <v>1.14</v>
      </c>
      <c r="I5" s="5" t="s">
        <v>20</v>
      </c>
      <c r="J5" s="6" t="s">
        <v>21</v>
      </c>
      <c r="K5" s="5" t="s">
        <v>22</v>
      </c>
      <c r="L5" s="8" t="s">
        <v>23</v>
      </c>
      <c r="M5" s="6" t="s">
        <v>24</v>
      </c>
      <c r="N5" s="6" t="s">
        <v>25</v>
      </c>
    </row>
    <row r="6" customFormat="false" ht="45.75" hidden="false" customHeight="true" outlineLevel="0" collapsed="false">
      <c r="A6" s="5" t="s">
        <v>26</v>
      </c>
      <c r="B6" s="5" t="s">
        <v>17</v>
      </c>
      <c r="C6" s="5" t="s">
        <v>27</v>
      </c>
      <c r="D6" s="6" t="s">
        <v>28</v>
      </c>
      <c r="E6" s="7" t="n">
        <v>85.12</v>
      </c>
      <c r="F6" s="7" t="n">
        <v>8.51</v>
      </c>
      <c r="G6" s="7" t="n">
        <v>8.33</v>
      </c>
      <c r="H6" s="7" t="n">
        <f aca="false">F6-G6</f>
        <v>0.18</v>
      </c>
      <c r="I6" s="5" t="s">
        <v>20</v>
      </c>
      <c r="J6" s="6" t="s">
        <v>29</v>
      </c>
      <c r="K6" s="5" t="s">
        <v>22</v>
      </c>
      <c r="L6" s="8" t="s">
        <v>23</v>
      </c>
      <c r="M6" s="6" t="s">
        <v>30</v>
      </c>
      <c r="N6" s="6" t="s">
        <v>31</v>
      </c>
    </row>
    <row r="7" customFormat="false" ht="68.25" hidden="false" customHeight="true" outlineLevel="0" collapsed="false">
      <c r="A7" s="5" t="s">
        <v>32</v>
      </c>
      <c r="B7" s="5" t="s">
        <v>17</v>
      </c>
      <c r="C7" s="5" t="s">
        <v>27</v>
      </c>
      <c r="D7" s="6" t="s">
        <v>33</v>
      </c>
      <c r="E7" s="7" t="n">
        <v>681.82</v>
      </c>
      <c r="F7" s="7" t="n">
        <v>68.18</v>
      </c>
      <c r="G7" s="7" t="n">
        <v>0</v>
      </c>
      <c r="H7" s="7" t="n">
        <f aca="false">F7-G7</f>
        <v>68.18</v>
      </c>
      <c r="I7" s="5" t="s">
        <v>20</v>
      </c>
      <c r="J7" s="6" t="s">
        <v>34</v>
      </c>
      <c r="K7" s="5" t="s">
        <v>35</v>
      </c>
      <c r="L7" s="8" t="s">
        <v>23</v>
      </c>
      <c r="M7" s="6" t="s">
        <v>36</v>
      </c>
      <c r="N7" s="6" t="s">
        <v>37</v>
      </c>
    </row>
    <row r="8" customFormat="false" ht="45.75" hidden="false" customHeight="true" outlineLevel="0" collapsed="false">
      <c r="A8" s="5" t="s">
        <v>38</v>
      </c>
      <c r="B8" s="5" t="s">
        <v>39</v>
      </c>
      <c r="C8" s="5" t="s">
        <v>18</v>
      </c>
      <c r="D8" s="6" t="s">
        <v>40</v>
      </c>
      <c r="E8" s="7" t="n">
        <v>288.18</v>
      </c>
      <c r="F8" s="7" t="n">
        <v>28.82</v>
      </c>
      <c r="G8" s="5"/>
      <c r="H8" s="5"/>
      <c r="I8" s="5" t="s">
        <v>41</v>
      </c>
      <c r="J8" s="6" t="s">
        <v>42</v>
      </c>
      <c r="K8" s="5" t="s">
        <v>22</v>
      </c>
      <c r="L8" s="9" t="s">
        <v>43</v>
      </c>
      <c r="M8" s="6" t="s">
        <v>44</v>
      </c>
      <c r="N8" s="6" t="s">
        <v>45</v>
      </c>
    </row>
    <row r="9" customFormat="false" ht="45.75" hidden="false" customHeight="true" outlineLevel="0" collapsed="false">
      <c r="A9" s="5" t="s">
        <v>46</v>
      </c>
      <c r="B9" s="5" t="s">
        <v>47</v>
      </c>
      <c r="C9" s="5" t="s">
        <v>48</v>
      </c>
      <c r="D9" s="6" t="s">
        <v>49</v>
      </c>
      <c r="E9" s="7" t="n">
        <v>36.14</v>
      </c>
      <c r="F9" s="5"/>
      <c r="G9" s="5"/>
      <c r="H9" s="5"/>
      <c r="I9" s="5" t="s">
        <v>50</v>
      </c>
      <c r="J9" s="6" t="s">
        <v>51</v>
      </c>
      <c r="K9" s="5" t="s">
        <v>22</v>
      </c>
      <c r="L9" s="10" t="s">
        <v>52</v>
      </c>
      <c r="M9" s="6" t="s">
        <v>53</v>
      </c>
      <c r="N9" s="6" t="s">
        <v>54</v>
      </c>
    </row>
    <row r="10" customFormat="false" ht="15" hidden="false" customHeight="true" outlineLevel="0" collapsed="false">
      <c r="A10" s="5" t="s">
        <v>55</v>
      </c>
      <c r="B10" s="5" t="s">
        <v>56</v>
      </c>
      <c r="C10" s="5" t="s">
        <v>57</v>
      </c>
      <c r="D10" s="6" t="s">
        <v>58</v>
      </c>
      <c r="E10" s="7" t="n">
        <v>2579.17</v>
      </c>
      <c r="F10" s="5" t="n">
        <v>257.92</v>
      </c>
      <c r="G10" s="5" t="n">
        <v>257.91</v>
      </c>
      <c r="H10" s="5" t="n">
        <f aca="false">F10-G10</f>
        <v>0.00999999999999091</v>
      </c>
      <c r="I10" s="5" t="s">
        <v>20</v>
      </c>
      <c r="J10" s="6" t="s">
        <v>59</v>
      </c>
      <c r="K10" s="5" t="s">
        <v>35</v>
      </c>
      <c r="L10" s="10" t="s">
        <v>60</v>
      </c>
      <c r="M10" s="6" t="s">
        <v>61</v>
      </c>
      <c r="N10" s="6" t="s">
        <v>62</v>
      </c>
    </row>
    <row r="11" customFormat="false" ht="15" hidden="false" customHeight="true" outlineLevel="0" collapsed="false">
      <c r="A11" s="5" t="s">
        <v>63</v>
      </c>
      <c r="B11" s="5" t="s">
        <v>64</v>
      </c>
      <c r="C11" s="5" t="s">
        <v>65</v>
      </c>
      <c r="D11" s="6" t="s">
        <v>66</v>
      </c>
      <c r="E11" s="7" t="n">
        <v>43.05</v>
      </c>
      <c r="F11" s="7" t="n">
        <v>4.3</v>
      </c>
      <c r="G11" s="7" t="n">
        <v>0</v>
      </c>
      <c r="H11" s="7" t="n">
        <f aca="false">F11-G11</f>
        <v>4.3</v>
      </c>
      <c r="I11" s="5" t="s">
        <v>20</v>
      </c>
      <c r="J11" s="6" t="s">
        <v>67</v>
      </c>
      <c r="K11" s="5" t="s">
        <v>35</v>
      </c>
      <c r="L11" s="8" t="s">
        <v>23</v>
      </c>
      <c r="M11" s="6" t="s">
        <v>68</v>
      </c>
      <c r="N11" s="6" t="s">
        <v>69</v>
      </c>
    </row>
    <row r="12" customFormat="false" ht="34.5" hidden="false" customHeight="true" outlineLevel="0" collapsed="false">
      <c r="A12" s="5" t="s">
        <v>70</v>
      </c>
      <c r="B12" s="5" t="s">
        <v>64</v>
      </c>
      <c r="C12" s="5" t="s">
        <v>71</v>
      </c>
      <c r="D12" s="6" t="s">
        <v>66</v>
      </c>
      <c r="E12" s="7" t="n">
        <v>43.05</v>
      </c>
      <c r="F12" s="7" t="n">
        <v>4.3</v>
      </c>
      <c r="G12" s="7" t="n">
        <v>0</v>
      </c>
      <c r="H12" s="7" t="n">
        <f aca="false">F12-G12</f>
        <v>4.3</v>
      </c>
      <c r="I12" s="5" t="s">
        <v>20</v>
      </c>
      <c r="J12" s="6" t="s">
        <v>67</v>
      </c>
      <c r="K12" s="5" t="s">
        <v>35</v>
      </c>
      <c r="L12" s="8" t="s">
        <v>23</v>
      </c>
      <c r="M12" s="6" t="s">
        <v>68</v>
      </c>
      <c r="N12" s="6" t="s">
        <v>72</v>
      </c>
    </row>
    <row r="13" customFormat="false" ht="34.5" hidden="false" customHeight="true" outlineLevel="0" collapsed="false">
      <c r="A13" s="5" t="s">
        <v>73</v>
      </c>
      <c r="B13" s="5" t="s">
        <v>64</v>
      </c>
      <c r="C13" s="5" t="s">
        <v>74</v>
      </c>
      <c r="D13" s="6" t="s">
        <v>66</v>
      </c>
      <c r="E13" s="7" t="n">
        <v>43.05</v>
      </c>
      <c r="F13" s="7" t="n">
        <v>4.3</v>
      </c>
      <c r="G13" s="7" t="n">
        <v>0</v>
      </c>
      <c r="H13" s="7" t="n">
        <f aca="false">F13-G13</f>
        <v>4.3</v>
      </c>
      <c r="I13" s="5" t="s">
        <v>20</v>
      </c>
      <c r="J13" s="6" t="s">
        <v>67</v>
      </c>
      <c r="K13" s="5" t="s">
        <v>35</v>
      </c>
      <c r="L13" s="8" t="s">
        <v>23</v>
      </c>
      <c r="M13" s="6" t="s">
        <v>68</v>
      </c>
      <c r="N13" s="6" t="s">
        <v>75</v>
      </c>
    </row>
    <row r="14" customFormat="false" ht="34.5" hidden="false" customHeight="true" outlineLevel="0" collapsed="false">
      <c r="A14" s="5" t="s">
        <v>76</v>
      </c>
      <c r="B14" s="5" t="s">
        <v>64</v>
      </c>
      <c r="C14" s="5" t="s">
        <v>77</v>
      </c>
      <c r="D14" s="6" t="s">
        <v>66</v>
      </c>
      <c r="E14" s="7" t="n">
        <v>43.05</v>
      </c>
      <c r="F14" s="7" t="n">
        <v>4.3</v>
      </c>
      <c r="G14" s="7" t="n">
        <v>0</v>
      </c>
      <c r="H14" s="7" t="n">
        <f aca="false">F14-G14</f>
        <v>4.3</v>
      </c>
      <c r="I14" s="5" t="s">
        <v>20</v>
      </c>
      <c r="J14" s="6" t="s">
        <v>67</v>
      </c>
      <c r="K14" s="5" t="s">
        <v>35</v>
      </c>
      <c r="L14" s="8" t="s">
        <v>23</v>
      </c>
      <c r="M14" s="6" t="s">
        <v>68</v>
      </c>
      <c r="N14" s="6" t="s">
        <v>78</v>
      </c>
    </row>
    <row r="15" customFormat="false" ht="34.5" hidden="false" customHeight="true" outlineLevel="0" collapsed="false">
      <c r="A15" s="5" t="s">
        <v>79</v>
      </c>
      <c r="B15" s="5" t="s">
        <v>64</v>
      </c>
      <c r="C15" s="5" t="s">
        <v>80</v>
      </c>
      <c r="D15" s="6" t="s">
        <v>66</v>
      </c>
      <c r="E15" s="7" t="n">
        <v>43.05</v>
      </c>
      <c r="F15" s="7" t="n">
        <v>4.3</v>
      </c>
      <c r="G15" s="7" t="n">
        <v>0</v>
      </c>
      <c r="H15" s="7" t="n">
        <f aca="false">F15-G15</f>
        <v>4.3</v>
      </c>
      <c r="I15" s="5" t="s">
        <v>20</v>
      </c>
      <c r="J15" s="6" t="s">
        <v>67</v>
      </c>
      <c r="K15" s="5" t="s">
        <v>35</v>
      </c>
      <c r="L15" s="8" t="s">
        <v>23</v>
      </c>
      <c r="M15" s="6" t="s">
        <v>68</v>
      </c>
      <c r="N15" s="6" t="s">
        <v>81</v>
      </c>
    </row>
    <row r="16" customFormat="false" ht="34.5" hidden="false" customHeight="true" outlineLevel="0" collapsed="false">
      <c r="A16" s="5" t="s">
        <v>82</v>
      </c>
      <c r="B16" s="5" t="s">
        <v>64</v>
      </c>
      <c r="C16" s="5" t="s">
        <v>83</v>
      </c>
      <c r="D16" s="6" t="s">
        <v>66</v>
      </c>
      <c r="E16" s="7" t="n">
        <v>43.05</v>
      </c>
      <c r="F16" s="7" t="n">
        <v>4.3</v>
      </c>
      <c r="G16" s="7" t="n">
        <v>0</v>
      </c>
      <c r="H16" s="7" t="n">
        <f aca="false">F16-G16</f>
        <v>4.3</v>
      </c>
      <c r="I16" s="5" t="s">
        <v>20</v>
      </c>
      <c r="J16" s="6" t="s">
        <v>67</v>
      </c>
      <c r="K16" s="5" t="s">
        <v>35</v>
      </c>
      <c r="L16" s="8" t="s">
        <v>23</v>
      </c>
      <c r="M16" s="6" t="s">
        <v>68</v>
      </c>
      <c r="N16" s="6" t="s">
        <v>84</v>
      </c>
    </row>
    <row r="17" customFormat="false" ht="34.5" hidden="false" customHeight="true" outlineLevel="0" collapsed="false">
      <c r="A17" s="5" t="s">
        <v>85</v>
      </c>
      <c r="B17" s="5" t="s">
        <v>64</v>
      </c>
      <c r="C17" s="5" t="s">
        <v>86</v>
      </c>
      <c r="D17" s="6" t="s">
        <v>66</v>
      </c>
      <c r="E17" s="7" t="n">
        <v>43.05</v>
      </c>
      <c r="F17" s="7" t="n">
        <v>4.3</v>
      </c>
      <c r="G17" s="7" t="n">
        <v>0</v>
      </c>
      <c r="H17" s="7" t="n">
        <f aca="false">F17-G17</f>
        <v>4.3</v>
      </c>
      <c r="I17" s="5" t="s">
        <v>20</v>
      </c>
      <c r="J17" s="6" t="s">
        <v>67</v>
      </c>
      <c r="K17" s="5" t="s">
        <v>35</v>
      </c>
      <c r="L17" s="8" t="s">
        <v>23</v>
      </c>
      <c r="M17" s="6" t="s">
        <v>68</v>
      </c>
      <c r="N17" s="6" t="s">
        <v>87</v>
      </c>
    </row>
    <row r="18" customFormat="false" ht="34.5" hidden="false" customHeight="true" outlineLevel="0" collapsed="false">
      <c r="A18" s="5" t="s">
        <v>88</v>
      </c>
      <c r="B18" s="5" t="s">
        <v>64</v>
      </c>
      <c r="C18" s="5" t="s">
        <v>89</v>
      </c>
      <c r="D18" s="6" t="s">
        <v>66</v>
      </c>
      <c r="E18" s="7" t="n">
        <v>43.05</v>
      </c>
      <c r="F18" s="7" t="n">
        <v>4.3</v>
      </c>
      <c r="G18" s="7" t="n">
        <v>0</v>
      </c>
      <c r="H18" s="7" t="n">
        <f aca="false">F18-G18</f>
        <v>4.3</v>
      </c>
      <c r="I18" s="5" t="s">
        <v>20</v>
      </c>
      <c r="J18" s="6" t="s">
        <v>67</v>
      </c>
      <c r="K18" s="5" t="s">
        <v>35</v>
      </c>
      <c r="L18" s="8" t="s">
        <v>23</v>
      </c>
      <c r="M18" s="6" t="s">
        <v>68</v>
      </c>
      <c r="N18" s="6" t="s">
        <v>90</v>
      </c>
    </row>
    <row r="19" customFormat="false" ht="34.5" hidden="false" customHeight="true" outlineLevel="0" collapsed="false">
      <c r="A19" s="5" t="s">
        <v>91</v>
      </c>
      <c r="B19" s="5" t="s">
        <v>64</v>
      </c>
      <c r="C19" s="5" t="s">
        <v>92</v>
      </c>
      <c r="D19" s="6" t="s">
        <v>66</v>
      </c>
      <c r="E19" s="7" t="n">
        <v>43.05</v>
      </c>
      <c r="F19" s="7" t="n">
        <v>4.3</v>
      </c>
      <c r="G19" s="7" t="n">
        <v>0</v>
      </c>
      <c r="H19" s="7" t="n">
        <f aca="false">F19-G19</f>
        <v>4.3</v>
      </c>
      <c r="I19" s="5" t="s">
        <v>20</v>
      </c>
      <c r="J19" s="6" t="s">
        <v>67</v>
      </c>
      <c r="K19" s="5" t="s">
        <v>35</v>
      </c>
      <c r="L19" s="8" t="s">
        <v>23</v>
      </c>
      <c r="M19" s="6" t="s">
        <v>68</v>
      </c>
      <c r="N19" s="6" t="s">
        <v>93</v>
      </c>
    </row>
    <row r="20" customFormat="false" ht="34.5" hidden="false" customHeight="true" outlineLevel="0" collapsed="false">
      <c r="A20" s="5" t="s">
        <v>94</v>
      </c>
      <c r="B20" s="5" t="s">
        <v>64</v>
      </c>
      <c r="C20" s="5" t="s">
        <v>95</v>
      </c>
      <c r="D20" s="6" t="s">
        <v>66</v>
      </c>
      <c r="E20" s="7" t="n">
        <v>43.05</v>
      </c>
      <c r="F20" s="7" t="n">
        <v>4.3</v>
      </c>
      <c r="G20" s="7" t="n">
        <v>0</v>
      </c>
      <c r="H20" s="7" t="n">
        <f aca="false">F20-G20</f>
        <v>4.3</v>
      </c>
      <c r="I20" s="5" t="s">
        <v>20</v>
      </c>
      <c r="J20" s="6" t="s">
        <v>67</v>
      </c>
      <c r="K20" s="5" t="s">
        <v>35</v>
      </c>
      <c r="L20" s="8" t="s">
        <v>23</v>
      </c>
      <c r="M20" s="6" t="s">
        <v>68</v>
      </c>
      <c r="N20" s="6" t="s">
        <v>96</v>
      </c>
    </row>
    <row r="21" customFormat="false" ht="34.5" hidden="false" customHeight="true" outlineLevel="0" collapsed="false">
      <c r="A21" s="5" t="s">
        <v>97</v>
      </c>
      <c r="B21" s="5" t="s">
        <v>64</v>
      </c>
      <c r="C21" s="5" t="s">
        <v>98</v>
      </c>
      <c r="D21" s="6" t="s">
        <v>66</v>
      </c>
      <c r="E21" s="7" t="n">
        <v>36.82</v>
      </c>
      <c r="F21" s="7" t="n">
        <v>3.68</v>
      </c>
      <c r="G21" s="7" t="n">
        <v>0</v>
      </c>
      <c r="H21" s="7" t="n">
        <f aca="false">F21-G21</f>
        <v>3.68</v>
      </c>
      <c r="I21" s="5" t="s">
        <v>20</v>
      </c>
      <c r="J21" s="6" t="s">
        <v>99</v>
      </c>
      <c r="K21" s="5" t="s">
        <v>35</v>
      </c>
      <c r="L21" s="8" t="s">
        <v>23</v>
      </c>
      <c r="M21" s="6" t="s">
        <v>68</v>
      </c>
      <c r="N21" s="6" t="s">
        <v>100</v>
      </c>
    </row>
    <row r="22" customFormat="false" ht="34.5" hidden="false" customHeight="true" outlineLevel="0" collapsed="false">
      <c r="A22" s="5" t="s">
        <v>101</v>
      </c>
      <c r="B22" s="5" t="s">
        <v>64</v>
      </c>
      <c r="C22" s="5" t="s">
        <v>102</v>
      </c>
      <c r="D22" s="6" t="s">
        <v>66</v>
      </c>
      <c r="E22" s="7" t="n">
        <v>24.55</v>
      </c>
      <c r="F22" s="7" t="n">
        <v>2.45</v>
      </c>
      <c r="G22" s="7" t="n">
        <v>0</v>
      </c>
      <c r="H22" s="7" t="n">
        <f aca="false">F22-G22</f>
        <v>2.45</v>
      </c>
      <c r="I22" s="5" t="s">
        <v>20</v>
      </c>
      <c r="J22" s="6" t="s">
        <v>103</v>
      </c>
      <c r="K22" s="5" t="s">
        <v>35</v>
      </c>
      <c r="L22" s="8" t="s">
        <v>23</v>
      </c>
      <c r="M22" s="6" t="s">
        <v>68</v>
      </c>
      <c r="N22" s="6" t="s">
        <v>104</v>
      </c>
    </row>
    <row r="23" customFormat="false" ht="34.5" hidden="false" customHeight="true" outlineLevel="0" collapsed="false">
      <c r="A23" s="5" t="s">
        <v>105</v>
      </c>
      <c r="B23" s="5" t="s">
        <v>64</v>
      </c>
      <c r="C23" s="5" t="s">
        <v>106</v>
      </c>
      <c r="D23" s="6" t="s">
        <v>66</v>
      </c>
      <c r="E23" s="7" t="n">
        <v>18.41</v>
      </c>
      <c r="F23" s="7" t="n">
        <v>1.84</v>
      </c>
      <c r="G23" s="7" t="n">
        <v>0</v>
      </c>
      <c r="H23" s="7" t="n">
        <f aca="false">F23-G23</f>
        <v>1.84</v>
      </c>
      <c r="I23" s="5" t="s">
        <v>20</v>
      </c>
      <c r="J23" s="6" t="s">
        <v>107</v>
      </c>
      <c r="K23" s="5" t="s">
        <v>35</v>
      </c>
      <c r="L23" s="8" t="s">
        <v>23</v>
      </c>
      <c r="M23" s="6" t="s">
        <v>68</v>
      </c>
      <c r="N23" s="6" t="s">
        <v>108</v>
      </c>
    </row>
    <row r="24" customFormat="false" ht="34.5" hidden="false" customHeight="true" outlineLevel="0" collapsed="false">
      <c r="A24" s="5" t="s">
        <v>109</v>
      </c>
      <c r="B24" s="5" t="s">
        <v>64</v>
      </c>
      <c r="C24" s="5" t="s">
        <v>110</v>
      </c>
      <c r="D24" s="6" t="s">
        <v>66</v>
      </c>
      <c r="E24" s="7" t="n">
        <v>19.04</v>
      </c>
      <c r="F24" s="7" t="n">
        <v>1.9</v>
      </c>
      <c r="G24" s="7" t="n">
        <v>0</v>
      </c>
      <c r="H24" s="7" t="n">
        <f aca="false">F24-G24</f>
        <v>1.9</v>
      </c>
      <c r="I24" s="5" t="s">
        <v>20</v>
      </c>
      <c r="J24" s="6" t="s">
        <v>111</v>
      </c>
      <c r="K24" s="5" t="s">
        <v>35</v>
      </c>
      <c r="L24" s="8" t="s">
        <v>23</v>
      </c>
      <c r="M24" s="6" t="s">
        <v>68</v>
      </c>
      <c r="N24" s="6" t="s">
        <v>112</v>
      </c>
    </row>
    <row r="25" customFormat="false" ht="34.5" hidden="false" customHeight="true" outlineLevel="0" collapsed="false">
      <c r="A25" s="5" t="s">
        <v>113</v>
      </c>
      <c r="B25" s="5" t="s">
        <v>64</v>
      </c>
      <c r="C25" s="5" t="s">
        <v>114</v>
      </c>
      <c r="D25" s="6" t="s">
        <v>66</v>
      </c>
      <c r="E25" s="7" t="n">
        <v>44.46</v>
      </c>
      <c r="F25" s="7" t="n">
        <v>4.45</v>
      </c>
      <c r="G25" s="7" t="n">
        <v>0</v>
      </c>
      <c r="H25" s="7" t="n">
        <f aca="false">F25-G25</f>
        <v>4.45</v>
      </c>
      <c r="I25" s="5" t="s">
        <v>20</v>
      </c>
      <c r="J25" s="6" t="s">
        <v>115</v>
      </c>
      <c r="K25" s="5" t="s">
        <v>35</v>
      </c>
      <c r="L25" s="8" t="s">
        <v>23</v>
      </c>
      <c r="M25" s="6" t="s">
        <v>68</v>
      </c>
      <c r="N25" s="6" t="s">
        <v>116</v>
      </c>
    </row>
    <row r="26" customFormat="false" ht="45.75" hidden="false" customHeight="true" outlineLevel="0" collapsed="false">
      <c r="A26" s="5" t="s">
        <v>117</v>
      </c>
      <c r="B26" s="5" t="s">
        <v>64</v>
      </c>
      <c r="C26" s="5" t="s">
        <v>118</v>
      </c>
      <c r="D26" s="6" t="s">
        <v>66</v>
      </c>
      <c r="E26" s="7" t="n">
        <v>38.09</v>
      </c>
      <c r="F26" s="7" t="n">
        <v>3.79</v>
      </c>
      <c r="G26" s="7" t="n">
        <v>0</v>
      </c>
      <c r="H26" s="7" t="n">
        <f aca="false">F26-G26</f>
        <v>3.79</v>
      </c>
      <c r="I26" s="5" t="s">
        <v>20</v>
      </c>
      <c r="J26" s="6" t="s">
        <v>119</v>
      </c>
      <c r="K26" s="5" t="s">
        <v>35</v>
      </c>
      <c r="L26" s="8" t="s">
        <v>23</v>
      </c>
      <c r="M26" s="6" t="s">
        <v>68</v>
      </c>
      <c r="N26" s="6" t="s">
        <v>120</v>
      </c>
    </row>
    <row r="27" customFormat="false" ht="124.5" hidden="false" customHeight="true" outlineLevel="0" collapsed="false">
      <c r="A27" s="5" t="s">
        <v>121</v>
      </c>
      <c r="B27" s="5" t="s">
        <v>64</v>
      </c>
      <c r="C27" s="5" t="s">
        <v>122</v>
      </c>
      <c r="D27" s="6" t="s">
        <v>123</v>
      </c>
      <c r="E27" s="7" t="n">
        <v>2727.27</v>
      </c>
      <c r="F27" s="7" t="n">
        <v>272.73</v>
      </c>
      <c r="G27" s="7"/>
      <c r="H27" s="7"/>
      <c r="I27" s="5" t="s">
        <v>124</v>
      </c>
      <c r="J27" s="6" t="s">
        <v>125</v>
      </c>
      <c r="K27" s="5" t="s">
        <v>35</v>
      </c>
      <c r="L27" s="8" t="s">
        <v>60</v>
      </c>
      <c r="M27" s="6" t="s">
        <v>126</v>
      </c>
      <c r="N27" s="6" t="s">
        <v>127</v>
      </c>
    </row>
    <row r="28" customFormat="false" ht="15" hidden="false" customHeight="true" outlineLevel="0" collapsed="false">
      <c r="A28" s="5" t="s">
        <v>128</v>
      </c>
      <c r="B28" s="5" t="s">
        <v>129</v>
      </c>
      <c r="C28" s="5" t="s">
        <v>130</v>
      </c>
      <c r="D28" s="6" t="s">
        <v>131</v>
      </c>
      <c r="E28" s="7" t="n">
        <v>676.64</v>
      </c>
      <c r="F28" s="7" t="n">
        <v>67.66</v>
      </c>
      <c r="G28" s="7" t="n">
        <v>0</v>
      </c>
      <c r="H28" s="7" t="n">
        <f aca="false">F28-G28</f>
        <v>67.66</v>
      </c>
      <c r="I28" s="5" t="s">
        <v>20</v>
      </c>
      <c r="J28" s="6" t="s">
        <v>132</v>
      </c>
      <c r="K28" s="5" t="s">
        <v>35</v>
      </c>
      <c r="L28" s="8" t="s">
        <v>133</v>
      </c>
      <c r="M28" s="6" t="s">
        <v>134</v>
      </c>
      <c r="N28" s="6" t="s">
        <v>135</v>
      </c>
    </row>
    <row r="29" customFormat="false" ht="15" hidden="false" customHeight="true" outlineLevel="0" collapsed="false">
      <c r="A29" s="5" t="s">
        <v>136</v>
      </c>
      <c r="B29" s="5" t="s">
        <v>137</v>
      </c>
      <c r="C29" s="5" t="s">
        <v>138</v>
      </c>
      <c r="D29" s="6" t="s">
        <v>139</v>
      </c>
      <c r="E29" s="7" t="n">
        <v>117.27</v>
      </c>
      <c r="F29" s="7" t="n">
        <v>11.73</v>
      </c>
      <c r="G29" s="7" t="n">
        <v>0</v>
      </c>
      <c r="H29" s="7" t="n">
        <f aca="false">F29-G29</f>
        <v>11.73</v>
      </c>
      <c r="I29" s="5" t="s">
        <v>20</v>
      </c>
      <c r="J29" s="6" t="s">
        <v>140</v>
      </c>
      <c r="K29" s="5" t="s">
        <v>35</v>
      </c>
      <c r="L29" s="8" t="s">
        <v>23</v>
      </c>
      <c r="M29" s="6" t="s">
        <v>141</v>
      </c>
      <c r="N29" s="6" t="s">
        <v>142</v>
      </c>
    </row>
    <row r="30" customFormat="false" ht="57.45" hidden="false" customHeight="false" outlineLevel="0" collapsed="false">
      <c r="A30" s="5" t="s">
        <v>143</v>
      </c>
      <c r="B30" s="5" t="s">
        <v>137</v>
      </c>
      <c r="C30" s="5" t="s">
        <v>144</v>
      </c>
      <c r="D30" s="6" t="s">
        <v>145</v>
      </c>
      <c r="E30" s="7" t="n">
        <v>95.18</v>
      </c>
      <c r="F30" s="7" t="n">
        <v>9.52</v>
      </c>
      <c r="G30" s="7" t="n">
        <v>0</v>
      </c>
      <c r="H30" s="7" t="n">
        <f aca="false">F30-G30</f>
        <v>9.52</v>
      </c>
      <c r="I30" s="5" t="s">
        <v>20</v>
      </c>
      <c r="J30" s="6" t="s">
        <v>146</v>
      </c>
      <c r="K30" s="5" t="s">
        <v>35</v>
      </c>
      <c r="L30" s="8" t="s">
        <v>23</v>
      </c>
      <c r="M30" s="6" t="s">
        <v>147</v>
      </c>
      <c r="N30" s="6" t="s">
        <v>148</v>
      </c>
    </row>
    <row r="31" customFormat="false" ht="57.45" hidden="false" customHeight="false" outlineLevel="0" collapsed="false">
      <c r="A31" s="5" t="s">
        <v>149</v>
      </c>
      <c r="B31" s="5" t="s">
        <v>137</v>
      </c>
      <c r="C31" s="5" t="s">
        <v>150</v>
      </c>
      <c r="D31" s="6" t="s">
        <v>151</v>
      </c>
      <c r="E31" s="7" t="n">
        <v>87.59</v>
      </c>
      <c r="F31" s="7" t="n">
        <v>8.76</v>
      </c>
      <c r="G31" s="7" t="n">
        <v>0</v>
      </c>
      <c r="H31" s="7" t="n">
        <f aca="false">F31-G31</f>
        <v>8.76</v>
      </c>
      <c r="I31" s="5" t="s">
        <v>20</v>
      </c>
      <c r="J31" s="6" t="s">
        <v>152</v>
      </c>
      <c r="K31" s="5" t="s">
        <v>35</v>
      </c>
      <c r="L31" s="8" t="s">
        <v>133</v>
      </c>
      <c r="M31" s="6" t="s">
        <v>153</v>
      </c>
      <c r="N31" s="6" t="s">
        <v>154</v>
      </c>
    </row>
    <row r="32" customFormat="false" ht="15" hidden="false" customHeight="false" outlineLevel="0" collapsed="false">
      <c r="D32" s="11" t="s">
        <v>155</v>
      </c>
      <c r="E32" s="12" t="n">
        <v>905.61</v>
      </c>
      <c r="F32" s="12" t="n">
        <v>90.56</v>
      </c>
      <c r="G32" s="12" t="n">
        <v>90.46</v>
      </c>
      <c r="H32" s="13" t="n">
        <f aca="false">F32-G32</f>
        <v>0.100000000000009</v>
      </c>
      <c r="J32" s="1" t="s">
        <v>156</v>
      </c>
      <c r="K32" s="1" t="s">
        <v>157</v>
      </c>
      <c r="L32" s="1" t="s">
        <v>23</v>
      </c>
      <c r="M32" s="1" t="s">
        <v>158</v>
      </c>
      <c r="N32" s="1" t="s">
        <v>159</v>
      </c>
    </row>
    <row r="33" customFormat="false" ht="15" hidden="false" customHeight="false" outlineLevel="0" collapsed="false">
      <c r="D33" s="11" t="s">
        <v>160</v>
      </c>
      <c r="E33" s="12"/>
      <c r="F33" s="12"/>
      <c r="G33" s="12"/>
      <c r="H33" s="13" t="n">
        <f aca="false">SUMIFS(H5:H32,L5:L32,"OPEN")</f>
        <v>151.96</v>
      </c>
    </row>
    <row r="34" customFormat="false" ht="15" hidden="false" customHeight="false" outlineLevel="0" collapsed="false">
      <c r="A34" s="1" t="s">
        <v>161</v>
      </c>
      <c r="B34" s="1" t="s">
        <v>162</v>
      </c>
      <c r="C34" s="1" t="s">
        <v>163</v>
      </c>
      <c r="D34" s="1" t="s">
        <v>164</v>
      </c>
      <c r="E34" s="1" t="n">
        <v>0.1</v>
      </c>
      <c r="F34" s="1" t="s">
        <v>165</v>
      </c>
      <c r="G34" s="1" t="s">
        <v>157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2026-06-09T23:06:56Z</dcterms:created>
  <dc:creator>openpyxl</dc:creator>
  <dc:description/>
  <dc:language>en-US</dc:language>
  <cp:lastModifiedBy/>
  <dcterms:modified xsi:type="dcterms:W3CDTF">2026-06-11T04:54:25Z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