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ogancity-my.sharepoint.com/personal/speroefstathiadis_logan_qld_gov_au/Documents/Downloads/"/>
    </mc:Choice>
  </mc:AlternateContent>
  <xr:revisionPtr revIDLastSave="0" documentId="8_{3BB30D9A-2C72-4590-B390-4AA3DE551CB4}" xr6:coauthVersionLast="47" xr6:coauthVersionMax="47" xr10:uidLastSave="{00000000-0000-0000-0000-000000000000}"/>
  <bookViews>
    <workbookView xWindow="-28920" yWindow="-120" windowWidth="29040" windowHeight="15720" tabRatio="764" firstSheet="92" activeTab="101" xr2:uid="{697BEA58-2FC8-4045-9BCF-F9EB5C7AEE75}"/>
  </bookViews>
  <sheets>
    <sheet name="Parks Journal input May 2021" sheetId="15" state="hidden" r:id="rId1"/>
    <sheet name="May-2021" sheetId="14" r:id="rId2"/>
    <sheet name="April Example" sheetId="1" r:id="rId3"/>
    <sheet name="Parks Journal input June 2021" sheetId="16" state="hidden" r:id="rId4"/>
    <sheet name="June 2021" sheetId="6" r:id="rId5"/>
    <sheet name="July 2021" sheetId="7" r:id="rId6"/>
    <sheet name="Parks Journal input July 2021" sheetId="17" r:id="rId7"/>
    <sheet name="August 2021" sheetId="8" r:id="rId8"/>
    <sheet name="Parks Journal input August 2021" sheetId="18" r:id="rId9"/>
    <sheet name="September 2021" sheetId="9" r:id="rId10"/>
    <sheet name="Parks Journal input October 21" sheetId="19" r:id="rId11"/>
    <sheet name="October 2021" sheetId="20" r:id="rId12"/>
    <sheet name="Parks Journal input Nov 21" sheetId="21" r:id="rId13"/>
    <sheet name="November 2021" sheetId="11" r:id="rId14"/>
    <sheet name="Parks Journal input Dec 2021" sheetId="24" r:id="rId15"/>
    <sheet name="December 2021" sheetId="12" r:id="rId16"/>
    <sheet name="Parks Journal input Jan 2022" sheetId="25" r:id="rId17"/>
    <sheet name="January 2022" sheetId="22" r:id="rId18"/>
    <sheet name="Parks Journal input March 2022" sheetId="26" r:id="rId19"/>
    <sheet name="March 2022" sheetId="23" r:id="rId20"/>
    <sheet name="Parks Journal input April 2022" sheetId="28" r:id="rId21"/>
    <sheet name="April 2022 " sheetId="29" r:id="rId22"/>
    <sheet name="Parks Journal input May 2022" sheetId="34" r:id="rId23"/>
    <sheet name="May 2022" sheetId="35" r:id="rId24"/>
    <sheet name="Parks Journal input June 2022" sheetId="37" r:id="rId25"/>
    <sheet name="June 2022" sheetId="36" r:id="rId26"/>
    <sheet name="Parks Journal input July 22" sheetId="40" r:id="rId27"/>
    <sheet name="July 2022" sheetId="38" r:id="rId28"/>
    <sheet name="Parks Journal input August 22" sheetId="41" r:id="rId29"/>
    <sheet name="August 2022" sheetId="39" r:id="rId30"/>
    <sheet name="FSDM Renewals 22.23" sheetId="32" r:id="rId31"/>
    <sheet name="EH Internal Invoicing" sheetId="47" r:id="rId32"/>
    <sheet name="CSP Renewals 22.23" sheetId="33" r:id="rId33"/>
    <sheet name="Parks Journal input Sep 2022" sheetId="44" r:id="rId34"/>
    <sheet name="September 2022" sheetId="42" r:id="rId35"/>
    <sheet name="Parks Journal input Oct 2022" sheetId="45" r:id="rId36"/>
    <sheet name="October 2022" sheetId="43" r:id="rId37"/>
    <sheet name="Parks Journal input Nov 2022" sheetId="53" r:id="rId38"/>
    <sheet name="November 2022" sheetId="46" r:id="rId39"/>
    <sheet name="Parks Journal input Dec 2022" sheetId="54" r:id="rId40"/>
    <sheet name="December 2022" sheetId="50" r:id="rId41"/>
    <sheet name="Parks Journal input Jan 2023" sheetId="55" r:id="rId42"/>
    <sheet name="January 2023" sheetId="51" r:id="rId43"/>
    <sheet name="Parks Journal input Feb 2023" sheetId="56" r:id="rId44"/>
    <sheet name="February 2023" sheetId="52" r:id="rId45"/>
    <sheet name="Parks Journal input Mar 2023" sheetId="58" r:id="rId46"/>
    <sheet name="March 2023" sheetId="57" r:id="rId47"/>
    <sheet name="Parks Journal input April 2023" sheetId="61" r:id="rId48"/>
    <sheet name="April 2023" sheetId="60" r:id="rId49"/>
    <sheet name="EH April" sheetId="59" r:id="rId50"/>
    <sheet name="EH May 2023" sheetId="63" r:id="rId51"/>
    <sheet name="EH Renewals" sheetId="66" r:id="rId52"/>
    <sheet name="EH July 2023" sheetId="69" r:id="rId53"/>
    <sheet name="Parks Journal input May 2023" sheetId="64" r:id="rId54"/>
    <sheet name="Parks Journal input June 2023" sheetId="68" r:id="rId55"/>
    <sheet name="May 2023" sheetId="62" r:id="rId56"/>
    <sheet name="June 2023" sheetId="65" r:id="rId57"/>
    <sheet name="July 2023" sheetId="67" r:id="rId58"/>
    <sheet name="August 2023" sheetId="70" r:id="rId59"/>
    <sheet name="EH September " sheetId="71" r:id="rId60"/>
    <sheet name="September 2023" sheetId="72" r:id="rId61"/>
    <sheet name="October 2023" sheetId="73" r:id="rId62"/>
    <sheet name="November 2023" sheetId="74" r:id="rId63"/>
    <sheet name="December 2023" sheetId="75" r:id="rId64"/>
    <sheet name="January 2024" sheetId="76" r:id="rId65"/>
    <sheet name="Feb 2024" sheetId="77" r:id="rId66"/>
    <sheet name="March 2024" sheetId="78" r:id="rId67"/>
    <sheet name="April 2024" sheetId="79" r:id="rId68"/>
    <sheet name="May 2024" sheetId="80" r:id="rId69"/>
    <sheet name="EH May 2024 " sheetId="81" r:id="rId70"/>
    <sheet name="June 2024" sheetId="82" r:id="rId71"/>
    <sheet name="EH Renewal - July" sheetId="83" r:id="rId72"/>
    <sheet name="July 2024" sheetId="84" r:id="rId73"/>
    <sheet name="August 2024" sheetId="85" r:id="rId74"/>
    <sheet name="September 2024" sheetId="86" r:id="rId75"/>
    <sheet name="October 2024" sheetId="88" r:id="rId76"/>
    <sheet name="October - EH Internal Invoice" sheetId="87" r:id="rId77"/>
    <sheet name="November 2024" sheetId="89" r:id="rId78"/>
    <sheet name="December 2024" sheetId="90" r:id="rId79"/>
    <sheet name="January 2025" sheetId="91" r:id="rId80"/>
    <sheet name="February 2025" sheetId="92" r:id="rId81"/>
    <sheet name="EH February 2025" sheetId="93" r:id="rId82"/>
    <sheet name="March 2025" sheetId="94" r:id="rId83"/>
    <sheet name="April 2025" sheetId="95" r:id="rId84"/>
    <sheet name="EH May 2025" sheetId="96" r:id="rId85"/>
    <sheet name="May 2025" sheetId="97" r:id="rId86"/>
    <sheet name="June 2025" sheetId="98" r:id="rId87"/>
    <sheet name="July 2025" sheetId="99" r:id="rId88"/>
    <sheet name="EH July 2025" sheetId="101" r:id="rId89"/>
    <sheet name="August 2025" sheetId="100" r:id="rId90"/>
    <sheet name="EH August 2025" sheetId="102" r:id="rId91"/>
    <sheet name="September 2025" sheetId="103" r:id="rId92"/>
    <sheet name="October 2025" sheetId="104" r:id="rId93"/>
    <sheet name="EH November 2025" sheetId="105" r:id="rId94"/>
    <sheet name="November 2025" sheetId="106" r:id="rId95"/>
    <sheet name="December 2025" sheetId="107" r:id="rId96"/>
    <sheet name="January 2026" sheetId="108" r:id="rId97"/>
    <sheet name="February 2026" sheetId="109" r:id="rId98"/>
    <sheet name="EH February 2026" sheetId="110" r:id="rId99"/>
    <sheet name="March 2026" sheetId="111" r:id="rId100"/>
    <sheet name="April 2026" sheetId="112" r:id="rId101"/>
    <sheet name="May 2026" sheetId="113" r:id="rId102"/>
    <sheet name="Lookup Values" sheetId="4" r:id="rId103"/>
  </sheets>
  <externalReferences>
    <externalReference r:id="rId104"/>
    <externalReference r:id="rId105"/>
    <externalReference r:id="rId106"/>
    <externalReference r:id="rId107"/>
    <externalReference r:id="rId108"/>
  </externalReferences>
  <definedNames>
    <definedName name="_xlnm._FilterDatabase" localSheetId="21" hidden="1">'April 2022 '!$A$8:$G$52</definedName>
    <definedName name="_xlnm._FilterDatabase" localSheetId="29" hidden="1">'August 2022'!$A$10:$G$23</definedName>
    <definedName name="_xlnm._FilterDatabase" localSheetId="15" hidden="1">'December 2021'!$A$8:$G$57</definedName>
    <definedName name="_xlnm._FilterDatabase" localSheetId="40" hidden="1">'December 2022'!$A$9:$G$25</definedName>
    <definedName name="_xlnm._FilterDatabase" localSheetId="44" hidden="1">'February 2023'!$A$11:$G$32</definedName>
    <definedName name="_xlnm._FilterDatabase" localSheetId="97" hidden="1">'February 2026'!$A$8:$G$72</definedName>
    <definedName name="_xlnm._FilterDatabase" localSheetId="17" hidden="1">'January 2022'!$A$8:$G$62</definedName>
    <definedName name="_xlnm._FilterDatabase" localSheetId="42" hidden="1">'January 2023'!$A$9:$G$44</definedName>
    <definedName name="_xlnm._FilterDatabase" localSheetId="27" hidden="1">'July 2022'!$A$9:$G$17</definedName>
    <definedName name="_xlnm._FilterDatabase" localSheetId="25" hidden="1">'June 2022'!$A$8:$G$46</definedName>
    <definedName name="_xlnm._FilterDatabase" localSheetId="56" hidden="1">'June 2023'!$A$8:$G$60</definedName>
    <definedName name="_xlnm._FilterDatabase" localSheetId="102" hidden="1">'Lookup Values'!$G$1:$I$38</definedName>
    <definedName name="_xlnm._FilterDatabase" localSheetId="19" hidden="1">'March 2022'!$A$8:$G$86</definedName>
    <definedName name="_xlnm._FilterDatabase" localSheetId="46" hidden="1">'March 2023'!$A$11:$G$42</definedName>
    <definedName name="_xlnm._FilterDatabase" localSheetId="99" hidden="1">'March 2026'!$A$8:$G$57</definedName>
    <definedName name="_xlnm._FilterDatabase" localSheetId="23" hidden="1">'May 2022'!$A$8:$G$75</definedName>
    <definedName name="_xlnm._FilterDatabase" localSheetId="55" hidden="1">'May 2023'!$A$11:$G$67</definedName>
    <definedName name="_xlnm._FilterDatabase" localSheetId="101" hidden="1">'May 2026'!$A$8:$H$74</definedName>
    <definedName name="_xlnm._FilterDatabase" localSheetId="38" hidden="1">'November 2022'!$A$9:$G$49</definedName>
    <definedName name="_xlnm._FilterDatabase" localSheetId="36" hidden="1">'October 2022'!$A$9:$G$49</definedName>
    <definedName name="_xlnm._FilterDatabase" localSheetId="92" hidden="1">'October 2025'!$A$8:$K$118</definedName>
    <definedName name="_xlnm._FilterDatabase" localSheetId="34" hidden="1">'September 2022'!$A$9:$G$42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" i="96" l="1"/>
  <c r="D9" i="93"/>
  <c r="D9" i="87"/>
  <c r="D9" i="83"/>
  <c r="D26" i="76"/>
  <c r="D24" i="77"/>
  <c r="D9" i="75" l="1"/>
  <c r="D9" i="74"/>
  <c r="D9" i="73"/>
  <c r="D9" i="72"/>
  <c r="D9" i="71"/>
  <c r="D9" i="70"/>
  <c r="D9" i="67"/>
  <c r="D9" i="69"/>
  <c r="D9" i="66"/>
  <c r="D9" i="65"/>
  <c r="D13" i="62"/>
  <c r="D9" i="63"/>
  <c r="D9" i="59"/>
  <c r="D13" i="60"/>
  <c r="D13" i="57"/>
  <c r="D12" i="52"/>
  <c r="D10" i="51"/>
  <c r="D10" i="46"/>
  <c r="D10" i="50"/>
  <c r="D9" i="47"/>
  <c r="D10" i="43"/>
  <c r="D10" i="42"/>
  <c r="D10" i="38"/>
  <c r="D9" i="33" l="1"/>
  <c r="D10" i="39"/>
  <c r="D9" i="36"/>
  <c r="D9" i="23"/>
  <c r="D9" i="35"/>
  <c r="D9" i="32"/>
  <c r="D9" i="29"/>
  <c r="C9" i="29"/>
  <c r="D9" i="22"/>
  <c r="C9" i="23"/>
  <c r="C9" i="22"/>
  <c r="D9" i="12"/>
  <c r="C9" i="12"/>
  <c r="C57" i="11"/>
  <c r="C56" i="11"/>
  <c r="C55" i="11"/>
  <c r="C54" i="11"/>
  <c r="C53" i="11"/>
  <c r="C52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0" i="11"/>
  <c r="C29" i="11"/>
  <c r="C28" i="11"/>
  <c r="C27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D533" i="20"/>
  <c r="C533" i="20"/>
  <c r="B533" i="20"/>
  <c r="A533" i="20"/>
  <c r="D532" i="20"/>
  <c r="C532" i="20"/>
  <c r="B532" i="20"/>
  <c r="A532" i="20"/>
  <c r="D531" i="20"/>
  <c r="C531" i="20"/>
  <c r="B531" i="20"/>
  <c r="A531" i="20"/>
  <c r="D530" i="20"/>
  <c r="C530" i="20"/>
  <c r="B530" i="20"/>
  <c r="A530" i="20"/>
  <c r="D529" i="20"/>
  <c r="C529" i="20"/>
  <c r="B529" i="20"/>
  <c r="A529" i="20"/>
  <c r="D528" i="20"/>
  <c r="C528" i="20"/>
  <c r="B528" i="20"/>
  <c r="A528" i="20"/>
  <c r="D527" i="20"/>
  <c r="C527" i="20"/>
  <c r="B527" i="20"/>
  <c r="A527" i="20"/>
  <c r="D526" i="20"/>
  <c r="C526" i="20"/>
  <c r="B526" i="20"/>
  <c r="A526" i="20"/>
  <c r="D525" i="20"/>
  <c r="C525" i="20"/>
  <c r="B525" i="20"/>
  <c r="A525" i="20"/>
  <c r="D524" i="20"/>
  <c r="C524" i="20"/>
  <c r="B524" i="20"/>
  <c r="A524" i="20"/>
  <c r="D523" i="20"/>
  <c r="C523" i="20"/>
  <c r="B523" i="20"/>
  <c r="A523" i="20"/>
  <c r="D522" i="20"/>
  <c r="C522" i="20"/>
  <c r="B522" i="20"/>
  <c r="A522" i="20"/>
  <c r="D521" i="20"/>
  <c r="C521" i="20"/>
  <c r="B521" i="20"/>
  <c r="A521" i="20"/>
  <c r="D520" i="20"/>
  <c r="C520" i="20"/>
  <c r="B520" i="20"/>
  <c r="A520" i="20"/>
  <c r="D519" i="20"/>
  <c r="C519" i="20"/>
  <c r="B519" i="20"/>
  <c r="A519" i="20"/>
  <c r="D518" i="20"/>
  <c r="C518" i="20"/>
  <c r="B518" i="20"/>
  <c r="A518" i="20"/>
  <c r="D517" i="20"/>
  <c r="C517" i="20"/>
  <c r="B517" i="20"/>
  <c r="A517" i="20"/>
  <c r="D516" i="20"/>
  <c r="C516" i="20"/>
  <c r="B516" i="20"/>
  <c r="A516" i="20"/>
  <c r="D515" i="20"/>
  <c r="C515" i="20"/>
  <c r="B515" i="20"/>
  <c r="A515" i="20"/>
  <c r="D514" i="20"/>
  <c r="C514" i="20"/>
  <c r="B514" i="20"/>
  <c r="A514" i="20"/>
  <c r="D513" i="20"/>
  <c r="C513" i="20"/>
  <c r="B513" i="20"/>
  <c r="A513" i="20"/>
  <c r="D512" i="20"/>
  <c r="C512" i="20"/>
  <c r="B512" i="20"/>
  <c r="A512" i="20"/>
  <c r="D511" i="20"/>
  <c r="C511" i="20"/>
  <c r="B511" i="20"/>
  <c r="A511" i="20"/>
  <c r="D510" i="20"/>
  <c r="C510" i="20"/>
  <c r="B510" i="20"/>
  <c r="A510" i="20"/>
  <c r="D509" i="20"/>
  <c r="C509" i="20"/>
  <c r="B509" i="20"/>
  <c r="A509" i="20"/>
  <c r="D508" i="20"/>
  <c r="C508" i="20"/>
  <c r="B508" i="20"/>
  <c r="A508" i="20"/>
  <c r="D507" i="20"/>
  <c r="C507" i="20"/>
  <c r="B507" i="20"/>
  <c r="A507" i="20"/>
  <c r="D506" i="20"/>
  <c r="C506" i="20"/>
  <c r="B506" i="20"/>
  <c r="A506" i="20"/>
  <c r="D505" i="20"/>
  <c r="C505" i="20"/>
  <c r="B505" i="20"/>
  <c r="A505" i="20"/>
  <c r="D504" i="20"/>
  <c r="C504" i="20"/>
  <c r="B504" i="20"/>
  <c r="A504" i="20"/>
  <c r="D503" i="20"/>
  <c r="C503" i="20"/>
  <c r="B503" i="20"/>
  <c r="A503" i="20"/>
  <c r="D502" i="20"/>
  <c r="C502" i="20"/>
  <c r="B502" i="20"/>
  <c r="A502" i="20"/>
  <c r="D501" i="20"/>
  <c r="C501" i="20"/>
  <c r="B501" i="20"/>
  <c r="A501" i="20"/>
  <c r="D500" i="20"/>
  <c r="C500" i="20"/>
  <c r="B500" i="20"/>
  <c r="A500" i="20"/>
  <c r="D499" i="20"/>
  <c r="C499" i="20"/>
  <c r="B499" i="20"/>
  <c r="A499" i="20"/>
  <c r="D498" i="20"/>
  <c r="C498" i="20"/>
  <c r="B498" i="20"/>
  <c r="A498" i="20"/>
  <c r="D497" i="20"/>
  <c r="C497" i="20"/>
  <c r="B497" i="20"/>
  <c r="A497" i="20"/>
  <c r="D496" i="20"/>
  <c r="C496" i="20"/>
  <c r="B496" i="20"/>
  <c r="A496" i="20"/>
  <c r="D495" i="20"/>
  <c r="C495" i="20"/>
  <c r="B495" i="20"/>
  <c r="A495" i="20"/>
  <c r="D494" i="20"/>
  <c r="C494" i="20"/>
  <c r="B494" i="20"/>
  <c r="A494" i="20"/>
  <c r="D493" i="20"/>
  <c r="C493" i="20"/>
  <c r="B493" i="20"/>
  <c r="A493" i="20"/>
  <c r="D492" i="20"/>
  <c r="C492" i="20"/>
  <c r="B492" i="20"/>
  <c r="A492" i="20"/>
  <c r="D491" i="20"/>
  <c r="C491" i="20"/>
  <c r="B491" i="20"/>
  <c r="A491" i="20"/>
  <c r="D490" i="20"/>
  <c r="C490" i="20"/>
  <c r="B490" i="20"/>
  <c r="A490" i="20"/>
  <c r="D489" i="20"/>
  <c r="C489" i="20"/>
  <c r="B489" i="20"/>
  <c r="A489" i="20"/>
  <c r="D488" i="20"/>
  <c r="C488" i="20"/>
  <c r="B488" i="20"/>
  <c r="A488" i="20"/>
  <c r="D487" i="20"/>
  <c r="C487" i="20"/>
  <c r="B487" i="20"/>
  <c r="A487" i="20"/>
  <c r="D486" i="20"/>
  <c r="C486" i="20"/>
  <c r="B486" i="20"/>
  <c r="A486" i="20"/>
  <c r="D485" i="20"/>
  <c r="C485" i="20"/>
  <c r="B485" i="20"/>
  <c r="A485" i="20"/>
  <c r="D484" i="20"/>
  <c r="C484" i="20"/>
  <c r="B484" i="20"/>
  <c r="A484" i="20"/>
  <c r="D483" i="20"/>
  <c r="C483" i="20"/>
  <c r="B483" i="20"/>
  <c r="A483" i="20"/>
  <c r="D482" i="20"/>
  <c r="C482" i="20"/>
  <c r="B482" i="20"/>
  <c r="A482" i="20"/>
  <c r="D481" i="20"/>
  <c r="C481" i="20"/>
  <c r="B481" i="20"/>
  <c r="A481" i="20"/>
  <c r="D480" i="20"/>
  <c r="C480" i="20"/>
  <c r="B480" i="20"/>
  <c r="A480" i="20"/>
  <c r="D479" i="20"/>
  <c r="C479" i="20"/>
  <c r="B479" i="20"/>
  <c r="A479" i="20"/>
  <c r="D478" i="20"/>
  <c r="C478" i="20"/>
  <c r="B478" i="20"/>
  <c r="A478" i="20"/>
  <c r="D477" i="20"/>
  <c r="C477" i="20"/>
  <c r="B477" i="20"/>
  <c r="A477" i="20"/>
  <c r="D476" i="20"/>
  <c r="C476" i="20"/>
  <c r="B476" i="20"/>
  <c r="A476" i="20"/>
  <c r="D475" i="20"/>
  <c r="C475" i="20"/>
  <c r="B475" i="20"/>
  <c r="A475" i="20"/>
  <c r="D474" i="20"/>
  <c r="C474" i="20"/>
  <c r="B474" i="20"/>
  <c r="A474" i="20"/>
  <c r="D473" i="20"/>
  <c r="C473" i="20"/>
  <c r="B473" i="20"/>
  <c r="A473" i="20"/>
  <c r="D472" i="20"/>
  <c r="C472" i="20"/>
  <c r="B472" i="20"/>
  <c r="A472" i="20"/>
  <c r="D471" i="20"/>
  <c r="C471" i="20"/>
  <c r="B471" i="20"/>
  <c r="A471" i="20"/>
  <c r="D470" i="20"/>
  <c r="C470" i="20"/>
  <c r="B470" i="20"/>
  <c r="A470" i="20"/>
  <c r="D469" i="20"/>
  <c r="C469" i="20"/>
  <c r="B469" i="20"/>
  <c r="A469" i="20"/>
  <c r="D468" i="20"/>
  <c r="C468" i="20"/>
  <c r="B468" i="20"/>
  <c r="A468" i="20"/>
  <c r="D467" i="20"/>
  <c r="C467" i="20"/>
  <c r="B467" i="20"/>
  <c r="A467" i="20"/>
  <c r="D466" i="20"/>
  <c r="C466" i="20"/>
  <c r="B466" i="20"/>
  <c r="A466" i="20"/>
  <c r="D465" i="20"/>
  <c r="C465" i="20"/>
  <c r="B465" i="20"/>
  <c r="A465" i="20"/>
  <c r="D464" i="20"/>
  <c r="C464" i="20"/>
  <c r="B464" i="20"/>
  <c r="A464" i="20"/>
  <c r="D463" i="20"/>
  <c r="C463" i="20"/>
  <c r="B463" i="20"/>
  <c r="A463" i="20"/>
  <c r="D462" i="20"/>
  <c r="C462" i="20"/>
  <c r="B462" i="20"/>
  <c r="A462" i="20"/>
  <c r="D461" i="20"/>
  <c r="C461" i="20"/>
  <c r="B461" i="20"/>
  <c r="A461" i="20"/>
  <c r="D460" i="20"/>
  <c r="C460" i="20"/>
  <c r="B460" i="20"/>
  <c r="A460" i="20"/>
  <c r="D459" i="20"/>
  <c r="C459" i="20"/>
  <c r="B459" i="20"/>
  <c r="A459" i="20"/>
  <c r="D458" i="20"/>
  <c r="C458" i="20"/>
  <c r="B458" i="20"/>
  <c r="A458" i="20"/>
  <c r="D457" i="20"/>
  <c r="C457" i="20"/>
  <c r="B457" i="20"/>
  <c r="A457" i="20"/>
  <c r="D456" i="20"/>
  <c r="C456" i="20"/>
  <c r="B456" i="20"/>
  <c r="A456" i="20"/>
  <c r="D455" i="20"/>
  <c r="C455" i="20"/>
  <c r="B455" i="20"/>
  <c r="A455" i="20"/>
  <c r="D454" i="20"/>
  <c r="C454" i="20"/>
  <c r="B454" i="20"/>
  <c r="A454" i="20"/>
  <c r="D453" i="20"/>
  <c r="C453" i="20"/>
  <c r="B453" i="20"/>
  <c r="A453" i="20"/>
  <c r="D452" i="20"/>
  <c r="C452" i="20"/>
  <c r="B452" i="20"/>
  <c r="A452" i="20"/>
  <c r="D451" i="20"/>
  <c r="C451" i="20"/>
  <c r="B451" i="20"/>
  <c r="A451" i="20"/>
  <c r="D450" i="20"/>
  <c r="C450" i="20"/>
  <c r="B450" i="20"/>
  <c r="A450" i="20"/>
  <c r="D449" i="20"/>
  <c r="C449" i="20"/>
  <c r="B449" i="20"/>
  <c r="A449" i="20"/>
  <c r="D448" i="20"/>
  <c r="C448" i="20"/>
  <c r="B448" i="20"/>
  <c r="A448" i="20"/>
  <c r="D447" i="20"/>
  <c r="C447" i="20"/>
  <c r="B447" i="20"/>
  <c r="A447" i="20"/>
  <c r="D446" i="20"/>
  <c r="C446" i="20"/>
  <c r="B446" i="20"/>
  <c r="A446" i="20"/>
  <c r="D445" i="20"/>
  <c r="C445" i="20"/>
  <c r="B445" i="20"/>
  <c r="A445" i="20"/>
  <c r="D444" i="20"/>
  <c r="C444" i="20"/>
  <c r="B444" i="20"/>
  <c r="A444" i="20"/>
  <c r="D443" i="20"/>
  <c r="C443" i="20"/>
  <c r="B443" i="20"/>
  <c r="A443" i="20"/>
  <c r="D442" i="20"/>
  <c r="C442" i="20"/>
  <c r="B442" i="20"/>
  <c r="A442" i="20"/>
  <c r="D441" i="20"/>
  <c r="C441" i="20"/>
  <c r="B441" i="20"/>
  <c r="A441" i="20"/>
  <c r="D440" i="20"/>
  <c r="C440" i="20"/>
  <c r="B440" i="20"/>
  <c r="A440" i="20"/>
  <c r="D439" i="20"/>
  <c r="C439" i="20"/>
  <c r="B439" i="20"/>
  <c r="A439" i="20"/>
  <c r="D438" i="20"/>
  <c r="C438" i="20"/>
  <c r="B438" i="20"/>
  <c r="A438" i="20"/>
  <c r="D437" i="20"/>
  <c r="C437" i="20"/>
  <c r="B437" i="20"/>
  <c r="A437" i="20"/>
  <c r="D436" i="20"/>
  <c r="C436" i="20"/>
  <c r="B436" i="20"/>
  <c r="A436" i="20"/>
  <c r="D435" i="20"/>
  <c r="C435" i="20"/>
  <c r="B435" i="20"/>
  <c r="A435" i="20"/>
  <c r="D434" i="20"/>
  <c r="C434" i="20"/>
  <c r="B434" i="20"/>
  <c r="A434" i="20"/>
  <c r="D433" i="20"/>
  <c r="C433" i="20"/>
  <c r="B433" i="20"/>
  <c r="A433" i="20"/>
  <c r="D432" i="20"/>
  <c r="C432" i="20"/>
  <c r="B432" i="20"/>
  <c r="A432" i="20"/>
  <c r="D431" i="20"/>
  <c r="C431" i="20"/>
  <c r="B431" i="20"/>
  <c r="A431" i="20"/>
  <c r="D430" i="20"/>
  <c r="C430" i="20"/>
  <c r="B430" i="20"/>
  <c r="A430" i="20"/>
  <c r="D429" i="20"/>
  <c r="C429" i="20"/>
  <c r="B429" i="20"/>
  <c r="A429" i="20"/>
  <c r="D428" i="20"/>
  <c r="C428" i="20"/>
  <c r="B428" i="20"/>
  <c r="A428" i="20"/>
  <c r="D427" i="20"/>
  <c r="C427" i="20"/>
  <c r="B427" i="20"/>
  <c r="A427" i="20"/>
  <c r="D426" i="20"/>
  <c r="C426" i="20"/>
  <c r="B426" i="20"/>
  <c r="A426" i="20"/>
  <c r="D425" i="20"/>
  <c r="C425" i="20"/>
  <c r="B425" i="20"/>
  <c r="A425" i="20"/>
  <c r="D424" i="20"/>
  <c r="C424" i="20"/>
  <c r="B424" i="20"/>
  <c r="A424" i="20"/>
  <c r="D423" i="20"/>
  <c r="C423" i="20"/>
  <c r="B423" i="20"/>
  <c r="A423" i="20"/>
  <c r="D422" i="20"/>
  <c r="C422" i="20"/>
  <c r="B422" i="20"/>
  <c r="A422" i="20"/>
  <c r="D421" i="20"/>
  <c r="C421" i="20"/>
  <c r="B421" i="20"/>
  <c r="A421" i="20"/>
  <c r="D420" i="20"/>
  <c r="C420" i="20"/>
  <c r="B420" i="20"/>
  <c r="A420" i="20"/>
  <c r="D419" i="20"/>
  <c r="C419" i="20"/>
  <c r="B419" i="20"/>
  <c r="A419" i="20"/>
  <c r="D418" i="20"/>
  <c r="C418" i="20"/>
  <c r="B418" i="20"/>
  <c r="A418" i="20"/>
  <c r="D417" i="20"/>
  <c r="C417" i="20"/>
  <c r="B417" i="20"/>
  <c r="A417" i="20"/>
  <c r="D416" i="20"/>
  <c r="C416" i="20"/>
  <c r="B416" i="20"/>
  <c r="A416" i="20"/>
  <c r="D415" i="20"/>
  <c r="C415" i="20"/>
  <c r="B415" i="20"/>
  <c r="A415" i="20"/>
  <c r="D414" i="20"/>
  <c r="C414" i="20"/>
  <c r="B414" i="20"/>
  <c r="A414" i="20"/>
  <c r="D413" i="20"/>
  <c r="C413" i="20"/>
  <c r="B413" i="20"/>
  <c r="A413" i="20"/>
  <c r="D412" i="20"/>
  <c r="C412" i="20"/>
  <c r="B412" i="20"/>
  <c r="A412" i="20"/>
  <c r="D411" i="20"/>
  <c r="C411" i="20"/>
  <c r="B411" i="20"/>
  <c r="A411" i="20"/>
  <c r="D410" i="20"/>
  <c r="C410" i="20"/>
  <c r="B410" i="20"/>
  <c r="A410" i="20"/>
  <c r="D409" i="20"/>
  <c r="C409" i="20"/>
  <c r="B409" i="20"/>
  <c r="A409" i="20"/>
  <c r="D408" i="20"/>
  <c r="C408" i="20"/>
  <c r="B408" i="20"/>
  <c r="A408" i="20"/>
  <c r="D407" i="20"/>
  <c r="C407" i="20"/>
  <c r="B407" i="20"/>
  <c r="A407" i="20"/>
  <c r="D406" i="20"/>
  <c r="C406" i="20"/>
  <c r="B406" i="20"/>
  <c r="A406" i="20"/>
  <c r="D405" i="20"/>
  <c r="C405" i="20"/>
  <c r="B405" i="20"/>
  <c r="A405" i="20"/>
  <c r="D404" i="20"/>
  <c r="C404" i="20"/>
  <c r="B404" i="20"/>
  <c r="A404" i="20"/>
  <c r="D403" i="20"/>
  <c r="C403" i="20"/>
  <c r="B403" i="20"/>
  <c r="A403" i="20"/>
  <c r="D402" i="20"/>
  <c r="C402" i="20"/>
  <c r="B402" i="20"/>
  <c r="A402" i="20"/>
  <c r="D401" i="20"/>
  <c r="C401" i="20"/>
  <c r="B401" i="20"/>
  <c r="A401" i="20"/>
  <c r="D400" i="20"/>
  <c r="C400" i="20"/>
  <c r="B400" i="20"/>
  <c r="A400" i="20"/>
  <c r="D399" i="20"/>
  <c r="C399" i="20"/>
  <c r="B399" i="20"/>
  <c r="A399" i="20"/>
  <c r="D398" i="20"/>
  <c r="C398" i="20"/>
  <c r="B398" i="20"/>
  <c r="A398" i="20"/>
  <c r="D397" i="20"/>
  <c r="C397" i="20"/>
  <c r="B397" i="20"/>
  <c r="A397" i="20"/>
  <c r="D396" i="20"/>
  <c r="C396" i="20"/>
  <c r="B396" i="20"/>
  <c r="A396" i="20"/>
  <c r="D395" i="20"/>
  <c r="C395" i="20"/>
  <c r="B395" i="20"/>
  <c r="A395" i="20"/>
  <c r="D394" i="20"/>
  <c r="C394" i="20"/>
  <c r="B394" i="20"/>
  <c r="A394" i="20"/>
  <c r="D393" i="20"/>
  <c r="C393" i="20"/>
  <c r="B393" i="20"/>
  <c r="A393" i="20"/>
  <c r="D392" i="20"/>
  <c r="C392" i="20"/>
  <c r="B392" i="20"/>
  <c r="A392" i="20"/>
  <c r="D391" i="20"/>
  <c r="C391" i="20"/>
  <c r="B391" i="20"/>
  <c r="A391" i="20"/>
  <c r="D390" i="20"/>
  <c r="C390" i="20"/>
  <c r="B390" i="20"/>
  <c r="A390" i="20"/>
  <c r="D389" i="20"/>
  <c r="C389" i="20"/>
  <c r="B389" i="20"/>
  <c r="A389" i="20"/>
  <c r="D388" i="20"/>
  <c r="C388" i="20"/>
  <c r="B388" i="20"/>
  <c r="A388" i="20"/>
  <c r="D387" i="20"/>
  <c r="C387" i="20"/>
  <c r="B387" i="20"/>
  <c r="A387" i="20"/>
  <c r="D386" i="20"/>
  <c r="C386" i="20"/>
  <c r="B386" i="20"/>
  <c r="A386" i="20"/>
  <c r="D385" i="20"/>
  <c r="C385" i="20"/>
  <c r="B385" i="20"/>
  <c r="A385" i="20"/>
  <c r="D384" i="20"/>
  <c r="C384" i="20"/>
  <c r="B384" i="20"/>
  <c r="A384" i="20"/>
  <c r="D383" i="20"/>
  <c r="C383" i="20"/>
  <c r="B383" i="20"/>
  <c r="A383" i="20"/>
  <c r="D382" i="20"/>
  <c r="C382" i="20"/>
  <c r="B382" i="20"/>
  <c r="A382" i="20"/>
  <c r="D381" i="20"/>
  <c r="C381" i="20"/>
  <c r="B381" i="20"/>
  <c r="A381" i="20"/>
  <c r="D380" i="20"/>
  <c r="C380" i="20"/>
  <c r="B380" i="20"/>
  <c r="A380" i="20"/>
  <c r="D379" i="20"/>
  <c r="C379" i="20"/>
  <c r="B379" i="20"/>
  <c r="A379" i="20"/>
  <c r="D378" i="20"/>
  <c r="C378" i="20"/>
  <c r="B378" i="20"/>
  <c r="A378" i="20"/>
  <c r="D377" i="20"/>
  <c r="C377" i="20"/>
  <c r="B377" i="20"/>
  <c r="A377" i="20"/>
  <c r="D376" i="20"/>
  <c r="C376" i="20"/>
  <c r="B376" i="20"/>
  <c r="A376" i="20"/>
  <c r="D375" i="20"/>
  <c r="C375" i="20"/>
  <c r="B375" i="20"/>
  <c r="A375" i="20"/>
  <c r="D374" i="20"/>
  <c r="C374" i="20"/>
  <c r="B374" i="20"/>
  <c r="A374" i="20"/>
  <c r="D373" i="20"/>
  <c r="C373" i="20"/>
  <c r="B373" i="20"/>
  <c r="A373" i="20"/>
  <c r="D372" i="20"/>
  <c r="C372" i="20"/>
  <c r="B372" i="20"/>
  <c r="A372" i="20"/>
  <c r="D371" i="20"/>
  <c r="C371" i="20"/>
  <c r="B371" i="20"/>
  <c r="A371" i="20"/>
  <c r="D370" i="20"/>
  <c r="C370" i="20"/>
  <c r="B370" i="20"/>
  <c r="A370" i="20"/>
  <c r="D369" i="20"/>
  <c r="C369" i="20"/>
  <c r="B369" i="20"/>
  <c r="A369" i="20"/>
  <c r="D368" i="20"/>
  <c r="C368" i="20"/>
  <c r="B368" i="20"/>
  <c r="A368" i="20"/>
  <c r="D367" i="20"/>
  <c r="C367" i="20"/>
  <c r="B367" i="20"/>
  <c r="A367" i="20"/>
  <c r="D366" i="20"/>
  <c r="C366" i="20"/>
  <c r="B366" i="20"/>
  <c r="A366" i="20"/>
  <c r="D365" i="20"/>
  <c r="C365" i="20"/>
  <c r="B365" i="20"/>
  <c r="A365" i="20"/>
  <c r="D364" i="20"/>
  <c r="C364" i="20"/>
  <c r="B364" i="20"/>
  <c r="A364" i="20"/>
  <c r="D363" i="20"/>
  <c r="C363" i="20"/>
  <c r="B363" i="20"/>
  <c r="A363" i="20"/>
  <c r="D362" i="20"/>
  <c r="C362" i="20"/>
  <c r="B362" i="20"/>
  <c r="A362" i="20"/>
  <c r="D361" i="20"/>
  <c r="C361" i="20"/>
  <c r="B361" i="20"/>
  <c r="A361" i="20"/>
  <c r="D360" i="20"/>
  <c r="C360" i="20"/>
  <c r="B360" i="20"/>
  <c r="A360" i="20"/>
  <c r="D359" i="20"/>
  <c r="C359" i="20"/>
  <c r="B359" i="20"/>
  <c r="A359" i="20"/>
  <c r="D358" i="20"/>
  <c r="C358" i="20"/>
  <c r="B358" i="20"/>
  <c r="A358" i="20"/>
  <c r="D357" i="20"/>
  <c r="C357" i="20"/>
  <c r="B357" i="20"/>
  <c r="A357" i="20"/>
  <c r="D356" i="20"/>
  <c r="C356" i="20"/>
  <c r="B356" i="20"/>
  <c r="A356" i="20"/>
  <c r="D355" i="20"/>
  <c r="C355" i="20"/>
  <c r="B355" i="20"/>
  <c r="A355" i="20"/>
  <c r="D354" i="20"/>
  <c r="C354" i="20"/>
  <c r="B354" i="20"/>
  <c r="A354" i="20"/>
  <c r="D353" i="20"/>
  <c r="C353" i="20"/>
  <c r="B353" i="20"/>
  <c r="A353" i="20"/>
  <c r="D352" i="20"/>
  <c r="C352" i="20"/>
  <c r="B352" i="20"/>
  <c r="A352" i="20"/>
  <c r="D351" i="20"/>
  <c r="C351" i="20"/>
  <c r="B351" i="20"/>
  <c r="A351" i="20"/>
  <c r="D350" i="20"/>
  <c r="C350" i="20"/>
  <c r="B350" i="20"/>
  <c r="A350" i="20"/>
  <c r="D349" i="20"/>
  <c r="C349" i="20"/>
  <c r="B349" i="20"/>
  <c r="A349" i="20"/>
  <c r="D348" i="20"/>
  <c r="C348" i="20"/>
  <c r="B348" i="20"/>
  <c r="A348" i="20"/>
  <c r="D347" i="20"/>
  <c r="C347" i="20"/>
  <c r="B347" i="20"/>
  <c r="A347" i="20"/>
  <c r="D346" i="20"/>
  <c r="C346" i="20"/>
  <c r="B346" i="20"/>
  <c r="A346" i="20"/>
  <c r="D345" i="20"/>
  <c r="C345" i="20"/>
  <c r="B345" i="20"/>
  <c r="A345" i="20"/>
  <c r="D344" i="20"/>
  <c r="C344" i="20"/>
  <c r="B344" i="20"/>
  <c r="A344" i="20"/>
  <c r="D343" i="20"/>
  <c r="C343" i="20"/>
  <c r="B343" i="20"/>
  <c r="A343" i="20"/>
  <c r="D342" i="20"/>
  <c r="C342" i="20"/>
  <c r="B342" i="20"/>
  <c r="A342" i="20"/>
  <c r="D341" i="20"/>
  <c r="C341" i="20"/>
  <c r="B341" i="20"/>
  <c r="A341" i="20"/>
  <c r="D340" i="20"/>
  <c r="C340" i="20"/>
  <c r="B340" i="20"/>
  <c r="A340" i="20"/>
  <c r="D339" i="20"/>
  <c r="C339" i="20"/>
  <c r="B339" i="20"/>
  <c r="A339" i="20"/>
  <c r="D338" i="20"/>
  <c r="C338" i="20"/>
  <c r="B338" i="20"/>
  <c r="A338" i="20"/>
  <c r="D337" i="20"/>
  <c r="C337" i="20"/>
  <c r="B337" i="20"/>
  <c r="A337" i="20"/>
  <c r="D336" i="20"/>
  <c r="C336" i="20"/>
  <c r="B336" i="20"/>
  <c r="A336" i="20"/>
  <c r="D335" i="20"/>
  <c r="C335" i="20"/>
  <c r="B335" i="20"/>
  <c r="A335" i="20"/>
  <c r="D334" i="20"/>
  <c r="C334" i="20"/>
  <c r="B334" i="20"/>
  <c r="A334" i="20"/>
  <c r="D333" i="20"/>
  <c r="C333" i="20"/>
  <c r="B333" i="20"/>
  <c r="A333" i="20"/>
  <c r="D332" i="20"/>
  <c r="C332" i="20"/>
  <c r="B332" i="20"/>
  <c r="A332" i="20"/>
  <c r="D331" i="20"/>
  <c r="C331" i="20"/>
  <c r="B331" i="20"/>
  <c r="A331" i="20"/>
  <c r="D330" i="20"/>
  <c r="C330" i="20"/>
  <c r="B330" i="20"/>
  <c r="A330" i="20"/>
  <c r="D329" i="20"/>
  <c r="C329" i="20"/>
  <c r="B329" i="20"/>
  <c r="A329" i="20"/>
  <c r="D328" i="20"/>
  <c r="C328" i="20"/>
  <c r="B328" i="20"/>
  <c r="A328" i="20"/>
  <c r="D327" i="20"/>
  <c r="C327" i="20"/>
  <c r="B327" i="20"/>
  <c r="A327" i="20"/>
  <c r="D326" i="20"/>
  <c r="C326" i="20"/>
  <c r="B326" i="20"/>
  <c r="A326" i="20"/>
  <c r="D325" i="20"/>
  <c r="C325" i="20"/>
  <c r="B325" i="20"/>
  <c r="A325" i="20"/>
  <c r="D324" i="20"/>
  <c r="C324" i="20"/>
  <c r="B324" i="20"/>
  <c r="A324" i="20"/>
  <c r="D323" i="20"/>
  <c r="C323" i="20"/>
  <c r="B323" i="20"/>
  <c r="A323" i="20"/>
  <c r="D322" i="20"/>
  <c r="C322" i="20"/>
  <c r="B322" i="20"/>
  <c r="A322" i="20"/>
  <c r="D321" i="20"/>
  <c r="C321" i="20"/>
  <c r="B321" i="20"/>
  <c r="A321" i="20"/>
  <c r="D320" i="20"/>
  <c r="C320" i="20"/>
  <c r="B320" i="20"/>
  <c r="A320" i="20"/>
  <c r="D319" i="20"/>
  <c r="C319" i="20"/>
  <c r="B319" i="20"/>
  <c r="A319" i="20"/>
  <c r="D318" i="20"/>
  <c r="C318" i="20"/>
  <c r="B318" i="20"/>
  <c r="A318" i="20"/>
  <c r="D317" i="20"/>
  <c r="C317" i="20"/>
  <c r="B317" i="20"/>
  <c r="A317" i="20"/>
  <c r="D316" i="20"/>
  <c r="C316" i="20"/>
  <c r="B316" i="20"/>
  <c r="A316" i="20"/>
  <c r="D315" i="20"/>
  <c r="C315" i="20"/>
  <c r="B315" i="20"/>
  <c r="A315" i="20"/>
  <c r="D314" i="20"/>
  <c r="C314" i="20"/>
  <c r="B314" i="20"/>
  <c r="A314" i="20"/>
  <c r="D313" i="20"/>
  <c r="C313" i="20"/>
  <c r="B313" i="20"/>
  <c r="A313" i="20"/>
  <c r="D312" i="20"/>
  <c r="C312" i="20"/>
  <c r="B312" i="20"/>
  <c r="A312" i="20"/>
  <c r="D311" i="20"/>
  <c r="C311" i="20"/>
  <c r="B311" i="20"/>
  <c r="A311" i="20"/>
  <c r="D310" i="20"/>
  <c r="C310" i="20"/>
  <c r="B310" i="20"/>
  <c r="A310" i="20"/>
  <c r="D309" i="20"/>
  <c r="C309" i="20"/>
  <c r="B309" i="20"/>
  <c r="A309" i="20"/>
  <c r="D308" i="20"/>
  <c r="C308" i="20"/>
  <c r="B308" i="20"/>
  <c r="A308" i="20"/>
  <c r="D307" i="20"/>
  <c r="C307" i="20"/>
  <c r="B307" i="20"/>
  <c r="A307" i="20"/>
  <c r="D306" i="20"/>
  <c r="C306" i="20"/>
  <c r="B306" i="20"/>
  <c r="A306" i="20"/>
  <c r="D305" i="20"/>
  <c r="C305" i="20"/>
  <c r="B305" i="20"/>
  <c r="A305" i="20"/>
  <c r="D304" i="20"/>
  <c r="C304" i="20"/>
  <c r="B304" i="20"/>
  <c r="A304" i="20"/>
  <c r="D303" i="20"/>
  <c r="C303" i="20"/>
  <c r="B303" i="20"/>
  <c r="A303" i="20"/>
  <c r="D302" i="20"/>
  <c r="C302" i="20"/>
  <c r="B302" i="20"/>
  <c r="A302" i="20"/>
  <c r="D301" i="20"/>
  <c r="C301" i="20"/>
  <c r="B301" i="20"/>
  <c r="A301" i="20"/>
  <c r="D300" i="20"/>
  <c r="C300" i="20"/>
  <c r="B300" i="20"/>
  <c r="A300" i="20"/>
  <c r="D299" i="20"/>
  <c r="C299" i="20"/>
  <c r="B299" i="20"/>
  <c r="A299" i="20"/>
  <c r="D298" i="20"/>
  <c r="C298" i="20"/>
  <c r="B298" i="20"/>
  <c r="A298" i="20"/>
  <c r="D297" i="20"/>
  <c r="C297" i="20"/>
  <c r="B297" i="20"/>
  <c r="A297" i="20"/>
  <c r="D296" i="20"/>
  <c r="C296" i="20"/>
  <c r="B296" i="20"/>
  <c r="A296" i="20"/>
  <c r="D295" i="20"/>
  <c r="C295" i="20"/>
  <c r="B295" i="20"/>
  <c r="A295" i="20"/>
  <c r="D294" i="20"/>
  <c r="C294" i="20"/>
  <c r="B294" i="20"/>
  <c r="A294" i="20"/>
  <c r="D293" i="20"/>
  <c r="C293" i="20"/>
  <c r="B293" i="20"/>
  <c r="A293" i="20"/>
  <c r="D292" i="20"/>
  <c r="C292" i="20"/>
  <c r="B292" i="20"/>
  <c r="A292" i="20"/>
  <c r="D291" i="20"/>
  <c r="C291" i="20"/>
  <c r="B291" i="20"/>
  <c r="A291" i="20"/>
  <c r="D290" i="20"/>
  <c r="C290" i="20"/>
  <c r="B290" i="20"/>
  <c r="A290" i="20"/>
  <c r="D289" i="20"/>
  <c r="C289" i="20"/>
  <c r="B289" i="20"/>
  <c r="A289" i="20"/>
  <c r="D288" i="20"/>
  <c r="C288" i="20"/>
  <c r="B288" i="20"/>
  <c r="A288" i="20"/>
  <c r="D287" i="20"/>
  <c r="C287" i="20"/>
  <c r="B287" i="20"/>
  <c r="A287" i="20"/>
  <c r="D286" i="20"/>
  <c r="C286" i="20"/>
  <c r="B286" i="20"/>
  <c r="A286" i="20"/>
  <c r="D285" i="20"/>
  <c r="C285" i="20"/>
  <c r="B285" i="20"/>
  <c r="A285" i="20"/>
  <c r="D284" i="20"/>
  <c r="C284" i="20"/>
  <c r="B284" i="20"/>
  <c r="A284" i="20"/>
  <c r="D283" i="20"/>
  <c r="C283" i="20"/>
  <c r="B283" i="20"/>
  <c r="A283" i="20"/>
  <c r="D282" i="20"/>
  <c r="C282" i="20"/>
  <c r="B282" i="20"/>
  <c r="A282" i="20"/>
  <c r="D281" i="20"/>
  <c r="C281" i="20"/>
  <c r="B281" i="20"/>
  <c r="A281" i="20"/>
  <c r="D280" i="20"/>
  <c r="C280" i="20"/>
  <c r="B280" i="20"/>
  <c r="A280" i="20"/>
  <c r="D279" i="20"/>
  <c r="C279" i="20"/>
  <c r="B279" i="20"/>
  <c r="A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B239" i="20"/>
  <c r="B238" i="20"/>
  <c r="B237" i="20"/>
  <c r="B236" i="20"/>
  <c r="B235" i="20"/>
  <c r="B234" i="20"/>
  <c r="B233" i="20"/>
  <c r="B232" i="20"/>
  <c r="B231" i="20"/>
  <c r="B230" i="20"/>
  <c r="B229" i="20"/>
  <c r="B228" i="20"/>
  <c r="B227" i="20"/>
  <c r="B226" i="20"/>
  <c r="B225" i="20"/>
  <c r="B224" i="20"/>
  <c r="B223" i="20"/>
  <c r="B222" i="20"/>
  <c r="B221" i="20"/>
  <c r="B220" i="20"/>
  <c r="B219" i="20"/>
  <c r="B218" i="20"/>
  <c r="B217" i="20"/>
  <c r="B216" i="20"/>
  <c r="B215" i="20"/>
  <c r="B214" i="20"/>
  <c r="B213" i="20"/>
  <c r="B212" i="20"/>
  <c r="B211" i="20"/>
  <c r="B210" i="20"/>
  <c r="B209" i="20"/>
  <c r="B208" i="20"/>
  <c r="B207" i="20"/>
  <c r="B206" i="20"/>
  <c r="B205" i="20"/>
  <c r="B204" i="20"/>
  <c r="B203" i="20"/>
  <c r="B202" i="20"/>
  <c r="B201" i="20"/>
  <c r="B200" i="20"/>
  <c r="B199" i="20"/>
  <c r="B198" i="20"/>
  <c r="B197" i="20"/>
  <c r="B196" i="20"/>
  <c r="B195" i="20"/>
  <c r="B194" i="20"/>
  <c r="B193" i="20"/>
  <c r="B192" i="20"/>
  <c r="B191" i="20"/>
  <c r="B190" i="20"/>
  <c r="B189" i="20"/>
  <c r="B188" i="20"/>
  <c r="B187" i="20"/>
  <c r="B186" i="20"/>
  <c r="B185" i="20"/>
  <c r="B184" i="20"/>
  <c r="B183" i="20"/>
  <c r="B182" i="20"/>
  <c r="B181" i="20"/>
  <c r="B180" i="20"/>
  <c r="B179" i="20"/>
  <c r="B178" i="20"/>
  <c r="B177" i="20"/>
  <c r="B176" i="20"/>
  <c r="B175" i="20"/>
  <c r="B174" i="20"/>
  <c r="B173" i="20"/>
  <c r="B172" i="20"/>
  <c r="B171" i="20"/>
  <c r="B170" i="20"/>
  <c r="B169" i="20"/>
  <c r="B168" i="20"/>
  <c r="B167" i="20"/>
  <c r="B166" i="20"/>
  <c r="B165" i="20"/>
  <c r="B164" i="20"/>
  <c r="B163" i="20"/>
  <c r="B162" i="20"/>
  <c r="B161" i="20"/>
  <c r="B160" i="20"/>
  <c r="B159" i="20"/>
  <c r="B158" i="20"/>
  <c r="B157" i="20"/>
  <c r="B156" i="20"/>
  <c r="B155" i="20"/>
  <c r="B154" i="20"/>
  <c r="B153" i="20"/>
  <c r="B152" i="20"/>
  <c r="B151" i="20"/>
  <c r="B150" i="20"/>
  <c r="B149" i="20"/>
  <c r="B148" i="20"/>
  <c r="B147" i="20"/>
  <c r="B146" i="20"/>
  <c r="B145" i="20"/>
  <c r="B144" i="20"/>
  <c r="B143" i="20"/>
  <c r="B142" i="20"/>
  <c r="B141" i="20"/>
  <c r="B140" i="20"/>
  <c r="B139" i="20"/>
  <c r="B138" i="20"/>
  <c r="B137" i="20"/>
  <c r="B136" i="20"/>
  <c r="B135" i="20"/>
  <c r="B134" i="20"/>
  <c r="B133" i="20"/>
  <c r="B132" i="20"/>
  <c r="B131" i="20"/>
  <c r="B130" i="20"/>
  <c r="B129" i="20"/>
  <c r="B128" i="20"/>
  <c r="B127" i="20"/>
  <c r="B126" i="20"/>
  <c r="B125" i="20"/>
  <c r="B124" i="20"/>
  <c r="B123" i="20"/>
  <c r="B122" i="20"/>
  <c r="B121" i="20"/>
  <c r="B120" i="20"/>
  <c r="B119" i="20"/>
  <c r="B118" i="20"/>
  <c r="B117" i="20"/>
  <c r="B116" i="20"/>
  <c r="B115" i="20"/>
  <c r="B114" i="20"/>
  <c r="B113" i="20"/>
  <c r="B112" i="20"/>
  <c r="B111" i="20"/>
  <c r="B110" i="20"/>
  <c r="B109" i="20"/>
  <c r="B108" i="20"/>
  <c r="B107" i="20"/>
  <c r="B106" i="20"/>
  <c r="B105" i="20"/>
  <c r="B104" i="20"/>
  <c r="B103" i="20"/>
  <c r="B102" i="20"/>
  <c r="B101" i="20"/>
  <c r="B100" i="20"/>
  <c r="B99" i="20"/>
  <c r="B98" i="20"/>
  <c r="B97" i="20"/>
  <c r="B96" i="20"/>
  <c r="B95" i="20"/>
  <c r="B94" i="20"/>
  <c r="B93" i="20"/>
  <c r="B92" i="20"/>
  <c r="B91" i="20"/>
  <c r="B90" i="20"/>
  <c r="B89" i="20"/>
  <c r="B88" i="20"/>
  <c r="B87" i="20"/>
  <c r="B86" i="20"/>
  <c r="B85" i="20"/>
  <c r="B84" i="20"/>
  <c r="B83" i="20"/>
  <c r="B82" i="20"/>
  <c r="B81" i="20"/>
  <c r="B80" i="20"/>
  <c r="B79" i="20"/>
  <c r="B78" i="20"/>
  <c r="B77" i="20"/>
  <c r="B76" i="20"/>
  <c r="B75" i="20"/>
  <c r="B74" i="20"/>
  <c r="B73" i="20"/>
  <c r="B72" i="20"/>
  <c r="B71" i="20"/>
  <c r="B70" i="20"/>
  <c r="B69" i="20"/>
  <c r="B68" i="20"/>
  <c r="B67" i="20"/>
  <c r="B66" i="20"/>
  <c r="B65" i="20"/>
  <c r="B64" i="20"/>
  <c r="B63" i="20"/>
  <c r="B62" i="20"/>
  <c r="B61" i="20"/>
  <c r="C60" i="20"/>
  <c r="C59" i="20"/>
  <c r="C58" i="20"/>
  <c r="C57" i="20"/>
  <c r="B57" i="20"/>
  <c r="C56" i="20"/>
  <c r="B56" i="20"/>
  <c r="C55" i="20"/>
  <c r="C54" i="20"/>
  <c r="C53" i="20"/>
  <c r="C52" i="20"/>
  <c r="B52" i="20"/>
  <c r="C51" i="20"/>
  <c r="B51" i="20"/>
  <c r="C50" i="20"/>
  <c r="C49" i="20"/>
  <c r="B49" i="20"/>
  <c r="C48" i="20"/>
  <c r="C47" i="20"/>
  <c r="C46" i="20"/>
  <c r="B46" i="20"/>
  <c r="C45" i="20"/>
  <c r="C44" i="20"/>
  <c r="B44" i="20"/>
  <c r="C43" i="20"/>
  <c r="C42" i="20"/>
  <c r="B42" i="20"/>
  <c r="C41" i="20"/>
  <c r="C40" i="20"/>
  <c r="C39" i="20"/>
  <c r="C38" i="20"/>
  <c r="C37" i="20"/>
  <c r="B37" i="20"/>
  <c r="C36" i="20"/>
  <c r="C35" i="20"/>
  <c r="B35" i="20"/>
  <c r="C34" i="20"/>
  <c r="B34" i="20"/>
  <c r="C33" i="20"/>
  <c r="B33" i="20"/>
  <c r="C32" i="20"/>
  <c r="B32" i="20"/>
  <c r="C31" i="20"/>
  <c r="B31" i="20"/>
  <c r="C30" i="20"/>
  <c r="B30" i="20"/>
  <c r="C29" i="20"/>
  <c r="B29" i="20"/>
  <c r="C28" i="20"/>
  <c r="C27" i="20"/>
  <c r="C26" i="20"/>
  <c r="B26" i="20"/>
  <c r="C25" i="20"/>
  <c r="B25" i="20"/>
  <c r="C24" i="20"/>
  <c r="B24" i="20"/>
  <c r="C23" i="20"/>
  <c r="C22" i="20"/>
  <c r="C21" i="20"/>
  <c r="C20" i="20"/>
  <c r="C17" i="20"/>
  <c r="C16" i="20"/>
  <c r="C15" i="20"/>
  <c r="C14" i="20"/>
  <c r="C13" i="20"/>
  <c r="C12" i="20"/>
  <c r="C11" i="20"/>
  <c r="C10" i="20"/>
  <c r="D9" i="20"/>
  <c r="C9" i="20"/>
  <c r="G9" i="9" l="1"/>
  <c r="D9" i="9"/>
  <c r="C9" i="9"/>
  <c r="D513" i="8"/>
  <c r="C513" i="8"/>
  <c r="B513" i="8"/>
  <c r="A513" i="8"/>
  <c r="D512" i="8"/>
  <c r="C512" i="8"/>
  <c r="B512" i="8"/>
  <c r="A512" i="8"/>
  <c r="D511" i="8"/>
  <c r="C511" i="8"/>
  <c r="B511" i="8"/>
  <c r="A511" i="8"/>
  <c r="D510" i="8"/>
  <c r="C510" i="8"/>
  <c r="B510" i="8"/>
  <c r="A510" i="8"/>
  <c r="D509" i="8"/>
  <c r="C509" i="8"/>
  <c r="B509" i="8"/>
  <c r="A509" i="8"/>
  <c r="D508" i="8"/>
  <c r="C508" i="8"/>
  <c r="B508" i="8"/>
  <c r="A508" i="8"/>
  <c r="D507" i="8"/>
  <c r="C507" i="8"/>
  <c r="B507" i="8"/>
  <c r="A507" i="8"/>
  <c r="D506" i="8"/>
  <c r="C506" i="8"/>
  <c r="B506" i="8"/>
  <c r="A506" i="8"/>
  <c r="D505" i="8"/>
  <c r="C505" i="8"/>
  <c r="B505" i="8"/>
  <c r="A505" i="8"/>
  <c r="D504" i="8"/>
  <c r="C504" i="8"/>
  <c r="B504" i="8"/>
  <c r="A504" i="8"/>
  <c r="D503" i="8"/>
  <c r="C503" i="8"/>
  <c r="B503" i="8"/>
  <c r="A503" i="8"/>
  <c r="D502" i="8"/>
  <c r="C502" i="8"/>
  <c r="B502" i="8"/>
  <c r="A502" i="8"/>
  <c r="D501" i="8"/>
  <c r="C501" i="8"/>
  <c r="B501" i="8"/>
  <c r="A501" i="8"/>
  <c r="D500" i="8"/>
  <c r="C500" i="8"/>
  <c r="B500" i="8"/>
  <c r="A500" i="8"/>
  <c r="D499" i="8"/>
  <c r="C499" i="8"/>
  <c r="B499" i="8"/>
  <c r="A499" i="8"/>
  <c r="D498" i="8"/>
  <c r="C498" i="8"/>
  <c r="B498" i="8"/>
  <c r="A498" i="8"/>
  <c r="D497" i="8"/>
  <c r="C497" i="8"/>
  <c r="B497" i="8"/>
  <c r="A497" i="8"/>
  <c r="D496" i="8"/>
  <c r="C496" i="8"/>
  <c r="B496" i="8"/>
  <c r="A496" i="8"/>
  <c r="D495" i="8"/>
  <c r="C495" i="8"/>
  <c r="B495" i="8"/>
  <c r="A495" i="8"/>
  <c r="D494" i="8"/>
  <c r="C494" i="8"/>
  <c r="B494" i="8"/>
  <c r="A494" i="8"/>
  <c r="D493" i="8"/>
  <c r="C493" i="8"/>
  <c r="B493" i="8"/>
  <c r="A493" i="8"/>
  <c r="D492" i="8"/>
  <c r="C492" i="8"/>
  <c r="B492" i="8"/>
  <c r="A492" i="8"/>
  <c r="D491" i="8"/>
  <c r="C491" i="8"/>
  <c r="B491" i="8"/>
  <c r="A491" i="8"/>
  <c r="D490" i="8"/>
  <c r="C490" i="8"/>
  <c r="B490" i="8"/>
  <c r="A490" i="8"/>
  <c r="D489" i="8"/>
  <c r="C489" i="8"/>
  <c r="B489" i="8"/>
  <c r="A489" i="8"/>
  <c r="D488" i="8"/>
  <c r="C488" i="8"/>
  <c r="B488" i="8"/>
  <c r="A488" i="8"/>
  <c r="D487" i="8"/>
  <c r="C487" i="8"/>
  <c r="B487" i="8"/>
  <c r="A487" i="8"/>
  <c r="D486" i="8"/>
  <c r="C486" i="8"/>
  <c r="B486" i="8"/>
  <c r="A486" i="8"/>
  <c r="D485" i="8"/>
  <c r="C485" i="8"/>
  <c r="B485" i="8"/>
  <c r="A485" i="8"/>
  <c r="D484" i="8"/>
  <c r="C484" i="8"/>
  <c r="B484" i="8"/>
  <c r="A484" i="8"/>
  <c r="D483" i="8"/>
  <c r="C483" i="8"/>
  <c r="B483" i="8"/>
  <c r="A483" i="8"/>
  <c r="D482" i="8"/>
  <c r="C482" i="8"/>
  <c r="B482" i="8"/>
  <c r="A482" i="8"/>
  <c r="D481" i="8"/>
  <c r="C481" i="8"/>
  <c r="B481" i="8"/>
  <c r="A481" i="8"/>
  <c r="D480" i="8"/>
  <c r="C480" i="8"/>
  <c r="B480" i="8"/>
  <c r="A480" i="8"/>
  <c r="D479" i="8"/>
  <c r="C479" i="8"/>
  <c r="B479" i="8"/>
  <c r="A479" i="8"/>
  <c r="D478" i="8"/>
  <c r="C478" i="8"/>
  <c r="B478" i="8"/>
  <c r="A478" i="8"/>
  <c r="D477" i="8"/>
  <c r="C477" i="8"/>
  <c r="B477" i="8"/>
  <c r="A477" i="8"/>
  <c r="D476" i="8"/>
  <c r="C476" i="8"/>
  <c r="B476" i="8"/>
  <c r="A476" i="8"/>
  <c r="D475" i="8"/>
  <c r="C475" i="8"/>
  <c r="B475" i="8"/>
  <c r="A475" i="8"/>
  <c r="D474" i="8"/>
  <c r="C474" i="8"/>
  <c r="B474" i="8"/>
  <c r="A474" i="8"/>
  <c r="D473" i="8"/>
  <c r="C473" i="8"/>
  <c r="B473" i="8"/>
  <c r="A473" i="8"/>
  <c r="D472" i="8"/>
  <c r="C472" i="8"/>
  <c r="B472" i="8"/>
  <c r="A472" i="8"/>
  <c r="D471" i="8"/>
  <c r="C471" i="8"/>
  <c r="B471" i="8"/>
  <c r="A471" i="8"/>
  <c r="D470" i="8"/>
  <c r="C470" i="8"/>
  <c r="B470" i="8"/>
  <c r="A470" i="8"/>
  <c r="D469" i="8"/>
  <c r="C469" i="8"/>
  <c r="B469" i="8"/>
  <c r="A469" i="8"/>
  <c r="D468" i="8"/>
  <c r="C468" i="8"/>
  <c r="B468" i="8"/>
  <c r="A468" i="8"/>
  <c r="D467" i="8"/>
  <c r="C467" i="8"/>
  <c r="B467" i="8"/>
  <c r="A467" i="8"/>
  <c r="D466" i="8"/>
  <c r="C466" i="8"/>
  <c r="B466" i="8"/>
  <c r="A466" i="8"/>
  <c r="D465" i="8"/>
  <c r="C465" i="8"/>
  <c r="B465" i="8"/>
  <c r="A465" i="8"/>
  <c r="D464" i="8"/>
  <c r="C464" i="8"/>
  <c r="B464" i="8"/>
  <c r="A464" i="8"/>
  <c r="D463" i="8"/>
  <c r="C463" i="8"/>
  <c r="B463" i="8"/>
  <c r="A463" i="8"/>
  <c r="D462" i="8"/>
  <c r="C462" i="8"/>
  <c r="B462" i="8"/>
  <c r="A462" i="8"/>
  <c r="D461" i="8"/>
  <c r="C461" i="8"/>
  <c r="B461" i="8"/>
  <c r="A461" i="8"/>
  <c r="D460" i="8"/>
  <c r="C460" i="8"/>
  <c r="B460" i="8"/>
  <c r="A460" i="8"/>
  <c r="D459" i="8"/>
  <c r="C459" i="8"/>
  <c r="B459" i="8"/>
  <c r="A459" i="8"/>
  <c r="D458" i="8"/>
  <c r="C458" i="8"/>
  <c r="B458" i="8"/>
  <c r="A458" i="8"/>
  <c r="D457" i="8"/>
  <c r="C457" i="8"/>
  <c r="B457" i="8"/>
  <c r="A457" i="8"/>
  <c r="D456" i="8"/>
  <c r="C456" i="8"/>
  <c r="B456" i="8"/>
  <c r="A456" i="8"/>
  <c r="D455" i="8"/>
  <c r="C455" i="8"/>
  <c r="B455" i="8"/>
  <c r="A455" i="8"/>
  <c r="D454" i="8"/>
  <c r="C454" i="8"/>
  <c r="B454" i="8"/>
  <c r="A454" i="8"/>
  <c r="D453" i="8"/>
  <c r="C453" i="8"/>
  <c r="B453" i="8"/>
  <c r="A453" i="8"/>
  <c r="D452" i="8"/>
  <c r="C452" i="8"/>
  <c r="B452" i="8"/>
  <c r="A452" i="8"/>
  <c r="D451" i="8"/>
  <c r="C451" i="8"/>
  <c r="B451" i="8"/>
  <c r="A451" i="8"/>
  <c r="D450" i="8"/>
  <c r="C450" i="8"/>
  <c r="B450" i="8"/>
  <c r="A450" i="8"/>
  <c r="D449" i="8"/>
  <c r="C449" i="8"/>
  <c r="B449" i="8"/>
  <c r="A449" i="8"/>
  <c r="D448" i="8"/>
  <c r="C448" i="8"/>
  <c r="B448" i="8"/>
  <c r="A448" i="8"/>
  <c r="D447" i="8"/>
  <c r="C447" i="8"/>
  <c r="B447" i="8"/>
  <c r="A447" i="8"/>
  <c r="D446" i="8"/>
  <c r="C446" i="8"/>
  <c r="B446" i="8"/>
  <c r="A446" i="8"/>
  <c r="D445" i="8"/>
  <c r="C445" i="8"/>
  <c r="B445" i="8"/>
  <c r="A445" i="8"/>
  <c r="D444" i="8"/>
  <c r="C444" i="8"/>
  <c r="B444" i="8"/>
  <c r="A444" i="8"/>
  <c r="D443" i="8"/>
  <c r="C443" i="8"/>
  <c r="B443" i="8"/>
  <c r="A443" i="8"/>
  <c r="D442" i="8"/>
  <c r="C442" i="8"/>
  <c r="B442" i="8"/>
  <c r="A442" i="8"/>
  <c r="D441" i="8"/>
  <c r="C441" i="8"/>
  <c r="B441" i="8"/>
  <c r="A441" i="8"/>
  <c r="D440" i="8"/>
  <c r="C440" i="8"/>
  <c r="B440" i="8"/>
  <c r="A440" i="8"/>
  <c r="D439" i="8"/>
  <c r="C439" i="8"/>
  <c r="B439" i="8"/>
  <c r="A439" i="8"/>
  <c r="D438" i="8"/>
  <c r="C438" i="8"/>
  <c r="B438" i="8"/>
  <c r="A438" i="8"/>
  <c r="D437" i="8"/>
  <c r="C437" i="8"/>
  <c r="B437" i="8"/>
  <c r="A437" i="8"/>
  <c r="D436" i="8"/>
  <c r="C436" i="8"/>
  <c r="B436" i="8"/>
  <c r="A436" i="8"/>
  <c r="D435" i="8"/>
  <c r="C435" i="8"/>
  <c r="B435" i="8"/>
  <c r="A435" i="8"/>
  <c r="D434" i="8"/>
  <c r="C434" i="8"/>
  <c r="B434" i="8"/>
  <c r="A434" i="8"/>
  <c r="D433" i="8"/>
  <c r="C433" i="8"/>
  <c r="B433" i="8"/>
  <c r="A433" i="8"/>
  <c r="D432" i="8"/>
  <c r="C432" i="8"/>
  <c r="B432" i="8"/>
  <c r="A432" i="8"/>
  <c r="D431" i="8"/>
  <c r="C431" i="8"/>
  <c r="B431" i="8"/>
  <c r="A431" i="8"/>
  <c r="D430" i="8"/>
  <c r="C430" i="8"/>
  <c r="B430" i="8"/>
  <c r="A430" i="8"/>
  <c r="D429" i="8"/>
  <c r="C429" i="8"/>
  <c r="B429" i="8"/>
  <c r="A429" i="8"/>
  <c r="D428" i="8"/>
  <c r="C428" i="8"/>
  <c r="B428" i="8"/>
  <c r="A428" i="8"/>
  <c r="D427" i="8"/>
  <c r="C427" i="8"/>
  <c r="B427" i="8"/>
  <c r="A427" i="8"/>
  <c r="D426" i="8"/>
  <c r="C426" i="8"/>
  <c r="B426" i="8"/>
  <c r="A426" i="8"/>
  <c r="D425" i="8"/>
  <c r="C425" i="8"/>
  <c r="B425" i="8"/>
  <c r="A425" i="8"/>
  <c r="D424" i="8"/>
  <c r="C424" i="8"/>
  <c r="B424" i="8"/>
  <c r="A424" i="8"/>
  <c r="D423" i="8"/>
  <c r="C423" i="8"/>
  <c r="B423" i="8"/>
  <c r="A423" i="8"/>
  <c r="D422" i="8"/>
  <c r="C422" i="8"/>
  <c r="B422" i="8"/>
  <c r="A422" i="8"/>
  <c r="D421" i="8"/>
  <c r="C421" i="8"/>
  <c r="B421" i="8"/>
  <c r="A421" i="8"/>
  <c r="D420" i="8"/>
  <c r="C420" i="8"/>
  <c r="B420" i="8"/>
  <c r="A420" i="8"/>
  <c r="D419" i="8"/>
  <c r="C419" i="8"/>
  <c r="B419" i="8"/>
  <c r="A419" i="8"/>
  <c r="D418" i="8"/>
  <c r="C418" i="8"/>
  <c r="B418" i="8"/>
  <c r="A418" i="8"/>
  <c r="D417" i="8"/>
  <c r="C417" i="8"/>
  <c r="B417" i="8"/>
  <c r="A417" i="8"/>
  <c r="D416" i="8"/>
  <c r="C416" i="8"/>
  <c r="B416" i="8"/>
  <c r="A416" i="8"/>
  <c r="D415" i="8"/>
  <c r="C415" i="8"/>
  <c r="B415" i="8"/>
  <c r="A415" i="8"/>
  <c r="D414" i="8"/>
  <c r="C414" i="8"/>
  <c r="B414" i="8"/>
  <c r="A414" i="8"/>
  <c r="D413" i="8"/>
  <c r="C413" i="8"/>
  <c r="B413" i="8"/>
  <c r="A413" i="8"/>
  <c r="D412" i="8"/>
  <c r="C412" i="8"/>
  <c r="B412" i="8"/>
  <c r="A412" i="8"/>
  <c r="D411" i="8"/>
  <c r="C411" i="8"/>
  <c r="B411" i="8"/>
  <c r="A411" i="8"/>
  <c r="D410" i="8"/>
  <c r="C410" i="8"/>
  <c r="B410" i="8"/>
  <c r="A410" i="8"/>
  <c r="D409" i="8"/>
  <c r="C409" i="8"/>
  <c r="B409" i="8"/>
  <c r="A409" i="8"/>
  <c r="D408" i="8"/>
  <c r="C408" i="8"/>
  <c r="B408" i="8"/>
  <c r="A408" i="8"/>
  <c r="D407" i="8"/>
  <c r="C407" i="8"/>
  <c r="B407" i="8"/>
  <c r="A407" i="8"/>
  <c r="D406" i="8"/>
  <c r="C406" i="8"/>
  <c r="B406" i="8"/>
  <c r="A406" i="8"/>
  <c r="D405" i="8"/>
  <c r="C405" i="8"/>
  <c r="B405" i="8"/>
  <c r="A405" i="8"/>
  <c r="D404" i="8"/>
  <c r="C404" i="8"/>
  <c r="B404" i="8"/>
  <c r="A404" i="8"/>
  <c r="D403" i="8"/>
  <c r="C403" i="8"/>
  <c r="B403" i="8"/>
  <c r="A403" i="8"/>
  <c r="D402" i="8"/>
  <c r="C402" i="8"/>
  <c r="B402" i="8"/>
  <c r="A402" i="8"/>
  <c r="D401" i="8"/>
  <c r="C401" i="8"/>
  <c r="B401" i="8"/>
  <c r="A401" i="8"/>
  <c r="D400" i="8"/>
  <c r="C400" i="8"/>
  <c r="B400" i="8"/>
  <c r="A400" i="8"/>
  <c r="D399" i="8"/>
  <c r="C399" i="8"/>
  <c r="B399" i="8"/>
  <c r="A399" i="8"/>
  <c r="D398" i="8"/>
  <c r="C398" i="8"/>
  <c r="B398" i="8"/>
  <c r="A398" i="8"/>
  <c r="D397" i="8"/>
  <c r="C397" i="8"/>
  <c r="B397" i="8"/>
  <c r="A397" i="8"/>
  <c r="D396" i="8"/>
  <c r="C396" i="8"/>
  <c r="B396" i="8"/>
  <c r="A396" i="8"/>
  <c r="D395" i="8"/>
  <c r="C395" i="8"/>
  <c r="B395" i="8"/>
  <c r="A395" i="8"/>
  <c r="D394" i="8"/>
  <c r="C394" i="8"/>
  <c r="B394" i="8"/>
  <c r="A394" i="8"/>
  <c r="D393" i="8"/>
  <c r="C393" i="8"/>
  <c r="B393" i="8"/>
  <c r="A393" i="8"/>
  <c r="D392" i="8"/>
  <c r="C392" i="8"/>
  <c r="B392" i="8"/>
  <c r="A392" i="8"/>
  <c r="D391" i="8"/>
  <c r="C391" i="8"/>
  <c r="B391" i="8"/>
  <c r="A391" i="8"/>
  <c r="D390" i="8"/>
  <c r="C390" i="8"/>
  <c r="B390" i="8"/>
  <c r="A390" i="8"/>
  <c r="D389" i="8"/>
  <c r="C389" i="8"/>
  <c r="B389" i="8"/>
  <c r="A389" i="8"/>
  <c r="D388" i="8"/>
  <c r="C388" i="8"/>
  <c r="B388" i="8"/>
  <c r="A388" i="8"/>
  <c r="D387" i="8"/>
  <c r="C387" i="8"/>
  <c r="B387" i="8"/>
  <c r="A387" i="8"/>
  <c r="D386" i="8"/>
  <c r="C386" i="8"/>
  <c r="B386" i="8"/>
  <c r="A386" i="8"/>
  <c r="D385" i="8"/>
  <c r="C385" i="8"/>
  <c r="B385" i="8"/>
  <c r="A385" i="8"/>
  <c r="D384" i="8"/>
  <c r="C384" i="8"/>
  <c r="B384" i="8"/>
  <c r="A384" i="8"/>
  <c r="D383" i="8"/>
  <c r="C383" i="8"/>
  <c r="B383" i="8"/>
  <c r="A383" i="8"/>
  <c r="D382" i="8"/>
  <c r="C382" i="8"/>
  <c r="B382" i="8"/>
  <c r="A382" i="8"/>
  <c r="D381" i="8"/>
  <c r="C381" i="8"/>
  <c r="B381" i="8"/>
  <c r="A381" i="8"/>
  <c r="D380" i="8"/>
  <c r="C380" i="8"/>
  <c r="B380" i="8"/>
  <c r="A380" i="8"/>
  <c r="D379" i="8"/>
  <c r="C379" i="8"/>
  <c r="B379" i="8"/>
  <c r="A379" i="8"/>
  <c r="D378" i="8"/>
  <c r="C378" i="8"/>
  <c r="B378" i="8"/>
  <c r="A378" i="8"/>
  <c r="D377" i="8"/>
  <c r="C377" i="8"/>
  <c r="B377" i="8"/>
  <c r="A377" i="8"/>
  <c r="D376" i="8"/>
  <c r="C376" i="8"/>
  <c r="B376" i="8"/>
  <c r="A376" i="8"/>
  <c r="D375" i="8"/>
  <c r="C375" i="8"/>
  <c r="B375" i="8"/>
  <c r="A375" i="8"/>
  <c r="D374" i="8"/>
  <c r="C374" i="8"/>
  <c r="B374" i="8"/>
  <c r="A374" i="8"/>
  <c r="D373" i="8"/>
  <c r="C373" i="8"/>
  <c r="B373" i="8"/>
  <c r="A373" i="8"/>
  <c r="D372" i="8"/>
  <c r="C372" i="8"/>
  <c r="B372" i="8"/>
  <c r="A372" i="8"/>
  <c r="D371" i="8"/>
  <c r="C371" i="8"/>
  <c r="B371" i="8"/>
  <c r="A371" i="8"/>
  <c r="D370" i="8"/>
  <c r="C370" i="8"/>
  <c r="B370" i="8"/>
  <c r="A370" i="8"/>
  <c r="D369" i="8"/>
  <c r="C369" i="8"/>
  <c r="B369" i="8"/>
  <c r="A369" i="8"/>
  <c r="D368" i="8"/>
  <c r="C368" i="8"/>
  <c r="B368" i="8"/>
  <c r="A368" i="8"/>
  <c r="D367" i="8"/>
  <c r="C367" i="8"/>
  <c r="B367" i="8"/>
  <c r="A367" i="8"/>
  <c r="D366" i="8"/>
  <c r="C366" i="8"/>
  <c r="B366" i="8"/>
  <c r="A366" i="8"/>
  <c r="D365" i="8"/>
  <c r="C365" i="8"/>
  <c r="B365" i="8"/>
  <c r="A365" i="8"/>
  <c r="D364" i="8"/>
  <c r="C364" i="8"/>
  <c r="B364" i="8"/>
  <c r="A364" i="8"/>
  <c r="D363" i="8"/>
  <c r="C363" i="8"/>
  <c r="B363" i="8"/>
  <c r="A363" i="8"/>
  <c r="D362" i="8"/>
  <c r="C362" i="8"/>
  <c r="B362" i="8"/>
  <c r="A362" i="8"/>
  <c r="D361" i="8"/>
  <c r="C361" i="8"/>
  <c r="B361" i="8"/>
  <c r="A361" i="8"/>
  <c r="D360" i="8"/>
  <c r="C360" i="8"/>
  <c r="B360" i="8"/>
  <c r="A360" i="8"/>
  <c r="D359" i="8"/>
  <c r="C359" i="8"/>
  <c r="B359" i="8"/>
  <c r="A359" i="8"/>
  <c r="D358" i="8"/>
  <c r="C358" i="8"/>
  <c r="B358" i="8"/>
  <c r="A358" i="8"/>
  <c r="D357" i="8"/>
  <c r="C357" i="8"/>
  <c r="B357" i="8"/>
  <c r="A357" i="8"/>
  <c r="D356" i="8"/>
  <c r="C356" i="8"/>
  <c r="B356" i="8"/>
  <c r="A356" i="8"/>
  <c r="D355" i="8"/>
  <c r="C355" i="8"/>
  <c r="B355" i="8"/>
  <c r="A355" i="8"/>
  <c r="D354" i="8"/>
  <c r="C354" i="8"/>
  <c r="B354" i="8"/>
  <c r="A354" i="8"/>
  <c r="D353" i="8"/>
  <c r="C353" i="8"/>
  <c r="B353" i="8"/>
  <c r="A353" i="8"/>
  <c r="D352" i="8"/>
  <c r="C352" i="8"/>
  <c r="B352" i="8"/>
  <c r="A352" i="8"/>
  <c r="D351" i="8"/>
  <c r="C351" i="8"/>
  <c r="B351" i="8"/>
  <c r="A351" i="8"/>
  <c r="D350" i="8"/>
  <c r="C350" i="8"/>
  <c r="B350" i="8"/>
  <c r="A350" i="8"/>
  <c r="D349" i="8"/>
  <c r="C349" i="8"/>
  <c r="B349" i="8"/>
  <c r="A349" i="8"/>
  <c r="D348" i="8"/>
  <c r="C348" i="8"/>
  <c r="B348" i="8"/>
  <c r="A348" i="8"/>
  <c r="D347" i="8"/>
  <c r="C347" i="8"/>
  <c r="B347" i="8"/>
  <c r="A347" i="8"/>
  <c r="D346" i="8"/>
  <c r="C346" i="8"/>
  <c r="B346" i="8"/>
  <c r="A346" i="8"/>
  <c r="D345" i="8"/>
  <c r="C345" i="8"/>
  <c r="B345" i="8"/>
  <c r="A345" i="8"/>
  <c r="D344" i="8"/>
  <c r="C344" i="8"/>
  <c r="B344" i="8"/>
  <c r="A344" i="8"/>
  <c r="D343" i="8"/>
  <c r="C343" i="8"/>
  <c r="B343" i="8"/>
  <c r="A343" i="8"/>
  <c r="D342" i="8"/>
  <c r="C342" i="8"/>
  <c r="B342" i="8"/>
  <c r="A342" i="8"/>
  <c r="D341" i="8"/>
  <c r="C341" i="8"/>
  <c r="B341" i="8"/>
  <c r="A341" i="8"/>
  <c r="D340" i="8"/>
  <c r="C340" i="8"/>
  <c r="B340" i="8"/>
  <c r="A340" i="8"/>
  <c r="D339" i="8"/>
  <c r="C339" i="8"/>
  <c r="B339" i="8"/>
  <c r="A339" i="8"/>
  <c r="D338" i="8"/>
  <c r="C338" i="8"/>
  <c r="B338" i="8"/>
  <c r="A338" i="8"/>
  <c r="D337" i="8"/>
  <c r="C337" i="8"/>
  <c r="B337" i="8"/>
  <c r="A337" i="8"/>
  <c r="D336" i="8"/>
  <c r="C336" i="8"/>
  <c r="B336" i="8"/>
  <c r="A336" i="8"/>
  <c r="D335" i="8"/>
  <c r="C335" i="8"/>
  <c r="B335" i="8"/>
  <c r="A335" i="8"/>
  <c r="D334" i="8"/>
  <c r="C334" i="8"/>
  <c r="B334" i="8"/>
  <c r="A334" i="8"/>
  <c r="D333" i="8"/>
  <c r="C333" i="8"/>
  <c r="B333" i="8"/>
  <c r="A333" i="8"/>
  <c r="D332" i="8"/>
  <c r="C332" i="8"/>
  <c r="B332" i="8"/>
  <c r="A332" i="8"/>
  <c r="D331" i="8"/>
  <c r="C331" i="8"/>
  <c r="B331" i="8"/>
  <c r="A331" i="8"/>
  <c r="D330" i="8"/>
  <c r="C330" i="8"/>
  <c r="B330" i="8"/>
  <c r="A330" i="8"/>
  <c r="D329" i="8"/>
  <c r="C329" i="8"/>
  <c r="B329" i="8"/>
  <c r="A329" i="8"/>
  <c r="D328" i="8"/>
  <c r="C328" i="8"/>
  <c r="B328" i="8"/>
  <c r="A328" i="8"/>
  <c r="D327" i="8"/>
  <c r="C327" i="8"/>
  <c r="B327" i="8"/>
  <c r="A327" i="8"/>
  <c r="D326" i="8"/>
  <c r="C326" i="8"/>
  <c r="B326" i="8"/>
  <c r="A326" i="8"/>
  <c r="D325" i="8"/>
  <c r="C325" i="8"/>
  <c r="B325" i="8"/>
  <c r="A325" i="8"/>
  <c r="D324" i="8"/>
  <c r="C324" i="8"/>
  <c r="B324" i="8"/>
  <c r="A324" i="8"/>
  <c r="D323" i="8"/>
  <c r="C323" i="8"/>
  <c r="B323" i="8"/>
  <c r="A323" i="8"/>
  <c r="D322" i="8"/>
  <c r="C322" i="8"/>
  <c r="B322" i="8"/>
  <c r="A322" i="8"/>
  <c r="D321" i="8"/>
  <c r="C321" i="8"/>
  <c r="B321" i="8"/>
  <c r="A321" i="8"/>
  <c r="D320" i="8"/>
  <c r="C320" i="8"/>
  <c r="B320" i="8"/>
  <c r="A320" i="8"/>
  <c r="D319" i="8"/>
  <c r="C319" i="8"/>
  <c r="B319" i="8"/>
  <c r="A319" i="8"/>
  <c r="D318" i="8"/>
  <c r="C318" i="8"/>
  <c r="B318" i="8"/>
  <c r="A318" i="8"/>
  <c r="D317" i="8"/>
  <c r="C317" i="8"/>
  <c r="B317" i="8"/>
  <c r="A317" i="8"/>
  <c r="D316" i="8"/>
  <c r="C316" i="8"/>
  <c r="B316" i="8"/>
  <c r="A316" i="8"/>
  <c r="D315" i="8"/>
  <c r="C315" i="8"/>
  <c r="B315" i="8"/>
  <c r="A315" i="8"/>
  <c r="D314" i="8"/>
  <c r="C314" i="8"/>
  <c r="B314" i="8"/>
  <c r="A314" i="8"/>
  <c r="D313" i="8"/>
  <c r="C313" i="8"/>
  <c r="B313" i="8"/>
  <c r="A313" i="8"/>
  <c r="D312" i="8"/>
  <c r="C312" i="8"/>
  <c r="B312" i="8"/>
  <c r="A312" i="8"/>
  <c r="D311" i="8"/>
  <c r="C311" i="8"/>
  <c r="B311" i="8"/>
  <c r="A311" i="8"/>
  <c r="D310" i="8"/>
  <c r="C310" i="8"/>
  <c r="B310" i="8"/>
  <c r="A310" i="8"/>
  <c r="D309" i="8"/>
  <c r="C309" i="8"/>
  <c r="B309" i="8"/>
  <c r="A309" i="8"/>
  <c r="D308" i="8"/>
  <c r="C308" i="8"/>
  <c r="B308" i="8"/>
  <c r="A308" i="8"/>
  <c r="D307" i="8"/>
  <c r="C307" i="8"/>
  <c r="B307" i="8"/>
  <c r="A307" i="8"/>
  <c r="D306" i="8"/>
  <c r="C306" i="8"/>
  <c r="B306" i="8"/>
  <c r="A306" i="8"/>
  <c r="D305" i="8"/>
  <c r="C305" i="8"/>
  <c r="B305" i="8"/>
  <c r="A305" i="8"/>
  <c r="D304" i="8"/>
  <c r="C304" i="8"/>
  <c r="B304" i="8"/>
  <c r="A304" i="8"/>
  <c r="D303" i="8"/>
  <c r="C303" i="8"/>
  <c r="B303" i="8"/>
  <c r="A303" i="8"/>
  <c r="D302" i="8"/>
  <c r="C302" i="8"/>
  <c r="B302" i="8"/>
  <c r="A302" i="8"/>
  <c r="D301" i="8"/>
  <c r="C301" i="8"/>
  <c r="B301" i="8"/>
  <c r="A301" i="8"/>
  <c r="D300" i="8"/>
  <c r="C300" i="8"/>
  <c r="B300" i="8"/>
  <c r="A300" i="8"/>
  <c r="D299" i="8"/>
  <c r="C299" i="8"/>
  <c r="B299" i="8"/>
  <c r="A299" i="8"/>
  <c r="D298" i="8"/>
  <c r="C298" i="8"/>
  <c r="B298" i="8"/>
  <c r="A298" i="8"/>
  <c r="D297" i="8"/>
  <c r="C297" i="8"/>
  <c r="B297" i="8"/>
  <c r="A297" i="8"/>
  <c r="D296" i="8"/>
  <c r="C296" i="8"/>
  <c r="B296" i="8"/>
  <c r="A296" i="8"/>
  <c r="D295" i="8"/>
  <c r="C295" i="8"/>
  <c r="B295" i="8"/>
  <c r="A295" i="8"/>
  <c r="D294" i="8"/>
  <c r="C294" i="8"/>
  <c r="B294" i="8"/>
  <c r="A294" i="8"/>
  <c r="D293" i="8"/>
  <c r="C293" i="8"/>
  <c r="B293" i="8"/>
  <c r="A293" i="8"/>
  <c r="D292" i="8"/>
  <c r="C292" i="8"/>
  <c r="B292" i="8"/>
  <c r="A292" i="8"/>
  <c r="D291" i="8"/>
  <c r="C291" i="8"/>
  <c r="B291" i="8"/>
  <c r="A291" i="8"/>
  <c r="D290" i="8"/>
  <c r="C290" i="8"/>
  <c r="B290" i="8"/>
  <c r="A290" i="8"/>
  <c r="D289" i="8"/>
  <c r="C289" i="8"/>
  <c r="B289" i="8"/>
  <c r="A289" i="8"/>
  <c r="D288" i="8"/>
  <c r="C288" i="8"/>
  <c r="B288" i="8"/>
  <c r="A288" i="8"/>
  <c r="D287" i="8"/>
  <c r="C287" i="8"/>
  <c r="B287" i="8"/>
  <c r="A287" i="8"/>
  <c r="D286" i="8"/>
  <c r="C286" i="8"/>
  <c r="B286" i="8"/>
  <c r="A286" i="8"/>
  <c r="D285" i="8"/>
  <c r="C285" i="8"/>
  <c r="B285" i="8"/>
  <c r="A285" i="8"/>
  <c r="D284" i="8"/>
  <c r="C284" i="8"/>
  <c r="B284" i="8"/>
  <c r="A284" i="8"/>
  <c r="D283" i="8"/>
  <c r="C283" i="8"/>
  <c r="B283" i="8"/>
  <c r="A283" i="8"/>
  <c r="D282" i="8"/>
  <c r="C282" i="8"/>
  <c r="B282" i="8"/>
  <c r="A282" i="8"/>
  <c r="D281" i="8"/>
  <c r="C281" i="8"/>
  <c r="B281" i="8"/>
  <c r="A281" i="8"/>
  <c r="D280" i="8"/>
  <c r="C280" i="8"/>
  <c r="B280" i="8"/>
  <c r="A280" i="8"/>
  <c r="D279" i="8"/>
  <c r="C279" i="8"/>
  <c r="B279" i="8"/>
  <c r="A279" i="8"/>
  <c r="D278" i="8"/>
  <c r="C278" i="8"/>
  <c r="B278" i="8"/>
  <c r="A278" i="8"/>
  <c r="D277" i="8"/>
  <c r="C277" i="8"/>
  <c r="B277" i="8"/>
  <c r="A277" i="8"/>
  <c r="D276" i="8"/>
  <c r="C276" i="8"/>
  <c r="B276" i="8"/>
  <c r="A276" i="8"/>
  <c r="D275" i="8"/>
  <c r="C275" i="8"/>
  <c r="B275" i="8"/>
  <c r="A275" i="8"/>
  <c r="D274" i="8"/>
  <c r="C274" i="8"/>
  <c r="B274" i="8"/>
  <c r="A274" i="8"/>
  <c r="D273" i="8"/>
  <c r="C273" i="8"/>
  <c r="B273" i="8"/>
  <c r="A273" i="8"/>
  <c r="D272" i="8"/>
  <c r="C272" i="8"/>
  <c r="B272" i="8"/>
  <c r="A272" i="8"/>
  <c r="D271" i="8"/>
  <c r="C271" i="8"/>
  <c r="B271" i="8"/>
  <c r="A271" i="8"/>
  <c r="D270" i="8"/>
  <c r="C270" i="8"/>
  <c r="B270" i="8"/>
  <c r="A270" i="8"/>
  <c r="D269" i="8"/>
  <c r="C269" i="8"/>
  <c r="B269" i="8"/>
  <c r="A269" i="8"/>
  <c r="D268" i="8"/>
  <c r="C268" i="8"/>
  <c r="B268" i="8"/>
  <c r="A268" i="8"/>
  <c r="D267" i="8"/>
  <c r="C267" i="8"/>
  <c r="B267" i="8"/>
  <c r="A267" i="8"/>
  <c r="D266" i="8"/>
  <c r="C266" i="8"/>
  <c r="B266" i="8"/>
  <c r="A266" i="8"/>
  <c r="D265" i="8"/>
  <c r="C265" i="8"/>
  <c r="B265" i="8"/>
  <c r="A265" i="8"/>
  <c r="D264" i="8"/>
  <c r="C264" i="8"/>
  <c r="B264" i="8"/>
  <c r="A264" i="8"/>
  <c r="D263" i="8"/>
  <c r="C263" i="8"/>
  <c r="B263" i="8"/>
  <c r="A263" i="8"/>
  <c r="D262" i="8"/>
  <c r="C262" i="8"/>
  <c r="B262" i="8"/>
  <c r="A262" i="8"/>
  <c r="D261" i="8"/>
  <c r="C261" i="8"/>
  <c r="B261" i="8"/>
  <c r="A261" i="8"/>
  <c r="D260" i="8"/>
  <c r="C260" i="8"/>
  <c r="B260" i="8"/>
  <c r="A260" i="8"/>
  <c r="D259" i="8"/>
  <c r="C259" i="8"/>
  <c r="B259" i="8"/>
  <c r="A259" i="8"/>
  <c r="D258" i="8"/>
  <c r="B258" i="8"/>
  <c r="D257" i="8"/>
  <c r="B257" i="8"/>
  <c r="D256" i="8"/>
  <c r="B256" i="8"/>
  <c r="D255" i="8"/>
  <c r="B255" i="8"/>
  <c r="D254" i="8"/>
  <c r="B254" i="8"/>
  <c r="D253" i="8"/>
  <c r="B253" i="8"/>
  <c r="D252" i="8"/>
  <c r="B252" i="8"/>
  <c r="D251" i="8"/>
  <c r="B251" i="8"/>
  <c r="D250" i="8"/>
  <c r="B250" i="8"/>
  <c r="D249" i="8"/>
  <c r="B249" i="8"/>
  <c r="D248" i="8"/>
  <c r="B248" i="8"/>
  <c r="D247" i="8"/>
  <c r="B247" i="8"/>
  <c r="D246" i="8"/>
  <c r="B246" i="8"/>
  <c r="D245" i="8"/>
  <c r="B245" i="8"/>
  <c r="D244" i="8"/>
  <c r="B244" i="8"/>
  <c r="D243" i="8"/>
  <c r="B243" i="8"/>
  <c r="D242" i="8"/>
  <c r="B242" i="8"/>
  <c r="D241" i="8"/>
  <c r="B241" i="8"/>
  <c r="D240" i="8"/>
  <c r="B240" i="8"/>
  <c r="D239" i="8"/>
  <c r="B239" i="8"/>
  <c r="D238" i="8"/>
  <c r="B238" i="8"/>
  <c r="D237" i="8"/>
  <c r="B237" i="8"/>
  <c r="D236" i="8"/>
  <c r="B236" i="8"/>
  <c r="D235" i="8"/>
  <c r="B235" i="8"/>
  <c r="D234" i="8"/>
  <c r="B234" i="8"/>
  <c r="D233" i="8"/>
  <c r="B233" i="8"/>
  <c r="D232" i="8"/>
  <c r="B232" i="8"/>
  <c r="D231" i="8"/>
  <c r="B231" i="8"/>
  <c r="D230" i="8"/>
  <c r="B230" i="8"/>
  <c r="D229" i="8"/>
  <c r="B229" i="8"/>
  <c r="D228" i="8"/>
  <c r="B228" i="8"/>
  <c r="D227" i="8"/>
  <c r="B227" i="8"/>
  <c r="D226" i="8"/>
  <c r="B226" i="8"/>
  <c r="D225" i="8"/>
  <c r="B225" i="8"/>
  <c r="D224" i="8"/>
  <c r="B224" i="8"/>
  <c r="D223" i="8"/>
  <c r="B223" i="8"/>
  <c r="D222" i="8"/>
  <c r="B222" i="8"/>
  <c r="D221" i="8"/>
  <c r="B221" i="8"/>
  <c r="D220" i="8"/>
  <c r="B220" i="8"/>
  <c r="D219" i="8"/>
  <c r="B219" i="8"/>
  <c r="D218" i="8"/>
  <c r="B218" i="8"/>
  <c r="D217" i="8"/>
  <c r="B217" i="8"/>
  <c r="D216" i="8"/>
  <c r="B216" i="8"/>
  <c r="D215" i="8"/>
  <c r="B215" i="8"/>
  <c r="D214" i="8"/>
  <c r="B214" i="8"/>
  <c r="D213" i="8"/>
  <c r="B213" i="8"/>
  <c r="D212" i="8"/>
  <c r="B212" i="8"/>
  <c r="D211" i="8"/>
  <c r="B211" i="8"/>
  <c r="D210" i="8"/>
  <c r="B210" i="8"/>
  <c r="D209" i="8"/>
  <c r="B209" i="8"/>
  <c r="D208" i="8"/>
  <c r="B208" i="8"/>
  <c r="D207" i="8"/>
  <c r="B207" i="8"/>
  <c r="D206" i="8"/>
  <c r="B206" i="8"/>
  <c r="D205" i="8"/>
  <c r="B205" i="8"/>
  <c r="D204" i="8"/>
  <c r="B204" i="8"/>
  <c r="D203" i="8"/>
  <c r="B203" i="8"/>
  <c r="D202" i="8"/>
  <c r="B202" i="8"/>
  <c r="D201" i="8"/>
  <c r="B201" i="8"/>
  <c r="D200" i="8"/>
  <c r="B200" i="8"/>
  <c r="D199" i="8"/>
  <c r="B199" i="8"/>
  <c r="D198" i="8"/>
  <c r="B198" i="8"/>
  <c r="D197" i="8"/>
  <c r="B197" i="8"/>
  <c r="D196" i="8"/>
  <c r="B196" i="8"/>
  <c r="D195" i="8"/>
  <c r="B195" i="8"/>
  <c r="D194" i="8"/>
  <c r="B194" i="8"/>
  <c r="D193" i="8"/>
  <c r="B193" i="8"/>
  <c r="D192" i="8"/>
  <c r="B192" i="8"/>
  <c r="D191" i="8"/>
  <c r="B191" i="8"/>
  <c r="D190" i="8"/>
  <c r="B190" i="8"/>
  <c r="D189" i="8"/>
  <c r="B189" i="8"/>
  <c r="D188" i="8"/>
  <c r="B188" i="8"/>
  <c r="D187" i="8"/>
  <c r="B187" i="8"/>
  <c r="D186" i="8"/>
  <c r="B186" i="8"/>
  <c r="D185" i="8"/>
  <c r="B185" i="8"/>
  <c r="D184" i="8"/>
  <c r="B184" i="8"/>
  <c r="D183" i="8"/>
  <c r="B183" i="8"/>
  <c r="D182" i="8"/>
  <c r="B182" i="8"/>
  <c r="D181" i="8"/>
  <c r="B181" i="8"/>
  <c r="D180" i="8"/>
  <c r="B180" i="8"/>
  <c r="D179" i="8"/>
  <c r="B179" i="8"/>
  <c r="D178" i="8"/>
  <c r="B178" i="8"/>
  <c r="D177" i="8"/>
  <c r="B177" i="8"/>
  <c r="D176" i="8"/>
  <c r="B176" i="8"/>
  <c r="D175" i="8"/>
  <c r="B175" i="8"/>
  <c r="D174" i="8"/>
  <c r="B174" i="8"/>
  <c r="D173" i="8"/>
  <c r="B173" i="8"/>
  <c r="D172" i="8"/>
  <c r="B172" i="8"/>
  <c r="D171" i="8"/>
  <c r="B171" i="8"/>
  <c r="D170" i="8"/>
  <c r="B170" i="8"/>
  <c r="D169" i="8"/>
  <c r="B169" i="8"/>
  <c r="D168" i="8"/>
  <c r="B168" i="8"/>
  <c r="D167" i="8"/>
  <c r="B167" i="8"/>
  <c r="D166" i="8"/>
  <c r="B166" i="8"/>
  <c r="D165" i="8"/>
  <c r="B165" i="8"/>
  <c r="D164" i="8"/>
  <c r="B164" i="8"/>
  <c r="D163" i="8"/>
  <c r="B163" i="8"/>
  <c r="D162" i="8"/>
  <c r="B162" i="8"/>
  <c r="D161" i="8"/>
  <c r="B161" i="8"/>
  <c r="D160" i="8"/>
  <c r="B160" i="8"/>
  <c r="D159" i="8"/>
  <c r="B159" i="8"/>
  <c r="D158" i="8"/>
  <c r="B158" i="8"/>
  <c r="D157" i="8"/>
  <c r="B157" i="8"/>
  <c r="D156" i="8"/>
  <c r="B156" i="8"/>
  <c r="D155" i="8"/>
  <c r="B155" i="8"/>
  <c r="D154" i="8"/>
  <c r="B154" i="8"/>
  <c r="D153" i="8"/>
  <c r="B153" i="8"/>
  <c r="D152" i="8"/>
  <c r="B152" i="8"/>
  <c r="D151" i="8"/>
  <c r="B151" i="8"/>
  <c r="D150" i="8"/>
  <c r="B150" i="8"/>
  <c r="D149" i="8"/>
  <c r="B149" i="8"/>
  <c r="D148" i="8"/>
  <c r="B148" i="8"/>
  <c r="D147" i="8"/>
  <c r="B147" i="8"/>
  <c r="D146" i="8"/>
  <c r="B146" i="8"/>
  <c r="D145" i="8"/>
  <c r="B145" i="8"/>
  <c r="D144" i="8"/>
  <c r="B144" i="8"/>
  <c r="D143" i="8"/>
  <c r="B143" i="8"/>
  <c r="D142" i="8"/>
  <c r="B142" i="8"/>
  <c r="D141" i="8"/>
  <c r="B141" i="8"/>
  <c r="D140" i="8"/>
  <c r="B140" i="8"/>
  <c r="D139" i="8"/>
  <c r="B139" i="8"/>
  <c r="D138" i="8"/>
  <c r="B138" i="8"/>
  <c r="D137" i="8"/>
  <c r="B137" i="8"/>
  <c r="D136" i="8"/>
  <c r="B136" i="8"/>
  <c r="D135" i="8"/>
  <c r="B135" i="8"/>
  <c r="D134" i="8"/>
  <c r="B134" i="8"/>
  <c r="D133" i="8"/>
  <c r="B133" i="8"/>
  <c r="D132" i="8"/>
  <c r="B132" i="8"/>
  <c r="D131" i="8"/>
  <c r="B131" i="8"/>
  <c r="D130" i="8"/>
  <c r="B130" i="8"/>
  <c r="D129" i="8"/>
  <c r="B129" i="8"/>
  <c r="D128" i="8"/>
  <c r="B128" i="8"/>
  <c r="D127" i="8"/>
  <c r="B127" i="8"/>
  <c r="D126" i="8"/>
  <c r="B126" i="8"/>
  <c r="D125" i="8"/>
  <c r="B125" i="8"/>
  <c r="D124" i="8"/>
  <c r="B124" i="8"/>
  <c r="D123" i="8"/>
  <c r="B123" i="8"/>
  <c r="D122" i="8"/>
  <c r="B122" i="8"/>
  <c r="D121" i="8"/>
  <c r="B121" i="8"/>
  <c r="D120" i="8"/>
  <c r="B120" i="8"/>
  <c r="D119" i="8"/>
  <c r="B119" i="8"/>
  <c r="D118" i="8"/>
  <c r="B118" i="8"/>
  <c r="D117" i="8"/>
  <c r="B117" i="8"/>
  <c r="D116" i="8"/>
  <c r="B116" i="8"/>
  <c r="D115" i="8"/>
  <c r="B115" i="8"/>
  <c r="D114" i="8"/>
  <c r="B114" i="8"/>
  <c r="D113" i="8"/>
  <c r="B113" i="8"/>
  <c r="D112" i="8"/>
  <c r="B112" i="8"/>
  <c r="D111" i="8"/>
  <c r="B111" i="8"/>
  <c r="D110" i="8"/>
  <c r="B110" i="8"/>
  <c r="D109" i="8"/>
  <c r="B109" i="8"/>
  <c r="D108" i="8"/>
  <c r="B108" i="8"/>
  <c r="D107" i="8"/>
  <c r="B107" i="8"/>
  <c r="D106" i="8"/>
  <c r="B106" i="8"/>
  <c r="D105" i="8"/>
  <c r="B105" i="8"/>
  <c r="D104" i="8"/>
  <c r="B104" i="8"/>
  <c r="D103" i="8"/>
  <c r="B103" i="8"/>
  <c r="D102" i="8"/>
  <c r="B102" i="8"/>
  <c r="D101" i="8"/>
  <c r="B101" i="8"/>
  <c r="D100" i="8"/>
  <c r="B100" i="8"/>
  <c r="D99" i="8"/>
  <c r="B99" i="8"/>
  <c r="D98" i="8"/>
  <c r="B98" i="8"/>
  <c r="D97" i="8"/>
  <c r="B97" i="8"/>
  <c r="D96" i="8"/>
  <c r="B96" i="8"/>
  <c r="D95" i="8"/>
  <c r="B95" i="8"/>
  <c r="D94" i="8"/>
  <c r="B94" i="8"/>
  <c r="D93" i="8"/>
  <c r="B93" i="8"/>
  <c r="D92" i="8"/>
  <c r="B92" i="8"/>
  <c r="D91" i="8"/>
  <c r="B91" i="8"/>
  <c r="D90" i="8"/>
  <c r="B90" i="8"/>
  <c r="D89" i="8"/>
  <c r="B89" i="8"/>
  <c r="D88" i="8"/>
  <c r="B88" i="8"/>
  <c r="D87" i="8"/>
  <c r="B87" i="8"/>
  <c r="D86" i="8"/>
  <c r="B86" i="8"/>
  <c r="D85" i="8"/>
  <c r="B85" i="8"/>
  <c r="D84" i="8"/>
  <c r="B84" i="8"/>
  <c r="D83" i="8"/>
  <c r="B83" i="8"/>
  <c r="D82" i="8"/>
  <c r="B82" i="8"/>
  <c r="D81" i="8"/>
  <c r="B81" i="8"/>
  <c r="D80" i="8"/>
  <c r="B80" i="8"/>
  <c r="D79" i="8"/>
  <c r="B79" i="8"/>
  <c r="D78" i="8"/>
  <c r="B78" i="8"/>
  <c r="D77" i="8"/>
  <c r="B77" i="8"/>
  <c r="D76" i="8"/>
  <c r="B76" i="8"/>
  <c r="D75" i="8"/>
  <c r="B75" i="8"/>
  <c r="D74" i="8"/>
  <c r="B74" i="8"/>
  <c r="D73" i="8"/>
  <c r="B73" i="8"/>
  <c r="D72" i="8"/>
  <c r="B72" i="8"/>
  <c r="D71" i="8"/>
  <c r="B71" i="8"/>
  <c r="D70" i="8"/>
  <c r="B70" i="8"/>
  <c r="D69" i="8"/>
  <c r="B69" i="8"/>
  <c r="D68" i="8"/>
  <c r="B68" i="8"/>
  <c r="D67" i="8"/>
  <c r="B67" i="8"/>
  <c r="D66" i="8"/>
  <c r="B66" i="8"/>
  <c r="D65" i="8"/>
  <c r="B65" i="8"/>
  <c r="D64" i="8"/>
  <c r="B64" i="8"/>
  <c r="D63" i="8"/>
  <c r="B63" i="8"/>
  <c r="D62" i="8"/>
  <c r="B62" i="8"/>
  <c r="D61" i="8"/>
  <c r="B61" i="8"/>
  <c r="D60" i="8"/>
  <c r="B60" i="8"/>
  <c r="D59" i="8"/>
  <c r="B59" i="8"/>
  <c r="D58" i="8"/>
  <c r="B58" i="8"/>
  <c r="D57" i="8"/>
  <c r="B57" i="8"/>
  <c r="D56" i="8"/>
  <c r="B56" i="8"/>
  <c r="D55" i="8"/>
  <c r="B55" i="8"/>
  <c r="D54" i="8"/>
  <c r="B54" i="8"/>
  <c r="D53" i="8"/>
  <c r="B53" i="8"/>
  <c r="D52" i="8"/>
  <c r="B52" i="8"/>
  <c r="D51" i="8"/>
  <c r="B51" i="8"/>
  <c r="D50" i="8"/>
  <c r="B50" i="8"/>
  <c r="D49" i="8"/>
  <c r="B49" i="8"/>
  <c r="D48" i="8"/>
  <c r="B48" i="8"/>
  <c r="D47" i="8"/>
  <c r="B47" i="8"/>
  <c r="D46" i="8"/>
  <c r="B46" i="8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34" i="8"/>
  <c r="B34" i="8"/>
  <c r="D33" i="8"/>
  <c r="B33" i="8"/>
  <c r="D32" i="8"/>
  <c r="B32" i="8"/>
  <c r="D31" i="8"/>
  <c r="B31" i="8"/>
  <c r="D30" i="8"/>
  <c r="B30" i="8"/>
  <c r="D29" i="8"/>
  <c r="B29" i="8"/>
  <c r="D28" i="8"/>
  <c r="B28" i="8"/>
  <c r="D23" i="8"/>
  <c r="B23" i="8"/>
  <c r="D22" i="8"/>
  <c r="D21" i="8"/>
  <c r="D20" i="8"/>
  <c r="D19" i="8"/>
  <c r="D18" i="8"/>
  <c r="D17" i="8"/>
  <c r="D16" i="8"/>
  <c r="B16" i="8"/>
  <c r="D15" i="8"/>
  <c r="D14" i="8"/>
  <c r="D13" i="8"/>
  <c r="D12" i="8"/>
  <c r="D11" i="8"/>
  <c r="D10" i="8"/>
  <c r="G9" i="8"/>
  <c r="C9" i="8"/>
  <c r="D9" i="8" l="1"/>
  <c r="D141" i="14"/>
  <c r="D138" i="14"/>
  <c r="D140" i="14"/>
  <c r="C9" i="14"/>
  <c r="G9" i="14"/>
  <c r="C10" i="14"/>
  <c r="C11" i="14"/>
  <c r="D11" i="14"/>
  <c r="C12" i="14"/>
  <c r="D12" i="14"/>
  <c r="C13" i="14"/>
  <c r="D13" i="14"/>
  <c r="C14" i="14"/>
  <c r="D14" i="14"/>
  <c r="C15" i="14"/>
  <c r="D15" i="14"/>
  <c r="C16" i="14"/>
  <c r="D16" i="14"/>
  <c r="C17" i="14"/>
  <c r="D17" i="14"/>
  <c r="C18" i="14"/>
  <c r="D18" i="14"/>
  <c r="C19" i="14"/>
  <c r="D19" i="14"/>
  <c r="C20" i="14"/>
  <c r="D20" i="14"/>
  <c r="C21" i="14"/>
  <c r="D21" i="14"/>
  <c r="C22" i="14"/>
  <c r="D22" i="14"/>
  <c r="C23" i="14"/>
  <c r="D23" i="14"/>
  <c r="C24" i="14"/>
  <c r="D24" i="14"/>
  <c r="C25" i="14"/>
  <c r="D25" i="14"/>
  <c r="C26" i="14"/>
  <c r="D26" i="14"/>
  <c r="C27" i="14"/>
  <c r="D27" i="14"/>
  <c r="C28" i="14"/>
  <c r="D28" i="14"/>
  <c r="C29" i="14"/>
  <c r="D29" i="14"/>
  <c r="C30" i="14"/>
  <c r="D30" i="14"/>
  <c r="C31" i="14"/>
  <c r="D31" i="14"/>
  <c r="C32" i="14"/>
  <c r="D32" i="14"/>
  <c r="C33" i="14"/>
  <c r="D33" i="14"/>
  <c r="C34" i="14"/>
  <c r="D34" i="14"/>
  <c r="C35" i="14"/>
  <c r="D35" i="14"/>
  <c r="C36" i="14"/>
  <c r="D36" i="14"/>
  <c r="C37" i="14"/>
  <c r="D37" i="14"/>
  <c r="C38" i="14"/>
  <c r="D38" i="14"/>
  <c r="C39" i="14"/>
  <c r="D39" i="14"/>
  <c r="C40" i="14"/>
  <c r="D40" i="14"/>
  <c r="C41" i="14"/>
  <c r="D41" i="14"/>
  <c r="C42" i="14"/>
  <c r="D42" i="14"/>
  <c r="C43" i="14"/>
  <c r="D43" i="14"/>
  <c r="C44" i="14"/>
  <c r="D44" i="14"/>
  <c r="C45" i="14"/>
  <c r="D45" i="14"/>
  <c r="C46" i="14"/>
  <c r="D46" i="14"/>
  <c r="C47" i="14"/>
  <c r="D47" i="14"/>
  <c r="C48" i="14"/>
  <c r="D48" i="14"/>
  <c r="C49" i="14"/>
  <c r="D49" i="14"/>
  <c r="C50" i="14"/>
  <c r="D50" i="14"/>
  <c r="C51" i="14"/>
  <c r="D51" i="14"/>
  <c r="C52" i="14"/>
  <c r="D52" i="14"/>
  <c r="C53" i="14"/>
  <c r="D53" i="14"/>
  <c r="C54" i="14"/>
  <c r="D54" i="14"/>
  <c r="C55" i="14"/>
  <c r="D55" i="14"/>
  <c r="C56" i="14"/>
  <c r="D56" i="14"/>
  <c r="C57" i="14"/>
  <c r="D57" i="14"/>
  <c r="C58" i="14"/>
  <c r="D58" i="14"/>
  <c r="C59" i="14"/>
  <c r="D59" i="14"/>
  <c r="C60" i="14"/>
  <c r="D60" i="14"/>
  <c r="C61" i="14"/>
  <c r="D61" i="14"/>
  <c r="C62" i="14"/>
  <c r="D62" i="14"/>
  <c r="C63" i="14"/>
  <c r="D63" i="14"/>
  <c r="C64" i="14"/>
  <c r="D64" i="14"/>
  <c r="C65" i="14"/>
  <c r="D65" i="14"/>
  <c r="C66" i="14"/>
  <c r="D66" i="14"/>
  <c r="C67" i="14"/>
  <c r="D67" i="14"/>
  <c r="C68" i="14"/>
  <c r="D68" i="14"/>
  <c r="C69" i="14"/>
  <c r="D69" i="14"/>
  <c r="C70" i="14"/>
  <c r="D70" i="14"/>
  <c r="C71" i="14"/>
  <c r="D71" i="14"/>
  <c r="C72" i="14"/>
  <c r="D72" i="14"/>
  <c r="C73" i="14"/>
  <c r="D73" i="14"/>
  <c r="C74" i="14"/>
  <c r="D74" i="14"/>
  <c r="C75" i="14"/>
  <c r="D75" i="14"/>
  <c r="C76" i="14"/>
  <c r="D76" i="14"/>
  <c r="C77" i="14"/>
  <c r="D77" i="14"/>
  <c r="C78" i="14"/>
  <c r="D78" i="14"/>
  <c r="C79" i="14"/>
  <c r="D79" i="14"/>
  <c r="C80" i="14"/>
  <c r="D80" i="14"/>
  <c r="C81" i="14"/>
  <c r="D81" i="14"/>
  <c r="C82" i="14"/>
  <c r="D82" i="14"/>
  <c r="C83" i="14"/>
  <c r="D83" i="14"/>
  <c r="C84" i="14"/>
  <c r="D84" i="14"/>
  <c r="C85" i="14"/>
  <c r="D85" i="14"/>
  <c r="C93" i="14"/>
  <c r="D93" i="14"/>
  <c r="C94" i="14"/>
  <c r="D94" i="14"/>
  <c r="C95" i="14"/>
  <c r="D95" i="14"/>
  <c r="C96" i="14"/>
  <c r="D96" i="14"/>
  <c r="C97" i="14"/>
  <c r="D97" i="14"/>
  <c r="C98" i="14"/>
  <c r="D98" i="14"/>
  <c r="C99" i="14"/>
  <c r="D99" i="14"/>
  <c r="C100" i="14"/>
  <c r="D1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A129" i="14"/>
  <c r="B129" i="14"/>
  <c r="A130" i="14"/>
  <c r="B130" i="14"/>
  <c r="C130" i="14"/>
  <c r="D130" i="14"/>
  <c r="C132" i="14"/>
  <c r="D132" i="14"/>
  <c r="C133" i="14"/>
  <c r="D133" i="14"/>
  <c r="A134" i="14"/>
  <c r="B134" i="14"/>
  <c r="C134" i="14"/>
  <c r="D134" i="14"/>
  <c r="C135" i="14"/>
  <c r="D135" i="14"/>
  <c r="A136" i="14"/>
  <c r="B136" i="14"/>
  <c r="C136" i="14"/>
  <c r="D136" i="14"/>
  <c r="A137" i="14"/>
  <c r="B137" i="14"/>
  <c r="C137" i="14"/>
  <c r="A138" i="14"/>
  <c r="B138" i="14"/>
  <c r="C138" i="14"/>
  <c r="A139" i="14"/>
  <c r="B139" i="14"/>
  <c r="C139" i="14"/>
  <c r="D139" i="14"/>
  <c r="A140" i="14"/>
  <c r="B140" i="14"/>
  <c r="C140" i="14"/>
  <c r="A141" i="14"/>
  <c r="B141" i="14"/>
  <c r="C141" i="14"/>
  <c r="A142" i="14"/>
  <c r="B142" i="14"/>
  <c r="C142" i="14"/>
  <c r="D142" i="14"/>
  <c r="A143" i="14"/>
  <c r="B143" i="14"/>
  <c r="C143" i="14"/>
  <c r="D143" i="14"/>
  <c r="A144" i="14"/>
  <c r="B144" i="14"/>
  <c r="C144" i="14"/>
  <c r="D144" i="14"/>
  <c r="A145" i="14"/>
  <c r="B145" i="14"/>
  <c r="C145" i="14"/>
  <c r="D145" i="14"/>
  <c r="A146" i="14"/>
  <c r="B146" i="14"/>
  <c r="C146" i="14"/>
  <c r="D146" i="14"/>
  <c r="A147" i="14"/>
  <c r="B147" i="14"/>
  <c r="C147" i="14"/>
  <c r="D147" i="14"/>
  <c r="A148" i="14"/>
  <c r="B148" i="14"/>
  <c r="C148" i="14"/>
  <c r="D148" i="14"/>
  <c r="A149" i="14"/>
  <c r="B149" i="14"/>
  <c r="C149" i="14"/>
  <c r="D149" i="14"/>
  <c r="A150" i="14"/>
  <c r="B150" i="14"/>
  <c r="C150" i="14"/>
  <c r="D150" i="14"/>
  <c r="A151" i="14"/>
  <c r="B151" i="14"/>
  <c r="C151" i="14"/>
  <c r="D151" i="14"/>
  <c r="A152" i="14"/>
  <c r="B152" i="14"/>
  <c r="C152" i="14"/>
  <c r="D152" i="14"/>
  <c r="A153" i="14"/>
  <c r="B153" i="14"/>
  <c r="C153" i="14"/>
  <c r="D153" i="14"/>
  <c r="A154" i="14"/>
  <c r="B154" i="14"/>
  <c r="C154" i="14"/>
  <c r="D154" i="14"/>
  <c r="A155" i="14"/>
  <c r="B155" i="14"/>
  <c r="C155" i="14"/>
  <c r="D155" i="14"/>
  <c r="A156" i="14"/>
  <c r="B156" i="14"/>
  <c r="C156" i="14"/>
  <c r="D156" i="14"/>
  <c r="A157" i="14"/>
  <c r="B157" i="14"/>
  <c r="C157" i="14"/>
  <c r="D157" i="14"/>
  <c r="A158" i="14"/>
  <c r="B158" i="14"/>
  <c r="C158" i="14"/>
  <c r="D158" i="14"/>
  <c r="A159" i="14"/>
  <c r="B159" i="14"/>
  <c r="C159" i="14"/>
  <c r="D159" i="14"/>
  <c r="A160" i="14"/>
  <c r="B160" i="14"/>
  <c r="C160" i="14"/>
  <c r="D160" i="14"/>
  <c r="A161" i="14"/>
  <c r="B161" i="14"/>
  <c r="C161" i="14"/>
  <c r="D161" i="14"/>
  <c r="A162" i="14"/>
  <c r="B162" i="14"/>
  <c r="C162" i="14"/>
  <c r="D162" i="14"/>
  <c r="A163" i="14"/>
  <c r="B163" i="14"/>
  <c r="C163" i="14"/>
  <c r="D163" i="14"/>
  <c r="A164" i="14"/>
  <c r="B164" i="14"/>
  <c r="C164" i="14"/>
  <c r="D164" i="14"/>
  <c r="A165" i="14"/>
  <c r="B165" i="14"/>
  <c r="C165" i="14"/>
  <c r="D165" i="14"/>
  <c r="A166" i="14"/>
  <c r="B166" i="14"/>
  <c r="C166" i="14"/>
  <c r="D166" i="14"/>
  <c r="A167" i="14"/>
  <c r="B167" i="14"/>
  <c r="C167" i="14"/>
  <c r="D167" i="14"/>
  <c r="A168" i="14"/>
  <c r="B168" i="14"/>
  <c r="C168" i="14"/>
  <c r="D168" i="14"/>
  <c r="A169" i="14"/>
  <c r="B169" i="14"/>
  <c r="C169" i="14"/>
  <c r="D169" i="14"/>
  <c r="A170" i="14"/>
  <c r="B170" i="14"/>
  <c r="C170" i="14"/>
  <c r="D170" i="14"/>
  <c r="A171" i="14"/>
  <c r="B171" i="14"/>
  <c r="C171" i="14"/>
  <c r="D171" i="14"/>
  <c r="A172" i="14"/>
  <c r="B172" i="14"/>
  <c r="C172" i="14"/>
  <c r="D172" i="14"/>
  <c r="A173" i="14"/>
  <c r="B173" i="14"/>
  <c r="C173" i="14"/>
  <c r="D173" i="14"/>
  <c r="A174" i="14"/>
  <c r="B174" i="14"/>
  <c r="C174" i="14"/>
  <c r="D174" i="14"/>
  <c r="A175" i="14"/>
  <c r="B175" i="14"/>
  <c r="C175" i="14"/>
  <c r="D175" i="14"/>
  <c r="A176" i="14"/>
  <c r="B176" i="14"/>
  <c r="C176" i="14"/>
  <c r="D176" i="14"/>
  <c r="A177" i="14"/>
  <c r="B177" i="14"/>
  <c r="C177" i="14"/>
  <c r="D177" i="14"/>
  <c r="A178" i="14"/>
  <c r="B178" i="14"/>
  <c r="C178" i="14"/>
  <c r="D178" i="14"/>
  <c r="A179" i="14"/>
  <c r="B179" i="14"/>
  <c r="C179" i="14"/>
  <c r="D179" i="14"/>
  <c r="A180" i="14"/>
  <c r="B180" i="14"/>
  <c r="C180" i="14"/>
  <c r="D180" i="14"/>
  <c r="A181" i="14"/>
  <c r="B181" i="14"/>
  <c r="C181" i="14"/>
  <c r="D181" i="14"/>
  <c r="A182" i="14"/>
  <c r="B182" i="14"/>
  <c r="C182" i="14"/>
  <c r="D182" i="14"/>
  <c r="A183" i="14"/>
  <c r="B183" i="14"/>
  <c r="C183" i="14"/>
  <c r="D183" i="14"/>
  <c r="A184" i="14"/>
  <c r="B184" i="14"/>
  <c r="C184" i="14"/>
  <c r="D184" i="14"/>
  <c r="A185" i="14"/>
  <c r="B185" i="14"/>
  <c r="C185" i="14"/>
  <c r="D185" i="14"/>
  <c r="A186" i="14"/>
  <c r="B186" i="14"/>
  <c r="C186" i="14"/>
  <c r="D186" i="14"/>
  <c r="A187" i="14"/>
  <c r="B187" i="14"/>
  <c r="C187" i="14"/>
  <c r="D187" i="14"/>
  <c r="A188" i="14"/>
  <c r="B188" i="14"/>
  <c r="C188" i="14"/>
  <c r="D188" i="14"/>
  <c r="A189" i="14"/>
  <c r="B189" i="14"/>
  <c r="C189" i="14"/>
  <c r="D189" i="14"/>
  <c r="A190" i="14"/>
  <c r="B190" i="14"/>
  <c r="C190" i="14"/>
  <c r="D190" i="14"/>
  <c r="A191" i="14"/>
  <c r="B191" i="14"/>
  <c r="C191" i="14"/>
  <c r="D191" i="14"/>
  <c r="A192" i="14"/>
  <c r="B192" i="14"/>
  <c r="C192" i="14"/>
  <c r="D192" i="14"/>
  <c r="A193" i="14"/>
  <c r="B193" i="14"/>
  <c r="C193" i="14"/>
  <c r="D193" i="14"/>
  <c r="A194" i="14"/>
  <c r="B194" i="14"/>
  <c r="C194" i="14"/>
  <c r="D194" i="14"/>
  <c r="A195" i="14"/>
  <c r="B195" i="14"/>
  <c r="C195" i="14"/>
  <c r="D195" i="14"/>
  <c r="A196" i="14"/>
  <c r="B196" i="14"/>
  <c r="C196" i="14"/>
  <c r="D196" i="14"/>
  <c r="A197" i="14"/>
  <c r="B197" i="14"/>
  <c r="C197" i="14"/>
  <c r="D197" i="14"/>
  <c r="A198" i="14"/>
  <c r="B198" i="14"/>
  <c r="C198" i="14"/>
  <c r="D198" i="14"/>
  <c r="A199" i="14"/>
  <c r="B199" i="14"/>
  <c r="C199" i="14"/>
  <c r="D199" i="14"/>
  <c r="A200" i="14"/>
  <c r="B200" i="14"/>
  <c r="C200" i="14"/>
  <c r="D200" i="14"/>
  <c r="A201" i="14"/>
  <c r="B201" i="14"/>
  <c r="C201" i="14"/>
  <c r="D201" i="14"/>
  <c r="A202" i="14"/>
  <c r="B202" i="14"/>
  <c r="C202" i="14"/>
  <c r="D202" i="14"/>
  <c r="A203" i="14"/>
  <c r="B203" i="14"/>
  <c r="C203" i="14"/>
  <c r="D203" i="14"/>
  <c r="A204" i="14"/>
  <c r="B204" i="14"/>
  <c r="C204" i="14"/>
  <c r="D204" i="14"/>
  <c r="A205" i="14"/>
  <c r="B205" i="14"/>
  <c r="C205" i="14"/>
  <c r="D205" i="14"/>
  <c r="A206" i="14"/>
  <c r="B206" i="14"/>
  <c r="C206" i="14"/>
  <c r="D206" i="14"/>
  <c r="A207" i="14"/>
  <c r="B207" i="14"/>
  <c r="C207" i="14"/>
  <c r="D207" i="14"/>
  <c r="A208" i="14"/>
  <c r="B208" i="14"/>
  <c r="C208" i="14"/>
  <c r="D208" i="14"/>
  <c r="A209" i="14"/>
  <c r="B209" i="14"/>
  <c r="C209" i="14"/>
  <c r="D209" i="14"/>
  <c r="A210" i="14"/>
  <c r="B210" i="14"/>
  <c r="C210" i="14"/>
  <c r="D210" i="14"/>
  <c r="A211" i="14"/>
  <c r="B211" i="14"/>
  <c r="C211" i="14"/>
  <c r="D211" i="14"/>
  <c r="A212" i="14"/>
  <c r="B212" i="14"/>
  <c r="C212" i="14"/>
  <c r="D212" i="14"/>
  <c r="A213" i="14"/>
  <c r="B213" i="14"/>
  <c r="C213" i="14"/>
  <c r="D213" i="14"/>
  <c r="A214" i="14"/>
  <c r="B214" i="14"/>
  <c r="C214" i="14"/>
  <c r="D214" i="14"/>
  <c r="A215" i="14"/>
  <c r="B215" i="14"/>
  <c r="C215" i="14"/>
  <c r="D215" i="14"/>
  <c r="A216" i="14"/>
  <c r="B216" i="14"/>
  <c r="C216" i="14"/>
  <c r="D216" i="14"/>
  <c r="A217" i="14"/>
  <c r="B217" i="14"/>
  <c r="C217" i="14"/>
  <c r="D217" i="14"/>
  <c r="A218" i="14"/>
  <c r="B218" i="14"/>
  <c r="C218" i="14"/>
  <c r="D218" i="14"/>
  <c r="A219" i="14"/>
  <c r="B219" i="14"/>
  <c r="C219" i="14"/>
  <c r="D219" i="14"/>
  <c r="A220" i="14"/>
  <c r="B220" i="14"/>
  <c r="C220" i="14"/>
  <c r="D220" i="14"/>
  <c r="A221" i="14"/>
  <c r="B221" i="14"/>
  <c r="C221" i="14"/>
  <c r="D221" i="14"/>
  <c r="A222" i="14"/>
  <c r="B222" i="14"/>
  <c r="C222" i="14"/>
  <c r="D222" i="14"/>
  <c r="A223" i="14"/>
  <c r="B223" i="14"/>
  <c r="C223" i="14"/>
  <c r="D223" i="14"/>
  <c r="A224" i="14"/>
  <c r="B224" i="14"/>
  <c r="C224" i="14"/>
  <c r="D224" i="14"/>
  <c r="A225" i="14"/>
  <c r="B225" i="14"/>
  <c r="C225" i="14"/>
  <c r="D225" i="14"/>
  <c r="A226" i="14"/>
  <c r="B226" i="14"/>
  <c r="C226" i="14"/>
  <c r="D226" i="14"/>
  <c r="A227" i="14"/>
  <c r="B227" i="14"/>
  <c r="C227" i="14"/>
  <c r="D227" i="14"/>
  <c r="A228" i="14"/>
  <c r="B228" i="14"/>
  <c r="C228" i="14"/>
  <c r="D228" i="14"/>
  <c r="A229" i="14"/>
  <c r="B229" i="14"/>
  <c r="C229" i="14"/>
  <c r="D229" i="14"/>
  <c r="A230" i="14"/>
  <c r="B230" i="14"/>
  <c r="C230" i="14"/>
  <c r="D230" i="14"/>
  <c r="A231" i="14"/>
  <c r="B231" i="14"/>
  <c r="C231" i="14"/>
  <c r="D231" i="14"/>
  <c r="A232" i="14"/>
  <c r="B232" i="14"/>
  <c r="C232" i="14"/>
  <c r="D232" i="14"/>
  <c r="A233" i="14"/>
  <c r="B233" i="14"/>
  <c r="C233" i="14"/>
  <c r="D233" i="14"/>
  <c r="A234" i="14"/>
  <c r="B234" i="14"/>
  <c r="C234" i="14"/>
  <c r="D234" i="14"/>
  <c r="A235" i="14"/>
  <c r="B235" i="14"/>
  <c r="C235" i="14"/>
  <c r="D235" i="14"/>
  <c r="A236" i="14"/>
  <c r="B236" i="14"/>
  <c r="C236" i="14"/>
  <c r="D236" i="14"/>
  <c r="A237" i="14"/>
  <c r="B237" i="14"/>
  <c r="C237" i="14"/>
  <c r="D237" i="14"/>
  <c r="A238" i="14"/>
  <c r="B238" i="14"/>
  <c r="C238" i="14"/>
  <c r="D238" i="14"/>
  <c r="A239" i="14"/>
  <c r="B239" i="14"/>
  <c r="C239" i="14"/>
  <c r="D239" i="14"/>
  <c r="A240" i="14"/>
  <c r="B240" i="14"/>
  <c r="C240" i="14"/>
  <c r="D240" i="14"/>
  <c r="A241" i="14"/>
  <c r="B241" i="14"/>
  <c r="C241" i="14"/>
  <c r="D241" i="14"/>
  <c r="A242" i="14"/>
  <c r="B242" i="14"/>
  <c r="C242" i="14"/>
  <c r="D242" i="14"/>
  <c r="A243" i="14"/>
  <c r="B243" i="14"/>
  <c r="C243" i="14"/>
  <c r="D243" i="14"/>
  <c r="A244" i="14"/>
  <c r="B244" i="14"/>
  <c r="C244" i="14"/>
  <c r="D244" i="14"/>
  <c r="A245" i="14"/>
  <c r="B245" i="14"/>
  <c r="C245" i="14"/>
  <c r="D245" i="14"/>
  <c r="A246" i="14"/>
  <c r="B246" i="14"/>
  <c r="C246" i="14"/>
  <c r="D246" i="14"/>
  <c r="A247" i="14"/>
  <c r="B247" i="14"/>
  <c r="C247" i="14"/>
  <c r="D247" i="14"/>
  <c r="A248" i="14"/>
  <c r="B248" i="14"/>
  <c r="C248" i="14"/>
  <c r="D248" i="14"/>
  <c r="A249" i="14"/>
  <c r="B249" i="14"/>
  <c r="C249" i="14"/>
  <c r="D249" i="14"/>
  <c r="A250" i="14"/>
  <c r="B250" i="14"/>
  <c r="C250" i="14"/>
  <c r="D250" i="14"/>
  <c r="A251" i="14"/>
  <c r="B251" i="14"/>
  <c r="C251" i="14"/>
  <c r="D251" i="14"/>
  <c r="A252" i="14"/>
  <c r="B252" i="14"/>
  <c r="C252" i="14"/>
  <c r="D252" i="14"/>
  <c r="A253" i="14"/>
  <c r="B253" i="14"/>
  <c r="C253" i="14"/>
  <c r="D253" i="14"/>
  <c r="A254" i="14"/>
  <c r="B254" i="14"/>
  <c r="C254" i="14"/>
  <c r="D254" i="14"/>
  <c r="A255" i="14"/>
  <c r="B255" i="14"/>
  <c r="C255" i="14"/>
  <c r="D255" i="14"/>
  <c r="A256" i="14"/>
  <c r="B256" i="14"/>
  <c r="C256" i="14"/>
  <c r="D256" i="14"/>
  <c r="A257" i="14"/>
  <c r="B257" i="14"/>
  <c r="C257" i="14"/>
  <c r="D257" i="14"/>
  <c r="A258" i="14"/>
  <c r="B258" i="14"/>
  <c r="C258" i="14"/>
  <c r="D258" i="14"/>
  <c r="A259" i="14"/>
  <c r="B259" i="14"/>
  <c r="C259" i="14"/>
  <c r="D259" i="14"/>
  <c r="A260" i="14"/>
  <c r="B260" i="14"/>
  <c r="C260" i="14"/>
  <c r="D260" i="14"/>
  <c r="A261" i="14"/>
  <c r="B261" i="14"/>
  <c r="C261" i="14"/>
  <c r="D261" i="14"/>
  <c r="A262" i="14"/>
  <c r="B262" i="14"/>
  <c r="C262" i="14"/>
  <c r="D262" i="14"/>
  <c r="A263" i="14"/>
  <c r="B263" i="14"/>
  <c r="C263" i="14"/>
  <c r="D263" i="14"/>
  <c r="A264" i="14"/>
  <c r="B264" i="14"/>
  <c r="C264" i="14"/>
  <c r="D264" i="14"/>
  <c r="A265" i="14"/>
  <c r="B265" i="14"/>
  <c r="C265" i="14"/>
  <c r="D265" i="14"/>
  <c r="A266" i="14"/>
  <c r="B266" i="14"/>
  <c r="C266" i="14"/>
  <c r="D266" i="14"/>
  <c r="A267" i="14"/>
  <c r="B267" i="14"/>
  <c r="C267" i="14"/>
  <c r="D267" i="14"/>
  <c r="A268" i="14"/>
  <c r="B268" i="14"/>
  <c r="C268" i="14"/>
  <c r="D268" i="14"/>
  <c r="A269" i="14"/>
  <c r="B269" i="14"/>
  <c r="C269" i="14"/>
  <c r="D269" i="14"/>
  <c r="A270" i="14"/>
  <c r="B270" i="14"/>
  <c r="C270" i="14"/>
  <c r="D270" i="14"/>
  <c r="A271" i="14"/>
  <c r="B271" i="14"/>
  <c r="C271" i="14"/>
  <c r="D271" i="14"/>
  <c r="A272" i="14"/>
  <c r="B272" i="14"/>
  <c r="C272" i="14"/>
  <c r="D272" i="14"/>
  <c r="A273" i="14"/>
  <c r="B273" i="14"/>
  <c r="C273" i="14"/>
  <c r="D273" i="14"/>
  <c r="A274" i="14"/>
  <c r="B274" i="14"/>
  <c r="C274" i="14"/>
  <c r="D274" i="14"/>
  <c r="A275" i="14"/>
  <c r="B275" i="14"/>
  <c r="C275" i="14"/>
  <c r="D275" i="14"/>
  <c r="A276" i="14"/>
  <c r="B276" i="14"/>
  <c r="C276" i="14"/>
  <c r="D276" i="14"/>
  <c r="A277" i="14"/>
  <c r="B277" i="14"/>
  <c r="C277" i="14"/>
  <c r="D277" i="14"/>
  <c r="A278" i="14"/>
  <c r="B278" i="14"/>
  <c r="C278" i="14"/>
  <c r="D278" i="14"/>
  <c r="A279" i="14"/>
  <c r="B279" i="14"/>
  <c r="C279" i="14"/>
  <c r="D279" i="14"/>
  <c r="A280" i="14"/>
  <c r="B280" i="14"/>
  <c r="C280" i="14"/>
  <c r="D280" i="14"/>
  <c r="A281" i="14"/>
  <c r="B281" i="14"/>
  <c r="C281" i="14"/>
  <c r="D281" i="14"/>
  <c r="A282" i="14"/>
  <c r="B282" i="14"/>
  <c r="C282" i="14"/>
  <c r="D282" i="14"/>
  <c r="A283" i="14"/>
  <c r="B283" i="14"/>
  <c r="C283" i="14"/>
  <c r="D283" i="14"/>
  <c r="A284" i="14"/>
  <c r="B284" i="14"/>
  <c r="C284" i="14"/>
  <c r="D284" i="14"/>
  <c r="A285" i="14"/>
  <c r="B285" i="14"/>
  <c r="C285" i="14"/>
  <c r="D285" i="14"/>
  <c r="A286" i="14"/>
  <c r="B286" i="14"/>
  <c r="C286" i="14"/>
  <c r="D286" i="14"/>
  <c r="A287" i="14"/>
  <c r="B287" i="14"/>
  <c r="C287" i="14"/>
  <c r="D287" i="14"/>
  <c r="A288" i="14"/>
  <c r="B288" i="14"/>
  <c r="C288" i="14"/>
  <c r="D288" i="14"/>
  <c r="A289" i="14"/>
  <c r="B289" i="14"/>
  <c r="C289" i="14"/>
  <c r="D289" i="14"/>
  <c r="A290" i="14"/>
  <c r="B290" i="14"/>
  <c r="C290" i="14"/>
  <c r="D290" i="14"/>
  <c r="A291" i="14"/>
  <c r="B291" i="14"/>
  <c r="C291" i="14"/>
  <c r="D291" i="14"/>
  <c r="A292" i="14"/>
  <c r="B292" i="14"/>
  <c r="C292" i="14"/>
  <c r="D292" i="14"/>
  <c r="A293" i="14"/>
  <c r="B293" i="14"/>
  <c r="C293" i="14"/>
  <c r="D293" i="14"/>
  <c r="A294" i="14"/>
  <c r="B294" i="14"/>
  <c r="C294" i="14"/>
  <c r="D294" i="14"/>
  <c r="A295" i="14"/>
  <c r="B295" i="14"/>
  <c r="C295" i="14"/>
  <c r="D295" i="14"/>
  <c r="A296" i="14"/>
  <c r="B296" i="14"/>
  <c r="C296" i="14"/>
  <c r="D296" i="14"/>
  <c r="A297" i="14"/>
  <c r="B297" i="14"/>
  <c r="C297" i="14"/>
  <c r="D297" i="14"/>
  <c r="A298" i="14"/>
  <c r="B298" i="14"/>
  <c r="C298" i="14"/>
  <c r="D298" i="14"/>
  <c r="A299" i="14"/>
  <c r="B299" i="14"/>
  <c r="C299" i="14"/>
  <c r="D299" i="14"/>
  <c r="A300" i="14"/>
  <c r="B300" i="14"/>
  <c r="C300" i="14"/>
  <c r="D300" i="14"/>
  <c r="A301" i="14"/>
  <c r="B301" i="14"/>
  <c r="C301" i="14"/>
  <c r="D301" i="14"/>
  <c r="A302" i="14"/>
  <c r="B302" i="14"/>
  <c r="C302" i="14"/>
  <c r="D302" i="14"/>
  <c r="A303" i="14"/>
  <c r="B303" i="14"/>
  <c r="C303" i="14"/>
  <c r="D303" i="14"/>
  <c r="A304" i="14"/>
  <c r="B304" i="14"/>
  <c r="C304" i="14"/>
  <c r="D304" i="14"/>
  <c r="A305" i="14"/>
  <c r="B305" i="14"/>
  <c r="C305" i="14"/>
  <c r="D305" i="14"/>
  <c r="A306" i="14"/>
  <c r="B306" i="14"/>
  <c r="C306" i="14"/>
  <c r="D306" i="14"/>
  <c r="A307" i="14"/>
  <c r="B307" i="14"/>
  <c r="C307" i="14"/>
  <c r="D307" i="14"/>
  <c r="A308" i="14"/>
  <c r="B308" i="14"/>
  <c r="C308" i="14"/>
  <c r="D308" i="14"/>
  <c r="A309" i="14"/>
  <c r="B309" i="14"/>
  <c r="C309" i="14"/>
  <c r="D309" i="14"/>
  <c r="A310" i="14"/>
  <c r="B310" i="14"/>
  <c r="C310" i="14"/>
  <c r="D310" i="14"/>
  <c r="A311" i="14"/>
  <c r="B311" i="14"/>
  <c r="C311" i="14"/>
  <c r="D311" i="14"/>
  <c r="A312" i="14"/>
  <c r="B312" i="14"/>
  <c r="C312" i="14"/>
  <c r="D312" i="14"/>
  <c r="A313" i="14"/>
  <c r="B313" i="14"/>
  <c r="C313" i="14"/>
  <c r="D313" i="14"/>
  <c r="A314" i="14"/>
  <c r="B314" i="14"/>
  <c r="C314" i="14"/>
  <c r="D314" i="14"/>
  <c r="A315" i="14"/>
  <c r="B315" i="14"/>
  <c r="C315" i="14"/>
  <c r="D315" i="14"/>
  <c r="A316" i="14"/>
  <c r="B316" i="14"/>
  <c r="C316" i="14"/>
  <c r="D316" i="14"/>
  <c r="A317" i="14"/>
  <c r="B317" i="14"/>
  <c r="C317" i="14"/>
  <c r="D317" i="14"/>
  <c r="A318" i="14"/>
  <c r="B318" i="14"/>
  <c r="C318" i="14"/>
  <c r="D318" i="14"/>
  <c r="A319" i="14"/>
  <c r="B319" i="14"/>
  <c r="C319" i="14"/>
  <c r="D319" i="14"/>
  <c r="A320" i="14"/>
  <c r="B320" i="14"/>
  <c r="C320" i="14"/>
  <c r="D320" i="14"/>
  <c r="A321" i="14"/>
  <c r="B321" i="14"/>
  <c r="C321" i="14"/>
  <c r="D321" i="14"/>
  <c r="A322" i="14"/>
  <c r="B322" i="14"/>
  <c r="C322" i="14"/>
  <c r="D322" i="14"/>
  <c r="A323" i="14"/>
  <c r="B323" i="14"/>
  <c r="C323" i="14"/>
  <c r="D323" i="14"/>
  <c r="A324" i="14"/>
  <c r="B324" i="14"/>
  <c r="C324" i="14"/>
  <c r="D324" i="14"/>
  <c r="A325" i="14"/>
  <c r="B325" i="14"/>
  <c r="C325" i="14"/>
  <c r="D325" i="14"/>
  <c r="A326" i="14"/>
  <c r="B326" i="14"/>
  <c r="C326" i="14"/>
  <c r="D326" i="14"/>
  <c r="A327" i="14"/>
  <c r="B327" i="14"/>
  <c r="C327" i="14"/>
  <c r="D327" i="14"/>
  <c r="A328" i="14"/>
  <c r="B328" i="14"/>
  <c r="C328" i="14"/>
  <c r="D328" i="14"/>
  <c r="A329" i="14"/>
  <c r="B329" i="14"/>
  <c r="C329" i="14"/>
  <c r="D329" i="14"/>
  <c r="A330" i="14"/>
  <c r="B330" i="14"/>
  <c r="C330" i="14"/>
  <c r="D330" i="14"/>
  <c r="A331" i="14"/>
  <c r="B331" i="14"/>
  <c r="C331" i="14"/>
  <c r="D331" i="14"/>
  <c r="A332" i="14"/>
  <c r="B332" i="14"/>
  <c r="C332" i="14"/>
  <c r="D332" i="14"/>
  <c r="A333" i="14"/>
  <c r="B333" i="14"/>
  <c r="C333" i="14"/>
  <c r="D333" i="14"/>
  <c r="A334" i="14"/>
  <c r="B334" i="14"/>
  <c r="C334" i="14"/>
  <c r="D334" i="14"/>
  <c r="A335" i="14"/>
  <c r="B335" i="14"/>
  <c r="C335" i="14"/>
  <c r="D335" i="14"/>
  <c r="A336" i="14"/>
  <c r="B336" i="14"/>
  <c r="C336" i="14"/>
  <c r="D336" i="14"/>
  <c r="A337" i="14"/>
  <c r="B337" i="14"/>
  <c r="C337" i="14"/>
  <c r="D337" i="14"/>
  <c r="A338" i="14"/>
  <c r="B338" i="14"/>
  <c r="C338" i="14"/>
  <c r="D338" i="14"/>
  <c r="A339" i="14"/>
  <c r="B339" i="14"/>
  <c r="C339" i="14"/>
  <c r="D339" i="14"/>
  <c r="A340" i="14"/>
  <c r="B340" i="14"/>
  <c r="C340" i="14"/>
  <c r="D340" i="14"/>
  <c r="A341" i="14"/>
  <c r="B341" i="14"/>
  <c r="C341" i="14"/>
  <c r="D341" i="14"/>
  <c r="A342" i="14"/>
  <c r="B342" i="14"/>
  <c r="C342" i="14"/>
  <c r="D342" i="14"/>
  <c r="A343" i="14"/>
  <c r="B343" i="14"/>
  <c r="C343" i="14"/>
  <c r="D343" i="14"/>
  <c r="A344" i="14"/>
  <c r="B344" i="14"/>
  <c r="C344" i="14"/>
  <c r="D344" i="14"/>
  <c r="A345" i="14"/>
  <c r="B345" i="14"/>
  <c r="C345" i="14"/>
  <c r="D345" i="14"/>
  <c r="A346" i="14"/>
  <c r="B346" i="14"/>
  <c r="C346" i="14"/>
  <c r="D346" i="14"/>
  <c r="A347" i="14"/>
  <c r="B347" i="14"/>
  <c r="C347" i="14"/>
  <c r="D347" i="14"/>
  <c r="A348" i="14"/>
  <c r="B348" i="14"/>
  <c r="C348" i="14"/>
  <c r="D348" i="14"/>
  <c r="A349" i="14"/>
  <c r="B349" i="14"/>
  <c r="C349" i="14"/>
  <c r="D349" i="14"/>
  <c r="A350" i="14"/>
  <c r="B350" i="14"/>
  <c r="C350" i="14"/>
  <c r="D350" i="14"/>
  <c r="A351" i="14"/>
  <c r="B351" i="14"/>
  <c r="C351" i="14"/>
  <c r="D351" i="14"/>
  <c r="A352" i="14"/>
  <c r="B352" i="14"/>
  <c r="C352" i="14"/>
  <c r="D352" i="14"/>
  <c r="A353" i="14"/>
  <c r="B353" i="14"/>
  <c r="C353" i="14"/>
  <c r="D353" i="14"/>
  <c r="A354" i="14"/>
  <c r="B354" i="14"/>
  <c r="C354" i="14"/>
  <c r="D354" i="14"/>
  <c r="A355" i="14"/>
  <c r="B355" i="14"/>
  <c r="C355" i="14"/>
  <c r="D355" i="14"/>
  <c r="A356" i="14"/>
  <c r="B356" i="14"/>
  <c r="C356" i="14"/>
  <c r="D356" i="14"/>
  <c r="A357" i="14"/>
  <c r="B357" i="14"/>
  <c r="C357" i="14"/>
  <c r="D357" i="14"/>
  <c r="A358" i="14"/>
  <c r="B358" i="14"/>
  <c r="C358" i="14"/>
  <c r="D358" i="14"/>
  <c r="A359" i="14"/>
  <c r="B359" i="14"/>
  <c r="C359" i="14"/>
  <c r="D359" i="14"/>
  <c r="A360" i="14"/>
  <c r="B360" i="14"/>
  <c r="C360" i="14"/>
  <c r="D360" i="14"/>
  <c r="A361" i="14"/>
  <c r="B361" i="14"/>
  <c r="C361" i="14"/>
  <c r="D361" i="14"/>
  <c r="A362" i="14"/>
  <c r="B362" i="14"/>
  <c r="C362" i="14"/>
  <c r="D362" i="14"/>
  <c r="A363" i="14"/>
  <c r="B363" i="14"/>
  <c r="C363" i="14"/>
  <c r="D363" i="14"/>
  <c r="A364" i="14"/>
  <c r="B364" i="14"/>
  <c r="C364" i="14"/>
  <c r="D364" i="14"/>
  <c r="A365" i="14"/>
  <c r="B365" i="14"/>
  <c r="C365" i="14"/>
  <c r="D365" i="14"/>
  <c r="A366" i="14"/>
  <c r="B366" i="14"/>
  <c r="C366" i="14"/>
  <c r="D366" i="14"/>
  <c r="A367" i="14"/>
  <c r="B367" i="14"/>
  <c r="C367" i="14"/>
  <c r="D367" i="14"/>
  <c r="A368" i="14"/>
  <c r="B368" i="14"/>
  <c r="C368" i="14"/>
  <c r="D368" i="14"/>
  <c r="A369" i="14"/>
  <c r="B369" i="14"/>
  <c r="C369" i="14"/>
  <c r="D369" i="14"/>
  <c r="A370" i="14"/>
  <c r="B370" i="14"/>
  <c r="C370" i="14"/>
  <c r="D370" i="14"/>
  <c r="A371" i="14"/>
  <c r="B371" i="14"/>
  <c r="C371" i="14"/>
  <c r="D371" i="14"/>
  <c r="A372" i="14"/>
  <c r="B372" i="14"/>
  <c r="C372" i="14"/>
  <c r="D372" i="14"/>
  <c r="A373" i="14"/>
  <c r="B373" i="14"/>
  <c r="C373" i="14"/>
  <c r="D373" i="14"/>
  <c r="A374" i="14"/>
  <c r="B374" i="14"/>
  <c r="C374" i="14"/>
  <c r="D374" i="14"/>
  <c r="A375" i="14"/>
  <c r="B375" i="14"/>
  <c r="C375" i="14"/>
  <c r="D375" i="14"/>
  <c r="A376" i="14"/>
  <c r="B376" i="14"/>
  <c r="C376" i="14"/>
  <c r="D376" i="14"/>
  <c r="A377" i="14"/>
  <c r="B377" i="14"/>
  <c r="C377" i="14"/>
  <c r="D377" i="14"/>
  <c r="A378" i="14"/>
  <c r="B378" i="14"/>
  <c r="C378" i="14"/>
  <c r="D378" i="14"/>
  <c r="A379" i="14"/>
  <c r="B379" i="14"/>
  <c r="C379" i="14"/>
  <c r="D379" i="14"/>
  <c r="A380" i="14"/>
  <c r="B380" i="14"/>
  <c r="C380" i="14"/>
  <c r="D380" i="14"/>
  <c r="A381" i="14"/>
  <c r="B381" i="14"/>
  <c r="C381" i="14"/>
  <c r="D381" i="14"/>
  <c r="A382" i="14"/>
  <c r="B382" i="14"/>
  <c r="C382" i="14"/>
  <c r="D382" i="14"/>
  <c r="A383" i="14"/>
  <c r="B383" i="14"/>
  <c r="C383" i="14"/>
  <c r="D383" i="14"/>
  <c r="A384" i="14"/>
  <c r="B384" i="14"/>
  <c r="C384" i="14"/>
  <c r="D384" i="14"/>
  <c r="A385" i="14"/>
  <c r="B385" i="14"/>
  <c r="C385" i="14"/>
  <c r="D385" i="14"/>
  <c r="A386" i="14"/>
  <c r="B386" i="14"/>
  <c r="C386" i="14"/>
  <c r="D386" i="14"/>
  <c r="A387" i="14"/>
  <c r="B387" i="14"/>
  <c r="C387" i="14"/>
  <c r="D387" i="14"/>
  <c r="A388" i="14"/>
  <c r="B388" i="14"/>
  <c r="C388" i="14"/>
  <c r="D388" i="14"/>
  <c r="A389" i="14"/>
  <c r="B389" i="14"/>
  <c r="C389" i="14"/>
  <c r="D389" i="14"/>
  <c r="A390" i="14"/>
  <c r="B390" i="14"/>
  <c r="C390" i="14"/>
  <c r="D390" i="14"/>
  <c r="A391" i="14"/>
  <c r="B391" i="14"/>
  <c r="C391" i="14"/>
  <c r="D391" i="14"/>
  <c r="A392" i="14"/>
  <c r="B392" i="14"/>
  <c r="C392" i="14"/>
  <c r="D392" i="14"/>
  <c r="A393" i="14"/>
  <c r="B393" i="14"/>
  <c r="C393" i="14"/>
  <c r="D393" i="14"/>
  <c r="A394" i="14"/>
  <c r="B394" i="14"/>
  <c r="C394" i="14"/>
  <c r="D394" i="14"/>
  <c r="A395" i="14"/>
  <c r="B395" i="14"/>
  <c r="C395" i="14"/>
  <c r="D395" i="14"/>
  <c r="A396" i="14"/>
  <c r="B396" i="14"/>
  <c r="C396" i="14"/>
  <c r="D396" i="14"/>
  <c r="A397" i="14"/>
  <c r="B397" i="14"/>
  <c r="C397" i="14"/>
  <c r="D397" i="14"/>
  <c r="A398" i="14"/>
  <c r="B398" i="14"/>
  <c r="C398" i="14"/>
  <c r="D398" i="14"/>
  <c r="A399" i="14"/>
  <c r="B399" i="14"/>
  <c r="C399" i="14"/>
  <c r="D399" i="14"/>
  <c r="A400" i="14"/>
  <c r="B400" i="14"/>
  <c r="C400" i="14"/>
  <c r="D400" i="14"/>
  <c r="A401" i="14"/>
  <c r="B401" i="14"/>
  <c r="C401" i="14"/>
  <c r="D401" i="14"/>
  <c r="A402" i="14"/>
  <c r="B402" i="14"/>
  <c r="C402" i="14"/>
  <c r="D402" i="14"/>
  <c r="A403" i="14"/>
  <c r="B403" i="14"/>
  <c r="C403" i="14"/>
  <c r="D403" i="14"/>
  <c r="A404" i="14"/>
  <c r="B404" i="14"/>
  <c r="C404" i="14"/>
  <c r="D404" i="14"/>
  <c r="A405" i="14"/>
  <c r="B405" i="14"/>
  <c r="C405" i="14"/>
  <c r="D405" i="14"/>
  <c r="A406" i="14"/>
  <c r="B406" i="14"/>
  <c r="C406" i="14"/>
  <c r="D406" i="14"/>
  <c r="A407" i="14"/>
  <c r="B407" i="14"/>
  <c r="C407" i="14"/>
  <c r="D407" i="14"/>
  <c r="A408" i="14"/>
  <c r="B408" i="14"/>
  <c r="C408" i="14"/>
  <c r="D408" i="14"/>
  <c r="A409" i="14"/>
  <c r="B409" i="14"/>
  <c r="C409" i="14"/>
  <c r="D409" i="14"/>
  <c r="A410" i="14"/>
  <c r="B410" i="14"/>
  <c r="C410" i="14"/>
  <c r="D410" i="14"/>
  <c r="A411" i="14"/>
  <c r="B411" i="14"/>
  <c r="C411" i="14"/>
  <c r="D411" i="14"/>
  <c r="A412" i="14"/>
  <c r="B412" i="14"/>
  <c r="C412" i="14"/>
  <c r="D412" i="14"/>
  <c r="A413" i="14"/>
  <c r="B413" i="14"/>
  <c r="C413" i="14"/>
  <c r="D413" i="14"/>
  <c r="A414" i="14"/>
  <c r="B414" i="14"/>
  <c r="C414" i="14"/>
  <c r="D414" i="14"/>
  <c r="A415" i="14"/>
  <c r="B415" i="14"/>
  <c r="C415" i="14"/>
  <c r="D415" i="14"/>
  <c r="A416" i="14"/>
  <c r="B416" i="14"/>
  <c r="C416" i="14"/>
  <c r="D416" i="14"/>
  <c r="A417" i="14"/>
  <c r="B417" i="14"/>
  <c r="C417" i="14"/>
  <c r="D417" i="14"/>
  <c r="A418" i="14"/>
  <c r="B418" i="14"/>
  <c r="C418" i="14"/>
  <c r="D418" i="14"/>
  <c r="A419" i="14"/>
  <c r="B419" i="14"/>
  <c r="C419" i="14"/>
  <c r="D419" i="14"/>
  <c r="A420" i="14"/>
  <c r="B420" i="14"/>
  <c r="C420" i="14"/>
  <c r="D420" i="14"/>
  <c r="A421" i="14"/>
  <c r="B421" i="14"/>
  <c r="C421" i="14"/>
  <c r="D421" i="14"/>
  <c r="A422" i="14"/>
  <c r="B422" i="14"/>
  <c r="C422" i="14"/>
  <c r="D422" i="14"/>
  <c r="A423" i="14"/>
  <c r="B423" i="14"/>
  <c r="C423" i="14"/>
  <c r="D423" i="14"/>
  <c r="A424" i="14"/>
  <c r="B424" i="14"/>
  <c r="C424" i="14"/>
  <c r="D424" i="14"/>
  <c r="A425" i="14"/>
  <c r="B425" i="14"/>
  <c r="C425" i="14"/>
  <c r="D425" i="14"/>
  <c r="A426" i="14"/>
  <c r="B426" i="14"/>
  <c r="C426" i="14"/>
  <c r="D426" i="14"/>
  <c r="A427" i="14"/>
  <c r="B427" i="14"/>
  <c r="C427" i="14"/>
  <c r="D427" i="14"/>
  <c r="A428" i="14"/>
  <c r="B428" i="14"/>
  <c r="C428" i="14"/>
  <c r="D428" i="14"/>
  <c r="A429" i="14"/>
  <c r="B429" i="14"/>
  <c r="C429" i="14"/>
  <c r="D429" i="14"/>
  <c r="A430" i="14"/>
  <c r="B430" i="14"/>
  <c r="C430" i="14"/>
  <c r="D430" i="14"/>
  <c r="A431" i="14"/>
  <c r="B431" i="14"/>
  <c r="C431" i="14"/>
  <c r="D431" i="14"/>
  <c r="A432" i="14"/>
  <c r="B432" i="14"/>
  <c r="C432" i="14"/>
  <c r="D432" i="14"/>
  <c r="A433" i="14"/>
  <c r="B433" i="14"/>
  <c r="C433" i="14"/>
  <c r="D433" i="14"/>
  <c r="A434" i="14"/>
  <c r="B434" i="14"/>
  <c r="C434" i="14"/>
  <c r="D434" i="14"/>
  <c r="A435" i="14"/>
  <c r="B435" i="14"/>
  <c r="C435" i="14"/>
  <c r="D435" i="14"/>
  <c r="A436" i="14"/>
  <c r="B436" i="14"/>
  <c r="C436" i="14"/>
  <c r="D436" i="14"/>
  <c r="A437" i="14"/>
  <c r="B437" i="14"/>
  <c r="C437" i="14"/>
  <c r="D437" i="14"/>
  <c r="A438" i="14"/>
  <c r="B438" i="14"/>
  <c r="C438" i="14"/>
  <c r="D438" i="14"/>
  <c r="A439" i="14"/>
  <c r="B439" i="14"/>
  <c r="C439" i="14"/>
  <c r="D439" i="14"/>
  <c r="A440" i="14"/>
  <c r="B440" i="14"/>
  <c r="C440" i="14"/>
  <c r="D440" i="14"/>
  <c r="A441" i="14"/>
  <c r="B441" i="14"/>
  <c r="C441" i="14"/>
  <c r="D441" i="14"/>
  <c r="A442" i="14"/>
  <c r="B442" i="14"/>
  <c r="C442" i="14"/>
  <c r="D442" i="14"/>
  <c r="A443" i="14"/>
  <c r="B443" i="14"/>
  <c r="C443" i="14"/>
  <c r="D443" i="14"/>
  <c r="A444" i="14"/>
  <c r="B444" i="14"/>
  <c r="C444" i="14"/>
  <c r="D444" i="14"/>
  <c r="A445" i="14"/>
  <c r="B445" i="14"/>
  <c r="C445" i="14"/>
  <c r="D445" i="14"/>
  <c r="A446" i="14"/>
  <c r="B446" i="14"/>
  <c r="C446" i="14"/>
  <c r="D446" i="14"/>
  <c r="A447" i="14"/>
  <c r="B447" i="14"/>
  <c r="C447" i="14"/>
  <c r="D447" i="14"/>
  <c r="A448" i="14"/>
  <c r="B448" i="14"/>
  <c r="C448" i="14"/>
  <c r="D448" i="14"/>
  <c r="A449" i="14"/>
  <c r="B449" i="14"/>
  <c r="C449" i="14"/>
  <c r="D449" i="14"/>
  <c r="A450" i="14"/>
  <c r="B450" i="14"/>
  <c r="C450" i="14"/>
  <c r="D450" i="14"/>
  <c r="A451" i="14"/>
  <c r="B451" i="14"/>
  <c r="C451" i="14"/>
  <c r="D451" i="14"/>
  <c r="A452" i="14"/>
  <c r="B452" i="14"/>
  <c r="C452" i="14"/>
  <c r="D452" i="14"/>
  <c r="A453" i="14"/>
  <c r="B453" i="14"/>
  <c r="C453" i="14"/>
  <c r="D453" i="14"/>
  <c r="A454" i="14"/>
  <c r="B454" i="14"/>
  <c r="C454" i="14"/>
  <c r="D454" i="14"/>
  <c r="A455" i="14"/>
  <c r="B455" i="14"/>
  <c r="C455" i="14"/>
  <c r="D455" i="14"/>
  <c r="A456" i="14"/>
  <c r="B456" i="14"/>
  <c r="C456" i="14"/>
  <c r="D456" i="14"/>
  <c r="A457" i="14"/>
  <c r="B457" i="14"/>
  <c r="C457" i="14"/>
  <c r="D457" i="14"/>
  <c r="A458" i="14"/>
  <c r="B458" i="14"/>
  <c r="C458" i="14"/>
  <c r="D458" i="14"/>
  <c r="A459" i="14"/>
  <c r="B459" i="14"/>
  <c r="C459" i="14"/>
  <c r="D459" i="14"/>
  <c r="A460" i="14"/>
  <c r="B460" i="14"/>
  <c r="C460" i="14"/>
  <c r="D460" i="14"/>
  <c r="A461" i="14"/>
  <c r="B461" i="14"/>
  <c r="C461" i="14"/>
  <c r="D461" i="14"/>
  <c r="A462" i="14"/>
  <c r="B462" i="14"/>
  <c r="C462" i="14"/>
  <c r="D462" i="14"/>
  <c r="A463" i="14"/>
  <c r="B463" i="14"/>
  <c r="C463" i="14"/>
  <c r="D463" i="14"/>
  <c r="A464" i="14"/>
  <c r="B464" i="14"/>
  <c r="C464" i="14"/>
  <c r="D464" i="14"/>
  <c r="A465" i="14"/>
  <c r="B465" i="14"/>
  <c r="C465" i="14"/>
  <c r="D465" i="14"/>
  <c r="A466" i="14"/>
  <c r="B466" i="14"/>
  <c r="C466" i="14"/>
  <c r="D466" i="14"/>
  <c r="A467" i="14"/>
  <c r="B467" i="14"/>
  <c r="C467" i="14"/>
  <c r="D467" i="14"/>
  <c r="A468" i="14"/>
  <c r="B468" i="14"/>
  <c r="C468" i="14"/>
  <c r="D468" i="14"/>
  <c r="A469" i="14"/>
  <c r="B469" i="14"/>
  <c r="C469" i="14"/>
  <c r="D469" i="14"/>
  <c r="A470" i="14"/>
  <c r="B470" i="14"/>
  <c r="C470" i="14"/>
  <c r="D470" i="14"/>
  <c r="A471" i="14"/>
  <c r="B471" i="14"/>
  <c r="C471" i="14"/>
  <c r="D471" i="14"/>
  <c r="A472" i="14"/>
  <c r="B472" i="14"/>
  <c r="C472" i="14"/>
  <c r="D472" i="14"/>
  <c r="A473" i="14"/>
  <c r="B473" i="14"/>
  <c r="C473" i="14"/>
  <c r="D473" i="14"/>
  <c r="A474" i="14"/>
  <c r="B474" i="14"/>
  <c r="C474" i="14"/>
  <c r="D474" i="14"/>
  <c r="A475" i="14"/>
  <c r="B475" i="14"/>
  <c r="C475" i="14"/>
  <c r="D475" i="14"/>
  <c r="A476" i="14"/>
  <c r="B476" i="14"/>
  <c r="C476" i="14"/>
  <c r="D476" i="14"/>
  <c r="A477" i="14"/>
  <c r="B477" i="14"/>
  <c r="C477" i="14"/>
  <c r="D477" i="14"/>
  <c r="A478" i="14"/>
  <c r="B478" i="14"/>
  <c r="C478" i="14"/>
  <c r="D478" i="14"/>
  <c r="A479" i="14"/>
  <c r="B479" i="14"/>
  <c r="C479" i="14"/>
  <c r="D479" i="14"/>
  <c r="A480" i="14"/>
  <c r="B480" i="14"/>
  <c r="C480" i="14"/>
  <c r="D480" i="14"/>
  <c r="A481" i="14"/>
  <c r="B481" i="14"/>
  <c r="C481" i="14"/>
  <c r="D481" i="14"/>
  <c r="A482" i="14"/>
  <c r="B482" i="14"/>
  <c r="C482" i="14"/>
  <c r="D482" i="14"/>
  <c r="A483" i="14"/>
  <c r="B483" i="14"/>
  <c r="C483" i="14"/>
  <c r="D483" i="14"/>
  <c r="A484" i="14"/>
  <c r="B484" i="14"/>
  <c r="C484" i="14"/>
  <c r="D484" i="14"/>
  <c r="A485" i="14"/>
  <c r="B485" i="14"/>
  <c r="C485" i="14"/>
  <c r="D485" i="14"/>
  <c r="A486" i="14"/>
  <c r="B486" i="14"/>
  <c r="C486" i="14"/>
  <c r="D486" i="14"/>
  <c r="A487" i="14"/>
  <c r="B487" i="14"/>
  <c r="C487" i="14"/>
  <c r="D487" i="14"/>
  <c r="A488" i="14"/>
  <c r="B488" i="14"/>
  <c r="C488" i="14"/>
  <c r="D488" i="14"/>
  <c r="A489" i="14"/>
  <c r="B489" i="14"/>
  <c r="C489" i="14"/>
  <c r="D489" i="14"/>
  <c r="A490" i="14"/>
  <c r="B490" i="14"/>
  <c r="C490" i="14"/>
  <c r="D490" i="14"/>
  <c r="A491" i="14"/>
  <c r="B491" i="14"/>
  <c r="C491" i="14"/>
  <c r="D491" i="14"/>
  <c r="A492" i="14"/>
  <c r="B492" i="14"/>
  <c r="C492" i="14"/>
  <c r="D492" i="14"/>
  <c r="A493" i="14"/>
  <c r="B493" i="14"/>
  <c r="C493" i="14"/>
  <c r="D493" i="14"/>
  <c r="A494" i="14"/>
  <c r="B494" i="14"/>
  <c r="C494" i="14"/>
  <c r="D494" i="14"/>
  <c r="A495" i="14"/>
  <c r="B495" i="14"/>
  <c r="C495" i="14"/>
  <c r="D495" i="14"/>
  <c r="A496" i="14"/>
  <c r="B496" i="14"/>
  <c r="C496" i="14"/>
  <c r="D496" i="14"/>
  <c r="A497" i="14"/>
  <c r="B497" i="14"/>
  <c r="C497" i="14"/>
  <c r="D497" i="14"/>
  <c r="A498" i="14"/>
  <c r="B498" i="14"/>
  <c r="C498" i="14"/>
  <c r="D498" i="14"/>
  <c r="A499" i="14"/>
  <c r="B499" i="14"/>
  <c r="C499" i="14"/>
  <c r="D499" i="14"/>
  <c r="A500" i="14"/>
  <c r="B500" i="14"/>
  <c r="C500" i="14"/>
  <c r="D500" i="14"/>
  <c r="A501" i="14"/>
  <c r="B501" i="14"/>
  <c r="C501" i="14"/>
  <c r="D501" i="14"/>
  <c r="A502" i="14"/>
  <c r="B502" i="14"/>
  <c r="C502" i="14"/>
  <c r="D502" i="14"/>
  <c r="A503" i="14"/>
  <c r="B503" i="14"/>
  <c r="C503" i="14"/>
  <c r="D503" i="14"/>
  <c r="A504" i="14"/>
  <c r="B504" i="14"/>
  <c r="C504" i="14"/>
  <c r="D504" i="14"/>
  <c r="A505" i="14"/>
  <c r="B505" i="14"/>
  <c r="C505" i="14"/>
  <c r="D505" i="14"/>
  <c r="A506" i="14"/>
  <c r="B506" i="14"/>
  <c r="C506" i="14"/>
  <c r="D506" i="14"/>
  <c r="A507" i="14"/>
  <c r="B507" i="14"/>
  <c r="C507" i="14"/>
  <c r="D507" i="14"/>
  <c r="A508" i="14"/>
  <c r="B508" i="14"/>
  <c r="C508" i="14"/>
  <c r="D508" i="14"/>
  <c r="A509" i="14"/>
  <c r="B509" i="14"/>
  <c r="C509" i="14"/>
  <c r="D509" i="14"/>
  <c r="A510" i="14"/>
  <c r="B510" i="14"/>
  <c r="C510" i="14"/>
  <c r="D510" i="14"/>
  <c r="A511" i="14"/>
  <c r="B511" i="14"/>
  <c r="C511" i="14"/>
  <c r="D511" i="14"/>
  <c r="A512" i="14"/>
  <c r="B512" i="14"/>
  <c r="C512" i="14"/>
  <c r="D512" i="14"/>
  <c r="A513" i="14"/>
  <c r="B513" i="14"/>
  <c r="C513" i="14"/>
  <c r="D513" i="14"/>
  <c r="A514" i="14"/>
  <c r="B514" i="14"/>
  <c r="C514" i="14"/>
  <c r="D514" i="14"/>
  <c r="A515" i="14"/>
  <c r="B515" i="14"/>
  <c r="C515" i="14"/>
  <c r="D515" i="14"/>
  <c r="A516" i="14"/>
  <c r="B516" i="14"/>
  <c r="C516" i="14"/>
  <c r="D516" i="14"/>
  <c r="A517" i="14"/>
  <c r="B517" i="14"/>
  <c r="C517" i="14"/>
  <c r="D517" i="14"/>
  <c r="A518" i="14"/>
  <c r="B518" i="14"/>
  <c r="C518" i="14"/>
  <c r="D518" i="14"/>
  <c r="A519" i="14"/>
  <c r="B519" i="14"/>
  <c r="C519" i="14"/>
  <c r="D519" i="14"/>
  <c r="A520" i="14"/>
  <c r="B520" i="14"/>
  <c r="C520" i="14"/>
  <c r="D520" i="14"/>
  <c r="A521" i="14"/>
  <c r="B521" i="14"/>
  <c r="C521" i="14"/>
  <c r="D521" i="14"/>
  <c r="A522" i="14"/>
  <c r="B522" i="14"/>
  <c r="C522" i="14"/>
  <c r="D522" i="14"/>
  <c r="A523" i="14"/>
  <c r="B523" i="14"/>
  <c r="C523" i="14"/>
  <c r="D523" i="14"/>
  <c r="A524" i="14"/>
  <c r="B524" i="14"/>
  <c r="C524" i="14"/>
  <c r="D524" i="14"/>
  <c r="A525" i="14"/>
  <c r="B525" i="14"/>
  <c r="C525" i="14"/>
  <c r="D525" i="14"/>
  <c r="A526" i="14"/>
  <c r="B526" i="14"/>
  <c r="C526" i="14"/>
  <c r="D526" i="14"/>
  <c r="A527" i="14"/>
  <c r="B527" i="14"/>
  <c r="C527" i="14"/>
  <c r="D527" i="14"/>
  <c r="A528" i="14"/>
  <c r="B528" i="14"/>
  <c r="C528" i="14"/>
  <c r="D528" i="14"/>
  <c r="A529" i="14"/>
  <c r="B529" i="14"/>
  <c r="C529" i="14"/>
  <c r="D529" i="14"/>
  <c r="A530" i="14"/>
  <c r="B530" i="14"/>
  <c r="C530" i="14"/>
  <c r="D530" i="14"/>
  <c r="A531" i="14"/>
  <c r="B531" i="14"/>
  <c r="C531" i="14"/>
  <c r="D531" i="14"/>
  <c r="A532" i="14"/>
  <c r="B532" i="14"/>
  <c r="C532" i="14"/>
  <c r="D532" i="14"/>
  <c r="A533" i="14"/>
  <c r="B533" i="14"/>
  <c r="C533" i="14"/>
  <c r="D533" i="14"/>
  <c r="D9" i="14" l="1"/>
  <c r="D70" i="6" l="1"/>
  <c r="D69" i="6"/>
  <c r="B71" i="6"/>
  <c r="D71" i="6"/>
  <c r="B72" i="6"/>
  <c r="D72" i="6"/>
  <c r="B73" i="6"/>
  <c r="D73" i="6"/>
  <c r="B74" i="6"/>
  <c r="D74" i="6"/>
  <c r="D75" i="6"/>
  <c r="B76" i="6"/>
  <c r="D76" i="6"/>
  <c r="B77" i="6"/>
  <c r="D77" i="6"/>
  <c r="B78" i="6"/>
  <c r="D78" i="6"/>
  <c r="D79" i="6"/>
  <c r="D80" i="6"/>
  <c r="B81" i="6"/>
  <c r="D81" i="6"/>
  <c r="D36" i="6" l="1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33" i="6"/>
  <c r="D34" i="6"/>
  <c r="D3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10" i="6" l="1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10" i="7"/>
  <c r="B10" i="7"/>
  <c r="B10" i="6"/>
  <c r="D533" i="11"/>
  <c r="C533" i="11"/>
  <c r="B533" i="11"/>
  <c r="A533" i="11"/>
  <c r="D532" i="11"/>
  <c r="C532" i="11"/>
  <c r="B532" i="11"/>
  <c r="A532" i="11"/>
  <c r="D531" i="11"/>
  <c r="C531" i="11"/>
  <c r="B531" i="11"/>
  <c r="A531" i="11"/>
  <c r="D530" i="11"/>
  <c r="C530" i="11"/>
  <c r="B530" i="11"/>
  <c r="A530" i="11"/>
  <c r="D529" i="11"/>
  <c r="C529" i="11"/>
  <c r="B529" i="11"/>
  <c r="A529" i="11"/>
  <c r="D528" i="11"/>
  <c r="C528" i="11"/>
  <c r="B528" i="11"/>
  <c r="A528" i="11"/>
  <c r="D527" i="11"/>
  <c r="C527" i="11"/>
  <c r="B527" i="11"/>
  <c r="A527" i="11"/>
  <c r="D526" i="11"/>
  <c r="C526" i="11"/>
  <c r="B526" i="11"/>
  <c r="A526" i="11"/>
  <c r="D525" i="11"/>
  <c r="C525" i="11"/>
  <c r="B525" i="11"/>
  <c r="A525" i="11"/>
  <c r="D524" i="11"/>
  <c r="C524" i="11"/>
  <c r="B524" i="11"/>
  <c r="A524" i="11"/>
  <c r="D523" i="11"/>
  <c r="C523" i="11"/>
  <c r="B523" i="11"/>
  <c r="A523" i="11"/>
  <c r="D522" i="11"/>
  <c r="C522" i="11"/>
  <c r="B522" i="11"/>
  <c r="A522" i="11"/>
  <c r="D521" i="11"/>
  <c r="C521" i="11"/>
  <c r="B521" i="11"/>
  <c r="A521" i="11"/>
  <c r="D520" i="11"/>
  <c r="C520" i="11"/>
  <c r="B520" i="11"/>
  <c r="A520" i="11"/>
  <c r="D519" i="11"/>
  <c r="C519" i="11"/>
  <c r="B519" i="11"/>
  <c r="A519" i="11"/>
  <c r="D518" i="11"/>
  <c r="C518" i="11"/>
  <c r="B518" i="11"/>
  <c r="A518" i="11"/>
  <c r="D517" i="11"/>
  <c r="C517" i="11"/>
  <c r="B517" i="11"/>
  <c r="A517" i="11"/>
  <c r="D516" i="11"/>
  <c r="C516" i="11"/>
  <c r="B516" i="11"/>
  <c r="A516" i="11"/>
  <c r="D515" i="11"/>
  <c r="C515" i="11"/>
  <c r="B515" i="11"/>
  <c r="A515" i="11"/>
  <c r="D514" i="11"/>
  <c r="C514" i="11"/>
  <c r="B514" i="11"/>
  <c r="A514" i="11"/>
  <c r="D513" i="11"/>
  <c r="C513" i="11"/>
  <c r="B513" i="11"/>
  <c r="A513" i="11"/>
  <c r="D512" i="11"/>
  <c r="C512" i="11"/>
  <c r="B512" i="11"/>
  <c r="A512" i="11"/>
  <c r="D511" i="11"/>
  <c r="C511" i="11"/>
  <c r="B511" i="11"/>
  <c r="A511" i="11"/>
  <c r="D510" i="11"/>
  <c r="C510" i="11"/>
  <c r="B510" i="11"/>
  <c r="A510" i="11"/>
  <c r="D509" i="11"/>
  <c r="C509" i="11"/>
  <c r="B509" i="11"/>
  <c r="A509" i="11"/>
  <c r="D508" i="11"/>
  <c r="C508" i="11"/>
  <c r="B508" i="11"/>
  <c r="A508" i="11"/>
  <c r="D507" i="11"/>
  <c r="C507" i="11"/>
  <c r="B507" i="11"/>
  <c r="A507" i="11"/>
  <c r="D506" i="11"/>
  <c r="C506" i="11"/>
  <c r="B506" i="11"/>
  <c r="A506" i="11"/>
  <c r="D505" i="11"/>
  <c r="C505" i="11"/>
  <c r="B505" i="11"/>
  <c r="A505" i="11"/>
  <c r="D504" i="11"/>
  <c r="C504" i="11"/>
  <c r="B504" i="11"/>
  <c r="A504" i="11"/>
  <c r="D503" i="11"/>
  <c r="C503" i="11"/>
  <c r="B503" i="11"/>
  <c r="A503" i="11"/>
  <c r="D502" i="11"/>
  <c r="C502" i="11"/>
  <c r="B502" i="11"/>
  <c r="A502" i="11"/>
  <c r="D501" i="11"/>
  <c r="C501" i="11"/>
  <c r="B501" i="11"/>
  <c r="A501" i="11"/>
  <c r="D500" i="11"/>
  <c r="C500" i="11"/>
  <c r="B500" i="11"/>
  <c r="A500" i="11"/>
  <c r="D499" i="11"/>
  <c r="C499" i="11"/>
  <c r="B499" i="11"/>
  <c r="A499" i="11"/>
  <c r="D498" i="11"/>
  <c r="C498" i="11"/>
  <c r="B498" i="11"/>
  <c r="A498" i="11"/>
  <c r="D497" i="11"/>
  <c r="C497" i="11"/>
  <c r="B497" i="11"/>
  <c r="A497" i="11"/>
  <c r="D496" i="11"/>
  <c r="C496" i="11"/>
  <c r="B496" i="11"/>
  <c r="A496" i="11"/>
  <c r="D495" i="11"/>
  <c r="C495" i="11"/>
  <c r="B495" i="11"/>
  <c r="A495" i="11"/>
  <c r="D494" i="11"/>
  <c r="C494" i="11"/>
  <c r="B494" i="11"/>
  <c r="A494" i="11"/>
  <c r="D493" i="11"/>
  <c r="C493" i="11"/>
  <c r="B493" i="11"/>
  <c r="A493" i="11"/>
  <c r="D492" i="11"/>
  <c r="C492" i="11"/>
  <c r="B492" i="11"/>
  <c r="A492" i="11"/>
  <c r="D491" i="11"/>
  <c r="C491" i="11"/>
  <c r="B491" i="11"/>
  <c r="A491" i="11"/>
  <c r="D490" i="11"/>
  <c r="C490" i="11"/>
  <c r="B490" i="11"/>
  <c r="A490" i="11"/>
  <c r="D489" i="11"/>
  <c r="C489" i="11"/>
  <c r="B489" i="11"/>
  <c r="A489" i="11"/>
  <c r="D488" i="11"/>
  <c r="C488" i="11"/>
  <c r="B488" i="11"/>
  <c r="A488" i="11"/>
  <c r="D487" i="11"/>
  <c r="C487" i="11"/>
  <c r="B487" i="11"/>
  <c r="A487" i="11"/>
  <c r="D486" i="11"/>
  <c r="C486" i="11"/>
  <c r="B486" i="11"/>
  <c r="A486" i="11"/>
  <c r="D485" i="11"/>
  <c r="C485" i="11"/>
  <c r="B485" i="11"/>
  <c r="A485" i="11"/>
  <c r="D484" i="11"/>
  <c r="C484" i="11"/>
  <c r="B484" i="11"/>
  <c r="A484" i="11"/>
  <c r="D483" i="11"/>
  <c r="C483" i="11"/>
  <c r="B483" i="11"/>
  <c r="A483" i="11"/>
  <c r="D482" i="11"/>
  <c r="C482" i="11"/>
  <c r="B482" i="11"/>
  <c r="A482" i="11"/>
  <c r="D481" i="11"/>
  <c r="C481" i="11"/>
  <c r="B481" i="11"/>
  <c r="A481" i="11"/>
  <c r="D480" i="11"/>
  <c r="C480" i="11"/>
  <c r="B480" i="11"/>
  <c r="A480" i="11"/>
  <c r="D479" i="11"/>
  <c r="C479" i="11"/>
  <c r="B479" i="11"/>
  <c r="A479" i="11"/>
  <c r="D478" i="11"/>
  <c r="C478" i="11"/>
  <c r="B478" i="11"/>
  <c r="A478" i="11"/>
  <c r="D477" i="11"/>
  <c r="C477" i="11"/>
  <c r="B477" i="11"/>
  <c r="A477" i="11"/>
  <c r="D476" i="11"/>
  <c r="C476" i="11"/>
  <c r="B476" i="11"/>
  <c r="A476" i="11"/>
  <c r="D475" i="11"/>
  <c r="C475" i="11"/>
  <c r="B475" i="11"/>
  <c r="A475" i="11"/>
  <c r="D474" i="11"/>
  <c r="C474" i="11"/>
  <c r="B474" i="11"/>
  <c r="A474" i="11"/>
  <c r="D473" i="11"/>
  <c r="C473" i="11"/>
  <c r="B473" i="11"/>
  <c r="A473" i="11"/>
  <c r="D472" i="11"/>
  <c r="C472" i="11"/>
  <c r="B472" i="11"/>
  <c r="A472" i="11"/>
  <c r="D471" i="11"/>
  <c r="C471" i="11"/>
  <c r="B471" i="11"/>
  <c r="A471" i="11"/>
  <c r="D470" i="11"/>
  <c r="C470" i="11"/>
  <c r="B470" i="11"/>
  <c r="A470" i="11"/>
  <c r="D469" i="11"/>
  <c r="C469" i="11"/>
  <c r="B469" i="11"/>
  <c r="A469" i="11"/>
  <c r="D468" i="11"/>
  <c r="C468" i="11"/>
  <c r="B468" i="11"/>
  <c r="A468" i="11"/>
  <c r="D467" i="11"/>
  <c r="C467" i="11"/>
  <c r="B467" i="11"/>
  <c r="A467" i="11"/>
  <c r="D466" i="11"/>
  <c r="C466" i="11"/>
  <c r="B466" i="11"/>
  <c r="A466" i="11"/>
  <c r="D465" i="11"/>
  <c r="C465" i="11"/>
  <c r="B465" i="11"/>
  <c r="A465" i="11"/>
  <c r="D464" i="11"/>
  <c r="C464" i="11"/>
  <c r="B464" i="11"/>
  <c r="A464" i="11"/>
  <c r="D463" i="11"/>
  <c r="C463" i="11"/>
  <c r="B463" i="11"/>
  <c r="A463" i="11"/>
  <c r="D462" i="11"/>
  <c r="C462" i="11"/>
  <c r="B462" i="11"/>
  <c r="A462" i="11"/>
  <c r="D461" i="11"/>
  <c r="C461" i="11"/>
  <c r="B461" i="11"/>
  <c r="A461" i="11"/>
  <c r="D460" i="11"/>
  <c r="C460" i="11"/>
  <c r="B460" i="11"/>
  <c r="A460" i="11"/>
  <c r="D459" i="11"/>
  <c r="C459" i="11"/>
  <c r="B459" i="11"/>
  <c r="A459" i="11"/>
  <c r="D458" i="11"/>
  <c r="C458" i="11"/>
  <c r="B458" i="11"/>
  <c r="A458" i="11"/>
  <c r="D457" i="11"/>
  <c r="C457" i="11"/>
  <c r="B457" i="11"/>
  <c r="A457" i="11"/>
  <c r="D456" i="11"/>
  <c r="C456" i="11"/>
  <c r="B456" i="11"/>
  <c r="A456" i="11"/>
  <c r="D455" i="11"/>
  <c r="C455" i="11"/>
  <c r="B455" i="11"/>
  <c r="A455" i="11"/>
  <c r="D454" i="11"/>
  <c r="C454" i="11"/>
  <c r="B454" i="11"/>
  <c r="A454" i="11"/>
  <c r="D453" i="11"/>
  <c r="C453" i="11"/>
  <c r="B453" i="11"/>
  <c r="A453" i="11"/>
  <c r="D452" i="11"/>
  <c r="C452" i="11"/>
  <c r="B452" i="11"/>
  <c r="A452" i="11"/>
  <c r="D451" i="11"/>
  <c r="C451" i="11"/>
  <c r="B451" i="11"/>
  <c r="A451" i="11"/>
  <c r="D450" i="11"/>
  <c r="C450" i="11"/>
  <c r="B450" i="11"/>
  <c r="A450" i="11"/>
  <c r="D449" i="11"/>
  <c r="C449" i="11"/>
  <c r="B449" i="11"/>
  <c r="A449" i="11"/>
  <c r="D448" i="11"/>
  <c r="C448" i="11"/>
  <c r="B448" i="11"/>
  <c r="A448" i="11"/>
  <c r="D447" i="11"/>
  <c r="C447" i="11"/>
  <c r="B447" i="11"/>
  <c r="A447" i="11"/>
  <c r="D446" i="11"/>
  <c r="C446" i="11"/>
  <c r="B446" i="11"/>
  <c r="A446" i="11"/>
  <c r="D445" i="11"/>
  <c r="C445" i="11"/>
  <c r="B445" i="11"/>
  <c r="A445" i="11"/>
  <c r="D444" i="11"/>
  <c r="C444" i="11"/>
  <c r="B444" i="11"/>
  <c r="A444" i="11"/>
  <c r="D443" i="11"/>
  <c r="C443" i="11"/>
  <c r="B443" i="11"/>
  <c r="A443" i="11"/>
  <c r="D442" i="11"/>
  <c r="C442" i="11"/>
  <c r="B442" i="11"/>
  <c r="A442" i="11"/>
  <c r="D441" i="11"/>
  <c r="C441" i="11"/>
  <c r="B441" i="11"/>
  <c r="A441" i="11"/>
  <c r="D440" i="11"/>
  <c r="C440" i="11"/>
  <c r="B440" i="11"/>
  <c r="A440" i="11"/>
  <c r="D439" i="11"/>
  <c r="C439" i="11"/>
  <c r="B439" i="11"/>
  <c r="A439" i="11"/>
  <c r="D438" i="11"/>
  <c r="C438" i="11"/>
  <c r="B438" i="11"/>
  <c r="A438" i="11"/>
  <c r="D437" i="11"/>
  <c r="C437" i="11"/>
  <c r="B437" i="11"/>
  <c r="A437" i="11"/>
  <c r="D436" i="11"/>
  <c r="C436" i="11"/>
  <c r="B436" i="11"/>
  <c r="A436" i="11"/>
  <c r="D435" i="11"/>
  <c r="C435" i="11"/>
  <c r="B435" i="11"/>
  <c r="A435" i="11"/>
  <c r="D434" i="11"/>
  <c r="C434" i="11"/>
  <c r="B434" i="11"/>
  <c r="A434" i="11"/>
  <c r="D433" i="11"/>
  <c r="C433" i="11"/>
  <c r="B433" i="11"/>
  <c r="A433" i="11"/>
  <c r="D432" i="11"/>
  <c r="C432" i="11"/>
  <c r="B432" i="11"/>
  <c r="A432" i="11"/>
  <c r="D431" i="11"/>
  <c r="C431" i="11"/>
  <c r="B431" i="11"/>
  <c r="A431" i="11"/>
  <c r="D430" i="11"/>
  <c r="C430" i="11"/>
  <c r="B430" i="11"/>
  <c r="A430" i="11"/>
  <c r="D429" i="11"/>
  <c r="C429" i="11"/>
  <c r="B429" i="11"/>
  <c r="A429" i="11"/>
  <c r="D428" i="11"/>
  <c r="C428" i="11"/>
  <c r="B428" i="11"/>
  <c r="A428" i="11"/>
  <c r="D427" i="11"/>
  <c r="C427" i="11"/>
  <c r="B427" i="11"/>
  <c r="A427" i="11"/>
  <c r="D426" i="11"/>
  <c r="C426" i="11"/>
  <c r="B426" i="11"/>
  <c r="A426" i="11"/>
  <c r="D425" i="11"/>
  <c r="C425" i="11"/>
  <c r="B425" i="11"/>
  <c r="A425" i="11"/>
  <c r="D424" i="11"/>
  <c r="C424" i="11"/>
  <c r="B424" i="11"/>
  <c r="A424" i="11"/>
  <c r="D423" i="11"/>
  <c r="C423" i="11"/>
  <c r="B423" i="11"/>
  <c r="A423" i="11"/>
  <c r="D422" i="11"/>
  <c r="C422" i="11"/>
  <c r="B422" i="11"/>
  <c r="A422" i="11"/>
  <c r="D421" i="11"/>
  <c r="C421" i="11"/>
  <c r="B421" i="11"/>
  <c r="A421" i="11"/>
  <c r="D420" i="11"/>
  <c r="C420" i="11"/>
  <c r="B420" i="11"/>
  <c r="A420" i="11"/>
  <c r="D419" i="11"/>
  <c r="C419" i="11"/>
  <c r="B419" i="11"/>
  <c r="A419" i="11"/>
  <c r="D418" i="11"/>
  <c r="C418" i="11"/>
  <c r="B418" i="11"/>
  <c r="A418" i="11"/>
  <c r="D417" i="11"/>
  <c r="C417" i="11"/>
  <c r="B417" i="11"/>
  <c r="A417" i="11"/>
  <c r="D416" i="11"/>
  <c r="C416" i="11"/>
  <c r="B416" i="11"/>
  <c r="A416" i="11"/>
  <c r="D415" i="11"/>
  <c r="C415" i="11"/>
  <c r="B415" i="11"/>
  <c r="A415" i="11"/>
  <c r="D414" i="11"/>
  <c r="C414" i="11"/>
  <c r="B414" i="11"/>
  <c r="A414" i="11"/>
  <c r="D413" i="11"/>
  <c r="C413" i="11"/>
  <c r="B413" i="11"/>
  <c r="A413" i="11"/>
  <c r="D412" i="11"/>
  <c r="C412" i="11"/>
  <c r="B412" i="11"/>
  <c r="A412" i="11"/>
  <c r="D411" i="11"/>
  <c r="C411" i="11"/>
  <c r="B411" i="11"/>
  <c r="A411" i="11"/>
  <c r="D410" i="11"/>
  <c r="C410" i="11"/>
  <c r="B410" i="11"/>
  <c r="A410" i="11"/>
  <c r="D409" i="11"/>
  <c r="C409" i="11"/>
  <c r="B409" i="11"/>
  <c r="A409" i="11"/>
  <c r="D408" i="11"/>
  <c r="C408" i="11"/>
  <c r="B408" i="11"/>
  <c r="A408" i="11"/>
  <c r="D407" i="11"/>
  <c r="C407" i="11"/>
  <c r="B407" i="11"/>
  <c r="A407" i="11"/>
  <c r="D406" i="11"/>
  <c r="C406" i="11"/>
  <c r="B406" i="11"/>
  <c r="A406" i="11"/>
  <c r="D405" i="11"/>
  <c r="C405" i="11"/>
  <c r="B405" i="11"/>
  <c r="A405" i="11"/>
  <c r="D404" i="11"/>
  <c r="C404" i="11"/>
  <c r="B404" i="11"/>
  <c r="A404" i="11"/>
  <c r="D403" i="11"/>
  <c r="C403" i="11"/>
  <c r="B403" i="11"/>
  <c r="A403" i="11"/>
  <c r="D402" i="11"/>
  <c r="C402" i="11"/>
  <c r="B402" i="11"/>
  <c r="A402" i="11"/>
  <c r="D401" i="11"/>
  <c r="C401" i="11"/>
  <c r="B401" i="11"/>
  <c r="A401" i="11"/>
  <c r="D400" i="11"/>
  <c r="C400" i="11"/>
  <c r="B400" i="11"/>
  <c r="A400" i="11"/>
  <c r="D399" i="11"/>
  <c r="C399" i="11"/>
  <c r="B399" i="11"/>
  <c r="A399" i="11"/>
  <c r="D398" i="11"/>
  <c r="C398" i="11"/>
  <c r="B398" i="11"/>
  <c r="A398" i="11"/>
  <c r="D397" i="11"/>
  <c r="C397" i="11"/>
  <c r="B397" i="11"/>
  <c r="A397" i="11"/>
  <c r="D396" i="11"/>
  <c r="C396" i="11"/>
  <c r="B396" i="11"/>
  <c r="A396" i="11"/>
  <c r="D395" i="11"/>
  <c r="C395" i="11"/>
  <c r="B395" i="11"/>
  <c r="A395" i="11"/>
  <c r="D394" i="11"/>
  <c r="C394" i="11"/>
  <c r="B394" i="11"/>
  <c r="A394" i="11"/>
  <c r="D393" i="11"/>
  <c r="C393" i="11"/>
  <c r="B393" i="11"/>
  <c r="A393" i="11"/>
  <c r="D392" i="11"/>
  <c r="C392" i="11"/>
  <c r="B392" i="11"/>
  <c r="A392" i="11"/>
  <c r="D391" i="11"/>
  <c r="C391" i="11"/>
  <c r="B391" i="11"/>
  <c r="A391" i="11"/>
  <c r="D390" i="11"/>
  <c r="C390" i="11"/>
  <c r="B390" i="11"/>
  <c r="A390" i="11"/>
  <c r="D389" i="11"/>
  <c r="C389" i="11"/>
  <c r="B389" i="11"/>
  <c r="A389" i="11"/>
  <c r="D388" i="11"/>
  <c r="C388" i="11"/>
  <c r="B388" i="11"/>
  <c r="A388" i="11"/>
  <c r="D387" i="11"/>
  <c r="C387" i="11"/>
  <c r="B387" i="11"/>
  <c r="A387" i="11"/>
  <c r="D386" i="11"/>
  <c r="C386" i="11"/>
  <c r="B386" i="11"/>
  <c r="A386" i="11"/>
  <c r="D385" i="11"/>
  <c r="C385" i="11"/>
  <c r="B385" i="11"/>
  <c r="A385" i="11"/>
  <c r="D384" i="11"/>
  <c r="C384" i="11"/>
  <c r="B384" i="11"/>
  <c r="A384" i="11"/>
  <c r="D383" i="11"/>
  <c r="C383" i="11"/>
  <c r="B383" i="11"/>
  <c r="A383" i="11"/>
  <c r="D382" i="11"/>
  <c r="C382" i="11"/>
  <c r="B382" i="11"/>
  <c r="A382" i="11"/>
  <c r="D381" i="11"/>
  <c r="C381" i="11"/>
  <c r="B381" i="11"/>
  <c r="A381" i="11"/>
  <c r="D380" i="11"/>
  <c r="C380" i="11"/>
  <c r="B380" i="11"/>
  <c r="A380" i="11"/>
  <c r="D379" i="11"/>
  <c r="C379" i="11"/>
  <c r="B379" i="11"/>
  <c r="A379" i="11"/>
  <c r="D378" i="11"/>
  <c r="C378" i="11"/>
  <c r="B378" i="11"/>
  <c r="A378" i="11"/>
  <c r="D377" i="11"/>
  <c r="C377" i="11"/>
  <c r="B377" i="11"/>
  <c r="A377" i="11"/>
  <c r="D376" i="11"/>
  <c r="C376" i="11"/>
  <c r="B376" i="11"/>
  <c r="A376" i="11"/>
  <c r="D375" i="11"/>
  <c r="C375" i="11"/>
  <c r="B375" i="11"/>
  <c r="A375" i="11"/>
  <c r="D374" i="11"/>
  <c r="C374" i="11"/>
  <c r="B374" i="11"/>
  <c r="A374" i="11"/>
  <c r="D373" i="11"/>
  <c r="C373" i="11"/>
  <c r="B373" i="11"/>
  <c r="A373" i="11"/>
  <c r="D372" i="11"/>
  <c r="C372" i="11"/>
  <c r="B372" i="11"/>
  <c r="A372" i="11"/>
  <c r="D371" i="11"/>
  <c r="C371" i="11"/>
  <c r="B371" i="11"/>
  <c r="A371" i="11"/>
  <c r="D370" i="11"/>
  <c r="C370" i="11"/>
  <c r="B370" i="11"/>
  <c r="A370" i="11"/>
  <c r="D369" i="11"/>
  <c r="C369" i="11"/>
  <c r="B369" i="11"/>
  <c r="A369" i="11"/>
  <c r="D368" i="11"/>
  <c r="C368" i="11"/>
  <c r="B368" i="11"/>
  <c r="A368" i="11"/>
  <c r="D367" i="11"/>
  <c r="C367" i="11"/>
  <c r="B367" i="11"/>
  <c r="A367" i="11"/>
  <c r="D366" i="11"/>
  <c r="C366" i="11"/>
  <c r="B366" i="11"/>
  <c r="A366" i="11"/>
  <c r="D365" i="11"/>
  <c r="C365" i="11"/>
  <c r="B365" i="11"/>
  <c r="A365" i="11"/>
  <c r="D364" i="11"/>
  <c r="C364" i="11"/>
  <c r="B364" i="11"/>
  <c r="A364" i="11"/>
  <c r="D363" i="11"/>
  <c r="C363" i="11"/>
  <c r="B363" i="11"/>
  <c r="A363" i="11"/>
  <c r="D362" i="11"/>
  <c r="C362" i="11"/>
  <c r="B362" i="11"/>
  <c r="A362" i="11"/>
  <c r="D361" i="11"/>
  <c r="C361" i="11"/>
  <c r="B361" i="11"/>
  <c r="A361" i="11"/>
  <c r="D360" i="11"/>
  <c r="C360" i="11"/>
  <c r="B360" i="11"/>
  <c r="A360" i="11"/>
  <c r="D359" i="11"/>
  <c r="C359" i="11"/>
  <c r="B359" i="11"/>
  <c r="A359" i="11"/>
  <c r="D358" i="11"/>
  <c r="C358" i="11"/>
  <c r="B358" i="11"/>
  <c r="A358" i="11"/>
  <c r="D357" i="11"/>
  <c r="C357" i="11"/>
  <c r="B357" i="11"/>
  <c r="A357" i="11"/>
  <c r="D356" i="11"/>
  <c r="C356" i="11"/>
  <c r="B356" i="11"/>
  <c r="A356" i="11"/>
  <c r="D355" i="11"/>
  <c r="C355" i="11"/>
  <c r="B355" i="11"/>
  <c r="A355" i="11"/>
  <c r="D354" i="11"/>
  <c r="C354" i="11"/>
  <c r="B354" i="11"/>
  <c r="A354" i="11"/>
  <c r="D353" i="11"/>
  <c r="C353" i="11"/>
  <c r="B353" i="11"/>
  <c r="A353" i="11"/>
  <c r="D352" i="11"/>
  <c r="C352" i="11"/>
  <c r="B352" i="11"/>
  <c r="A352" i="11"/>
  <c r="D351" i="11"/>
  <c r="C351" i="11"/>
  <c r="B351" i="11"/>
  <c r="A351" i="11"/>
  <c r="D350" i="11"/>
  <c r="C350" i="11"/>
  <c r="B350" i="11"/>
  <c r="A350" i="11"/>
  <c r="D349" i="11"/>
  <c r="C349" i="11"/>
  <c r="B349" i="11"/>
  <c r="A349" i="11"/>
  <c r="D348" i="11"/>
  <c r="C348" i="11"/>
  <c r="B348" i="11"/>
  <c r="A348" i="11"/>
  <c r="D347" i="11"/>
  <c r="C347" i="11"/>
  <c r="B347" i="11"/>
  <c r="A347" i="11"/>
  <c r="D346" i="11"/>
  <c r="C346" i="11"/>
  <c r="B346" i="11"/>
  <c r="A346" i="11"/>
  <c r="D345" i="11"/>
  <c r="C345" i="11"/>
  <c r="B345" i="11"/>
  <c r="A345" i="11"/>
  <c r="D344" i="11"/>
  <c r="C344" i="11"/>
  <c r="B344" i="11"/>
  <c r="A344" i="11"/>
  <c r="D343" i="11"/>
  <c r="C343" i="11"/>
  <c r="B343" i="11"/>
  <c r="A343" i="11"/>
  <c r="D342" i="11"/>
  <c r="C342" i="11"/>
  <c r="B342" i="11"/>
  <c r="A342" i="11"/>
  <c r="D341" i="11"/>
  <c r="C341" i="11"/>
  <c r="B341" i="11"/>
  <c r="A341" i="11"/>
  <c r="D340" i="11"/>
  <c r="C340" i="11"/>
  <c r="B340" i="11"/>
  <c r="A340" i="11"/>
  <c r="D339" i="11"/>
  <c r="C339" i="11"/>
  <c r="B339" i="11"/>
  <c r="A339" i="11"/>
  <c r="D338" i="11"/>
  <c r="C338" i="11"/>
  <c r="B338" i="11"/>
  <c r="A338" i="11"/>
  <c r="D337" i="11"/>
  <c r="C337" i="11"/>
  <c r="B337" i="11"/>
  <c r="A337" i="11"/>
  <c r="D336" i="11"/>
  <c r="C336" i="11"/>
  <c r="B336" i="11"/>
  <c r="A336" i="11"/>
  <c r="D335" i="11"/>
  <c r="C335" i="11"/>
  <c r="B335" i="11"/>
  <c r="A335" i="11"/>
  <c r="D334" i="11"/>
  <c r="C334" i="11"/>
  <c r="B334" i="11"/>
  <c r="A334" i="11"/>
  <c r="D333" i="11"/>
  <c r="C333" i="11"/>
  <c r="B333" i="11"/>
  <c r="A333" i="11"/>
  <c r="D332" i="11"/>
  <c r="C332" i="11"/>
  <c r="B332" i="11"/>
  <c r="A332" i="11"/>
  <c r="D331" i="11"/>
  <c r="C331" i="11"/>
  <c r="B331" i="11"/>
  <c r="A331" i="11"/>
  <c r="D330" i="11"/>
  <c r="C330" i="11"/>
  <c r="B330" i="11"/>
  <c r="A330" i="11"/>
  <c r="D329" i="11"/>
  <c r="C329" i="11"/>
  <c r="B329" i="11"/>
  <c r="A329" i="11"/>
  <c r="D328" i="11"/>
  <c r="C328" i="11"/>
  <c r="B328" i="11"/>
  <c r="A328" i="11"/>
  <c r="D327" i="11"/>
  <c r="C327" i="11"/>
  <c r="B327" i="11"/>
  <c r="A327" i="11"/>
  <c r="D326" i="11"/>
  <c r="C326" i="11"/>
  <c r="B326" i="11"/>
  <c r="A326" i="11"/>
  <c r="D325" i="11"/>
  <c r="C325" i="11"/>
  <c r="B325" i="11"/>
  <c r="A325" i="11"/>
  <c r="D324" i="11"/>
  <c r="C324" i="11"/>
  <c r="B324" i="11"/>
  <c r="A324" i="11"/>
  <c r="D323" i="11"/>
  <c r="C323" i="11"/>
  <c r="B323" i="11"/>
  <c r="A323" i="11"/>
  <c r="D322" i="11"/>
  <c r="C322" i="11"/>
  <c r="B322" i="11"/>
  <c r="A322" i="11"/>
  <c r="D321" i="11"/>
  <c r="C321" i="11"/>
  <c r="B321" i="11"/>
  <c r="A321" i="11"/>
  <c r="D320" i="11"/>
  <c r="C320" i="11"/>
  <c r="B320" i="11"/>
  <c r="A320" i="11"/>
  <c r="D319" i="11"/>
  <c r="C319" i="11"/>
  <c r="B319" i="11"/>
  <c r="A319" i="11"/>
  <c r="D318" i="11"/>
  <c r="C318" i="11"/>
  <c r="B318" i="11"/>
  <c r="A318" i="11"/>
  <c r="D317" i="11"/>
  <c r="C317" i="11"/>
  <c r="B317" i="11"/>
  <c r="A317" i="11"/>
  <c r="D316" i="11"/>
  <c r="C316" i="11"/>
  <c r="B316" i="11"/>
  <c r="A316" i="11"/>
  <c r="D315" i="11"/>
  <c r="C315" i="11"/>
  <c r="B315" i="11"/>
  <c r="A315" i="11"/>
  <c r="D314" i="11"/>
  <c r="C314" i="11"/>
  <c r="B314" i="11"/>
  <c r="A314" i="11"/>
  <c r="D313" i="11"/>
  <c r="C313" i="11"/>
  <c r="B313" i="11"/>
  <c r="A313" i="11"/>
  <c r="D312" i="11"/>
  <c r="C312" i="11"/>
  <c r="B312" i="11"/>
  <c r="A312" i="11"/>
  <c r="D311" i="11"/>
  <c r="C311" i="11"/>
  <c r="B311" i="11"/>
  <c r="A311" i="11"/>
  <c r="D310" i="11"/>
  <c r="C310" i="11"/>
  <c r="B310" i="11"/>
  <c r="A310" i="11"/>
  <c r="D309" i="11"/>
  <c r="C309" i="11"/>
  <c r="B309" i="11"/>
  <c r="A309" i="11"/>
  <c r="D308" i="11"/>
  <c r="C308" i="11"/>
  <c r="B308" i="11"/>
  <c r="A308" i="11"/>
  <c r="D307" i="11"/>
  <c r="C307" i="11"/>
  <c r="B307" i="11"/>
  <c r="A307" i="11"/>
  <c r="D306" i="11"/>
  <c r="C306" i="11"/>
  <c r="B306" i="11"/>
  <c r="A306" i="11"/>
  <c r="D305" i="11"/>
  <c r="C305" i="11"/>
  <c r="B305" i="11"/>
  <c r="A305" i="11"/>
  <c r="D304" i="11"/>
  <c r="C304" i="11"/>
  <c r="B304" i="11"/>
  <c r="A304" i="11"/>
  <c r="D303" i="11"/>
  <c r="C303" i="11"/>
  <c r="B303" i="11"/>
  <c r="A303" i="11"/>
  <c r="D302" i="11"/>
  <c r="C302" i="11"/>
  <c r="B302" i="11"/>
  <c r="A302" i="11"/>
  <c r="D301" i="11"/>
  <c r="C301" i="11"/>
  <c r="B301" i="11"/>
  <c r="A301" i="11"/>
  <c r="D300" i="11"/>
  <c r="C300" i="11"/>
  <c r="B300" i="11"/>
  <c r="A300" i="11"/>
  <c r="D299" i="11"/>
  <c r="C299" i="11"/>
  <c r="B299" i="11"/>
  <c r="A299" i="11"/>
  <c r="D298" i="11"/>
  <c r="C298" i="11"/>
  <c r="B298" i="11"/>
  <c r="A298" i="11"/>
  <c r="D297" i="11"/>
  <c r="C297" i="11"/>
  <c r="B297" i="11"/>
  <c r="A297" i="11"/>
  <c r="D296" i="11"/>
  <c r="C296" i="11"/>
  <c r="B296" i="11"/>
  <c r="A296" i="11"/>
  <c r="D295" i="11"/>
  <c r="C295" i="11"/>
  <c r="B295" i="11"/>
  <c r="A295" i="11"/>
  <c r="D294" i="11"/>
  <c r="C294" i="11"/>
  <c r="B294" i="11"/>
  <c r="A294" i="11"/>
  <c r="D293" i="11"/>
  <c r="C293" i="11"/>
  <c r="B293" i="11"/>
  <c r="A293" i="11"/>
  <c r="D292" i="11"/>
  <c r="C292" i="11"/>
  <c r="B292" i="11"/>
  <c r="A292" i="11"/>
  <c r="D291" i="11"/>
  <c r="C291" i="11"/>
  <c r="B291" i="11"/>
  <c r="A291" i="11"/>
  <c r="D290" i="11"/>
  <c r="C290" i="11"/>
  <c r="B290" i="11"/>
  <c r="A290" i="11"/>
  <c r="D289" i="11"/>
  <c r="C289" i="11"/>
  <c r="B289" i="11"/>
  <c r="A289" i="11"/>
  <c r="D288" i="11"/>
  <c r="C288" i="11"/>
  <c r="B288" i="11"/>
  <c r="A288" i="11"/>
  <c r="D287" i="11"/>
  <c r="C287" i="11"/>
  <c r="B287" i="11"/>
  <c r="A287" i="11"/>
  <c r="D286" i="11"/>
  <c r="C286" i="11"/>
  <c r="B286" i="11"/>
  <c r="A286" i="11"/>
  <c r="D285" i="11"/>
  <c r="C285" i="11"/>
  <c r="B285" i="11"/>
  <c r="A285" i="11"/>
  <c r="D284" i="11"/>
  <c r="C284" i="11"/>
  <c r="B284" i="11"/>
  <c r="A284" i="11"/>
  <c r="D283" i="11"/>
  <c r="C283" i="11"/>
  <c r="B283" i="11"/>
  <c r="A283" i="11"/>
  <c r="D282" i="11"/>
  <c r="C282" i="11"/>
  <c r="B282" i="11"/>
  <c r="A282" i="11"/>
  <c r="D281" i="11"/>
  <c r="C281" i="11"/>
  <c r="B281" i="11"/>
  <c r="A281" i="11"/>
  <c r="D280" i="11"/>
  <c r="C280" i="11"/>
  <c r="B280" i="11"/>
  <c r="A280" i="11"/>
  <c r="D279" i="11"/>
  <c r="C279" i="11"/>
  <c r="B279" i="11"/>
  <c r="A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47" i="11"/>
  <c r="B46" i="11"/>
  <c r="B44" i="11"/>
  <c r="B43" i="11"/>
  <c r="B42" i="11"/>
  <c r="B41" i="11"/>
  <c r="B24" i="11"/>
  <c r="B22" i="11"/>
  <c r="B21" i="11"/>
  <c r="B20" i="11"/>
  <c r="B19" i="11"/>
  <c r="C9" i="11"/>
  <c r="D533" i="9"/>
  <c r="C533" i="9"/>
  <c r="B533" i="9"/>
  <c r="A533" i="9"/>
  <c r="D532" i="9"/>
  <c r="C532" i="9"/>
  <c r="B532" i="9"/>
  <c r="A532" i="9"/>
  <c r="D531" i="9"/>
  <c r="C531" i="9"/>
  <c r="B531" i="9"/>
  <c r="A531" i="9"/>
  <c r="D530" i="9"/>
  <c r="C530" i="9"/>
  <c r="B530" i="9"/>
  <c r="A530" i="9"/>
  <c r="D529" i="9"/>
  <c r="C529" i="9"/>
  <c r="B529" i="9"/>
  <c r="A529" i="9"/>
  <c r="D528" i="9"/>
  <c r="C528" i="9"/>
  <c r="B528" i="9"/>
  <c r="A528" i="9"/>
  <c r="D527" i="9"/>
  <c r="C527" i="9"/>
  <c r="B527" i="9"/>
  <c r="A527" i="9"/>
  <c r="D526" i="9"/>
  <c r="C526" i="9"/>
  <c r="B526" i="9"/>
  <c r="A526" i="9"/>
  <c r="D525" i="9"/>
  <c r="C525" i="9"/>
  <c r="B525" i="9"/>
  <c r="A525" i="9"/>
  <c r="D524" i="9"/>
  <c r="C524" i="9"/>
  <c r="B524" i="9"/>
  <c r="A524" i="9"/>
  <c r="D523" i="9"/>
  <c r="C523" i="9"/>
  <c r="B523" i="9"/>
  <c r="A523" i="9"/>
  <c r="D522" i="9"/>
  <c r="C522" i="9"/>
  <c r="B522" i="9"/>
  <c r="A522" i="9"/>
  <c r="D521" i="9"/>
  <c r="C521" i="9"/>
  <c r="B521" i="9"/>
  <c r="A521" i="9"/>
  <c r="D520" i="9"/>
  <c r="C520" i="9"/>
  <c r="B520" i="9"/>
  <c r="A520" i="9"/>
  <c r="D519" i="9"/>
  <c r="C519" i="9"/>
  <c r="B519" i="9"/>
  <c r="A519" i="9"/>
  <c r="D518" i="9"/>
  <c r="C518" i="9"/>
  <c r="B518" i="9"/>
  <c r="A518" i="9"/>
  <c r="D517" i="9"/>
  <c r="C517" i="9"/>
  <c r="B517" i="9"/>
  <c r="A517" i="9"/>
  <c r="D516" i="9"/>
  <c r="C516" i="9"/>
  <c r="B516" i="9"/>
  <c r="A516" i="9"/>
  <c r="D515" i="9"/>
  <c r="C515" i="9"/>
  <c r="B515" i="9"/>
  <c r="A515" i="9"/>
  <c r="D514" i="9"/>
  <c r="C514" i="9"/>
  <c r="B514" i="9"/>
  <c r="A514" i="9"/>
  <c r="D513" i="9"/>
  <c r="C513" i="9"/>
  <c r="B513" i="9"/>
  <c r="A513" i="9"/>
  <c r="D512" i="9"/>
  <c r="C512" i="9"/>
  <c r="B512" i="9"/>
  <c r="A512" i="9"/>
  <c r="D511" i="9"/>
  <c r="C511" i="9"/>
  <c r="B511" i="9"/>
  <c r="A511" i="9"/>
  <c r="D510" i="9"/>
  <c r="C510" i="9"/>
  <c r="B510" i="9"/>
  <c r="A510" i="9"/>
  <c r="D509" i="9"/>
  <c r="C509" i="9"/>
  <c r="B509" i="9"/>
  <c r="A509" i="9"/>
  <c r="D508" i="9"/>
  <c r="C508" i="9"/>
  <c r="B508" i="9"/>
  <c r="A508" i="9"/>
  <c r="D507" i="9"/>
  <c r="C507" i="9"/>
  <c r="B507" i="9"/>
  <c r="A507" i="9"/>
  <c r="D506" i="9"/>
  <c r="C506" i="9"/>
  <c r="B506" i="9"/>
  <c r="A506" i="9"/>
  <c r="D505" i="9"/>
  <c r="C505" i="9"/>
  <c r="B505" i="9"/>
  <c r="A505" i="9"/>
  <c r="D504" i="9"/>
  <c r="C504" i="9"/>
  <c r="B504" i="9"/>
  <c r="A504" i="9"/>
  <c r="D503" i="9"/>
  <c r="C503" i="9"/>
  <c r="B503" i="9"/>
  <c r="A503" i="9"/>
  <c r="D502" i="9"/>
  <c r="C502" i="9"/>
  <c r="B502" i="9"/>
  <c r="A502" i="9"/>
  <c r="D501" i="9"/>
  <c r="C501" i="9"/>
  <c r="B501" i="9"/>
  <c r="A501" i="9"/>
  <c r="D500" i="9"/>
  <c r="C500" i="9"/>
  <c r="B500" i="9"/>
  <c r="A500" i="9"/>
  <c r="D499" i="9"/>
  <c r="C499" i="9"/>
  <c r="B499" i="9"/>
  <c r="A499" i="9"/>
  <c r="D498" i="9"/>
  <c r="C498" i="9"/>
  <c r="B498" i="9"/>
  <c r="A498" i="9"/>
  <c r="D497" i="9"/>
  <c r="C497" i="9"/>
  <c r="B497" i="9"/>
  <c r="A497" i="9"/>
  <c r="D496" i="9"/>
  <c r="C496" i="9"/>
  <c r="B496" i="9"/>
  <c r="A496" i="9"/>
  <c r="D495" i="9"/>
  <c r="C495" i="9"/>
  <c r="B495" i="9"/>
  <c r="A495" i="9"/>
  <c r="D494" i="9"/>
  <c r="C494" i="9"/>
  <c r="B494" i="9"/>
  <c r="A494" i="9"/>
  <c r="D493" i="9"/>
  <c r="C493" i="9"/>
  <c r="B493" i="9"/>
  <c r="A493" i="9"/>
  <c r="D492" i="9"/>
  <c r="C492" i="9"/>
  <c r="B492" i="9"/>
  <c r="A492" i="9"/>
  <c r="D491" i="9"/>
  <c r="C491" i="9"/>
  <c r="B491" i="9"/>
  <c r="A491" i="9"/>
  <c r="D490" i="9"/>
  <c r="C490" i="9"/>
  <c r="B490" i="9"/>
  <c r="A490" i="9"/>
  <c r="D489" i="9"/>
  <c r="C489" i="9"/>
  <c r="B489" i="9"/>
  <c r="A489" i="9"/>
  <c r="D488" i="9"/>
  <c r="C488" i="9"/>
  <c r="B488" i="9"/>
  <c r="A488" i="9"/>
  <c r="D487" i="9"/>
  <c r="C487" i="9"/>
  <c r="B487" i="9"/>
  <c r="A487" i="9"/>
  <c r="D486" i="9"/>
  <c r="C486" i="9"/>
  <c r="B486" i="9"/>
  <c r="A486" i="9"/>
  <c r="D485" i="9"/>
  <c r="C485" i="9"/>
  <c r="B485" i="9"/>
  <c r="A485" i="9"/>
  <c r="D484" i="9"/>
  <c r="C484" i="9"/>
  <c r="B484" i="9"/>
  <c r="A484" i="9"/>
  <c r="D483" i="9"/>
  <c r="C483" i="9"/>
  <c r="B483" i="9"/>
  <c r="A483" i="9"/>
  <c r="D482" i="9"/>
  <c r="C482" i="9"/>
  <c r="B482" i="9"/>
  <c r="A482" i="9"/>
  <c r="D481" i="9"/>
  <c r="C481" i="9"/>
  <c r="B481" i="9"/>
  <c r="A481" i="9"/>
  <c r="D480" i="9"/>
  <c r="C480" i="9"/>
  <c r="B480" i="9"/>
  <c r="A480" i="9"/>
  <c r="D479" i="9"/>
  <c r="C479" i="9"/>
  <c r="B479" i="9"/>
  <c r="A479" i="9"/>
  <c r="D478" i="9"/>
  <c r="C478" i="9"/>
  <c r="B478" i="9"/>
  <c r="A478" i="9"/>
  <c r="D477" i="9"/>
  <c r="C477" i="9"/>
  <c r="B477" i="9"/>
  <c r="A477" i="9"/>
  <c r="D476" i="9"/>
  <c r="C476" i="9"/>
  <c r="B476" i="9"/>
  <c r="A476" i="9"/>
  <c r="D475" i="9"/>
  <c r="C475" i="9"/>
  <c r="B475" i="9"/>
  <c r="A475" i="9"/>
  <c r="D474" i="9"/>
  <c r="C474" i="9"/>
  <c r="B474" i="9"/>
  <c r="A474" i="9"/>
  <c r="D473" i="9"/>
  <c r="C473" i="9"/>
  <c r="B473" i="9"/>
  <c r="A473" i="9"/>
  <c r="D472" i="9"/>
  <c r="C472" i="9"/>
  <c r="B472" i="9"/>
  <c r="A472" i="9"/>
  <c r="D471" i="9"/>
  <c r="C471" i="9"/>
  <c r="B471" i="9"/>
  <c r="A471" i="9"/>
  <c r="D470" i="9"/>
  <c r="C470" i="9"/>
  <c r="B470" i="9"/>
  <c r="A470" i="9"/>
  <c r="D469" i="9"/>
  <c r="C469" i="9"/>
  <c r="B469" i="9"/>
  <c r="A469" i="9"/>
  <c r="D468" i="9"/>
  <c r="C468" i="9"/>
  <c r="B468" i="9"/>
  <c r="A468" i="9"/>
  <c r="D467" i="9"/>
  <c r="C467" i="9"/>
  <c r="B467" i="9"/>
  <c r="A467" i="9"/>
  <c r="D466" i="9"/>
  <c r="C466" i="9"/>
  <c r="B466" i="9"/>
  <c r="A466" i="9"/>
  <c r="D465" i="9"/>
  <c r="C465" i="9"/>
  <c r="B465" i="9"/>
  <c r="A465" i="9"/>
  <c r="D464" i="9"/>
  <c r="C464" i="9"/>
  <c r="B464" i="9"/>
  <c r="A464" i="9"/>
  <c r="D463" i="9"/>
  <c r="C463" i="9"/>
  <c r="B463" i="9"/>
  <c r="A463" i="9"/>
  <c r="D462" i="9"/>
  <c r="C462" i="9"/>
  <c r="B462" i="9"/>
  <c r="A462" i="9"/>
  <c r="D461" i="9"/>
  <c r="C461" i="9"/>
  <c r="B461" i="9"/>
  <c r="A461" i="9"/>
  <c r="D460" i="9"/>
  <c r="C460" i="9"/>
  <c r="B460" i="9"/>
  <c r="A460" i="9"/>
  <c r="D459" i="9"/>
  <c r="C459" i="9"/>
  <c r="B459" i="9"/>
  <c r="A459" i="9"/>
  <c r="D458" i="9"/>
  <c r="C458" i="9"/>
  <c r="B458" i="9"/>
  <c r="A458" i="9"/>
  <c r="D457" i="9"/>
  <c r="C457" i="9"/>
  <c r="B457" i="9"/>
  <c r="A457" i="9"/>
  <c r="D456" i="9"/>
  <c r="C456" i="9"/>
  <c r="B456" i="9"/>
  <c r="A456" i="9"/>
  <c r="D455" i="9"/>
  <c r="C455" i="9"/>
  <c r="B455" i="9"/>
  <c r="A455" i="9"/>
  <c r="D454" i="9"/>
  <c r="C454" i="9"/>
  <c r="B454" i="9"/>
  <c r="A454" i="9"/>
  <c r="D453" i="9"/>
  <c r="C453" i="9"/>
  <c r="B453" i="9"/>
  <c r="A453" i="9"/>
  <c r="D452" i="9"/>
  <c r="C452" i="9"/>
  <c r="B452" i="9"/>
  <c r="A452" i="9"/>
  <c r="D451" i="9"/>
  <c r="C451" i="9"/>
  <c r="B451" i="9"/>
  <c r="A451" i="9"/>
  <c r="D450" i="9"/>
  <c r="C450" i="9"/>
  <c r="B450" i="9"/>
  <c r="A450" i="9"/>
  <c r="D449" i="9"/>
  <c r="C449" i="9"/>
  <c r="B449" i="9"/>
  <c r="A449" i="9"/>
  <c r="D448" i="9"/>
  <c r="C448" i="9"/>
  <c r="B448" i="9"/>
  <c r="A448" i="9"/>
  <c r="D447" i="9"/>
  <c r="C447" i="9"/>
  <c r="B447" i="9"/>
  <c r="A447" i="9"/>
  <c r="D446" i="9"/>
  <c r="C446" i="9"/>
  <c r="B446" i="9"/>
  <c r="A446" i="9"/>
  <c r="D445" i="9"/>
  <c r="C445" i="9"/>
  <c r="B445" i="9"/>
  <c r="A445" i="9"/>
  <c r="D444" i="9"/>
  <c r="C444" i="9"/>
  <c r="B444" i="9"/>
  <c r="A444" i="9"/>
  <c r="D443" i="9"/>
  <c r="C443" i="9"/>
  <c r="B443" i="9"/>
  <c r="A443" i="9"/>
  <c r="D442" i="9"/>
  <c r="C442" i="9"/>
  <c r="B442" i="9"/>
  <c r="A442" i="9"/>
  <c r="D441" i="9"/>
  <c r="C441" i="9"/>
  <c r="B441" i="9"/>
  <c r="A441" i="9"/>
  <c r="D440" i="9"/>
  <c r="C440" i="9"/>
  <c r="B440" i="9"/>
  <c r="A440" i="9"/>
  <c r="D439" i="9"/>
  <c r="C439" i="9"/>
  <c r="B439" i="9"/>
  <c r="A439" i="9"/>
  <c r="D438" i="9"/>
  <c r="C438" i="9"/>
  <c r="B438" i="9"/>
  <c r="A438" i="9"/>
  <c r="D437" i="9"/>
  <c r="C437" i="9"/>
  <c r="B437" i="9"/>
  <c r="A437" i="9"/>
  <c r="D436" i="9"/>
  <c r="C436" i="9"/>
  <c r="B436" i="9"/>
  <c r="A436" i="9"/>
  <c r="D435" i="9"/>
  <c r="C435" i="9"/>
  <c r="B435" i="9"/>
  <c r="A435" i="9"/>
  <c r="D434" i="9"/>
  <c r="C434" i="9"/>
  <c r="B434" i="9"/>
  <c r="A434" i="9"/>
  <c r="D433" i="9"/>
  <c r="C433" i="9"/>
  <c r="B433" i="9"/>
  <c r="A433" i="9"/>
  <c r="D432" i="9"/>
  <c r="C432" i="9"/>
  <c r="B432" i="9"/>
  <c r="A432" i="9"/>
  <c r="D431" i="9"/>
  <c r="C431" i="9"/>
  <c r="B431" i="9"/>
  <c r="A431" i="9"/>
  <c r="D430" i="9"/>
  <c r="C430" i="9"/>
  <c r="B430" i="9"/>
  <c r="A430" i="9"/>
  <c r="D429" i="9"/>
  <c r="C429" i="9"/>
  <c r="B429" i="9"/>
  <c r="A429" i="9"/>
  <c r="D428" i="9"/>
  <c r="C428" i="9"/>
  <c r="B428" i="9"/>
  <c r="A428" i="9"/>
  <c r="D427" i="9"/>
  <c r="C427" i="9"/>
  <c r="B427" i="9"/>
  <c r="A427" i="9"/>
  <c r="D426" i="9"/>
  <c r="C426" i="9"/>
  <c r="B426" i="9"/>
  <c r="A426" i="9"/>
  <c r="D425" i="9"/>
  <c r="C425" i="9"/>
  <c r="B425" i="9"/>
  <c r="A425" i="9"/>
  <c r="D424" i="9"/>
  <c r="C424" i="9"/>
  <c r="B424" i="9"/>
  <c r="A424" i="9"/>
  <c r="D423" i="9"/>
  <c r="C423" i="9"/>
  <c r="B423" i="9"/>
  <c r="A423" i="9"/>
  <c r="D422" i="9"/>
  <c r="C422" i="9"/>
  <c r="B422" i="9"/>
  <c r="A422" i="9"/>
  <c r="D421" i="9"/>
  <c r="C421" i="9"/>
  <c r="B421" i="9"/>
  <c r="A421" i="9"/>
  <c r="D420" i="9"/>
  <c r="C420" i="9"/>
  <c r="B420" i="9"/>
  <c r="A420" i="9"/>
  <c r="D419" i="9"/>
  <c r="C419" i="9"/>
  <c r="B419" i="9"/>
  <c r="A419" i="9"/>
  <c r="D418" i="9"/>
  <c r="C418" i="9"/>
  <c r="B418" i="9"/>
  <c r="A418" i="9"/>
  <c r="D417" i="9"/>
  <c r="C417" i="9"/>
  <c r="B417" i="9"/>
  <c r="A417" i="9"/>
  <c r="D416" i="9"/>
  <c r="C416" i="9"/>
  <c r="B416" i="9"/>
  <c r="A416" i="9"/>
  <c r="D415" i="9"/>
  <c r="C415" i="9"/>
  <c r="B415" i="9"/>
  <c r="A415" i="9"/>
  <c r="D414" i="9"/>
  <c r="C414" i="9"/>
  <c r="B414" i="9"/>
  <c r="A414" i="9"/>
  <c r="D413" i="9"/>
  <c r="C413" i="9"/>
  <c r="B413" i="9"/>
  <c r="A413" i="9"/>
  <c r="D412" i="9"/>
  <c r="C412" i="9"/>
  <c r="B412" i="9"/>
  <c r="A412" i="9"/>
  <c r="D411" i="9"/>
  <c r="C411" i="9"/>
  <c r="B411" i="9"/>
  <c r="A411" i="9"/>
  <c r="D410" i="9"/>
  <c r="C410" i="9"/>
  <c r="B410" i="9"/>
  <c r="A410" i="9"/>
  <c r="D409" i="9"/>
  <c r="C409" i="9"/>
  <c r="B409" i="9"/>
  <c r="A409" i="9"/>
  <c r="D408" i="9"/>
  <c r="C408" i="9"/>
  <c r="B408" i="9"/>
  <c r="A408" i="9"/>
  <c r="D407" i="9"/>
  <c r="C407" i="9"/>
  <c r="B407" i="9"/>
  <c r="A407" i="9"/>
  <c r="D406" i="9"/>
  <c r="C406" i="9"/>
  <c r="B406" i="9"/>
  <c r="A406" i="9"/>
  <c r="D405" i="9"/>
  <c r="C405" i="9"/>
  <c r="B405" i="9"/>
  <c r="A405" i="9"/>
  <c r="D404" i="9"/>
  <c r="C404" i="9"/>
  <c r="B404" i="9"/>
  <c r="A404" i="9"/>
  <c r="D403" i="9"/>
  <c r="C403" i="9"/>
  <c r="B403" i="9"/>
  <c r="A403" i="9"/>
  <c r="D402" i="9"/>
  <c r="C402" i="9"/>
  <c r="B402" i="9"/>
  <c r="A402" i="9"/>
  <c r="D401" i="9"/>
  <c r="C401" i="9"/>
  <c r="B401" i="9"/>
  <c r="A401" i="9"/>
  <c r="D400" i="9"/>
  <c r="C400" i="9"/>
  <c r="B400" i="9"/>
  <c r="A400" i="9"/>
  <c r="D399" i="9"/>
  <c r="C399" i="9"/>
  <c r="B399" i="9"/>
  <c r="A399" i="9"/>
  <c r="D398" i="9"/>
  <c r="C398" i="9"/>
  <c r="B398" i="9"/>
  <c r="A398" i="9"/>
  <c r="D397" i="9"/>
  <c r="C397" i="9"/>
  <c r="B397" i="9"/>
  <c r="A397" i="9"/>
  <c r="D396" i="9"/>
  <c r="C396" i="9"/>
  <c r="B396" i="9"/>
  <c r="A396" i="9"/>
  <c r="D395" i="9"/>
  <c r="C395" i="9"/>
  <c r="B395" i="9"/>
  <c r="A395" i="9"/>
  <c r="D394" i="9"/>
  <c r="C394" i="9"/>
  <c r="B394" i="9"/>
  <c r="A394" i="9"/>
  <c r="D393" i="9"/>
  <c r="C393" i="9"/>
  <c r="B393" i="9"/>
  <c r="A393" i="9"/>
  <c r="D392" i="9"/>
  <c r="C392" i="9"/>
  <c r="B392" i="9"/>
  <c r="A392" i="9"/>
  <c r="D391" i="9"/>
  <c r="C391" i="9"/>
  <c r="B391" i="9"/>
  <c r="A391" i="9"/>
  <c r="D390" i="9"/>
  <c r="C390" i="9"/>
  <c r="B390" i="9"/>
  <c r="A390" i="9"/>
  <c r="D389" i="9"/>
  <c r="C389" i="9"/>
  <c r="B389" i="9"/>
  <c r="A389" i="9"/>
  <c r="D388" i="9"/>
  <c r="C388" i="9"/>
  <c r="B388" i="9"/>
  <c r="A388" i="9"/>
  <c r="D387" i="9"/>
  <c r="C387" i="9"/>
  <c r="B387" i="9"/>
  <c r="A387" i="9"/>
  <c r="D386" i="9"/>
  <c r="C386" i="9"/>
  <c r="B386" i="9"/>
  <c r="A386" i="9"/>
  <c r="D385" i="9"/>
  <c r="C385" i="9"/>
  <c r="B385" i="9"/>
  <c r="A385" i="9"/>
  <c r="D384" i="9"/>
  <c r="C384" i="9"/>
  <c r="B384" i="9"/>
  <c r="A384" i="9"/>
  <c r="D383" i="9"/>
  <c r="C383" i="9"/>
  <c r="B383" i="9"/>
  <c r="A383" i="9"/>
  <c r="D382" i="9"/>
  <c r="C382" i="9"/>
  <c r="B382" i="9"/>
  <c r="A382" i="9"/>
  <c r="D381" i="9"/>
  <c r="C381" i="9"/>
  <c r="B381" i="9"/>
  <c r="A381" i="9"/>
  <c r="D380" i="9"/>
  <c r="C380" i="9"/>
  <c r="B380" i="9"/>
  <c r="A380" i="9"/>
  <c r="D379" i="9"/>
  <c r="C379" i="9"/>
  <c r="B379" i="9"/>
  <c r="A379" i="9"/>
  <c r="D378" i="9"/>
  <c r="C378" i="9"/>
  <c r="B378" i="9"/>
  <c r="A378" i="9"/>
  <c r="D377" i="9"/>
  <c r="C377" i="9"/>
  <c r="B377" i="9"/>
  <c r="A377" i="9"/>
  <c r="D376" i="9"/>
  <c r="C376" i="9"/>
  <c r="B376" i="9"/>
  <c r="A376" i="9"/>
  <c r="D375" i="9"/>
  <c r="C375" i="9"/>
  <c r="B375" i="9"/>
  <c r="A375" i="9"/>
  <c r="D374" i="9"/>
  <c r="C374" i="9"/>
  <c r="B374" i="9"/>
  <c r="A374" i="9"/>
  <c r="D373" i="9"/>
  <c r="C373" i="9"/>
  <c r="B373" i="9"/>
  <c r="A373" i="9"/>
  <c r="D372" i="9"/>
  <c r="C372" i="9"/>
  <c r="B372" i="9"/>
  <c r="A372" i="9"/>
  <c r="D371" i="9"/>
  <c r="C371" i="9"/>
  <c r="B371" i="9"/>
  <c r="A371" i="9"/>
  <c r="D370" i="9"/>
  <c r="C370" i="9"/>
  <c r="B370" i="9"/>
  <c r="A370" i="9"/>
  <c r="D369" i="9"/>
  <c r="C369" i="9"/>
  <c r="B369" i="9"/>
  <c r="A369" i="9"/>
  <c r="D368" i="9"/>
  <c r="C368" i="9"/>
  <c r="B368" i="9"/>
  <c r="A368" i="9"/>
  <c r="D367" i="9"/>
  <c r="C367" i="9"/>
  <c r="B367" i="9"/>
  <c r="A367" i="9"/>
  <c r="D366" i="9"/>
  <c r="C366" i="9"/>
  <c r="B366" i="9"/>
  <c r="A366" i="9"/>
  <c r="D365" i="9"/>
  <c r="C365" i="9"/>
  <c r="B365" i="9"/>
  <c r="A365" i="9"/>
  <c r="D364" i="9"/>
  <c r="C364" i="9"/>
  <c r="B364" i="9"/>
  <c r="A364" i="9"/>
  <c r="D363" i="9"/>
  <c r="C363" i="9"/>
  <c r="B363" i="9"/>
  <c r="A363" i="9"/>
  <c r="D362" i="9"/>
  <c r="C362" i="9"/>
  <c r="B362" i="9"/>
  <c r="A362" i="9"/>
  <c r="D361" i="9"/>
  <c r="C361" i="9"/>
  <c r="B361" i="9"/>
  <c r="A361" i="9"/>
  <c r="D360" i="9"/>
  <c r="C360" i="9"/>
  <c r="B360" i="9"/>
  <c r="A360" i="9"/>
  <c r="D359" i="9"/>
  <c r="C359" i="9"/>
  <c r="B359" i="9"/>
  <c r="A359" i="9"/>
  <c r="D358" i="9"/>
  <c r="C358" i="9"/>
  <c r="B358" i="9"/>
  <c r="A358" i="9"/>
  <c r="D357" i="9"/>
  <c r="C357" i="9"/>
  <c r="B357" i="9"/>
  <c r="A357" i="9"/>
  <c r="D356" i="9"/>
  <c r="C356" i="9"/>
  <c r="B356" i="9"/>
  <c r="A356" i="9"/>
  <c r="D355" i="9"/>
  <c r="C355" i="9"/>
  <c r="B355" i="9"/>
  <c r="A355" i="9"/>
  <c r="D354" i="9"/>
  <c r="C354" i="9"/>
  <c r="B354" i="9"/>
  <c r="A354" i="9"/>
  <c r="D353" i="9"/>
  <c r="C353" i="9"/>
  <c r="B353" i="9"/>
  <c r="A353" i="9"/>
  <c r="D352" i="9"/>
  <c r="C352" i="9"/>
  <c r="B352" i="9"/>
  <c r="A352" i="9"/>
  <c r="D351" i="9"/>
  <c r="C351" i="9"/>
  <c r="B351" i="9"/>
  <c r="A351" i="9"/>
  <c r="D350" i="9"/>
  <c r="C350" i="9"/>
  <c r="B350" i="9"/>
  <c r="A350" i="9"/>
  <c r="D349" i="9"/>
  <c r="C349" i="9"/>
  <c r="B349" i="9"/>
  <c r="A349" i="9"/>
  <c r="D348" i="9"/>
  <c r="C348" i="9"/>
  <c r="B348" i="9"/>
  <c r="A348" i="9"/>
  <c r="D347" i="9"/>
  <c r="C347" i="9"/>
  <c r="B347" i="9"/>
  <c r="A347" i="9"/>
  <c r="D346" i="9"/>
  <c r="C346" i="9"/>
  <c r="B346" i="9"/>
  <c r="A346" i="9"/>
  <c r="D345" i="9"/>
  <c r="C345" i="9"/>
  <c r="B345" i="9"/>
  <c r="A345" i="9"/>
  <c r="D344" i="9"/>
  <c r="C344" i="9"/>
  <c r="B344" i="9"/>
  <c r="A344" i="9"/>
  <c r="D343" i="9"/>
  <c r="C343" i="9"/>
  <c r="B343" i="9"/>
  <c r="A343" i="9"/>
  <c r="D342" i="9"/>
  <c r="C342" i="9"/>
  <c r="B342" i="9"/>
  <c r="A342" i="9"/>
  <c r="D341" i="9"/>
  <c r="C341" i="9"/>
  <c r="B341" i="9"/>
  <c r="A341" i="9"/>
  <c r="D340" i="9"/>
  <c r="C340" i="9"/>
  <c r="B340" i="9"/>
  <c r="A340" i="9"/>
  <c r="D339" i="9"/>
  <c r="C339" i="9"/>
  <c r="B339" i="9"/>
  <c r="A339" i="9"/>
  <c r="D338" i="9"/>
  <c r="C338" i="9"/>
  <c r="B338" i="9"/>
  <c r="A338" i="9"/>
  <c r="D337" i="9"/>
  <c r="C337" i="9"/>
  <c r="B337" i="9"/>
  <c r="A337" i="9"/>
  <c r="D336" i="9"/>
  <c r="C336" i="9"/>
  <c r="B336" i="9"/>
  <c r="A336" i="9"/>
  <c r="D335" i="9"/>
  <c r="C335" i="9"/>
  <c r="B335" i="9"/>
  <c r="A335" i="9"/>
  <c r="D334" i="9"/>
  <c r="C334" i="9"/>
  <c r="B334" i="9"/>
  <c r="A334" i="9"/>
  <c r="D333" i="9"/>
  <c r="C333" i="9"/>
  <c r="B333" i="9"/>
  <c r="A333" i="9"/>
  <c r="D332" i="9"/>
  <c r="C332" i="9"/>
  <c r="B332" i="9"/>
  <c r="A332" i="9"/>
  <c r="D331" i="9"/>
  <c r="C331" i="9"/>
  <c r="B331" i="9"/>
  <c r="A331" i="9"/>
  <c r="D330" i="9"/>
  <c r="C330" i="9"/>
  <c r="B330" i="9"/>
  <c r="A330" i="9"/>
  <c r="D329" i="9"/>
  <c r="C329" i="9"/>
  <c r="B329" i="9"/>
  <c r="A329" i="9"/>
  <c r="D328" i="9"/>
  <c r="C328" i="9"/>
  <c r="B328" i="9"/>
  <c r="A328" i="9"/>
  <c r="D327" i="9"/>
  <c r="C327" i="9"/>
  <c r="B327" i="9"/>
  <c r="A327" i="9"/>
  <c r="D326" i="9"/>
  <c r="C326" i="9"/>
  <c r="B326" i="9"/>
  <c r="A326" i="9"/>
  <c r="D325" i="9"/>
  <c r="C325" i="9"/>
  <c r="B325" i="9"/>
  <c r="A325" i="9"/>
  <c r="D324" i="9"/>
  <c r="C324" i="9"/>
  <c r="B324" i="9"/>
  <c r="A324" i="9"/>
  <c r="D323" i="9"/>
  <c r="C323" i="9"/>
  <c r="B323" i="9"/>
  <c r="A323" i="9"/>
  <c r="D322" i="9"/>
  <c r="C322" i="9"/>
  <c r="B322" i="9"/>
  <c r="A322" i="9"/>
  <c r="D321" i="9"/>
  <c r="C321" i="9"/>
  <c r="B321" i="9"/>
  <c r="A321" i="9"/>
  <c r="D320" i="9"/>
  <c r="C320" i="9"/>
  <c r="B320" i="9"/>
  <c r="A320" i="9"/>
  <c r="D319" i="9"/>
  <c r="C319" i="9"/>
  <c r="B319" i="9"/>
  <c r="A319" i="9"/>
  <c r="D318" i="9"/>
  <c r="C318" i="9"/>
  <c r="B318" i="9"/>
  <c r="A318" i="9"/>
  <c r="D317" i="9"/>
  <c r="C317" i="9"/>
  <c r="B317" i="9"/>
  <c r="A317" i="9"/>
  <c r="D316" i="9"/>
  <c r="C316" i="9"/>
  <c r="B316" i="9"/>
  <c r="A316" i="9"/>
  <c r="D315" i="9"/>
  <c r="C315" i="9"/>
  <c r="B315" i="9"/>
  <c r="A315" i="9"/>
  <c r="D314" i="9"/>
  <c r="C314" i="9"/>
  <c r="B314" i="9"/>
  <c r="A314" i="9"/>
  <c r="D313" i="9"/>
  <c r="C313" i="9"/>
  <c r="B313" i="9"/>
  <c r="A313" i="9"/>
  <c r="D312" i="9"/>
  <c r="C312" i="9"/>
  <c r="B312" i="9"/>
  <c r="A312" i="9"/>
  <c r="D311" i="9"/>
  <c r="C311" i="9"/>
  <c r="B311" i="9"/>
  <c r="A311" i="9"/>
  <c r="D310" i="9"/>
  <c r="C310" i="9"/>
  <c r="B310" i="9"/>
  <c r="A310" i="9"/>
  <c r="D309" i="9"/>
  <c r="C309" i="9"/>
  <c r="B309" i="9"/>
  <c r="A309" i="9"/>
  <c r="D308" i="9"/>
  <c r="C308" i="9"/>
  <c r="B308" i="9"/>
  <c r="A308" i="9"/>
  <c r="D307" i="9"/>
  <c r="C307" i="9"/>
  <c r="B307" i="9"/>
  <c r="A307" i="9"/>
  <c r="D306" i="9"/>
  <c r="C306" i="9"/>
  <c r="B306" i="9"/>
  <c r="A306" i="9"/>
  <c r="D305" i="9"/>
  <c r="C305" i="9"/>
  <c r="B305" i="9"/>
  <c r="A305" i="9"/>
  <c r="D304" i="9"/>
  <c r="C304" i="9"/>
  <c r="B304" i="9"/>
  <c r="A304" i="9"/>
  <c r="D303" i="9"/>
  <c r="C303" i="9"/>
  <c r="B303" i="9"/>
  <c r="A303" i="9"/>
  <c r="D302" i="9"/>
  <c r="C302" i="9"/>
  <c r="B302" i="9"/>
  <c r="A302" i="9"/>
  <c r="D301" i="9"/>
  <c r="C301" i="9"/>
  <c r="B301" i="9"/>
  <c r="A301" i="9"/>
  <c r="D300" i="9"/>
  <c r="C300" i="9"/>
  <c r="B300" i="9"/>
  <c r="A300" i="9"/>
  <c r="D299" i="9"/>
  <c r="C299" i="9"/>
  <c r="B299" i="9"/>
  <c r="A299" i="9"/>
  <c r="D298" i="9"/>
  <c r="C298" i="9"/>
  <c r="B298" i="9"/>
  <c r="A298" i="9"/>
  <c r="D297" i="9"/>
  <c r="C297" i="9"/>
  <c r="B297" i="9"/>
  <c r="A297" i="9"/>
  <c r="D296" i="9"/>
  <c r="C296" i="9"/>
  <c r="B296" i="9"/>
  <c r="A296" i="9"/>
  <c r="D295" i="9"/>
  <c r="C295" i="9"/>
  <c r="B295" i="9"/>
  <c r="A295" i="9"/>
  <c r="D294" i="9"/>
  <c r="C294" i="9"/>
  <c r="B294" i="9"/>
  <c r="A294" i="9"/>
  <c r="D293" i="9"/>
  <c r="C293" i="9"/>
  <c r="B293" i="9"/>
  <c r="A293" i="9"/>
  <c r="D292" i="9"/>
  <c r="C292" i="9"/>
  <c r="B292" i="9"/>
  <c r="A292" i="9"/>
  <c r="D291" i="9"/>
  <c r="C291" i="9"/>
  <c r="B291" i="9"/>
  <c r="A291" i="9"/>
  <c r="D290" i="9"/>
  <c r="C290" i="9"/>
  <c r="B290" i="9"/>
  <c r="A290" i="9"/>
  <c r="D289" i="9"/>
  <c r="C289" i="9"/>
  <c r="B289" i="9"/>
  <c r="A289" i="9"/>
  <c r="D288" i="9"/>
  <c r="C288" i="9"/>
  <c r="B288" i="9"/>
  <c r="A288" i="9"/>
  <c r="D287" i="9"/>
  <c r="C287" i="9"/>
  <c r="B287" i="9"/>
  <c r="A287" i="9"/>
  <c r="D286" i="9"/>
  <c r="C286" i="9"/>
  <c r="B286" i="9"/>
  <c r="A286" i="9"/>
  <c r="D285" i="9"/>
  <c r="C285" i="9"/>
  <c r="B285" i="9"/>
  <c r="A285" i="9"/>
  <c r="D284" i="9"/>
  <c r="C284" i="9"/>
  <c r="B284" i="9"/>
  <c r="A284" i="9"/>
  <c r="D283" i="9"/>
  <c r="C283" i="9"/>
  <c r="B283" i="9"/>
  <c r="A283" i="9"/>
  <c r="D282" i="9"/>
  <c r="C282" i="9"/>
  <c r="B282" i="9"/>
  <c r="A282" i="9"/>
  <c r="D281" i="9"/>
  <c r="C281" i="9"/>
  <c r="B281" i="9"/>
  <c r="A281" i="9"/>
  <c r="D280" i="9"/>
  <c r="C280" i="9"/>
  <c r="B280" i="9"/>
  <c r="A280" i="9"/>
  <c r="D279" i="9"/>
  <c r="C279" i="9"/>
  <c r="B279" i="9"/>
  <c r="A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D532" i="7"/>
  <c r="C532" i="7"/>
  <c r="B532" i="7"/>
  <c r="A532" i="7"/>
  <c r="D531" i="7"/>
  <c r="C531" i="7"/>
  <c r="B531" i="7"/>
  <c r="A531" i="7"/>
  <c r="D530" i="7"/>
  <c r="C530" i="7"/>
  <c r="B530" i="7"/>
  <c r="A530" i="7"/>
  <c r="D529" i="7"/>
  <c r="C529" i="7"/>
  <c r="B529" i="7"/>
  <c r="A529" i="7"/>
  <c r="D528" i="7"/>
  <c r="C528" i="7"/>
  <c r="B528" i="7"/>
  <c r="A528" i="7"/>
  <c r="D527" i="7"/>
  <c r="C527" i="7"/>
  <c r="B527" i="7"/>
  <c r="A527" i="7"/>
  <c r="D526" i="7"/>
  <c r="C526" i="7"/>
  <c r="B526" i="7"/>
  <c r="A526" i="7"/>
  <c r="D525" i="7"/>
  <c r="C525" i="7"/>
  <c r="B525" i="7"/>
  <c r="A525" i="7"/>
  <c r="D524" i="7"/>
  <c r="C524" i="7"/>
  <c r="B524" i="7"/>
  <c r="A524" i="7"/>
  <c r="D523" i="7"/>
  <c r="C523" i="7"/>
  <c r="B523" i="7"/>
  <c r="A523" i="7"/>
  <c r="D522" i="7"/>
  <c r="C522" i="7"/>
  <c r="B522" i="7"/>
  <c r="A522" i="7"/>
  <c r="D521" i="7"/>
  <c r="C521" i="7"/>
  <c r="B521" i="7"/>
  <c r="A521" i="7"/>
  <c r="D520" i="7"/>
  <c r="C520" i="7"/>
  <c r="B520" i="7"/>
  <c r="A520" i="7"/>
  <c r="D519" i="7"/>
  <c r="C519" i="7"/>
  <c r="B519" i="7"/>
  <c r="A519" i="7"/>
  <c r="D518" i="7"/>
  <c r="C518" i="7"/>
  <c r="B518" i="7"/>
  <c r="A518" i="7"/>
  <c r="D517" i="7"/>
  <c r="C517" i="7"/>
  <c r="B517" i="7"/>
  <c r="A517" i="7"/>
  <c r="D516" i="7"/>
  <c r="C516" i="7"/>
  <c r="B516" i="7"/>
  <c r="A516" i="7"/>
  <c r="D515" i="7"/>
  <c r="C515" i="7"/>
  <c r="B515" i="7"/>
  <c r="A515" i="7"/>
  <c r="D514" i="7"/>
  <c r="C514" i="7"/>
  <c r="B514" i="7"/>
  <c r="A514" i="7"/>
  <c r="D513" i="7"/>
  <c r="C513" i="7"/>
  <c r="B513" i="7"/>
  <c r="A513" i="7"/>
  <c r="D512" i="7"/>
  <c r="C512" i="7"/>
  <c r="B512" i="7"/>
  <c r="A512" i="7"/>
  <c r="D511" i="7"/>
  <c r="C511" i="7"/>
  <c r="B511" i="7"/>
  <c r="A511" i="7"/>
  <c r="D510" i="7"/>
  <c r="C510" i="7"/>
  <c r="B510" i="7"/>
  <c r="A510" i="7"/>
  <c r="D509" i="7"/>
  <c r="C509" i="7"/>
  <c r="B509" i="7"/>
  <c r="A509" i="7"/>
  <c r="D508" i="7"/>
  <c r="C508" i="7"/>
  <c r="B508" i="7"/>
  <c r="A508" i="7"/>
  <c r="D507" i="7"/>
  <c r="C507" i="7"/>
  <c r="B507" i="7"/>
  <c r="A507" i="7"/>
  <c r="D506" i="7"/>
  <c r="C506" i="7"/>
  <c r="B506" i="7"/>
  <c r="A506" i="7"/>
  <c r="D505" i="7"/>
  <c r="C505" i="7"/>
  <c r="B505" i="7"/>
  <c r="A505" i="7"/>
  <c r="D504" i="7"/>
  <c r="C504" i="7"/>
  <c r="B504" i="7"/>
  <c r="A504" i="7"/>
  <c r="D503" i="7"/>
  <c r="C503" i="7"/>
  <c r="B503" i="7"/>
  <c r="A503" i="7"/>
  <c r="D502" i="7"/>
  <c r="C502" i="7"/>
  <c r="B502" i="7"/>
  <c r="A502" i="7"/>
  <c r="D501" i="7"/>
  <c r="C501" i="7"/>
  <c r="B501" i="7"/>
  <c r="A501" i="7"/>
  <c r="D500" i="7"/>
  <c r="C500" i="7"/>
  <c r="B500" i="7"/>
  <c r="A500" i="7"/>
  <c r="D499" i="7"/>
  <c r="C499" i="7"/>
  <c r="B499" i="7"/>
  <c r="A499" i="7"/>
  <c r="D498" i="7"/>
  <c r="C498" i="7"/>
  <c r="B498" i="7"/>
  <c r="A498" i="7"/>
  <c r="D497" i="7"/>
  <c r="C497" i="7"/>
  <c r="B497" i="7"/>
  <c r="A497" i="7"/>
  <c r="D496" i="7"/>
  <c r="C496" i="7"/>
  <c r="B496" i="7"/>
  <c r="A496" i="7"/>
  <c r="D495" i="7"/>
  <c r="C495" i="7"/>
  <c r="B495" i="7"/>
  <c r="A495" i="7"/>
  <c r="D494" i="7"/>
  <c r="C494" i="7"/>
  <c r="B494" i="7"/>
  <c r="A494" i="7"/>
  <c r="D493" i="7"/>
  <c r="C493" i="7"/>
  <c r="B493" i="7"/>
  <c r="A493" i="7"/>
  <c r="D492" i="7"/>
  <c r="C492" i="7"/>
  <c r="B492" i="7"/>
  <c r="A492" i="7"/>
  <c r="D491" i="7"/>
  <c r="C491" i="7"/>
  <c r="B491" i="7"/>
  <c r="A491" i="7"/>
  <c r="D490" i="7"/>
  <c r="C490" i="7"/>
  <c r="B490" i="7"/>
  <c r="A490" i="7"/>
  <c r="D489" i="7"/>
  <c r="C489" i="7"/>
  <c r="B489" i="7"/>
  <c r="A489" i="7"/>
  <c r="D488" i="7"/>
  <c r="C488" i="7"/>
  <c r="B488" i="7"/>
  <c r="A488" i="7"/>
  <c r="D487" i="7"/>
  <c r="C487" i="7"/>
  <c r="B487" i="7"/>
  <c r="A487" i="7"/>
  <c r="D486" i="7"/>
  <c r="C486" i="7"/>
  <c r="B486" i="7"/>
  <c r="A486" i="7"/>
  <c r="D485" i="7"/>
  <c r="C485" i="7"/>
  <c r="B485" i="7"/>
  <c r="A485" i="7"/>
  <c r="D484" i="7"/>
  <c r="C484" i="7"/>
  <c r="B484" i="7"/>
  <c r="A484" i="7"/>
  <c r="D483" i="7"/>
  <c r="C483" i="7"/>
  <c r="B483" i="7"/>
  <c r="A483" i="7"/>
  <c r="D482" i="7"/>
  <c r="C482" i="7"/>
  <c r="B482" i="7"/>
  <c r="A482" i="7"/>
  <c r="D481" i="7"/>
  <c r="C481" i="7"/>
  <c r="B481" i="7"/>
  <c r="A481" i="7"/>
  <c r="D480" i="7"/>
  <c r="C480" i="7"/>
  <c r="B480" i="7"/>
  <c r="A480" i="7"/>
  <c r="D479" i="7"/>
  <c r="C479" i="7"/>
  <c r="B479" i="7"/>
  <c r="A479" i="7"/>
  <c r="D478" i="7"/>
  <c r="C478" i="7"/>
  <c r="B478" i="7"/>
  <c r="A478" i="7"/>
  <c r="D477" i="7"/>
  <c r="C477" i="7"/>
  <c r="B477" i="7"/>
  <c r="A477" i="7"/>
  <c r="D476" i="7"/>
  <c r="C476" i="7"/>
  <c r="B476" i="7"/>
  <c r="A476" i="7"/>
  <c r="D475" i="7"/>
  <c r="C475" i="7"/>
  <c r="B475" i="7"/>
  <c r="A475" i="7"/>
  <c r="D474" i="7"/>
  <c r="C474" i="7"/>
  <c r="B474" i="7"/>
  <c r="A474" i="7"/>
  <c r="D473" i="7"/>
  <c r="C473" i="7"/>
  <c r="B473" i="7"/>
  <c r="A473" i="7"/>
  <c r="D472" i="7"/>
  <c r="C472" i="7"/>
  <c r="B472" i="7"/>
  <c r="A472" i="7"/>
  <c r="D471" i="7"/>
  <c r="C471" i="7"/>
  <c r="B471" i="7"/>
  <c r="A471" i="7"/>
  <c r="D470" i="7"/>
  <c r="C470" i="7"/>
  <c r="B470" i="7"/>
  <c r="A470" i="7"/>
  <c r="D469" i="7"/>
  <c r="C469" i="7"/>
  <c r="B469" i="7"/>
  <c r="A469" i="7"/>
  <c r="D468" i="7"/>
  <c r="C468" i="7"/>
  <c r="B468" i="7"/>
  <c r="A468" i="7"/>
  <c r="D467" i="7"/>
  <c r="C467" i="7"/>
  <c r="B467" i="7"/>
  <c r="A467" i="7"/>
  <c r="D466" i="7"/>
  <c r="C466" i="7"/>
  <c r="B466" i="7"/>
  <c r="A466" i="7"/>
  <c r="D465" i="7"/>
  <c r="C465" i="7"/>
  <c r="B465" i="7"/>
  <c r="A465" i="7"/>
  <c r="D464" i="7"/>
  <c r="C464" i="7"/>
  <c r="B464" i="7"/>
  <c r="A464" i="7"/>
  <c r="D463" i="7"/>
  <c r="C463" i="7"/>
  <c r="B463" i="7"/>
  <c r="A463" i="7"/>
  <c r="D462" i="7"/>
  <c r="C462" i="7"/>
  <c r="B462" i="7"/>
  <c r="A462" i="7"/>
  <c r="D461" i="7"/>
  <c r="C461" i="7"/>
  <c r="B461" i="7"/>
  <c r="A461" i="7"/>
  <c r="D460" i="7"/>
  <c r="C460" i="7"/>
  <c r="B460" i="7"/>
  <c r="A460" i="7"/>
  <c r="D459" i="7"/>
  <c r="C459" i="7"/>
  <c r="B459" i="7"/>
  <c r="A459" i="7"/>
  <c r="D458" i="7"/>
  <c r="C458" i="7"/>
  <c r="B458" i="7"/>
  <c r="A458" i="7"/>
  <c r="D457" i="7"/>
  <c r="C457" i="7"/>
  <c r="B457" i="7"/>
  <c r="A457" i="7"/>
  <c r="D456" i="7"/>
  <c r="C456" i="7"/>
  <c r="B456" i="7"/>
  <c r="A456" i="7"/>
  <c r="D455" i="7"/>
  <c r="C455" i="7"/>
  <c r="B455" i="7"/>
  <c r="A455" i="7"/>
  <c r="D454" i="7"/>
  <c r="C454" i="7"/>
  <c r="B454" i="7"/>
  <c r="A454" i="7"/>
  <c r="D453" i="7"/>
  <c r="C453" i="7"/>
  <c r="B453" i="7"/>
  <c r="A453" i="7"/>
  <c r="D452" i="7"/>
  <c r="C452" i="7"/>
  <c r="B452" i="7"/>
  <c r="A452" i="7"/>
  <c r="D451" i="7"/>
  <c r="C451" i="7"/>
  <c r="B451" i="7"/>
  <c r="A451" i="7"/>
  <c r="D450" i="7"/>
  <c r="C450" i="7"/>
  <c r="B450" i="7"/>
  <c r="A450" i="7"/>
  <c r="D449" i="7"/>
  <c r="C449" i="7"/>
  <c r="B449" i="7"/>
  <c r="A449" i="7"/>
  <c r="D448" i="7"/>
  <c r="C448" i="7"/>
  <c r="B448" i="7"/>
  <c r="A448" i="7"/>
  <c r="D447" i="7"/>
  <c r="C447" i="7"/>
  <c r="B447" i="7"/>
  <c r="A447" i="7"/>
  <c r="D446" i="7"/>
  <c r="C446" i="7"/>
  <c r="B446" i="7"/>
  <c r="A446" i="7"/>
  <c r="D445" i="7"/>
  <c r="C445" i="7"/>
  <c r="B445" i="7"/>
  <c r="A445" i="7"/>
  <c r="D444" i="7"/>
  <c r="C444" i="7"/>
  <c r="B444" i="7"/>
  <c r="A444" i="7"/>
  <c r="D443" i="7"/>
  <c r="C443" i="7"/>
  <c r="B443" i="7"/>
  <c r="A443" i="7"/>
  <c r="D442" i="7"/>
  <c r="C442" i="7"/>
  <c r="B442" i="7"/>
  <c r="A442" i="7"/>
  <c r="D441" i="7"/>
  <c r="C441" i="7"/>
  <c r="B441" i="7"/>
  <c r="A441" i="7"/>
  <c r="D440" i="7"/>
  <c r="C440" i="7"/>
  <c r="B440" i="7"/>
  <c r="A440" i="7"/>
  <c r="D439" i="7"/>
  <c r="C439" i="7"/>
  <c r="B439" i="7"/>
  <c r="A439" i="7"/>
  <c r="D438" i="7"/>
  <c r="C438" i="7"/>
  <c r="B438" i="7"/>
  <c r="A438" i="7"/>
  <c r="D437" i="7"/>
  <c r="C437" i="7"/>
  <c r="B437" i="7"/>
  <c r="A437" i="7"/>
  <c r="D436" i="7"/>
  <c r="C436" i="7"/>
  <c r="B436" i="7"/>
  <c r="A436" i="7"/>
  <c r="D435" i="7"/>
  <c r="C435" i="7"/>
  <c r="B435" i="7"/>
  <c r="A435" i="7"/>
  <c r="D434" i="7"/>
  <c r="C434" i="7"/>
  <c r="B434" i="7"/>
  <c r="A434" i="7"/>
  <c r="D433" i="7"/>
  <c r="C433" i="7"/>
  <c r="B433" i="7"/>
  <c r="A433" i="7"/>
  <c r="D432" i="7"/>
  <c r="C432" i="7"/>
  <c r="B432" i="7"/>
  <c r="A432" i="7"/>
  <c r="D431" i="7"/>
  <c r="C431" i="7"/>
  <c r="B431" i="7"/>
  <c r="A431" i="7"/>
  <c r="D430" i="7"/>
  <c r="C430" i="7"/>
  <c r="B430" i="7"/>
  <c r="A430" i="7"/>
  <c r="D429" i="7"/>
  <c r="C429" i="7"/>
  <c r="B429" i="7"/>
  <c r="A429" i="7"/>
  <c r="D428" i="7"/>
  <c r="C428" i="7"/>
  <c r="B428" i="7"/>
  <c r="A428" i="7"/>
  <c r="D427" i="7"/>
  <c r="C427" i="7"/>
  <c r="B427" i="7"/>
  <c r="A427" i="7"/>
  <c r="D426" i="7"/>
  <c r="C426" i="7"/>
  <c r="B426" i="7"/>
  <c r="A426" i="7"/>
  <c r="D425" i="7"/>
  <c r="C425" i="7"/>
  <c r="B425" i="7"/>
  <c r="A425" i="7"/>
  <c r="D424" i="7"/>
  <c r="C424" i="7"/>
  <c r="B424" i="7"/>
  <c r="A424" i="7"/>
  <c r="D423" i="7"/>
  <c r="C423" i="7"/>
  <c r="B423" i="7"/>
  <c r="A423" i="7"/>
  <c r="D422" i="7"/>
  <c r="C422" i="7"/>
  <c r="B422" i="7"/>
  <c r="A422" i="7"/>
  <c r="D421" i="7"/>
  <c r="C421" i="7"/>
  <c r="B421" i="7"/>
  <c r="A421" i="7"/>
  <c r="D420" i="7"/>
  <c r="C420" i="7"/>
  <c r="B420" i="7"/>
  <c r="A420" i="7"/>
  <c r="D419" i="7"/>
  <c r="C419" i="7"/>
  <c r="B419" i="7"/>
  <c r="A419" i="7"/>
  <c r="D418" i="7"/>
  <c r="C418" i="7"/>
  <c r="B418" i="7"/>
  <c r="A418" i="7"/>
  <c r="D417" i="7"/>
  <c r="C417" i="7"/>
  <c r="B417" i="7"/>
  <c r="A417" i="7"/>
  <c r="D416" i="7"/>
  <c r="C416" i="7"/>
  <c r="B416" i="7"/>
  <c r="A416" i="7"/>
  <c r="D415" i="7"/>
  <c r="C415" i="7"/>
  <c r="B415" i="7"/>
  <c r="A415" i="7"/>
  <c r="D414" i="7"/>
  <c r="C414" i="7"/>
  <c r="B414" i="7"/>
  <c r="A414" i="7"/>
  <c r="D413" i="7"/>
  <c r="C413" i="7"/>
  <c r="B413" i="7"/>
  <c r="A413" i="7"/>
  <c r="D412" i="7"/>
  <c r="C412" i="7"/>
  <c r="B412" i="7"/>
  <c r="A412" i="7"/>
  <c r="D411" i="7"/>
  <c r="C411" i="7"/>
  <c r="B411" i="7"/>
  <c r="A411" i="7"/>
  <c r="D410" i="7"/>
  <c r="C410" i="7"/>
  <c r="B410" i="7"/>
  <c r="A410" i="7"/>
  <c r="D409" i="7"/>
  <c r="C409" i="7"/>
  <c r="B409" i="7"/>
  <c r="A409" i="7"/>
  <c r="D408" i="7"/>
  <c r="C408" i="7"/>
  <c r="B408" i="7"/>
  <c r="A408" i="7"/>
  <c r="D407" i="7"/>
  <c r="C407" i="7"/>
  <c r="B407" i="7"/>
  <c r="A407" i="7"/>
  <c r="D406" i="7"/>
  <c r="C406" i="7"/>
  <c r="B406" i="7"/>
  <c r="A406" i="7"/>
  <c r="D405" i="7"/>
  <c r="C405" i="7"/>
  <c r="B405" i="7"/>
  <c r="A405" i="7"/>
  <c r="D404" i="7"/>
  <c r="C404" i="7"/>
  <c r="B404" i="7"/>
  <c r="A404" i="7"/>
  <c r="D403" i="7"/>
  <c r="C403" i="7"/>
  <c r="B403" i="7"/>
  <c r="A403" i="7"/>
  <c r="D402" i="7"/>
  <c r="C402" i="7"/>
  <c r="B402" i="7"/>
  <c r="A402" i="7"/>
  <c r="D401" i="7"/>
  <c r="C401" i="7"/>
  <c r="B401" i="7"/>
  <c r="A401" i="7"/>
  <c r="D400" i="7"/>
  <c r="C400" i="7"/>
  <c r="B400" i="7"/>
  <c r="A400" i="7"/>
  <c r="D399" i="7"/>
  <c r="C399" i="7"/>
  <c r="B399" i="7"/>
  <c r="A399" i="7"/>
  <c r="D398" i="7"/>
  <c r="C398" i="7"/>
  <c r="B398" i="7"/>
  <c r="A398" i="7"/>
  <c r="D397" i="7"/>
  <c r="C397" i="7"/>
  <c r="B397" i="7"/>
  <c r="A397" i="7"/>
  <c r="D396" i="7"/>
  <c r="C396" i="7"/>
  <c r="B396" i="7"/>
  <c r="A396" i="7"/>
  <c r="D395" i="7"/>
  <c r="C395" i="7"/>
  <c r="B395" i="7"/>
  <c r="A395" i="7"/>
  <c r="D394" i="7"/>
  <c r="C394" i="7"/>
  <c r="B394" i="7"/>
  <c r="A394" i="7"/>
  <c r="D393" i="7"/>
  <c r="C393" i="7"/>
  <c r="B393" i="7"/>
  <c r="A393" i="7"/>
  <c r="D392" i="7"/>
  <c r="C392" i="7"/>
  <c r="B392" i="7"/>
  <c r="A392" i="7"/>
  <c r="D391" i="7"/>
  <c r="C391" i="7"/>
  <c r="B391" i="7"/>
  <c r="A391" i="7"/>
  <c r="D390" i="7"/>
  <c r="C390" i="7"/>
  <c r="B390" i="7"/>
  <c r="A390" i="7"/>
  <c r="D389" i="7"/>
  <c r="C389" i="7"/>
  <c r="B389" i="7"/>
  <c r="A389" i="7"/>
  <c r="D388" i="7"/>
  <c r="C388" i="7"/>
  <c r="B388" i="7"/>
  <c r="A388" i="7"/>
  <c r="D387" i="7"/>
  <c r="C387" i="7"/>
  <c r="B387" i="7"/>
  <c r="A387" i="7"/>
  <c r="D386" i="7"/>
  <c r="C386" i="7"/>
  <c r="B386" i="7"/>
  <c r="A386" i="7"/>
  <c r="D385" i="7"/>
  <c r="C385" i="7"/>
  <c r="B385" i="7"/>
  <c r="A385" i="7"/>
  <c r="D384" i="7"/>
  <c r="C384" i="7"/>
  <c r="B384" i="7"/>
  <c r="A384" i="7"/>
  <c r="D383" i="7"/>
  <c r="C383" i="7"/>
  <c r="B383" i="7"/>
  <c r="A383" i="7"/>
  <c r="D382" i="7"/>
  <c r="C382" i="7"/>
  <c r="B382" i="7"/>
  <c r="A382" i="7"/>
  <c r="D381" i="7"/>
  <c r="C381" i="7"/>
  <c r="B381" i="7"/>
  <c r="A381" i="7"/>
  <c r="D380" i="7"/>
  <c r="C380" i="7"/>
  <c r="B380" i="7"/>
  <c r="A380" i="7"/>
  <c r="D379" i="7"/>
  <c r="C379" i="7"/>
  <c r="B379" i="7"/>
  <c r="A379" i="7"/>
  <c r="D378" i="7"/>
  <c r="C378" i="7"/>
  <c r="B378" i="7"/>
  <c r="A378" i="7"/>
  <c r="D377" i="7"/>
  <c r="C377" i="7"/>
  <c r="B377" i="7"/>
  <c r="A377" i="7"/>
  <c r="D376" i="7"/>
  <c r="C376" i="7"/>
  <c r="B376" i="7"/>
  <c r="A376" i="7"/>
  <c r="D375" i="7"/>
  <c r="C375" i="7"/>
  <c r="B375" i="7"/>
  <c r="A375" i="7"/>
  <c r="D374" i="7"/>
  <c r="C374" i="7"/>
  <c r="B374" i="7"/>
  <c r="A374" i="7"/>
  <c r="D373" i="7"/>
  <c r="C373" i="7"/>
  <c r="B373" i="7"/>
  <c r="A373" i="7"/>
  <c r="D372" i="7"/>
  <c r="C372" i="7"/>
  <c r="B372" i="7"/>
  <c r="A372" i="7"/>
  <c r="D371" i="7"/>
  <c r="C371" i="7"/>
  <c r="B371" i="7"/>
  <c r="A371" i="7"/>
  <c r="D370" i="7"/>
  <c r="C370" i="7"/>
  <c r="B370" i="7"/>
  <c r="A370" i="7"/>
  <c r="D369" i="7"/>
  <c r="C369" i="7"/>
  <c r="B369" i="7"/>
  <c r="A369" i="7"/>
  <c r="D368" i="7"/>
  <c r="C368" i="7"/>
  <c r="B368" i="7"/>
  <c r="A368" i="7"/>
  <c r="D367" i="7"/>
  <c r="C367" i="7"/>
  <c r="B367" i="7"/>
  <c r="A367" i="7"/>
  <c r="D366" i="7"/>
  <c r="C366" i="7"/>
  <c r="B366" i="7"/>
  <c r="A366" i="7"/>
  <c r="D365" i="7"/>
  <c r="C365" i="7"/>
  <c r="B365" i="7"/>
  <c r="A365" i="7"/>
  <c r="D364" i="7"/>
  <c r="C364" i="7"/>
  <c r="B364" i="7"/>
  <c r="A364" i="7"/>
  <c r="D363" i="7"/>
  <c r="C363" i="7"/>
  <c r="B363" i="7"/>
  <c r="A363" i="7"/>
  <c r="D362" i="7"/>
  <c r="C362" i="7"/>
  <c r="B362" i="7"/>
  <c r="A362" i="7"/>
  <c r="D361" i="7"/>
  <c r="C361" i="7"/>
  <c r="B361" i="7"/>
  <c r="A361" i="7"/>
  <c r="D360" i="7"/>
  <c r="C360" i="7"/>
  <c r="B360" i="7"/>
  <c r="A360" i="7"/>
  <c r="D359" i="7"/>
  <c r="C359" i="7"/>
  <c r="B359" i="7"/>
  <c r="A359" i="7"/>
  <c r="D358" i="7"/>
  <c r="C358" i="7"/>
  <c r="B358" i="7"/>
  <c r="A358" i="7"/>
  <c r="D357" i="7"/>
  <c r="C357" i="7"/>
  <c r="B357" i="7"/>
  <c r="A357" i="7"/>
  <c r="D356" i="7"/>
  <c r="C356" i="7"/>
  <c r="B356" i="7"/>
  <c r="A356" i="7"/>
  <c r="D355" i="7"/>
  <c r="C355" i="7"/>
  <c r="B355" i="7"/>
  <c r="A355" i="7"/>
  <c r="D354" i="7"/>
  <c r="C354" i="7"/>
  <c r="B354" i="7"/>
  <c r="A354" i="7"/>
  <c r="D353" i="7"/>
  <c r="C353" i="7"/>
  <c r="B353" i="7"/>
  <c r="A353" i="7"/>
  <c r="D352" i="7"/>
  <c r="C352" i="7"/>
  <c r="B352" i="7"/>
  <c r="A352" i="7"/>
  <c r="D351" i="7"/>
  <c r="C351" i="7"/>
  <c r="B351" i="7"/>
  <c r="A351" i="7"/>
  <c r="D350" i="7"/>
  <c r="C350" i="7"/>
  <c r="B350" i="7"/>
  <c r="A350" i="7"/>
  <c r="D349" i="7"/>
  <c r="C349" i="7"/>
  <c r="B349" i="7"/>
  <c r="A349" i="7"/>
  <c r="D348" i="7"/>
  <c r="C348" i="7"/>
  <c r="B348" i="7"/>
  <c r="A348" i="7"/>
  <c r="D347" i="7"/>
  <c r="C347" i="7"/>
  <c r="B347" i="7"/>
  <c r="A347" i="7"/>
  <c r="D346" i="7"/>
  <c r="C346" i="7"/>
  <c r="B346" i="7"/>
  <c r="A346" i="7"/>
  <c r="D345" i="7"/>
  <c r="C345" i="7"/>
  <c r="B345" i="7"/>
  <c r="A345" i="7"/>
  <c r="D344" i="7"/>
  <c r="C344" i="7"/>
  <c r="B344" i="7"/>
  <c r="A344" i="7"/>
  <c r="D343" i="7"/>
  <c r="C343" i="7"/>
  <c r="B343" i="7"/>
  <c r="A343" i="7"/>
  <c r="D342" i="7"/>
  <c r="C342" i="7"/>
  <c r="B342" i="7"/>
  <c r="A342" i="7"/>
  <c r="D341" i="7"/>
  <c r="C341" i="7"/>
  <c r="B341" i="7"/>
  <c r="A341" i="7"/>
  <c r="D340" i="7"/>
  <c r="C340" i="7"/>
  <c r="B340" i="7"/>
  <c r="A340" i="7"/>
  <c r="D339" i="7"/>
  <c r="C339" i="7"/>
  <c r="B339" i="7"/>
  <c r="A339" i="7"/>
  <c r="D338" i="7"/>
  <c r="C338" i="7"/>
  <c r="B338" i="7"/>
  <c r="A338" i="7"/>
  <c r="D337" i="7"/>
  <c r="C337" i="7"/>
  <c r="B337" i="7"/>
  <c r="A337" i="7"/>
  <c r="D336" i="7"/>
  <c r="C336" i="7"/>
  <c r="B336" i="7"/>
  <c r="A336" i="7"/>
  <c r="D335" i="7"/>
  <c r="C335" i="7"/>
  <c r="B335" i="7"/>
  <c r="A335" i="7"/>
  <c r="D334" i="7"/>
  <c r="C334" i="7"/>
  <c r="B334" i="7"/>
  <c r="A334" i="7"/>
  <c r="D333" i="7"/>
  <c r="C333" i="7"/>
  <c r="B333" i="7"/>
  <c r="A333" i="7"/>
  <c r="D332" i="7"/>
  <c r="C332" i="7"/>
  <c r="B332" i="7"/>
  <c r="A332" i="7"/>
  <c r="D331" i="7"/>
  <c r="C331" i="7"/>
  <c r="B331" i="7"/>
  <c r="A331" i="7"/>
  <c r="D330" i="7"/>
  <c r="C330" i="7"/>
  <c r="B330" i="7"/>
  <c r="A330" i="7"/>
  <c r="D329" i="7"/>
  <c r="C329" i="7"/>
  <c r="B329" i="7"/>
  <c r="A329" i="7"/>
  <c r="D328" i="7"/>
  <c r="C328" i="7"/>
  <c r="B328" i="7"/>
  <c r="A328" i="7"/>
  <c r="D327" i="7"/>
  <c r="C327" i="7"/>
  <c r="B327" i="7"/>
  <c r="A327" i="7"/>
  <c r="D326" i="7"/>
  <c r="C326" i="7"/>
  <c r="B326" i="7"/>
  <c r="A326" i="7"/>
  <c r="D325" i="7"/>
  <c r="C325" i="7"/>
  <c r="B325" i="7"/>
  <c r="A325" i="7"/>
  <c r="D324" i="7"/>
  <c r="C324" i="7"/>
  <c r="B324" i="7"/>
  <c r="A324" i="7"/>
  <c r="D323" i="7"/>
  <c r="C323" i="7"/>
  <c r="B323" i="7"/>
  <c r="A323" i="7"/>
  <c r="D322" i="7"/>
  <c r="C322" i="7"/>
  <c r="B322" i="7"/>
  <c r="A322" i="7"/>
  <c r="D321" i="7"/>
  <c r="C321" i="7"/>
  <c r="B321" i="7"/>
  <c r="A321" i="7"/>
  <c r="D320" i="7"/>
  <c r="C320" i="7"/>
  <c r="B320" i="7"/>
  <c r="A320" i="7"/>
  <c r="D319" i="7"/>
  <c r="C319" i="7"/>
  <c r="B319" i="7"/>
  <c r="A319" i="7"/>
  <c r="D318" i="7"/>
  <c r="C318" i="7"/>
  <c r="B318" i="7"/>
  <c r="A318" i="7"/>
  <c r="D317" i="7"/>
  <c r="C317" i="7"/>
  <c r="B317" i="7"/>
  <c r="A317" i="7"/>
  <c r="D316" i="7"/>
  <c r="C316" i="7"/>
  <c r="B316" i="7"/>
  <c r="A316" i="7"/>
  <c r="D315" i="7"/>
  <c r="C315" i="7"/>
  <c r="B315" i="7"/>
  <c r="A315" i="7"/>
  <c r="D314" i="7"/>
  <c r="C314" i="7"/>
  <c r="B314" i="7"/>
  <c r="A314" i="7"/>
  <c r="D313" i="7"/>
  <c r="C313" i="7"/>
  <c r="B313" i="7"/>
  <c r="A313" i="7"/>
  <c r="D312" i="7"/>
  <c r="C312" i="7"/>
  <c r="B312" i="7"/>
  <c r="A312" i="7"/>
  <c r="D311" i="7"/>
  <c r="C311" i="7"/>
  <c r="B311" i="7"/>
  <c r="A311" i="7"/>
  <c r="D310" i="7"/>
  <c r="C310" i="7"/>
  <c r="B310" i="7"/>
  <c r="A310" i="7"/>
  <c r="D309" i="7"/>
  <c r="C309" i="7"/>
  <c r="B309" i="7"/>
  <c r="A309" i="7"/>
  <c r="D308" i="7"/>
  <c r="C308" i="7"/>
  <c r="B308" i="7"/>
  <c r="A308" i="7"/>
  <c r="D307" i="7"/>
  <c r="C307" i="7"/>
  <c r="B307" i="7"/>
  <c r="A307" i="7"/>
  <c r="D306" i="7"/>
  <c r="C306" i="7"/>
  <c r="B306" i="7"/>
  <c r="A306" i="7"/>
  <c r="D305" i="7"/>
  <c r="C305" i="7"/>
  <c r="B305" i="7"/>
  <c r="A305" i="7"/>
  <c r="D304" i="7"/>
  <c r="C304" i="7"/>
  <c r="B304" i="7"/>
  <c r="A304" i="7"/>
  <c r="D303" i="7"/>
  <c r="C303" i="7"/>
  <c r="B303" i="7"/>
  <c r="A303" i="7"/>
  <c r="D302" i="7"/>
  <c r="C302" i="7"/>
  <c r="B302" i="7"/>
  <c r="A302" i="7"/>
  <c r="D301" i="7"/>
  <c r="C301" i="7"/>
  <c r="B301" i="7"/>
  <c r="A301" i="7"/>
  <c r="D300" i="7"/>
  <c r="C300" i="7"/>
  <c r="B300" i="7"/>
  <c r="A300" i="7"/>
  <c r="D299" i="7"/>
  <c r="C299" i="7"/>
  <c r="B299" i="7"/>
  <c r="A299" i="7"/>
  <c r="D298" i="7"/>
  <c r="C298" i="7"/>
  <c r="B298" i="7"/>
  <c r="A298" i="7"/>
  <c r="D297" i="7"/>
  <c r="C297" i="7"/>
  <c r="B297" i="7"/>
  <c r="A297" i="7"/>
  <c r="D296" i="7"/>
  <c r="C296" i="7"/>
  <c r="B296" i="7"/>
  <c r="A296" i="7"/>
  <c r="D295" i="7"/>
  <c r="C295" i="7"/>
  <c r="B295" i="7"/>
  <c r="A295" i="7"/>
  <c r="D294" i="7"/>
  <c r="C294" i="7"/>
  <c r="B294" i="7"/>
  <c r="A294" i="7"/>
  <c r="D293" i="7"/>
  <c r="C293" i="7"/>
  <c r="B293" i="7"/>
  <c r="A293" i="7"/>
  <c r="D292" i="7"/>
  <c r="C292" i="7"/>
  <c r="B292" i="7"/>
  <c r="A292" i="7"/>
  <c r="D291" i="7"/>
  <c r="C291" i="7"/>
  <c r="B291" i="7"/>
  <c r="A291" i="7"/>
  <c r="D290" i="7"/>
  <c r="C290" i="7"/>
  <c r="B290" i="7"/>
  <c r="A290" i="7"/>
  <c r="D289" i="7"/>
  <c r="C289" i="7"/>
  <c r="B289" i="7"/>
  <c r="A289" i="7"/>
  <c r="D288" i="7"/>
  <c r="C288" i="7"/>
  <c r="B288" i="7"/>
  <c r="A288" i="7"/>
  <c r="D287" i="7"/>
  <c r="C287" i="7"/>
  <c r="B287" i="7"/>
  <c r="A287" i="7"/>
  <c r="D286" i="7"/>
  <c r="C286" i="7"/>
  <c r="B286" i="7"/>
  <c r="A286" i="7"/>
  <c r="D285" i="7"/>
  <c r="C285" i="7"/>
  <c r="B285" i="7"/>
  <c r="A285" i="7"/>
  <c r="D284" i="7"/>
  <c r="C284" i="7"/>
  <c r="B284" i="7"/>
  <c r="A284" i="7"/>
  <c r="D283" i="7"/>
  <c r="C283" i="7"/>
  <c r="B283" i="7"/>
  <c r="A283" i="7"/>
  <c r="D282" i="7"/>
  <c r="C282" i="7"/>
  <c r="B282" i="7"/>
  <c r="A282" i="7"/>
  <c r="D281" i="7"/>
  <c r="C281" i="7"/>
  <c r="B281" i="7"/>
  <c r="A281" i="7"/>
  <c r="D280" i="7"/>
  <c r="C280" i="7"/>
  <c r="B280" i="7"/>
  <c r="A280" i="7"/>
  <c r="D279" i="7"/>
  <c r="C279" i="7"/>
  <c r="B279" i="7"/>
  <c r="A279" i="7"/>
  <c r="D278" i="7"/>
  <c r="C278" i="7"/>
  <c r="B278" i="7"/>
  <c r="A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G9" i="7"/>
  <c r="C9" i="7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15" i="6"/>
  <c r="D9" i="7" l="1"/>
  <c r="D9" i="11"/>
  <c r="D11" i="6"/>
  <c r="D12" i="6"/>
  <c r="D13" i="6"/>
  <c r="D14" i="6"/>
  <c r="D15" i="6"/>
  <c r="D533" i="6"/>
  <c r="C533" i="6"/>
  <c r="B533" i="6"/>
  <c r="A533" i="6"/>
  <c r="D532" i="6"/>
  <c r="C532" i="6"/>
  <c r="B532" i="6"/>
  <c r="A532" i="6"/>
  <c r="D531" i="6"/>
  <c r="C531" i="6"/>
  <c r="B531" i="6"/>
  <c r="A531" i="6"/>
  <c r="D530" i="6"/>
  <c r="C530" i="6"/>
  <c r="B530" i="6"/>
  <c r="A530" i="6"/>
  <c r="D529" i="6"/>
  <c r="C529" i="6"/>
  <c r="B529" i="6"/>
  <c r="A529" i="6"/>
  <c r="D528" i="6"/>
  <c r="C528" i="6"/>
  <c r="B528" i="6"/>
  <c r="A528" i="6"/>
  <c r="D527" i="6"/>
  <c r="C527" i="6"/>
  <c r="B527" i="6"/>
  <c r="A527" i="6"/>
  <c r="D526" i="6"/>
  <c r="C526" i="6"/>
  <c r="B526" i="6"/>
  <c r="A526" i="6"/>
  <c r="D525" i="6"/>
  <c r="C525" i="6"/>
  <c r="B525" i="6"/>
  <c r="A525" i="6"/>
  <c r="D524" i="6"/>
  <c r="C524" i="6"/>
  <c r="B524" i="6"/>
  <c r="A524" i="6"/>
  <c r="D523" i="6"/>
  <c r="C523" i="6"/>
  <c r="B523" i="6"/>
  <c r="A523" i="6"/>
  <c r="D522" i="6"/>
  <c r="C522" i="6"/>
  <c r="B522" i="6"/>
  <c r="A522" i="6"/>
  <c r="D521" i="6"/>
  <c r="C521" i="6"/>
  <c r="B521" i="6"/>
  <c r="A521" i="6"/>
  <c r="D520" i="6"/>
  <c r="C520" i="6"/>
  <c r="B520" i="6"/>
  <c r="A520" i="6"/>
  <c r="D519" i="6"/>
  <c r="C519" i="6"/>
  <c r="B519" i="6"/>
  <c r="A519" i="6"/>
  <c r="D518" i="6"/>
  <c r="C518" i="6"/>
  <c r="B518" i="6"/>
  <c r="A518" i="6"/>
  <c r="D517" i="6"/>
  <c r="C517" i="6"/>
  <c r="B517" i="6"/>
  <c r="A517" i="6"/>
  <c r="D516" i="6"/>
  <c r="C516" i="6"/>
  <c r="B516" i="6"/>
  <c r="A516" i="6"/>
  <c r="D515" i="6"/>
  <c r="C515" i="6"/>
  <c r="B515" i="6"/>
  <c r="A515" i="6"/>
  <c r="D514" i="6"/>
  <c r="C514" i="6"/>
  <c r="B514" i="6"/>
  <c r="A514" i="6"/>
  <c r="D513" i="6"/>
  <c r="C513" i="6"/>
  <c r="B513" i="6"/>
  <c r="A513" i="6"/>
  <c r="D512" i="6"/>
  <c r="C512" i="6"/>
  <c r="B512" i="6"/>
  <c r="A512" i="6"/>
  <c r="D511" i="6"/>
  <c r="C511" i="6"/>
  <c r="B511" i="6"/>
  <c r="A511" i="6"/>
  <c r="D510" i="6"/>
  <c r="C510" i="6"/>
  <c r="B510" i="6"/>
  <c r="A510" i="6"/>
  <c r="D509" i="6"/>
  <c r="C509" i="6"/>
  <c r="B509" i="6"/>
  <c r="A509" i="6"/>
  <c r="D508" i="6"/>
  <c r="C508" i="6"/>
  <c r="B508" i="6"/>
  <c r="A508" i="6"/>
  <c r="D507" i="6"/>
  <c r="C507" i="6"/>
  <c r="B507" i="6"/>
  <c r="A507" i="6"/>
  <c r="D506" i="6"/>
  <c r="C506" i="6"/>
  <c r="B506" i="6"/>
  <c r="A506" i="6"/>
  <c r="D505" i="6"/>
  <c r="C505" i="6"/>
  <c r="B505" i="6"/>
  <c r="A505" i="6"/>
  <c r="D504" i="6"/>
  <c r="C504" i="6"/>
  <c r="B504" i="6"/>
  <c r="A504" i="6"/>
  <c r="D503" i="6"/>
  <c r="C503" i="6"/>
  <c r="B503" i="6"/>
  <c r="A503" i="6"/>
  <c r="D502" i="6"/>
  <c r="C502" i="6"/>
  <c r="B502" i="6"/>
  <c r="A502" i="6"/>
  <c r="D501" i="6"/>
  <c r="C501" i="6"/>
  <c r="B501" i="6"/>
  <c r="A501" i="6"/>
  <c r="D500" i="6"/>
  <c r="C500" i="6"/>
  <c r="B500" i="6"/>
  <c r="A500" i="6"/>
  <c r="D499" i="6"/>
  <c r="C499" i="6"/>
  <c r="B499" i="6"/>
  <c r="A499" i="6"/>
  <c r="D498" i="6"/>
  <c r="C498" i="6"/>
  <c r="B498" i="6"/>
  <c r="A498" i="6"/>
  <c r="D497" i="6"/>
  <c r="C497" i="6"/>
  <c r="B497" i="6"/>
  <c r="A497" i="6"/>
  <c r="D496" i="6"/>
  <c r="C496" i="6"/>
  <c r="B496" i="6"/>
  <c r="A496" i="6"/>
  <c r="D495" i="6"/>
  <c r="C495" i="6"/>
  <c r="B495" i="6"/>
  <c r="A495" i="6"/>
  <c r="D494" i="6"/>
  <c r="C494" i="6"/>
  <c r="B494" i="6"/>
  <c r="A494" i="6"/>
  <c r="D493" i="6"/>
  <c r="C493" i="6"/>
  <c r="B493" i="6"/>
  <c r="A493" i="6"/>
  <c r="D492" i="6"/>
  <c r="C492" i="6"/>
  <c r="B492" i="6"/>
  <c r="A492" i="6"/>
  <c r="D491" i="6"/>
  <c r="C491" i="6"/>
  <c r="B491" i="6"/>
  <c r="A491" i="6"/>
  <c r="D490" i="6"/>
  <c r="C490" i="6"/>
  <c r="B490" i="6"/>
  <c r="A490" i="6"/>
  <c r="D489" i="6"/>
  <c r="C489" i="6"/>
  <c r="B489" i="6"/>
  <c r="A489" i="6"/>
  <c r="D488" i="6"/>
  <c r="C488" i="6"/>
  <c r="B488" i="6"/>
  <c r="A488" i="6"/>
  <c r="D487" i="6"/>
  <c r="C487" i="6"/>
  <c r="B487" i="6"/>
  <c r="A487" i="6"/>
  <c r="D486" i="6"/>
  <c r="C486" i="6"/>
  <c r="B486" i="6"/>
  <c r="A486" i="6"/>
  <c r="D485" i="6"/>
  <c r="C485" i="6"/>
  <c r="B485" i="6"/>
  <c r="A485" i="6"/>
  <c r="D484" i="6"/>
  <c r="C484" i="6"/>
  <c r="B484" i="6"/>
  <c r="A484" i="6"/>
  <c r="D483" i="6"/>
  <c r="C483" i="6"/>
  <c r="B483" i="6"/>
  <c r="A483" i="6"/>
  <c r="D482" i="6"/>
  <c r="C482" i="6"/>
  <c r="B482" i="6"/>
  <c r="A482" i="6"/>
  <c r="D481" i="6"/>
  <c r="C481" i="6"/>
  <c r="B481" i="6"/>
  <c r="A481" i="6"/>
  <c r="D480" i="6"/>
  <c r="C480" i="6"/>
  <c r="B480" i="6"/>
  <c r="A480" i="6"/>
  <c r="D479" i="6"/>
  <c r="C479" i="6"/>
  <c r="B479" i="6"/>
  <c r="A479" i="6"/>
  <c r="D478" i="6"/>
  <c r="C478" i="6"/>
  <c r="B478" i="6"/>
  <c r="A478" i="6"/>
  <c r="D477" i="6"/>
  <c r="C477" i="6"/>
  <c r="B477" i="6"/>
  <c r="A477" i="6"/>
  <c r="D476" i="6"/>
  <c r="C476" i="6"/>
  <c r="B476" i="6"/>
  <c r="A476" i="6"/>
  <c r="D475" i="6"/>
  <c r="C475" i="6"/>
  <c r="B475" i="6"/>
  <c r="A475" i="6"/>
  <c r="D474" i="6"/>
  <c r="C474" i="6"/>
  <c r="B474" i="6"/>
  <c r="A474" i="6"/>
  <c r="D473" i="6"/>
  <c r="C473" i="6"/>
  <c r="B473" i="6"/>
  <c r="A473" i="6"/>
  <c r="D472" i="6"/>
  <c r="C472" i="6"/>
  <c r="B472" i="6"/>
  <c r="A472" i="6"/>
  <c r="D471" i="6"/>
  <c r="C471" i="6"/>
  <c r="B471" i="6"/>
  <c r="A471" i="6"/>
  <c r="D470" i="6"/>
  <c r="C470" i="6"/>
  <c r="B470" i="6"/>
  <c r="A470" i="6"/>
  <c r="D469" i="6"/>
  <c r="C469" i="6"/>
  <c r="B469" i="6"/>
  <c r="A469" i="6"/>
  <c r="D468" i="6"/>
  <c r="C468" i="6"/>
  <c r="B468" i="6"/>
  <c r="A468" i="6"/>
  <c r="D467" i="6"/>
  <c r="C467" i="6"/>
  <c r="B467" i="6"/>
  <c r="A467" i="6"/>
  <c r="D466" i="6"/>
  <c r="C466" i="6"/>
  <c r="B466" i="6"/>
  <c r="A466" i="6"/>
  <c r="D465" i="6"/>
  <c r="C465" i="6"/>
  <c r="B465" i="6"/>
  <c r="A465" i="6"/>
  <c r="D464" i="6"/>
  <c r="C464" i="6"/>
  <c r="B464" i="6"/>
  <c r="A464" i="6"/>
  <c r="D463" i="6"/>
  <c r="C463" i="6"/>
  <c r="B463" i="6"/>
  <c r="A463" i="6"/>
  <c r="D462" i="6"/>
  <c r="C462" i="6"/>
  <c r="B462" i="6"/>
  <c r="A462" i="6"/>
  <c r="D461" i="6"/>
  <c r="C461" i="6"/>
  <c r="B461" i="6"/>
  <c r="A461" i="6"/>
  <c r="D460" i="6"/>
  <c r="C460" i="6"/>
  <c r="B460" i="6"/>
  <c r="A460" i="6"/>
  <c r="D459" i="6"/>
  <c r="C459" i="6"/>
  <c r="B459" i="6"/>
  <c r="A459" i="6"/>
  <c r="D458" i="6"/>
  <c r="C458" i="6"/>
  <c r="B458" i="6"/>
  <c r="A458" i="6"/>
  <c r="D457" i="6"/>
  <c r="C457" i="6"/>
  <c r="B457" i="6"/>
  <c r="A457" i="6"/>
  <c r="D456" i="6"/>
  <c r="C456" i="6"/>
  <c r="B456" i="6"/>
  <c r="A456" i="6"/>
  <c r="D455" i="6"/>
  <c r="C455" i="6"/>
  <c r="B455" i="6"/>
  <c r="A455" i="6"/>
  <c r="D454" i="6"/>
  <c r="C454" i="6"/>
  <c r="B454" i="6"/>
  <c r="A454" i="6"/>
  <c r="D453" i="6"/>
  <c r="C453" i="6"/>
  <c r="B453" i="6"/>
  <c r="A453" i="6"/>
  <c r="D452" i="6"/>
  <c r="C452" i="6"/>
  <c r="B452" i="6"/>
  <c r="A452" i="6"/>
  <c r="D451" i="6"/>
  <c r="C451" i="6"/>
  <c r="B451" i="6"/>
  <c r="A451" i="6"/>
  <c r="D450" i="6"/>
  <c r="C450" i="6"/>
  <c r="B450" i="6"/>
  <c r="A450" i="6"/>
  <c r="D449" i="6"/>
  <c r="C449" i="6"/>
  <c r="B449" i="6"/>
  <c r="A449" i="6"/>
  <c r="D448" i="6"/>
  <c r="C448" i="6"/>
  <c r="B448" i="6"/>
  <c r="A448" i="6"/>
  <c r="D447" i="6"/>
  <c r="C447" i="6"/>
  <c r="B447" i="6"/>
  <c r="A447" i="6"/>
  <c r="D446" i="6"/>
  <c r="C446" i="6"/>
  <c r="B446" i="6"/>
  <c r="A446" i="6"/>
  <c r="D445" i="6"/>
  <c r="C445" i="6"/>
  <c r="B445" i="6"/>
  <c r="A445" i="6"/>
  <c r="D444" i="6"/>
  <c r="C444" i="6"/>
  <c r="B444" i="6"/>
  <c r="A444" i="6"/>
  <c r="D443" i="6"/>
  <c r="C443" i="6"/>
  <c r="B443" i="6"/>
  <c r="A443" i="6"/>
  <c r="D442" i="6"/>
  <c r="C442" i="6"/>
  <c r="B442" i="6"/>
  <c r="A442" i="6"/>
  <c r="D441" i="6"/>
  <c r="C441" i="6"/>
  <c r="B441" i="6"/>
  <c r="A441" i="6"/>
  <c r="D440" i="6"/>
  <c r="C440" i="6"/>
  <c r="B440" i="6"/>
  <c r="A440" i="6"/>
  <c r="D439" i="6"/>
  <c r="C439" i="6"/>
  <c r="B439" i="6"/>
  <c r="A439" i="6"/>
  <c r="D438" i="6"/>
  <c r="C438" i="6"/>
  <c r="B438" i="6"/>
  <c r="A438" i="6"/>
  <c r="D437" i="6"/>
  <c r="C437" i="6"/>
  <c r="B437" i="6"/>
  <c r="A437" i="6"/>
  <c r="D436" i="6"/>
  <c r="C436" i="6"/>
  <c r="B436" i="6"/>
  <c r="A436" i="6"/>
  <c r="D435" i="6"/>
  <c r="C435" i="6"/>
  <c r="B435" i="6"/>
  <c r="A435" i="6"/>
  <c r="D434" i="6"/>
  <c r="C434" i="6"/>
  <c r="B434" i="6"/>
  <c r="A434" i="6"/>
  <c r="D433" i="6"/>
  <c r="C433" i="6"/>
  <c r="B433" i="6"/>
  <c r="A433" i="6"/>
  <c r="D432" i="6"/>
  <c r="C432" i="6"/>
  <c r="B432" i="6"/>
  <c r="A432" i="6"/>
  <c r="D431" i="6"/>
  <c r="C431" i="6"/>
  <c r="B431" i="6"/>
  <c r="A431" i="6"/>
  <c r="D430" i="6"/>
  <c r="C430" i="6"/>
  <c r="B430" i="6"/>
  <c r="A430" i="6"/>
  <c r="D429" i="6"/>
  <c r="C429" i="6"/>
  <c r="B429" i="6"/>
  <c r="A429" i="6"/>
  <c r="D428" i="6"/>
  <c r="C428" i="6"/>
  <c r="B428" i="6"/>
  <c r="A428" i="6"/>
  <c r="D427" i="6"/>
  <c r="C427" i="6"/>
  <c r="B427" i="6"/>
  <c r="A427" i="6"/>
  <c r="D426" i="6"/>
  <c r="C426" i="6"/>
  <c r="B426" i="6"/>
  <c r="A426" i="6"/>
  <c r="D425" i="6"/>
  <c r="C425" i="6"/>
  <c r="B425" i="6"/>
  <c r="A425" i="6"/>
  <c r="D424" i="6"/>
  <c r="C424" i="6"/>
  <c r="B424" i="6"/>
  <c r="A424" i="6"/>
  <c r="D423" i="6"/>
  <c r="C423" i="6"/>
  <c r="B423" i="6"/>
  <c r="A423" i="6"/>
  <c r="D422" i="6"/>
  <c r="C422" i="6"/>
  <c r="B422" i="6"/>
  <c r="A422" i="6"/>
  <c r="D421" i="6"/>
  <c r="C421" i="6"/>
  <c r="B421" i="6"/>
  <c r="A421" i="6"/>
  <c r="D420" i="6"/>
  <c r="C420" i="6"/>
  <c r="B420" i="6"/>
  <c r="A420" i="6"/>
  <c r="D419" i="6"/>
  <c r="C419" i="6"/>
  <c r="B419" i="6"/>
  <c r="A419" i="6"/>
  <c r="D418" i="6"/>
  <c r="C418" i="6"/>
  <c r="B418" i="6"/>
  <c r="A418" i="6"/>
  <c r="D417" i="6"/>
  <c r="C417" i="6"/>
  <c r="B417" i="6"/>
  <c r="A417" i="6"/>
  <c r="D416" i="6"/>
  <c r="C416" i="6"/>
  <c r="B416" i="6"/>
  <c r="A416" i="6"/>
  <c r="D415" i="6"/>
  <c r="C415" i="6"/>
  <c r="B415" i="6"/>
  <c r="A415" i="6"/>
  <c r="D414" i="6"/>
  <c r="C414" i="6"/>
  <c r="B414" i="6"/>
  <c r="A414" i="6"/>
  <c r="D413" i="6"/>
  <c r="C413" i="6"/>
  <c r="B413" i="6"/>
  <c r="A413" i="6"/>
  <c r="D412" i="6"/>
  <c r="C412" i="6"/>
  <c r="B412" i="6"/>
  <c r="A412" i="6"/>
  <c r="D411" i="6"/>
  <c r="C411" i="6"/>
  <c r="B411" i="6"/>
  <c r="A411" i="6"/>
  <c r="D410" i="6"/>
  <c r="C410" i="6"/>
  <c r="B410" i="6"/>
  <c r="A410" i="6"/>
  <c r="D409" i="6"/>
  <c r="C409" i="6"/>
  <c r="B409" i="6"/>
  <c r="A409" i="6"/>
  <c r="D408" i="6"/>
  <c r="C408" i="6"/>
  <c r="B408" i="6"/>
  <c r="A408" i="6"/>
  <c r="D407" i="6"/>
  <c r="C407" i="6"/>
  <c r="B407" i="6"/>
  <c r="A407" i="6"/>
  <c r="D406" i="6"/>
  <c r="C406" i="6"/>
  <c r="B406" i="6"/>
  <c r="A406" i="6"/>
  <c r="D405" i="6"/>
  <c r="C405" i="6"/>
  <c r="B405" i="6"/>
  <c r="A405" i="6"/>
  <c r="D404" i="6"/>
  <c r="C404" i="6"/>
  <c r="B404" i="6"/>
  <c r="A404" i="6"/>
  <c r="D403" i="6"/>
  <c r="C403" i="6"/>
  <c r="B403" i="6"/>
  <c r="A403" i="6"/>
  <c r="D402" i="6"/>
  <c r="C402" i="6"/>
  <c r="B402" i="6"/>
  <c r="A402" i="6"/>
  <c r="D401" i="6"/>
  <c r="C401" i="6"/>
  <c r="B401" i="6"/>
  <c r="A401" i="6"/>
  <c r="D400" i="6"/>
  <c r="C400" i="6"/>
  <c r="B400" i="6"/>
  <c r="A400" i="6"/>
  <c r="D399" i="6"/>
  <c r="C399" i="6"/>
  <c r="B399" i="6"/>
  <c r="A399" i="6"/>
  <c r="D398" i="6"/>
  <c r="C398" i="6"/>
  <c r="B398" i="6"/>
  <c r="A398" i="6"/>
  <c r="D397" i="6"/>
  <c r="C397" i="6"/>
  <c r="B397" i="6"/>
  <c r="A397" i="6"/>
  <c r="D396" i="6"/>
  <c r="C396" i="6"/>
  <c r="B396" i="6"/>
  <c r="A396" i="6"/>
  <c r="D395" i="6"/>
  <c r="C395" i="6"/>
  <c r="B395" i="6"/>
  <c r="A395" i="6"/>
  <c r="D394" i="6"/>
  <c r="C394" i="6"/>
  <c r="B394" i="6"/>
  <c r="A394" i="6"/>
  <c r="D393" i="6"/>
  <c r="C393" i="6"/>
  <c r="B393" i="6"/>
  <c r="A393" i="6"/>
  <c r="D392" i="6"/>
  <c r="C392" i="6"/>
  <c r="B392" i="6"/>
  <c r="A392" i="6"/>
  <c r="D391" i="6"/>
  <c r="C391" i="6"/>
  <c r="B391" i="6"/>
  <c r="A391" i="6"/>
  <c r="D390" i="6"/>
  <c r="C390" i="6"/>
  <c r="B390" i="6"/>
  <c r="A390" i="6"/>
  <c r="D389" i="6"/>
  <c r="C389" i="6"/>
  <c r="B389" i="6"/>
  <c r="A389" i="6"/>
  <c r="D388" i="6"/>
  <c r="C388" i="6"/>
  <c r="B388" i="6"/>
  <c r="A388" i="6"/>
  <c r="D387" i="6"/>
  <c r="C387" i="6"/>
  <c r="B387" i="6"/>
  <c r="A387" i="6"/>
  <c r="D386" i="6"/>
  <c r="C386" i="6"/>
  <c r="B386" i="6"/>
  <c r="A386" i="6"/>
  <c r="D385" i="6"/>
  <c r="C385" i="6"/>
  <c r="B385" i="6"/>
  <c r="A385" i="6"/>
  <c r="D384" i="6"/>
  <c r="C384" i="6"/>
  <c r="B384" i="6"/>
  <c r="A384" i="6"/>
  <c r="D383" i="6"/>
  <c r="C383" i="6"/>
  <c r="B383" i="6"/>
  <c r="A383" i="6"/>
  <c r="D382" i="6"/>
  <c r="C382" i="6"/>
  <c r="B382" i="6"/>
  <c r="A382" i="6"/>
  <c r="D381" i="6"/>
  <c r="C381" i="6"/>
  <c r="B381" i="6"/>
  <c r="A381" i="6"/>
  <c r="D380" i="6"/>
  <c r="C380" i="6"/>
  <c r="B380" i="6"/>
  <c r="A380" i="6"/>
  <c r="D379" i="6"/>
  <c r="C379" i="6"/>
  <c r="B379" i="6"/>
  <c r="A379" i="6"/>
  <c r="D378" i="6"/>
  <c r="C378" i="6"/>
  <c r="B378" i="6"/>
  <c r="A378" i="6"/>
  <c r="D377" i="6"/>
  <c r="C377" i="6"/>
  <c r="B377" i="6"/>
  <c r="A377" i="6"/>
  <c r="D376" i="6"/>
  <c r="C376" i="6"/>
  <c r="B376" i="6"/>
  <c r="A376" i="6"/>
  <c r="D375" i="6"/>
  <c r="C375" i="6"/>
  <c r="B375" i="6"/>
  <c r="A375" i="6"/>
  <c r="D374" i="6"/>
  <c r="C374" i="6"/>
  <c r="B374" i="6"/>
  <c r="A374" i="6"/>
  <c r="D373" i="6"/>
  <c r="C373" i="6"/>
  <c r="B373" i="6"/>
  <c r="A373" i="6"/>
  <c r="D372" i="6"/>
  <c r="C372" i="6"/>
  <c r="B372" i="6"/>
  <c r="A372" i="6"/>
  <c r="D371" i="6"/>
  <c r="C371" i="6"/>
  <c r="B371" i="6"/>
  <c r="A371" i="6"/>
  <c r="D370" i="6"/>
  <c r="C370" i="6"/>
  <c r="B370" i="6"/>
  <c r="A370" i="6"/>
  <c r="D369" i="6"/>
  <c r="C369" i="6"/>
  <c r="B369" i="6"/>
  <c r="A369" i="6"/>
  <c r="D368" i="6"/>
  <c r="C368" i="6"/>
  <c r="B368" i="6"/>
  <c r="A368" i="6"/>
  <c r="D367" i="6"/>
  <c r="C367" i="6"/>
  <c r="B367" i="6"/>
  <c r="A367" i="6"/>
  <c r="D366" i="6"/>
  <c r="C366" i="6"/>
  <c r="B366" i="6"/>
  <c r="A366" i="6"/>
  <c r="D365" i="6"/>
  <c r="C365" i="6"/>
  <c r="B365" i="6"/>
  <c r="A365" i="6"/>
  <c r="D364" i="6"/>
  <c r="C364" i="6"/>
  <c r="B364" i="6"/>
  <c r="A364" i="6"/>
  <c r="D363" i="6"/>
  <c r="C363" i="6"/>
  <c r="B363" i="6"/>
  <c r="A363" i="6"/>
  <c r="D362" i="6"/>
  <c r="C362" i="6"/>
  <c r="B362" i="6"/>
  <c r="A362" i="6"/>
  <c r="D361" i="6"/>
  <c r="C361" i="6"/>
  <c r="B361" i="6"/>
  <c r="A361" i="6"/>
  <c r="D360" i="6"/>
  <c r="C360" i="6"/>
  <c r="B360" i="6"/>
  <c r="A360" i="6"/>
  <c r="D359" i="6"/>
  <c r="C359" i="6"/>
  <c r="B359" i="6"/>
  <c r="A359" i="6"/>
  <c r="D358" i="6"/>
  <c r="C358" i="6"/>
  <c r="B358" i="6"/>
  <c r="A358" i="6"/>
  <c r="D357" i="6"/>
  <c r="C357" i="6"/>
  <c r="B357" i="6"/>
  <c r="A357" i="6"/>
  <c r="D356" i="6"/>
  <c r="C356" i="6"/>
  <c r="B356" i="6"/>
  <c r="A356" i="6"/>
  <c r="D355" i="6"/>
  <c r="C355" i="6"/>
  <c r="B355" i="6"/>
  <c r="A355" i="6"/>
  <c r="D354" i="6"/>
  <c r="C354" i="6"/>
  <c r="B354" i="6"/>
  <c r="A354" i="6"/>
  <c r="D353" i="6"/>
  <c r="C353" i="6"/>
  <c r="B353" i="6"/>
  <c r="A353" i="6"/>
  <c r="D352" i="6"/>
  <c r="C352" i="6"/>
  <c r="B352" i="6"/>
  <c r="A352" i="6"/>
  <c r="D351" i="6"/>
  <c r="C351" i="6"/>
  <c r="B351" i="6"/>
  <c r="A351" i="6"/>
  <c r="D350" i="6"/>
  <c r="C350" i="6"/>
  <c r="B350" i="6"/>
  <c r="A350" i="6"/>
  <c r="D349" i="6"/>
  <c r="C349" i="6"/>
  <c r="B349" i="6"/>
  <c r="A349" i="6"/>
  <c r="D348" i="6"/>
  <c r="C348" i="6"/>
  <c r="B348" i="6"/>
  <c r="A348" i="6"/>
  <c r="D347" i="6"/>
  <c r="C347" i="6"/>
  <c r="B347" i="6"/>
  <c r="A347" i="6"/>
  <c r="D346" i="6"/>
  <c r="C346" i="6"/>
  <c r="B346" i="6"/>
  <c r="A346" i="6"/>
  <c r="D345" i="6"/>
  <c r="C345" i="6"/>
  <c r="B345" i="6"/>
  <c r="A345" i="6"/>
  <c r="D344" i="6"/>
  <c r="C344" i="6"/>
  <c r="B344" i="6"/>
  <c r="A344" i="6"/>
  <c r="D343" i="6"/>
  <c r="C343" i="6"/>
  <c r="B343" i="6"/>
  <c r="A343" i="6"/>
  <c r="D342" i="6"/>
  <c r="C342" i="6"/>
  <c r="B342" i="6"/>
  <c r="A342" i="6"/>
  <c r="D341" i="6"/>
  <c r="C341" i="6"/>
  <c r="B341" i="6"/>
  <c r="A341" i="6"/>
  <c r="D340" i="6"/>
  <c r="C340" i="6"/>
  <c r="B340" i="6"/>
  <c r="A340" i="6"/>
  <c r="D339" i="6"/>
  <c r="C339" i="6"/>
  <c r="B339" i="6"/>
  <c r="A339" i="6"/>
  <c r="D338" i="6"/>
  <c r="C338" i="6"/>
  <c r="B338" i="6"/>
  <c r="A338" i="6"/>
  <c r="D337" i="6"/>
  <c r="C337" i="6"/>
  <c r="B337" i="6"/>
  <c r="A337" i="6"/>
  <c r="D336" i="6"/>
  <c r="C336" i="6"/>
  <c r="B336" i="6"/>
  <c r="A336" i="6"/>
  <c r="D335" i="6"/>
  <c r="C335" i="6"/>
  <c r="B335" i="6"/>
  <c r="A335" i="6"/>
  <c r="D334" i="6"/>
  <c r="C334" i="6"/>
  <c r="B334" i="6"/>
  <c r="A334" i="6"/>
  <c r="D333" i="6"/>
  <c r="C333" i="6"/>
  <c r="B333" i="6"/>
  <c r="A333" i="6"/>
  <c r="D332" i="6"/>
  <c r="C332" i="6"/>
  <c r="B332" i="6"/>
  <c r="A332" i="6"/>
  <c r="D331" i="6"/>
  <c r="C331" i="6"/>
  <c r="B331" i="6"/>
  <c r="A331" i="6"/>
  <c r="D330" i="6"/>
  <c r="C330" i="6"/>
  <c r="B330" i="6"/>
  <c r="A330" i="6"/>
  <c r="D329" i="6"/>
  <c r="C329" i="6"/>
  <c r="B329" i="6"/>
  <c r="A329" i="6"/>
  <c r="D328" i="6"/>
  <c r="C328" i="6"/>
  <c r="B328" i="6"/>
  <c r="A328" i="6"/>
  <c r="D327" i="6"/>
  <c r="C327" i="6"/>
  <c r="B327" i="6"/>
  <c r="A327" i="6"/>
  <c r="D326" i="6"/>
  <c r="C326" i="6"/>
  <c r="B326" i="6"/>
  <c r="A326" i="6"/>
  <c r="D325" i="6"/>
  <c r="C325" i="6"/>
  <c r="B325" i="6"/>
  <c r="A325" i="6"/>
  <c r="D324" i="6"/>
  <c r="C324" i="6"/>
  <c r="B324" i="6"/>
  <c r="A324" i="6"/>
  <c r="D323" i="6"/>
  <c r="C323" i="6"/>
  <c r="B323" i="6"/>
  <c r="A323" i="6"/>
  <c r="D322" i="6"/>
  <c r="C322" i="6"/>
  <c r="B322" i="6"/>
  <c r="A322" i="6"/>
  <c r="D321" i="6"/>
  <c r="C321" i="6"/>
  <c r="B321" i="6"/>
  <c r="A321" i="6"/>
  <c r="D320" i="6"/>
  <c r="C320" i="6"/>
  <c r="B320" i="6"/>
  <c r="A320" i="6"/>
  <c r="D319" i="6"/>
  <c r="C319" i="6"/>
  <c r="B319" i="6"/>
  <c r="A319" i="6"/>
  <c r="D318" i="6"/>
  <c r="C318" i="6"/>
  <c r="B318" i="6"/>
  <c r="A318" i="6"/>
  <c r="D317" i="6"/>
  <c r="C317" i="6"/>
  <c r="B317" i="6"/>
  <c r="A317" i="6"/>
  <c r="D316" i="6"/>
  <c r="C316" i="6"/>
  <c r="B316" i="6"/>
  <c r="A316" i="6"/>
  <c r="D315" i="6"/>
  <c r="C315" i="6"/>
  <c r="B315" i="6"/>
  <c r="A315" i="6"/>
  <c r="D314" i="6"/>
  <c r="C314" i="6"/>
  <c r="B314" i="6"/>
  <c r="A314" i="6"/>
  <c r="D313" i="6"/>
  <c r="C313" i="6"/>
  <c r="B313" i="6"/>
  <c r="A313" i="6"/>
  <c r="D312" i="6"/>
  <c r="C312" i="6"/>
  <c r="B312" i="6"/>
  <c r="A312" i="6"/>
  <c r="D311" i="6"/>
  <c r="C311" i="6"/>
  <c r="B311" i="6"/>
  <c r="A311" i="6"/>
  <c r="D310" i="6"/>
  <c r="C310" i="6"/>
  <c r="B310" i="6"/>
  <c r="A310" i="6"/>
  <c r="D309" i="6"/>
  <c r="C309" i="6"/>
  <c r="B309" i="6"/>
  <c r="A309" i="6"/>
  <c r="D308" i="6"/>
  <c r="C308" i="6"/>
  <c r="B308" i="6"/>
  <c r="A308" i="6"/>
  <c r="D307" i="6"/>
  <c r="C307" i="6"/>
  <c r="B307" i="6"/>
  <c r="A307" i="6"/>
  <c r="D306" i="6"/>
  <c r="C306" i="6"/>
  <c r="B306" i="6"/>
  <c r="A306" i="6"/>
  <c r="D305" i="6"/>
  <c r="C305" i="6"/>
  <c r="B305" i="6"/>
  <c r="A305" i="6"/>
  <c r="D304" i="6"/>
  <c r="C304" i="6"/>
  <c r="B304" i="6"/>
  <c r="A304" i="6"/>
  <c r="D303" i="6"/>
  <c r="C303" i="6"/>
  <c r="B303" i="6"/>
  <c r="A303" i="6"/>
  <c r="D302" i="6"/>
  <c r="C302" i="6"/>
  <c r="B302" i="6"/>
  <c r="A302" i="6"/>
  <c r="D301" i="6"/>
  <c r="C301" i="6"/>
  <c r="B301" i="6"/>
  <c r="A301" i="6"/>
  <c r="D300" i="6"/>
  <c r="C300" i="6"/>
  <c r="B300" i="6"/>
  <c r="A300" i="6"/>
  <c r="D299" i="6"/>
  <c r="C299" i="6"/>
  <c r="B299" i="6"/>
  <c r="A299" i="6"/>
  <c r="D298" i="6"/>
  <c r="C298" i="6"/>
  <c r="B298" i="6"/>
  <c r="A298" i="6"/>
  <c r="D297" i="6"/>
  <c r="C297" i="6"/>
  <c r="B297" i="6"/>
  <c r="A297" i="6"/>
  <c r="D296" i="6"/>
  <c r="C296" i="6"/>
  <c r="B296" i="6"/>
  <c r="A296" i="6"/>
  <c r="D295" i="6"/>
  <c r="C295" i="6"/>
  <c r="B295" i="6"/>
  <c r="A295" i="6"/>
  <c r="D294" i="6"/>
  <c r="C294" i="6"/>
  <c r="B294" i="6"/>
  <c r="A294" i="6"/>
  <c r="D293" i="6"/>
  <c r="C293" i="6"/>
  <c r="B293" i="6"/>
  <c r="A293" i="6"/>
  <c r="D292" i="6"/>
  <c r="C292" i="6"/>
  <c r="B292" i="6"/>
  <c r="A292" i="6"/>
  <c r="D291" i="6"/>
  <c r="C291" i="6"/>
  <c r="B291" i="6"/>
  <c r="A291" i="6"/>
  <c r="D290" i="6"/>
  <c r="C290" i="6"/>
  <c r="B290" i="6"/>
  <c r="A290" i="6"/>
  <c r="D289" i="6"/>
  <c r="C289" i="6"/>
  <c r="B289" i="6"/>
  <c r="A289" i="6"/>
  <c r="D288" i="6"/>
  <c r="C288" i="6"/>
  <c r="B288" i="6"/>
  <c r="A288" i="6"/>
  <c r="D287" i="6"/>
  <c r="C287" i="6"/>
  <c r="B287" i="6"/>
  <c r="A287" i="6"/>
  <c r="D286" i="6"/>
  <c r="C286" i="6"/>
  <c r="B286" i="6"/>
  <c r="A286" i="6"/>
  <c r="D285" i="6"/>
  <c r="C285" i="6"/>
  <c r="B285" i="6"/>
  <c r="A285" i="6"/>
  <c r="D284" i="6"/>
  <c r="C284" i="6"/>
  <c r="B284" i="6"/>
  <c r="A284" i="6"/>
  <c r="D283" i="6"/>
  <c r="C283" i="6"/>
  <c r="B283" i="6"/>
  <c r="A283" i="6"/>
  <c r="D282" i="6"/>
  <c r="C282" i="6"/>
  <c r="B282" i="6"/>
  <c r="A282" i="6"/>
  <c r="D281" i="6"/>
  <c r="C281" i="6"/>
  <c r="B281" i="6"/>
  <c r="A281" i="6"/>
  <c r="D280" i="6"/>
  <c r="C280" i="6"/>
  <c r="B280" i="6"/>
  <c r="A280" i="6"/>
  <c r="D279" i="6"/>
  <c r="C279" i="6"/>
  <c r="B279" i="6"/>
  <c r="A279" i="6"/>
  <c r="G9" i="6"/>
  <c r="C9" i="6"/>
  <c r="D9" i="6" l="1"/>
  <c r="D11" i="1" l="1"/>
  <c r="D12" i="1"/>
  <c r="D13" i="1"/>
  <c r="D14" i="1"/>
  <c r="D15" i="1"/>
  <c r="D16" i="1"/>
  <c r="D17" i="1"/>
  <c r="D18" i="1"/>
  <c r="D10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3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2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1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G9" i="1"/>
  <c r="D9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78746B4-C90A-498B-9CE2-EC453F2FA4E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ECC509FF-ECB2-48A1-9A29-08DD225F2079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4EAE9801-DC52-4088-93F3-316483D27CF2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178AD320-7350-4E83-B502-EB5B20CC2598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D525F7EA-817F-44F1-9B37-3EB33622366C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C209B3CC-49F2-46CC-A010-59199267B35B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5A2C1335-8D22-4599-A9C5-BB32DBB1B49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13157D58-46C9-4893-8DB4-39FA7B597B06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7FEBB17-EAB3-40DE-8C25-14FF4A184EE4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9F5C4338-3835-44F5-90A0-CF020F6651CB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3D52DF2-8E6C-428F-80D1-446F0F12F898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B836B736-D6D7-412C-A256-223AD4A873AD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EF110EA2-600C-45CD-950A-4433671349C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B2B2B72-EA9E-4B44-8332-A0E69D54C91D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F7D95D9E-9785-47D7-9776-502F189AB8CD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62DE19DE-3300-4408-9F0A-92B10B7B9232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56D664DB-F1FE-433D-A819-418F4A020EE3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F4729D92-8655-4891-9F63-29631508D803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953EA830-5923-4B24-9298-8D18E8DBA674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121970A6-36D2-4945-A57C-F9A6A056E10C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CA7E11D8-2CA3-41E5-9011-E07FD7F1B3B9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03BC890A-C7F6-48D7-A2D0-AC5D3A8382D3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715F17FB-2C04-4FE7-934B-82768487408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Stacey</author>
  </authors>
  <commentList>
    <comment ref="B3" authorId="0" shapeId="0" xr:uid="{E5D4F085-C065-447B-8690-508F1D3361FE}">
      <text>
        <r>
          <rPr>
            <b/>
            <sz val="9"/>
            <color indexed="81"/>
            <rFont val="Tahoma"/>
            <family val="2"/>
          </rPr>
          <t>Davis, Stacey:</t>
        </r>
        <r>
          <rPr>
            <sz val="9"/>
            <color indexed="81"/>
            <rFont val="Tahoma"/>
            <family val="2"/>
          </rPr>
          <t xml:space="preserve">
Like PK000012</t>
        </r>
      </text>
    </comment>
  </commentList>
</comments>
</file>

<file path=xl/sharedStrings.xml><?xml version="1.0" encoding="utf-8"?>
<sst xmlns="http://schemas.openxmlformats.org/spreadsheetml/2006/main" count="16849" uniqueCount="2420">
  <si>
    <t>Ledger Code</t>
  </si>
  <si>
    <t>Cost Code</t>
  </si>
  <si>
    <t>Amount (ex GST)</t>
  </si>
  <si>
    <t>Journal Description</t>
  </si>
  <si>
    <t>Branch Name</t>
  </si>
  <si>
    <t>Worker</t>
  </si>
  <si>
    <t>SL</t>
  </si>
  <si>
    <t>1-16641-6D421</t>
  </si>
  <si>
    <t>1-19521-7B213</t>
  </si>
  <si>
    <t>Fernando Taia</t>
  </si>
  <si>
    <t>Joao Taia</t>
  </si>
  <si>
    <t>Shane Hyde</t>
  </si>
  <si>
    <t>HEW</t>
  </si>
  <si>
    <t>Internal Immunisation Services</t>
  </si>
  <si>
    <t>RID</t>
  </si>
  <si>
    <t>Sherif Mahadi</t>
  </si>
  <si>
    <t>Troy Wilson</t>
  </si>
  <si>
    <t>A Methiwala</t>
  </si>
  <si>
    <t>B Morsley</t>
  </si>
  <si>
    <t>Warren Tomlison-Smith</t>
  </si>
  <si>
    <t>Immunisation Services - Hep A &amp; Hep B</t>
  </si>
  <si>
    <t>RCM</t>
  </si>
  <si>
    <t>Logan Water Infrastructure</t>
  </si>
  <si>
    <t>PS</t>
  </si>
  <si>
    <t>100013-200-7B213</t>
  </si>
  <si>
    <t>R</t>
  </si>
  <si>
    <t>D00-30-000-7B213</t>
  </si>
  <si>
    <t>Immunisation - Internal Immunisation Services</t>
  </si>
  <si>
    <t>Journal ID</t>
  </si>
  <si>
    <t>Date</t>
  </si>
  <si>
    <t>Processed By</t>
  </si>
  <si>
    <t>SDAVIS</t>
  </si>
  <si>
    <t>Mervyn Woods</t>
  </si>
  <si>
    <t>Immunisation Services - Blood Test</t>
  </si>
  <si>
    <t xml:space="preserve">Immunisation Services - Hep A </t>
  </si>
  <si>
    <t>Immunisation Services - Hep B</t>
  </si>
  <si>
    <t>Immunisation Services - DTPa</t>
  </si>
  <si>
    <t>1010000 - Office of the Chief Executive</t>
  </si>
  <si>
    <t>2010000 - OS Office of the Director</t>
  </si>
  <si>
    <t>2020000 - Administration</t>
  </si>
  <si>
    <t>2030000 - Finance</t>
  </si>
  <si>
    <t>2040000 - Corporate Governance</t>
  </si>
  <si>
    <t>2050000 - Information Technology</t>
  </si>
  <si>
    <t>2060000 - People &amp; Culture</t>
  </si>
  <si>
    <t>2070000 - Plant Fleet Services</t>
  </si>
  <si>
    <t>2080000 - Corporate Finance</t>
  </si>
  <si>
    <t>3010000 - SS Office of the Director</t>
  </si>
  <si>
    <t>3020000 - Development Assessment</t>
  </si>
  <si>
    <t>3060000 - Economic Development &amp; Strategy</t>
  </si>
  <si>
    <t>4010000 - CS Office of the Director</t>
  </si>
  <si>
    <t>4020000 - City Standards &amp; Animal Care</t>
  </si>
  <si>
    <t>4040000 - Marketing &amp; Events</t>
  </si>
  <si>
    <t>4050000 - Sport, Leisure &amp; Facilities</t>
  </si>
  <si>
    <t>4060000 - Community Services</t>
  </si>
  <si>
    <t>4070000 - Customer Experience &amp; Community Engagement</t>
  </si>
  <si>
    <t>4080000 - Libraries &amp; Creative Industries</t>
  </si>
  <si>
    <t>4090000 - Parks</t>
  </si>
  <si>
    <t>4100000 - Media</t>
  </si>
  <si>
    <t>5010000 - RW Office of the Director</t>
  </si>
  <si>
    <t>5030000 - Road Infrastructure Planning</t>
  </si>
  <si>
    <t>5050000 - Road Construction &amp; Maintenance</t>
  </si>
  <si>
    <t>5060000 - Road Infrastructure Delivery</t>
  </si>
  <si>
    <t>6110000 - Water Service Delivery</t>
  </si>
  <si>
    <t>6120000 - Water Service Performance</t>
  </si>
  <si>
    <t>6130000 - Water Infrastructure Solutions</t>
  </si>
  <si>
    <t>7010000 - ICT Office of the Director</t>
  </si>
  <si>
    <t>7020000 - Business Transformation</t>
  </si>
  <si>
    <t>7050000 - City Transformation</t>
  </si>
  <si>
    <t>Immunisation Services - Hep B &amp; DTPa</t>
  </si>
  <si>
    <t>Immunisation Services - Hep A, Hep B &amp; DTPa</t>
  </si>
  <si>
    <t>Immunisation Services - Influenza</t>
  </si>
  <si>
    <t>Qty</t>
  </si>
  <si>
    <t>1-30612-7B213</t>
  </si>
  <si>
    <t>PK</t>
  </si>
  <si>
    <t>PK000012-7B213</t>
  </si>
  <si>
    <t>Refund for Inv HEW/3997</t>
  </si>
  <si>
    <t>EXAMPLE ONLY - COSTS WERE PROCESSED THROUGH INTERNAL INVOICES</t>
  </si>
  <si>
    <t>Worker / Date</t>
  </si>
  <si>
    <t>Immunisation Service Name</t>
  </si>
  <si>
    <t>Amount</t>
  </si>
  <si>
    <t>Branch List</t>
  </si>
  <si>
    <t>Journal Description (Service Description)</t>
  </si>
  <si>
    <t>3070000 - Health, Environment &amp; Waste - Waste</t>
  </si>
  <si>
    <t>3070000 - Health, Environment &amp; Waste - NES</t>
  </si>
  <si>
    <t>3070000 - Health, Environment &amp; Waste - Admin</t>
  </si>
  <si>
    <t>Account Number</t>
  </si>
  <si>
    <t>1-14501-7B213</t>
  </si>
  <si>
    <t>1-E0035-7B213</t>
  </si>
  <si>
    <t>1-50002-7B213</t>
  </si>
  <si>
    <t>1-50001-7B213</t>
  </si>
  <si>
    <t>Immunisation Services - Q Fever Intial consultation</t>
  </si>
  <si>
    <t>Immunisation Services - Q Fever vaccination</t>
  </si>
  <si>
    <t>Karen Nixon</t>
  </si>
  <si>
    <t>Joseph Bond</t>
  </si>
  <si>
    <t>Brenden Gruer</t>
  </si>
  <si>
    <t>David Franz</t>
  </si>
  <si>
    <t>Russell Petersen</t>
  </si>
  <si>
    <t>Jonathan Hough</t>
  </si>
  <si>
    <t>Sally Clasen</t>
  </si>
  <si>
    <t>Ronald Clunn</t>
  </si>
  <si>
    <t>Keiko Power</t>
  </si>
  <si>
    <t>Judith Smith</t>
  </si>
  <si>
    <t>Peter Cronin</t>
  </si>
  <si>
    <t>Jacob Okesene</t>
  </si>
  <si>
    <t>Craig Barnett</t>
  </si>
  <si>
    <t>Andrew Godden</t>
  </si>
  <si>
    <t>Paul Mann</t>
  </si>
  <si>
    <t>Joshua Van Werkhoven</t>
  </si>
  <si>
    <t>Salafai Sala Sasa</t>
  </si>
  <si>
    <t>Leighton Funk</t>
  </si>
  <si>
    <t>Dale Grant "Scott Grant"</t>
  </si>
  <si>
    <t>Cael Wright</t>
  </si>
  <si>
    <t>Renee Hoyle</t>
  </si>
  <si>
    <t>Wendy Hoyle</t>
  </si>
  <si>
    <t>Daniel Harman</t>
  </si>
  <si>
    <t>Travis Green</t>
  </si>
  <si>
    <t>Marissa Dyba</t>
  </si>
  <si>
    <t>John Colison</t>
  </si>
  <si>
    <t>Alistair Brice</t>
  </si>
  <si>
    <t>Natus Barned</t>
  </si>
  <si>
    <t>Nigel Atkinson</t>
  </si>
  <si>
    <t>Dwight Allison</t>
  </si>
  <si>
    <t>Arianne Allen</t>
  </si>
  <si>
    <t>Claire Bastin</t>
  </si>
  <si>
    <t>Liam Smith</t>
  </si>
  <si>
    <t>Matthew Dwyer</t>
  </si>
  <si>
    <t>Gregory Cavell</t>
  </si>
  <si>
    <t>Justin Clay</t>
  </si>
  <si>
    <t>Greg Hurley</t>
  </si>
  <si>
    <t>Brian Kirkman</t>
  </si>
  <si>
    <t>Cathy Jounquay "Cathy Cummings"</t>
  </si>
  <si>
    <t>David Thompson</t>
  </si>
  <si>
    <t>Adam Craik</t>
  </si>
  <si>
    <t>QML Pathology on-site fee 1 collector</t>
  </si>
  <si>
    <t>QML Pathology on-site fee 2 collector</t>
  </si>
  <si>
    <t>Parks</t>
  </si>
  <si>
    <t>Joshua Coote</t>
  </si>
  <si>
    <t>Fernando Nouoa</t>
  </si>
  <si>
    <t>Hennayake Weerakoon</t>
  </si>
  <si>
    <t>Soubhi Fakas</t>
  </si>
  <si>
    <t>Ajith Methiwala</t>
  </si>
  <si>
    <t>Matthew Maniapoto</t>
  </si>
  <si>
    <t>1-13051-7B213</t>
  </si>
  <si>
    <t>1-16651-7B213</t>
  </si>
  <si>
    <t>1-16611-7B213</t>
  </si>
  <si>
    <t>1-16621-7B213</t>
  </si>
  <si>
    <t>Tilly Wearne</t>
  </si>
  <si>
    <t>Jeremy Hooper</t>
  </si>
  <si>
    <t>Nicole George</t>
  </si>
  <si>
    <t>Colin Fletcher</t>
  </si>
  <si>
    <t>Robert Forster</t>
  </si>
  <si>
    <t>Adam Craiker</t>
  </si>
  <si>
    <t>Cathy Jounquay</t>
  </si>
  <si>
    <t>1-16631-7B213</t>
  </si>
  <si>
    <t>1-17141-7B213</t>
  </si>
  <si>
    <t>Parks Journal Template</t>
  </si>
  <si>
    <t>PK number</t>
  </si>
  <si>
    <t>Resource Group</t>
  </si>
  <si>
    <t>Resource Code</t>
  </si>
  <si>
    <t>Journal</t>
  </si>
  <si>
    <t>7B213</t>
  </si>
  <si>
    <t>PK000431-7B213</t>
  </si>
  <si>
    <t>PK000434-7B213</t>
  </si>
  <si>
    <t>PK000432-7B213</t>
  </si>
  <si>
    <t>PK000003-7B213</t>
  </si>
  <si>
    <t>PK000001-7B213</t>
  </si>
  <si>
    <t>Rasamee Bishop, Soubhi Fakas</t>
  </si>
  <si>
    <t>Hennayake Weerakoon, Joshie Moktar</t>
  </si>
  <si>
    <t>Greg Bird</t>
  </si>
  <si>
    <t>Rachelle Kapor</t>
  </si>
  <si>
    <t>Toni Maree</t>
  </si>
  <si>
    <t>Hannah Kirk</t>
  </si>
  <si>
    <t>Shane Badke</t>
  </si>
  <si>
    <t xml:space="preserve">1-16611-7B213 </t>
  </si>
  <si>
    <t>1-18501-7B213</t>
  </si>
  <si>
    <t xml:space="preserve">Colin Fletcher </t>
  </si>
  <si>
    <t>Rachael Needham</t>
  </si>
  <si>
    <t xml:space="preserve">Anthony Rodgers </t>
  </si>
  <si>
    <t>Phillip Eldridge</t>
  </si>
  <si>
    <t>Louise Thomas</t>
  </si>
  <si>
    <t>Dale Grant</t>
  </si>
  <si>
    <t>Alister Brice</t>
  </si>
  <si>
    <t>John Collison</t>
  </si>
  <si>
    <t>Claire Baston</t>
  </si>
  <si>
    <t xml:space="preserve">Cael Wright </t>
  </si>
  <si>
    <t>Jacob Butane Okesene</t>
  </si>
  <si>
    <t>Brain Kirkman</t>
  </si>
  <si>
    <t xml:space="preserve">Craig Barnett </t>
  </si>
  <si>
    <t xml:space="preserve">Jonathan Hough </t>
  </si>
  <si>
    <t xml:space="preserve">Rasamee Bishop </t>
  </si>
  <si>
    <t xml:space="preserve">Soubhi Fakas </t>
  </si>
  <si>
    <t>Danny Hilton</t>
  </si>
  <si>
    <t xml:space="preserve">Karen Nixon </t>
  </si>
  <si>
    <t>Wilfred Cowley</t>
  </si>
  <si>
    <t>Grant Luxton</t>
  </si>
  <si>
    <t>Corey Calder</t>
  </si>
  <si>
    <t xml:space="preserve">Joshie Moktar </t>
  </si>
  <si>
    <t>PK000431</t>
  </si>
  <si>
    <t>PK000434</t>
  </si>
  <si>
    <t>PK000432</t>
  </si>
  <si>
    <t>PK000003</t>
  </si>
  <si>
    <t>PK000012</t>
  </si>
  <si>
    <t>Brenden Scott Gruer</t>
  </si>
  <si>
    <t>PK000013</t>
  </si>
  <si>
    <t>Timothy Johnstone</t>
  </si>
  <si>
    <t>1-17701-7B213</t>
  </si>
  <si>
    <t>100046-200-7B213</t>
  </si>
  <si>
    <t>Colemal</t>
  </si>
  <si>
    <t>IJ021189</t>
  </si>
  <si>
    <t>PK000001</t>
  </si>
  <si>
    <t>PK000044</t>
  </si>
  <si>
    <t>100009-200-7B213</t>
  </si>
  <si>
    <t>IJ021448</t>
  </si>
  <si>
    <t>colemal</t>
  </si>
  <si>
    <t>Immunisation Services - Hep A &amp; dTpa</t>
  </si>
  <si>
    <t>Influenza - Flucelvax</t>
  </si>
  <si>
    <t>John Mabb</t>
  </si>
  <si>
    <t>Tina-Marie Loring</t>
  </si>
  <si>
    <t>IJ021600</t>
  </si>
  <si>
    <t>1-17151-7B213</t>
  </si>
  <si>
    <t>Dale Grant (Scott)</t>
  </si>
  <si>
    <t>Dale Kirby</t>
  </si>
  <si>
    <t>Neil Kesur</t>
  </si>
  <si>
    <t>Kayne Segon</t>
  </si>
  <si>
    <t>Kim Fitzpatrick</t>
  </si>
  <si>
    <t>Edward Dickson</t>
  </si>
  <si>
    <t>Hong Wei Xu</t>
  </si>
  <si>
    <t>Brian Van Praag</t>
  </si>
  <si>
    <t>Andrew Melling</t>
  </si>
  <si>
    <t>Billy Briggs</t>
  </si>
  <si>
    <t>Oscar Ndayemera</t>
  </si>
  <si>
    <t>Anwin John</t>
  </si>
  <si>
    <t>Gregor Cop</t>
  </si>
  <si>
    <t>Mark Dutton</t>
  </si>
  <si>
    <t>Aaron Pegg</t>
  </si>
  <si>
    <t>Emily Shafto</t>
  </si>
  <si>
    <t>Craig McMillan</t>
  </si>
  <si>
    <t>1-14851-7B213</t>
  </si>
  <si>
    <t>IJ021852</t>
  </si>
  <si>
    <t>IJ022113</t>
  </si>
  <si>
    <t>1-17311-7B213</t>
  </si>
  <si>
    <t>Cameron Herbert</t>
  </si>
  <si>
    <t>Ajith Deepal Methiuala</t>
  </si>
  <si>
    <t>Daniel Augustine</t>
  </si>
  <si>
    <t>100012-200-7B213</t>
  </si>
  <si>
    <t>Eric Lewis - 30/08/2021</t>
  </si>
  <si>
    <t>Corey Calder - 27/08/2021</t>
  </si>
  <si>
    <t>Daniel Augustine - 24/08/2021</t>
  </si>
  <si>
    <t>Gregor Cop - 21/07/2021</t>
  </si>
  <si>
    <t>Shane Badke - 10/08/2021</t>
  </si>
  <si>
    <t>Dove Kilpatrick</t>
  </si>
  <si>
    <t>Eric Curran</t>
  </si>
  <si>
    <t>Hunter Gowdy</t>
  </si>
  <si>
    <t>Daley Miller</t>
  </si>
  <si>
    <t>Sadagat Abbas</t>
  </si>
  <si>
    <t>Najma Mohamud - 21/06/2021</t>
  </si>
  <si>
    <t>Dale Edwards - 17/08/2021</t>
  </si>
  <si>
    <t>Dale Edwards - 25/08/2021</t>
  </si>
  <si>
    <t>Daniel Augustine - 08/09/2021</t>
  </si>
  <si>
    <t xml:space="preserve">Daniel Augustine - 08/09/2021 </t>
  </si>
  <si>
    <t xml:space="preserve">Adam Potts - 08/09/2021 </t>
  </si>
  <si>
    <t xml:space="preserve">Danny Hilton - 09/09/2021 </t>
  </si>
  <si>
    <t>Leighton Funk - 09/09/2021</t>
  </si>
  <si>
    <t>Alan Martin - 27/09/2021</t>
  </si>
  <si>
    <t>Russell Petersen - 27/09/2021</t>
  </si>
  <si>
    <t>Leighton Funk - 27/09/2021</t>
  </si>
  <si>
    <t>Dale Grant - 27/09/2021</t>
  </si>
  <si>
    <t>Cael Wright - 27/09/2021</t>
  </si>
  <si>
    <t>Emily Hines - 27/09/2021</t>
  </si>
  <si>
    <t>Brian Kirkman - 27/09/2021</t>
  </si>
  <si>
    <t>Michael McGrade - 27/09/2021</t>
  </si>
  <si>
    <t>Shawn Power - 27/09/2021</t>
  </si>
  <si>
    <t>Daniel Augustine - 27/09/2021</t>
  </si>
  <si>
    <t xml:space="preserve">Anwin John - 27/09/2021 </t>
  </si>
  <si>
    <t>Brenden Gruer - 27/09/2021</t>
  </si>
  <si>
    <t xml:space="preserve">Daniel Augustine - 03/09/2021 </t>
  </si>
  <si>
    <t>Najma Mohamud - 13/09/2021</t>
  </si>
  <si>
    <t>Brett Lee - 15/09/2021</t>
  </si>
  <si>
    <t>Billy Briggs - 15/09/2021</t>
  </si>
  <si>
    <t>Ajith Deepal Methiuala - 16/09/2021</t>
  </si>
  <si>
    <t>Daley Miller - 16/09/2021</t>
  </si>
  <si>
    <t>Dale Grant - 23/09/2021</t>
  </si>
  <si>
    <t>Sadaqat Abbas - 23/09/2021</t>
  </si>
  <si>
    <t>Gregory Bird - 23/09/2021</t>
  </si>
  <si>
    <t>Daley Miller - 20/09/2021</t>
  </si>
  <si>
    <t>Daley Miller - 28/09/2021</t>
  </si>
  <si>
    <t>Gregor Cop - 13/09/2021</t>
  </si>
  <si>
    <t>PK000003 - 7B213</t>
  </si>
  <si>
    <t>Aleja Cabiles</t>
  </si>
  <si>
    <t>David Parker</t>
  </si>
  <si>
    <t>Rasamee Bishop ( Mimi)</t>
  </si>
  <si>
    <t>Joel Petersen</t>
  </si>
  <si>
    <t>Dale Edwards</t>
  </si>
  <si>
    <t>Christopher Kelly</t>
  </si>
  <si>
    <t>Neville Quak</t>
  </si>
  <si>
    <t>Scott Love</t>
  </si>
  <si>
    <t>Adam Hiratos</t>
  </si>
  <si>
    <t>Nicholas Heeney</t>
  </si>
  <si>
    <t>Gus Trabolssi</t>
  </si>
  <si>
    <t>Thomas McQuinlan</t>
  </si>
  <si>
    <t>Kylie Latham</t>
  </si>
  <si>
    <t>Gregory Mclean</t>
  </si>
  <si>
    <t>Wiremu Berkland</t>
  </si>
  <si>
    <t>Kristine Davis</t>
  </si>
  <si>
    <t>1-17781-7B213</t>
  </si>
  <si>
    <t>PK000044-7B213</t>
  </si>
  <si>
    <t>1-17871-73125</t>
  </si>
  <si>
    <t>Steven Allan</t>
  </si>
  <si>
    <t>Sean Dench</t>
  </si>
  <si>
    <t>Jamie Griffioen</t>
  </si>
  <si>
    <t>Fernando Novoa</t>
  </si>
  <si>
    <t>Bradley Yeates</t>
  </si>
  <si>
    <t>Rodney Neyland</t>
  </si>
  <si>
    <t>Melina Turpin</t>
  </si>
  <si>
    <t>Peter Rainbird</t>
  </si>
  <si>
    <t>Songping Liu</t>
  </si>
  <si>
    <t>Alan Martin</t>
  </si>
  <si>
    <t>Thomas McGreal</t>
  </si>
  <si>
    <t>Chris Loweke</t>
  </si>
  <si>
    <t>Cameron Herbet</t>
  </si>
  <si>
    <t>1-17731-73125</t>
  </si>
  <si>
    <t>PK000435-7B213</t>
  </si>
  <si>
    <t>PK00003-7B213</t>
  </si>
  <si>
    <t>PK000084-7B213</t>
  </si>
  <si>
    <t>IJ022662</t>
  </si>
  <si>
    <t>PK000435</t>
  </si>
  <si>
    <t>PK00003</t>
  </si>
  <si>
    <t>PK000084</t>
  </si>
  <si>
    <t>IJ022663</t>
  </si>
  <si>
    <t>Thomas Halloran</t>
  </si>
  <si>
    <t>Elliot Griffiths</t>
  </si>
  <si>
    <t>Xiao Wong</t>
  </si>
  <si>
    <t>Bradley Higlett</t>
  </si>
  <si>
    <t>Kenneth Cox</t>
  </si>
  <si>
    <t>Tony Allen</t>
  </si>
  <si>
    <t>Song Ping Liu</t>
  </si>
  <si>
    <t>Joel Busuttil</t>
  </si>
  <si>
    <t>Phil Eldridge</t>
  </si>
  <si>
    <t>Edgar Domar</t>
  </si>
  <si>
    <t>Ajit Dias</t>
  </si>
  <si>
    <t>Oscar McGrath</t>
  </si>
  <si>
    <t>Lemuel John Mataira</t>
  </si>
  <si>
    <t>Phillip Hemsworth</t>
  </si>
  <si>
    <t>Ariane Allen</t>
  </si>
  <si>
    <t>Scott Pattison</t>
  </si>
  <si>
    <t>Jodie Corlett</t>
  </si>
  <si>
    <t>Forbes Madau</t>
  </si>
  <si>
    <t>Bradley Newton</t>
  </si>
  <si>
    <t>Paul Turnbull</t>
  </si>
  <si>
    <t>Jason Hughes</t>
  </si>
  <si>
    <t>1-12651-7B213</t>
  </si>
  <si>
    <t>Jamie Bataan</t>
  </si>
  <si>
    <t>Mathew Buckland</t>
  </si>
  <si>
    <t>PK000083-7B213</t>
  </si>
  <si>
    <t>Reid Willoughby</t>
  </si>
  <si>
    <t>Adam Knowles</t>
  </si>
  <si>
    <t>Michael Froome</t>
  </si>
  <si>
    <t>Raymond Love</t>
  </si>
  <si>
    <t>Kieren Percival</t>
  </si>
  <si>
    <t>Jai Storey</t>
  </si>
  <si>
    <t>Innocent Matiyenga</t>
  </si>
  <si>
    <t>Jonathon Wilkinson</t>
  </si>
  <si>
    <t>Steve Young</t>
  </si>
  <si>
    <t>Elliott Griffiths</t>
  </si>
  <si>
    <t>Gregory Bird</t>
  </si>
  <si>
    <t>Rodrigo Blanco</t>
  </si>
  <si>
    <t>Marcus Zuerrer</t>
  </si>
  <si>
    <t>Jaime Bataan</t>
  </si>
  <si>
    <t>Rasamee Bishop</t>
  </si>
  <si>
    <t>Eric Lewis-Knowles</t>
  </si>
  <si>
    <t>Reid Willoughby 25.01.2022</t>
  </si>
  <si>
    <t>Damien Walker 20.01.2021</t>
  </si>
  <si>
    <t>Gregory Hurley 20.01.2022</t>
  </si>
  <si>
    <t>Thomas McQuinlan 20.01.2022</t>
  </si>
  <si>
    <t>Brian Kirkman 20.01.2022</t>
  </si>
  <si>
    <t>Scott Love 20.01.2022</t>
  </si>
  <si>
    <t>Karl Martin 28.01.2022</t>
  </si>
  <si>
    <t>Peter Salisnew 31.01.2022</t>
  </si>
  <si>
    <t>Callum Chandler 31.01.2022</t>
  </si>
  <si>
    <t>Paul Radke 27.01.2022</t>
  </si>
  <si>
    <t>Bradley Yeates 19.01.2022</t>
  </si>
  <si>
    <t>Wilfred Cowley 21.02.2022</t>
  </si>
  <si>
    <t>Reid Willoughby 21.01.2022</t>
  </si>
  <si>
    <t>Alan Martin 19.01.2022</t>
  </si>
  <si>
    <t>Sally Clasen 27.01.2022</t>
  </si>
  <si>
    <t>Karl Martin 04.02.2022</t>
  </si>
  <si>
    <t>Mervyn Salisnew 07.02.2022</t>
  </si>
  <si>
    <t>Tony Hopkins 01.02.2022</t>
  </si>
  <si>
    <t>Tony Hopkins 08.02.2022</t>
  </si>
  <si>
    <t>Phil Hemsworth 09.02.2022</t>
  </si>
  <si>
    <t>Rod Noyland 09.02.2022</t>
  </si>
  <si>
    <t>Toni Potter 10.02.2022</t>
  </si>
  <si>
    <t>Robert Maslak 10.02.2022</t>
  </si>
  <si>
    <t>Robert Maslak 04.02.2022</t>
  </si>
  <si>
    <t>Te Kapo Zion Te Mataku 17.02.2022</t>
  </si>
  <si>
    <t>Te Kapo Zion Te Mataku 09.02.2022</t>
  </si>
  <si>
    <t>Billy Briggs 17.02.2022</t>
  </si>
  <si>
    <t>Matthew Dwyer 17.02.2022</t>
  </si>
  <si>
    <t>Reid Willoughby 22.02.2022</t>
  </si>
  <si>
    <t>Kristy Eades 08.02.2022</t>
  </si>
  <si>
    <t>Robert Maslak 19.02.2022</t>
  </si>
  <si>
    <t>Luke Milivojevic 22.02.2022</t>
  </si>
  <si>
    <t>Luke Milivojevic 15.02.2022</t>
  </si>
  <si>
    <t>Larrah Hughes 25.02.2022</t>
  </si>
  <si>
    <t>Larrah Hughes 16.02.2022</t>
  </si>
  <si>
    <t>Robert Maslak 09.02.2022</t>
  </si>
  <si>
    <t>Gyanandra Kumar 06.01.2022</t>
  </si>
  <si>
    <t>Scott Rigby 11.01.2022</t>
  </si>
  <si>
    <t>Reid Willoughby 12.01.2022</t>
  </si>
  <si>
    <t>Philip Eldridge 14.01.2022</t>
  </si>
  <si>
    <t>Benjamin Mosely 19.01.2022</t>
  </si>
  <si>
    <t>Peter Salisnew 27.01.2022</t>
  </si>
  <si>
    <t>Jennie Bacon 11.02.2022</t>
  </si>
  <si>
    <t>Natus Barned 14.02.2022</t>
  </si>
  <si>
    <t>Joel Petersen 22.02.2022</t>
  </si>
  <si>
    <t>Allan Lubach 08.02.2022</t>
  </si>
  <si>
    <t>Te Kapo o Te Z Te Mataku 09.02.2022</t>
  </si>
  <si>
    <t>Damien Walker 22.02.2022</t>
  </si>
  <si>
    <t>Wilfred Cowley 23.02.2022</t>
  </si>
  <si>
    <t>Jacqueline Ramsay 10.03.2022</t>
  </si>
  <si>
    <t>Allison Fegan 17.03.2022</t>
  </si>
  <si>
    <t>Katie Everett 17.03.2022</t>
  </si>
  <si>
    <t>Steve Young 10.03.2022</t>
  </si>
  <si>
    <t>Luke Milivojevic 11.03.2022</t>
  </si>
  <si>
    <t>Robert Maslak 11.03.2022</t>
  </si>
  <si>
    <t>Peter Salisnew 11.03.2022</t>
  </si>
  <si>
    <t>Leighton Funk 10.03.2022</t>
  </si>
  <si>
    <t>Thomas McQuinlan 14.03.2022</t>
  </si>
  <si>
    <t>Mario Bandic 08.03.2022</t>
  </si>
  <si>
    <t>Brett Rogers 08.03.2022</t>
  </si>
  <si>
    <t>Kaz Doyle 07.03.2022</t>
  </si>
  <si>
    <t>Mario Bandic 21.03.2022</t>
  </si>
  <si>
    <t>Brett Rogers 15.03.2022</t>
  </si>
  <si>
    <t>PK000 001</t>
  </si>
  <si>
    <t>PK000083</t>
  </si>
  <si>
    <t>100044-200-7B213</t>
  </si>
  <si>
    <t>1-18211-7B213</t>
  </si>
  <si>
    <t>IJ023501</t>
  </si>
  <si>
    <t>IJ023522</t>
  </si>
  <si>
    <t>IJ023523</t>
  </si>
  <si>
    <t>Steve Young 14/03/2022</t>
  </si>
  <si>
    <t>Trent Walker 16/03/2022</t>
  </si>
  <si>
    <t>Damien Walker 21/03/2022</t>
  </si>
  <si>
    <t>Damien Walker 28/03/2022</t>
  </si>
  <si>
    <t>Jennie Bacon 24/03/2022</t>
  </si>
  <si>
    <t>Stephen Hampson 05/04/2022</t>
  </si>
  <si>
    <t>Stephen Hampson 25/03/2022</t>
  </si>
  <si>
    <t>Billy Briggs 25/03/2022</t>
  </si>
  <si>
    <t>Samantha MacLean 25/03/2022</t>
  </si>
  <si>
    <t>Kyle Fidler 25/03/2022</t>
  </si>
  <si>
    <t>Jacqueline Ramsay 31/03/2022</t>
  </si>
  <si>
    <t>Matthew Bennett 31/03/2022</t>
  </si>
  <si>
    <t>Kaz Doyle 31/03/2022</t>
  </si>
  <si>
    <t>Kaz Doyle 31/03/2022 (QF Bloods)</t>
  </si>
  <si>
    <t>Mario Bandic 31/03/2022</t>
  </si>
  <si>
    <t>Brett Rogers 31/03/2022</t>
  </si>
  <si>
    <t>John Christie 31/03/2022</t>
  </si>
  <si>
    <t>Sally Clasen 31/03/2022</t>
  </si>
  <si>
    <t>Daniel Short 31/03/2022</t>
  </si>
  <si>
    <t>Billy Briggs 31/03/2022</t>
  </si>
  <si>
    <t>Mary Ashby 31/03/2022</t>
  </si>
  <si>
    <t>Thomas McQuinlan 31/03/2022</t>
  </si>
  <si>
    <t>Steve Young 31/03/2022</t>
  </si>
  <si>
    <t>Trent Walker 31/03/2022</t>
  </si>
  <si>
    <t>Damien Walker 31/03/2022</t>
  </si>
  <si>
    <t>Aleja Cabiles 31/03/2022</t>
  </si>
  <si>
    <t>Stephen Hampson 31/03/2022</t>
  </si>
  <si>
    <t>Timothy Heise 31/03/2022</t>
  </si>
  <si>
    <t>Dale Grant 31/3/2022</t>
  </si>
  <si>
    <t>Garry Brown 04/04/2022</t>
  </si>
  <si>
    <t>Garry Brown 28/03/2022</t>
  </si>
  <si>
    <t>Jacqueline Ramsay 05/04/2022</t>
  </si>
  <si>
    <t>Jacqueline Ramsay 14/03/2022</t>
  </si>
  <si>
    <t>Brian Kirkman 05/04/2022</t>
  </si>
  <si>
    <t>Billy Briggs 05/04/2022</t>
  </si>
  <si>
    <t>John Christie 05/04/2022</t>
  </si>
  <si>
    <t>John Christie 08/03/2022</t>
  </si>
  <si>
    <t>David Gaudron 06/04/2022</t>
  </si>
  <si>
    <t>Taylor Sargeant 28/04/2022</t>
  </si>
  <si>
    <t>IJ023769</t>
  </si>
  <si>
    <t>Timothy Heise 30/03/2022</t>
  </si>
  <si>
    <t>Dana Wright 05/04/2022</t>
  </si>
  <si>
    <t>Dana Wright 12/04/2022</t>
  </si>
  <si>
    <t>Adam Goodsir 21/04/2022</t>
  </si>
  <si>
    <t>Alana Young 11/04/2022</t>
  </si>
  <si>
    <t>Peter Salisnew 13/04/2022</t>
  </si>
  <si>
    <t>Samantha Maclean 13/04/2022</t>
  </si>
  <si>
    <t>John Christie 13/04/2022</t>
  </si>
  <si>
    <t>Matthew Thompson 14/04/2022</t>
  </si>
  <si>
    <t>Dwight Allison 11/04/2022</t>
  </si>
  <si>
    <t>Todd Preussner 11/04/2022</t>
  </si>
  <si>
    <t>Luke Milivojevic 08/04/2022</t>
  </si>
  <si>
    <t>Matthew Thompson 19/05/2022</t>
  </si>
  <si>
    <t>Kahn Helms 18/05/2022</t>
  </si>
  <si>
    <t>Steven Allan 13/05/2022</t>
  </si>
  <si>
    <t>Todd Preussner 09/05/2022</t>
  </si>
  <si>
    <t>Lisa Hodgson 09/05/2022</t>
  </si>
  <si>
    <t>Matthew Dwyer 12/05/2022</t>
  </si>
  <si>
    <t>Renee Hoyle 09/05/2022</t>
  </si>
  <si>
    <t>Dwight Allison 09/05/2022</t>
  </si>
  <si>
    <t>Peter Rainbird 05/05/2022</t>
  </si>
  <si>
    <t>Scott Love 05/05/2022</t>
  </si>
  <si>
    <t>Sienna Harris 04/05/2022</t>
  </si>
  <si>
    <t>Natus Barned 29/04/2022</t>
  </si>
  <si>
    <t>Ashlee Mangan 24/04/2022</t>
  </si>
  <si>
    <t>Judith Smith 27/04/2022</t>
  </si>
  <si>
    <t>Todd Preussner 16/05/2022</t>
  </si>
  <si>
    <t>Daniel Short 11/03/2022</t>
  </si>
  <si>
    <t>Daniel Short 18/03/2022</t>
  </si>
  <si>
    <t>Shaye Wedster 12/04/2022</t>
  </si>
  <si>
    <t>Shaye Wedster 19/04/2022</t>
  </si>
  <si>
    <t>Erica Greenwood 13/04/2022</t>
  </si>
  <si>
    <t>Erica Greenwood 16/05/2022</t>
  </si>
  <si>
    <t>Cassandra Allen 19/04/2022</t>
  </si>
  <si>
    <t>Cassandra Allen 12/04/2022</t>
  </si>
  <si>
    <t>Daniel Short 29/03/2022</t>
  </si>
  <si>
    <t>Renee Hoyle 13/04/2022</t>
  </si>
  <si>
    <t>Lisa Hodgson 13/04/2022</t>
  </si>
  <si>
    <t>Dwight Allison 13/04/2022</t>
  </si>
  <si>
    <t>Adam Goodsir 01/04/2022</t>
  </si>
  <si>
    <t>Samantha Maclean 07/04/2022</t>
  </si>
  <si>
    <t>Rene Harreman 08/04/2022</t>
  </si>
  <si>
    <t>Ashlee Mangan 13/04/2022</t>
  </si>
  <si>
    <t>Todd Preussner 13/04/2022</t>
  </si>
  <si>
    <t>Alistair Brice 20/04/2022</t>
  </si>
  <si>
    <t>Clayton Te Maipi 22/04/2022</t>
  </si>
  <si>
    <t>Shaye Webster 12/04/2022</t>
  </si>
  <si>
    <t>Matthew Thompson 31/03/2022</t>
  </si>
  <si>
    <t>John Mabb 11/04/2022</t>
  </si>
  <si>
    <t>Wiremu Berkland 29/04/2022</t>
  </si>
  <si>
    <t>Greg Cavell 10/06/2022</t>
  </si>
  <si>
    <t>Nigel Atkinson 27/05/2022</t>
  </si>
  <si>
    <t>Thomas McQuinlan 9/06/2022</t>
  </si>
  <si>
    <t>Alan Martin 1/06/2022</t>
  </si>
  <si>
    <t>Joel South 18/05/2022</t>
  </si>
  <si>
    <t>Joel South 25/05/2022</t>
  </si>
  <si>
    <t>Ashlee Mangan 16/05/2022</t>
  </si>
  <si>
    <t>Ashlee Mangan 23/05/2022</t>
  </si>
  <si>
    <t>Angela Roberts 6/05/2022</t>
  </si>
  <si>
    <t>Angela Roberts 10/06/2022</t>
  </si>
  <si>
    <t>Grant Luxton 19/05/2022</t>
  </si>
  <si>
    <t>Grant Luxton 27/05/2022</t>
  </si>
  <si>
    <t>Casey Begg 13/05/2022</t>
  </si>
  <si>
    <t>Casey Begg 20/05/2022</t>
  </si>
  <si>
    <t>Lisa Hodgson 2/06/2022</t>
  </si>
  <si>
    <t>Lisa Hodgson 4/05/2022</t>
  </si>
  <si>
    <t>Albert Abayo 13/06/2022</t>
  </si>
  <si>
    <t>Xue Yan 15/06/2022</t>
  </si>
  <si>
    <t>Environmental Health Renewals - Internal Invoices</t>
  </si>
  <si>
    <t>1-17131-6B113</t>
  </si>
  <si>
    <t>1-17121-6B113</t>
  </si>
  <si>
    <t>Environmental Health</t>
  </si>
  <si>
    <t xml:space="preserve">Food Licence Renewal </t>
  </si>
  <si>
    <t xml:space="preserve">PH/FSDM/1832 </t>
  </si>
  <si>
    <t xml:space="preserve">PH/FSDM/3985 </t>
  </si>
  <si>
    <t>PH/FSDM/5318</t>
  </si>
  <si>
    <t>PH/FSDM/6860</t>
  </si>
  <si>
    <t>PH/FSDM/8489</t>
  </si>
  <si>
    <t>PH/FSDM/7613</t>
  </si>
  <si>
    <t xml:space="preserve">CSP Licence Renewal </t>
  </si>
  <si>
    <t>PH/CSP/2007</t>
  </si>
  <si>
    <t>PH/CSP/2006</t>
  </si>
  <si>
    <t>PH/CSP/2002</t>
  </si>
  <si>
    <t>PH/CSP/1897</t>
  </si>
  <si>
    <t>WS00000141</t>
  </si>
  <si>
    <t>Tony Allen 17/06/2022</t>
  </si>
  <si>
    <t>Phillip Hemsworth 22/06/2022</t>
  </si>
  <si>
    <t>Kahn Helms 22/06/2022</t>
  </si>
  <si>
    <t>Travis Green 11/05/2022</t>
  </si>
  <si>
    <t>Ken Cox 17/06/2022</t>
  </si>
  <si>
    <t>Samantha Dillon 06/06/2022</t>
  </si>
  <si>
    <t>Samantha Dillon 13/06/2022</t>
  </si>
  <si>
    <t>WS</t>
  </si>
  <si>
    <t>Allan Lubach 08/02/2022</t>
  </si>
  <si>
    <t xml:space="preserve">1-17871-73433 </t>
  </si>
  <si>
    <t>1-17861-73433</t>
  </si>
  <si>
    <t>1-17881-73433</t>
  </si>
  <si>
    <t>1-17731-73433</t>
  </si>
  <si>
    <t>1-17971-73433</t>
  </si>
  <si>
    <t>1-17811-73433</t>
  </si>
  <si>
    <t>1-18401-73433</t>
  </si>
  <si>
    <t>1-19991-73433</t>
  </si>
  <si>
    <t>Stephen Thomson 23/06/2022</t>
  </si>
  <si>
    <t>Carmel Gagai 24/06/2022</t>
  </si>
  <si>
    <t>Michael Kavanaugh 22/06/2022</t>
  </si>
  <si>
    <t>Xue Yan 27/06/2022</t>
  </si>
  <si>
    <t>Michael Kavanaugh 29/06/2022</t>
  </si>
  <si>
    <t>PH/TE/2841 ( Temporary event licence )</t>
  </si>
  <si>
    <t>Temporary event licence fee</t>
  </si>
  <si>
    <t>1-E0118-6B113</t>
  </si>
  <si>
    <t>PJ007362</t>
  </si>
  <si>
    <t>PJ007365</t>
  </si>
  <si>
    <t>IJ024475</t>
  </si>
  <si>
    <t>Songping Liu 30/06/2022</t>
  </si>
  <si>
    <t>Tyron Ware 30/06/2022</t>
  </si>
  <si>
    <t>Rod Neyland 30/06/2022</t>
  </si>
  <si>
    <t>Sulaiman Mujahid 9/07/2022</t>
  </si>
  <si>
    <t>Bruce Willmann 13/07/2022</t>
  </si>
  <si>
    <t>Ashlee Mangan 13/07/2022</t>
  </si>
  <si>
    <t>Brett Rogers 20/07/2022</t>
  </si>
  <si>
    <t>Adam Knowles 20/07/2022</t>
  </si>
  <si>
    <t>Greg Cavell 21/07/2022</t>
  </si>
  <si>
    <t>Jodie Corlett 27/07/2022</t>
  </si>
  <si>
    <t>Bradley Yeates 27/07/22</t>
  </si>
  <si>
    <t>Rene Harreman 28/07/22</t>
  </si>
  <si>
    <t>Gabiul Banu 7/07/22</t>
  </si>
  <si>
    <t>Clayton Te Maipi 26/7/22</t>
  </si>
  <si>
    <t>Clayton Te Maipi 2/8/22</t>
  </si>
  <si>
    <t>Brenna Henwood 28/7/22</t>
  </si>
  <si>
    <t xml:space="preserve"> Brenna Henwood 4/8/22</t>
  </si>
  <si>
    <t>William Riley 12/8/22</t>
  </si>
  <si>
    <t>Erena Hape 12/08/22</t>
  </si>
  <si>
    <t>Danny Hilton 19/08/2022</t>
  </si>
  <si>
    <t>Elliot Griffiths 19/08/2022</t>
  </si>
  <si>
    <t>David Mathewson-Taylor 19/08/2022</t>
  </si>
  <si>
    <t>Breanna Henwood 18/08/2022</t>
  </si>
  <si>
    <t>Andy Coster 18/08/2022</t>
  </si>
  <si>
    <t>Paul Radke 04/08/2022</t>
  </si>
  <si>
    <t>1-14501-7B214</t>
  </si>
  <si>
    <t>IJ024813</t>
  </si>
  <si>
    <t>IJ024814</t>
  </si>
  <si>
    <t>IJ024815</t>
  </si>
  <si>
    <t>Paul Radke 02/09/2022</t>
  </si>
  <si>
    <t>Corey Calder 02/09/2022</t>
  </si>
  <si>
    <t>Edgar Pomar 31/08/2022</t>
  </si>
  <si>
    <t>Luke Milivojevic 31/08/2022</t>
  </si>
  <si>
    <t>Andrew Mayfield 31/08/2022</t>
  </si>
  <si>
    <t>Jeremy Winter 31/08/2022</t>
  </si>
  <si>
    <t>Geoffrey Klease 03/08/2022</t>
  </si>
  <si>
    <t>Clayton Te Maipi 02/08/2022</t>
  </si>
  <si>
    <t>Breanna Henwood 04/08/2022</t>
  </si>
  <si>
    <t>Carmel Gagai 26/08/2022</t>
  </si>
  <si>
    <t>Mathew Bond 25/08/2022</t>
  </si>
  <si>
    <t>Steven Moore 12/09/2022</t>
  </si>
  <si>
    <t>Nicholas Mackeller 26/06/2022</t>
  </si>
  <si>
    <t>Nathan Haywood 26/06/2022</t>
  </si>
  <si>
    <t>Sulaiman Mujahid 02/09/2022</t>
  </si>
  <si>
    <t>Sulaiman Mujahid 26/08/2022</t>
  </si>
  <si>
    <t>Geoffrey Klease27/07/2022</t>
  </si>
  <si>
    <t>Adrian Macgregor 22/07/2022</t>
  </si>
  <si>
    <t>Breanna Henwood 28/07/2022</t>
  </si>
  <si>
    <t>Rhys Hayes 17/08/2022</t>
  </si>
  <si>
    <t>Rhys Hayes 24/08/2022</t>
  </si>
  <si>
    <t>Carmel Gagai 19/08/2022</t>
  </si>
  <si>
    <t>Henry Bond 18/08/2022</t>
  </si>
  <si>
    <t>Steven Moore 05/09/2022</t>
  </si>
  <si>
    <t>Dean Ahquay 26/06/2022</t>
  </si>
  <si>
    <t>Peter Salisnew 16/09/2022</t>
  </si>
  <si>
    <t>Breanna Henwood 15/09/2022</t>
  </si>
  <si>
    <t>Britt Rogers 15/09/2022</t>
  </si>
  <si>
    <t>Andrew Bobermien 23/09/2022</t>
  </si>
  <si>
    <t>Jai Storey 23/09/2022</t>
  </si>
  <si>
    <t>Clayton Te Maipi 26/07/2022</t>
  </si>
  <si>
    <t>Geoffrey Colin Klease 27/07/2022</t>
  </si>
  <si>
    <t>Rhys Hayes 25/08/2022</t>
  </si>
  <si>
    <t>Mathew Bond 18/08/2022</t>
  </si>
  <si>
    <t>5/10/2022 - Keith Hope</t>
  </si>
  <si>
    <t>29/09/2022 - Tim Heise</t>
  </si>
  <si>
    <t xml:space="preserve">29/09/2022 - Scott Love </t>
  </si>
  <si>
    <t>29/09/2022 - Joshua Hall</t>
  </si>
  <si>
    <t>29/09/2022 - Reid Willoughby</t>
  </si>
  <si>
    <t>08/09/2022 - Noel Robinson</t>
  </si>
  <si>
    <t>7/09/2022 - Andrew Bobermien</t>
  </si>
  <si>
    <t>14/09/2022 - Andrew Bobermien</t>
  </si>
  <si>
    <t>26/10/2022 - Philip Hemsworth</t>
  </si>
  <si>
    <t>26/10/2022 - Nathan Foster</t>
  </si>
  <si>
    <t>12/10/2022 - Indus Briggs</t>
  </si>
  <si>
    <t>12/10/2022 - Katelyn Moss</t>
  </si>
  <si>
    <t>12/10/2022 - Jade Harris</t>
  </si>
  <si>
    <t>12/10/2022 - Michael Horton</t>
  </si>
  <si>
    <t>12/10/2022 - Alana Young</t>
  </si>
  <si>
    <t>20/10/2022 - Tim Heise</t>
  </si>
  <si>
    <t>20/10/2022 - Jennie Bacon</t>
  </si>
  <si>
    <t>19/10/2022 - John Tully</t>
  </si>
  <si>
    <t>05/10/2022 - Michael Horton</t>
  </si>
  <si>
    <t>05/10/2022 - Jade Harris</t>
  </si>
  <si>
    <t>13/10/2022 - Vaughan Smith</t>
  </si>
  <si>
    <t>13/10/2022 - Darren Cushing</t>
  </si>
  <si>
    <t>13/10/2022 - Andrew Francis</t>
  </si>
  <si>
    <t>20/10/2022 - Andrew Francis</t>
  </si>
  <si>
    <t>19/10/2022 - Indus Briggs</t>
  </si>
  <si>
    <t>17/10/2022 - Jay Christensen</t>
  </si>
  <si>
    <t>QF Prevac Non Medicare</t>
  </si>
  <si>
    <t>26/08/2022 - Sulaiman Mujahid</t>
  </si>
  <si>
    <t>18/08/2022 - Mathew Bond</t>
  </si>
  <si>
    <t xml:space="preserve">17/08/2022 - Rhys Hayes </t>
  </si>
  <si>
    <t>18/08/2022 - Edgar Pomar</t>
  </si>
  <si>
    <t>15/08/2022 - Wayne Waters</t>
  </si>
  <si>
    <t>08/08/2022 - Samantha Passlow</t>
  </si>
  <si>
    <t>05/08/2022 - Jai Storey</t>
  </si>
  <si>
    <t>04/08/2022 - Phillip Hemsworth</t>
  </si>
  <si>
    <t>03/08/2022 - Kaine Wishart</t>
  </si>
  <si>
    <t>04/08/2022 - Keith Hope</t>
  </si>
  <si>
    <t>03/08/2022 - Rod Neyland</t>
  </si>
  <si>
    <t>01/08/2022 - Jeremy Winter</t>
  </si>
  <si>
    <t>02/08/2022 - Sean Wang</t>
  </si>
  <si>
    <t>01/08/2022 - Tanya Clifton</t>
  </si>
  <si>
    <t>28/07/2022 - Breanna Hennwood</t>
  </si>
  <si>
    <t>IJ025270</t>
  </si>
  <si>
    <t>17/11/2022 - Erin Kohu</t>
  </si>
  <si>
    <t>10/11/2022 - Jennifer Dickson</t>
  </si>
  <si>
    <t>10/11/2022 - Aaron McDonald</t>
  </si>
  <si>
    <t>4/11/2022 - Samuel Trundle</t>
  </si>
  <si>
    <t>27/10/2022 - Alan Johnson</t>
  </si>
  <si>
    <t>3/11/2022 - Alan Johnson</t>
  </si>
  <si>
    <t>7/11/2022 - Mark Dawson</t>
  </si>
  <si>
    <t>14/11/2022 - Mark Dawson</t>
  </si>
  <si>
    <t>31/10/2022 - Nathan Foster</t>
  </si>
  <si>
    <t>7/11/2022 - Nathan Foster</t>
  </si>
  <si>
    <t>2/11/2022 - Maurice Litzow</t>
  </si>
  <si>
    <t>10/11/2022 - Maurice Litzow</t>
  </si>
  <si>
    <t>24/10/2022 - Sarah Browne</t>
  </si>
  <si>
    <t>24/10/2022 - Marisol Morales</t>
  </si>
  <si>
    <t>11/10/2022 - Aaron McDonald</t>
  </si>
  <si>
    <t>13/10/2022 - John Tully</t>
  </si>
  <si>
    <t>6/10/2022 - Indus Briggs</t>
  </si>
  <si>
    <t>5/10/2022 - Jade Harris</t>
  </si>
  <si>
    <t>5/10/2022 - Michael Horton</t>
  </si>
  <si>
    <t>5/10/2022 - Katelyn Moss</t>
  </si>
  <si>
    <t>12/10/2022 - Corey Calder</t>
  </si>
  <si>
    <t>7/10/2022 - Luke Milivojevic</t>
  </si>
  <si>
    <t>5/10/2022 - Nathan Weiks</t>
  </si>
  <si>
    <t>PH/TE/2865 - (Temporary Event Licence)</t>
  </si>
  <si>
    <t>1-L0001 73433</t>
  </si>
  <si>
    <t>Environmental Health - Internal Invoices</t>
  </si>
  <si>
    <t>IJ025478</t>
  </si>
  <si>
    <t xml:space="preserve">28/11/2022 - Gregory Crawford </t>
  </si>
  <si>
    <t xml:space="preserve">1/11/2022 - Gregory Crawford </t>
  </si>
  <si>
    <t>16/11/2022 - Shane Webb</t>
  </si>
  <si>
    <t>28/11/2022 - Shane Webb</t>
  </si>
  <si>
    <t>27/10/2022 - Jeremy Ian Beswarick</t>
  </si>
  <si>
    <t>4/11/2022 - Jeremy Ian Beswarick</t>
  </si>
  <si>
    <t>18/11/2022 - Ilisoni Mara</t>
  </si>
  <si>
    <t xml:space="preserve">21/11/2022 - Todd Preussner </t>
  </si>
  <si>
    <t>21/11/2022 - Ashlee Mangan</t>
  </si>
  <si>
    <t xml:space="preserve">21/11/2022 - Ranee Hoyle </t>
  </si>
  <si>
    <t xml:space="preserve">23/11/2022 - Sienna Harris </t>
  </si>
  <si>
    <t>1-S0825-73433</t>
  </si>
  <si>
    <t>Food Business Licence</t>
  </si>
  <si>
    <t>PH/FSDM/9827 - Logan North Aquatic Centre Café</t>
  </si>
  <si>
    <t>06/12/2022 - Craig Welden</t>
  </si>
  <si>
    <t>13/12/2022 - Joel Buscttit</t>
  </si>
  <si>
    <t>13/12/2022 - Daniel Laverty</t>
  </si>
  <si>
    <t>20/12/2022 - Mark O'Brien</t>
  </si>
  <si>
    <t>06/12/2022 - Joseph Perrone</t>
  </si>
  <si>
    <t xml:space="preserve">06/12/2022 - Christopher Gale </t>
  </si>
  <si>
    <t xml:space="preserve">06/12/2022 - Jordanna Hartley </t>
  </si>
  <si>
    <t>06/12/2022 - Robert Maslak</t>
  </si>
  <si>
    <t>13/12/2022 - Maurice Litzow</t>
  </si>
  <si>
    <t xml:space="preserve">20/12/2022 - Wendy Hoyle </t>
  </si>
  <si>
    <t xml:space="preserve">5/12/2022 - Dwight Allison </t>
  </si>
  <si>
    <t xml:space="preserve">5/12/2022 - Lisa Hodgson </t>
  </si>
  <si>
    <t>8/12/2022 - Kahn Helms</t>
  </si>
  <si>
    <t>20/12/2022 - Niklas Boammall</t>
  </si>
  <si>
    <t>07/12/2022 - Andrew Francis</t>
  </si>
  <si>
    <t>05/12/2022 - Clayton Te Maipi</t>
  </si>
  <si>
    <t>24/11/2022 - Erin Kohu</t>
  </si>
  <si>
    <t>01/12/2022 - Erin Kohu</t>
  </si>
  <si>
    <t>07/12/2022 - George Tauia</t>
  </si>
  <si>
    <t>14/12/2022 - George Tauia</t>
  </si>
  <si>
    <t>12/01/2023 Jodie Corlett</t>
  </si>
  <si>
    <t xml:space="preserve">25/01/2023 Wayne Waters </t>
  </si>
  <si>
    <t xml:space="preserve">23/01/2023 Sheehan Ali </t>
  </si>
  <si>
    <t xml:space="preserve">13/01/2023 Jamie Fisher </t>
  </si>
  <si>
    <t xml:space="preserve">31/01/2023 Jai Storey </t>
  </si>
  <si>
    <t xml:space="preserve">31/01/2023 Seden Suong </t>
  </si>
  <si>
    <t>31/01/2023 James Hearn</t>
  </si>
  <si>
    <t>31/01/2023 Michelle Burridge</t>
  </si>
  <si>
    <t xml:space="preserve">21/01/2023 Aaron McDonald </t>
  </si>
  <si>
    <t xml:space="preserve">16/01/2023 Robert Young </t>
  </si>
  <si>
    <t xml:space="preserve">23/01/2023 Robert Young </t>
  </si>
  <si>
    <t xml:space="preserve">20/01/2023 Sheehan  Ali </t>
  </si>
  <si>
    <t xml:space="preserve">27/01/2023 Sheehan Ali </t>
  </si>
  <si>
    <t>18/01/2023 Sarah Browne</t>
  </si>
  <si>
    <t xml:space="preserve">25/01/2023 Sarah Browne </t>
  </si>
  <si>
    <t xml:space="preserve">14/9/2022 Liam Rakuraku </t>
  </si>
  <si>
    <t>09/09/2022 Bradley Yeates</t>
  </si>
  <si>
    <t xml:space="preserve">07/09/2022 Andrew Bobermien </t>
  </si>
  <si>
    <t xml:space="preserve">07/09/2022 Joshua Skeen </t>
  </si>
  <si>
    <t>21/11/2022 Ilisoni Mara</t>
  </si>
  <si>
    <t xml:space="preserve">24/11/2022 Scott Love </t>
  </si>
  <si>
    <t xml:space="preserve">16/11/2022 Shane Webb </t>
  </si>
  <si>
    <t xml:space="preserve">07/11/2022 Mark Dawson </t>
  </si>
  <si>
    <t xml:space="preserve">07/11/2022 Thomas Halloran </t>
  </si>
  <si>
    <t xml:space="preserve">04/11/2022 Dale Grant </t>
  </si>
  <si>
    <t xml:space="preserve">03/11/2022 Danny Hilton </t>
  </si>
  <si>
    <t xml:space="preserve">02/11/2022 Maurice Litzow </t>
  </si>
  <si>
    <t xml:space="preserve">01/11/2022 Greg Crawford </t>
  </si>
  <si>
    <t xml:space="preserve">02/11/2022 Jennifer Dickinson </t>
  </si>
  <si>
    <t xml:space="preserve">02/11/2022 Peter Salisnew </t>
  </si>
  <si>
    <t xml:space="preserve">31/10/2022 Nathan Foster </t>
  </si>
  <si>
    <t xml:space="preserve">27/10/2022 Jeremy Beswarick </t>
  </si>
  <si>
    <t xml:space="preserve">27/10/2022 Alan Johnson </t>
  </si>
  <si>
    <t xml:space="preserve">16/12/2022 Paul Nielsen </t>
  </si>
  <si>
    <t xml:space="preserve">16/12/2022 Jamie Fisher </t>
  </si>
  <si>
    <t xml:space="preserve">14/12/2022 Natus Barned </t>
  </si>
  <si>
    <t>16/12/2022 Indus Briggs</t>
  </si>
  <si>
    <t xml:space="preserve">18/08/2022 Mathew Bond </t>
  </si>
  <si>
    <t>28/10/2022 Bobby Motufoaki</t>
  </si>
  <si>
    <t>08/2/2023 Ajnesh Achal</t>
  </si>
  <si>
    <t>15/2/2023 Ajnesh Achal</t>
  </si>
  <si>
    <t>09/02/2023 Seden Suong</t>
  </si>
  <si>
    <t>09/02/2023  James Hearn</t>
  </si>
  <si>
    <t>14/02/2023 Rober Maslak</t>
  </si>
  <si>
    <t>14/02/2023  James Hearn</t>
  </si>
  <si>
    <t>14/02/2023 Kieran Percival</t>
  </si>
  <si>
    <t>14/02/2023 Raymond Love</t>
  </si>
  <si>
    <t>11/02/2023 Marisol Morales</t>
  </si>
  <si>
    <t>10/02/2023 Samantha Maclean</t>
  </si>
  <si>
    <t>06/02/2023 Corey Calder</t>
  </si>
  <si>
    <t>07/02/2023 JD Christ</t>
  </si>
  <si>
    <t>2/02/2023 Henry Crosse</t>
  </si>
  <si>
    <t>03/02/2023 Stephen Webster</t>
  </si>
  <si>
    <t>Immunisation Services - Hep A Pead</t>
  </si>
  <si>
    <t>03/02/2023 Paul Nielson</t>
  </si>
  <si>
    <t xml:space="preserve">22/02/2023 Edgar Pomar </t>
  </si>
  <si>
    <t>21/02/2023 Adam Knowles</t>
  </si>
  <si>
    <t>16/02/2023 Barbara Thomas</t>
  </si>
  <si>
    <t xml:space="preserve">28/02/2023 Daniel Laverty </t>
  </si>
  <si>
    <t>28/02/2023 Ajneshy Achal</t>
  </si>
  <si>
    <t>IJ026328</t>
  </si>
  <si>
    <t>IJ026329</t>
  </si>
  <si>
    <t>IJ026330</t>
  </si>
  <si>
    <t>Jamie Fisher 01.03.2023</t>
  </si>
  <si>
    <t>Kennith Cox 01.03.2023</t>
  </si>
  <si>
    <t>Yugdeep 02.03.2023</t>
  </si>
  <si>
    <t>Steven Searle 03.03.2023</t>
  </si>
  <si>
    <t>Paul Radke 07.03.2023</t>
  </si>
  <si>
    <t>Felicity Lewis 08.03.2023</t>
  </si>
  <si>
    <t>Jeremy James-Winter 08.03.2023</t>
  </si>
  <si>
    <t>Sheehan Ali 09.03.2023</t>
  </si>
  <si>
    <t>Brian Kirkman 09.03.2023</t>
  </si>
  <si>
    <t>Samantha Colbran 10.03.2023</t>
  </si>
  <si>
    <t>Marisol Morales 11.03.2023</t>
  </si>
  <si>
    <t>Marisol Morales 14.03.2023</t>
  </si>
  <si>
    <t>Thomas Hayes 14.03.2023</t>
  </si>
  <si>
    <t>Thomas Halloran 14.03.2023</t>
  </si>
  <si>
    <t>Mahshid Davaloukhongar 14.03.2023</t>
  </si>
  <si>
    <t>Brandon Ferrisno 14.03.2023</t>
  </si>
  <si>
    <t>Elliot Griffiths 14.03.2023</t>
  </si>
  <si>
    <t>Joseph Perrone 14.03.2023</t>
  </si>
  <si>
    <t>Jack Townson 21.03.2023</t>
  </si>
  <si>
    <t>Carissa Blackaby 28.03.2023</t>
  </si>
  <si>
    <t>Kye Meredith 28.03.2023</t>
  </si>
  <si>
    <t>Zenith Palanga 28.03.2023</t>
  </si>
  <si>
    <t>Paul Nielsen 02.03.2023</t>
  </si>
  <si>
    <t>Nicholas Mackeller 15.02.2023</t>
  </si>
  <si>
    <t>Tony Allen 22.02.2023</t>
  </si>
  <si>
    <t>Jamie Fisher 22.02.2023</t>
  </si>
  <si>
    <t>Kennith Cox 22.02.2023</t>
  </si>
  <si>
    <t>Paul Nielsen 23.02.2023</t>
  </si>
  <si>
    <t>Nicholas Mackeller 22.02.2023</t>
  </si>
  <si>
    <t>George Tauia 07.12.2022</t>
  </si>
  <si>
    <t>George Tauia 14.12.2022</t>
  </si>
  <si>
    <t>IJ026458</t>
  </si>
  <si>
    <t>1 – L0094 – 7B123</t>
  </si>
  <si>
    <t>PH/TE/2884 Temporary event licence</t>
  </si>
  <si>
    <t>Ben Vickers</t>
  </si>
  <si>
    <t>Luis Coelho</t>
  </si>
  <si>
    <t>David Martin</t>
  </si>
  <si>
    <t>Nathaniel Ward</t>
  </si>
  <si>
    <t xml:space="preserve">HEW </t>
  </si>
  <si>
    <t>IJ026700</t>
  </si>
  <si>
    <t>Paul Radke</t>
  </si>
  <si>
    <t>Luke Clifton</t>
  </si>
  <si>
    <t>Samuel Sunderland</t>
  </si>
  <si>
    <t>Nathan Foster</t>
  </si>
  <si>
    <t>Mahshid Davalovknongar</t>
  </si>
  <si>
    <t>Daniel Laverty</t>
  </si>
  <si>
    <t>Stephen Webster</t>
  </si>
  <si>
    <t>James Condell</t>
  </si>
  <si>
    <t>Simon Kingsley Anderson</t>
  </si>
  <si>
    <t>Carissa Blackaby</t>
  </si>
  <si>
    <t>Phillip Rosechitsch</t>
  </si>
  <si>
    <t>Christopher Jordan</t>
  </si>
  <si>
    <t>Dylan McGavin</t>
  </si>
  <si>
    <t>4020000 - City Standards &amp; Animal Care/CSLB</t>
  </si>
  <si>
    <t>PH/TE/2893 Temporary event licence</t>
  </si>
  <si>
    <t>1-L0041 73433</t>
  </si>
  <si>
    <t>Breanna Henwood</t>
  </si>
  <si>
    <t>Phil Hemsworth</t>
  </si>
  <si>
    <t>Jason Crockett</t>
  </si>
  <si>
    <t>Joseph Leyland</t>
  </si>
  <si>
    <t>Tanya Clifton 30/05/2023</t>
  </si>
  <si>
    <t>Tony Allen 30/05/2023</t>
  </si>
  <si>
    <t>Jamie Fisher 22/02/2023</t>
  </si>
  <si>
    <t>Kenneth Cox 22/02/2023</t>
  </si>
  <si>
    <t xml:space="preserve"> Tony Allen 22/02/2023</t>
  </si>
  <si>
    <t>Felicity Lewis 21/02/2023</t>
  </si>
  <si>
    <t>Nicholas Mackellar 15/02/2023</t>
  </si>
  <si>
    <t>JD Christ 14/02/2023</t>
  </si>
  <si>
    <t>Sithoeun Suong 09/02/2023</t>
  </si>
  <si>
    <t>James Hearn 09/02/2023</t>
  </si>
  <si>
    <t>Harrison Russell 10/02/2023</t>
  </si>
  <si>
    <t>Sacristan Novea 09/02/2023</t>
  </si>
  <si>
    <t>Allandin Aliya 08/02/2023</t>
  </si>
  <si>
    <t>Raymond Love 08/02/2023</t>
  </si>
  <si>
    <t>Nathan Haywood 02/02/2023</t>
  </si>
  <si>
    <t>Aaron Pegg 03/02/2023</t>
  </si>
  <si>
    <t>Ajnesh Achal 03/02/2023</t>
  </si>
  <si>
    <t>Dwight Allison 02/02/2023</t>
  </si>
  <si>
    <t>Robert Maslak 02/02/2023</t>
  </si>
  <si>
    <t>James Hearn 31/01/2023</t>
  </si>
  <si>
    <t>Seden Suong 31/01/2023</t>
  </si>
  <si>
    <t>Thomas McQuinlan 31/01/2023</t>
  </si>
  <si>
    <t xml:space="preserve">Nicole Lake 03/05/2023 </t>
  </si>
  <si>
    <t xml:space="preserve">Nicole Lake 10/05/2023 </t>
  </si>
  <si>
    <t>IJ027018</t>
  </si>
  <si>
    <t>Internal Immunisation Services May 2023</t>
  </si>
  <si>
    <t>IJ027041</t>
  </si>
  <si>
    <t>Jack Townson</t>
  </si>
  <si>
    <t>Shaun Healy</t>
  </si>
  <si>
    <t>Dylan McGaun</t>
  </si>
  <si>
    <t>Darien Thompson</t>
  </si>
  <si>
    <t>Iain Herd</t>
  </si>
  <si>
    <t>Gina Lewis</t>
  </si>
  <si>
    <t>Ashley Beaman 12/04/2023</t>
  </si>
  <si>
    <t>Disheng (Andy) Huang 19/04/2023</t>
  </si>
  <si>
    <t>Disheng (Andy) Huang 26/04/2023</t>
  </si>
  <si>
    <t xml:space="preserve">Jessica Smith 14/06/2023 </t>
  </si>
  <si>
    <t>Beni Ntamwenge 05/06/2023</t>
  </si>
  <si>
    <t>Katrina James 01/06/2023</t>
  </si>
  <si>
    <t>Katrina James 08/06/2023</t>
  </si>
  <si>
    <t>PH/FSDM/1832</t>
  </si>
  <si>
    <t>Logan Entertainmment centure Licence renewal</t>
  </si>
  <si>
    <t>Community Infrastructure licence renewal</t>
  </si>
  <si>
    <t>Logan entertainmnets cente licence renewal</t>
  </si>
  <si>
    <t>Water operation (Tims2) licence renewal</t>
  </si>
  <si>
    <t>Water operation (Tims1) licence renewal</t>
  </si>
  <si>
    <t>Water operation  licence renewal</t>
  </si>
  <si>
    <t>PH/FSDM/9030</t>
  </si>
  <si>
    <t>Edgar Pomar 21/06/2023</t>
  </si>
  <si>
    <t>Andrea Levai</t>
  </si>
  <si>
    <t>PH/FSDM/3985</t>
  </si>
  <si>
    <t>Beenleigh Vents Centre - Renewal</t>
  </si>
  <si>
    <t>Robert Nay Memorial Swimming Pool Renewal</t>
  </si>
  <si>
    <t>Bethania Aquatic Centre Renewal</t>
  </si>
  <si>
    <t>Aqualogan Springwood - renewal</t>
  </si>
  <si>
    <t>Simon Anderson 24/04/2023</t>
  </si>
  <si>
    <t>Immunisation +A20:F20Services - Q Fever Intial consultation</t>
  </si>
  <si>
    <t>Philip Roschitsch 24/04/2023</t>
  </si>
  <si>
    <t>Carissa Blackaby 26/04/2023</t>
  </si>
  <si>
    <t>Christopher Jordan 24/04/2023</t>
  </si>
  <si>
    <t>Dylan McGavin 20/04/2023</t>
  </si>
  <si>
    <t>Tilly Wearne 20/04/2023</t>
  </si>
  <si>
    <t>Disheng "Andy" Huang 19/04/2023</t>
  </si>
  <si>
    <t>Luke Clifton 17/04/2023</t>
  </si>
  <si>
    <t>Philip Roschitsch 17/04/2023</t>
  </si>
  <si>
    <t>Paul Radke 13/04/2023</t>
  </si>
  <si>
    <t>Felicity Lewis 12/04/2023</t>
  </si>
  <si>
    <t>Aidan Francis 11/04/2023</t>
  </si>
  <si>
    <t>Shaun Healy 04/04/2023</t>
  </si>
  <si>
    <t>Brandon Ferrigno 04/04/2023</t>
  </si>
  <si>
    <t>Jack Townson 04/04/2023</t>
  </si>
  <si>
    <t>Stephen Webster 30/03/2023</t>
  </si>
  <si>
    <t>Nathaniel Ward 28/03/2023</t>
  </si>
  <si>
    <t>Lawrence Van Niekerk 10/05/2023</t>
  </si>
  <si>
    <t>Nicole Lake 03/05/2023</t>
  </si>
  <si>
    <t>Damian Hodges 10/05/2023</t>
  </si>
  <si>
    <t>Ian Auda 17/05/2023</t>
  </si>
  <si>
    <t>Kira Browne 17/05/2023</t>
  </si>
  <si>
    <t>Katrina James 19/05/2023</t>
  </si>
  <si>
    <t>Iain Herd 24/05/2023</t>
  </si>
  <si>
    <t>Joseph Leyland 04/05/2023</t>
  </si>
  <si>
    <t>Seden "Sithouen" Suong</t>
  </si>
  <si>
    <t>Carissa Blackaby 28/03/2023</t>
  </si>
  <si>
    <t>Garry Brown 28/03/2023</t>
  </si>
  <si>
    <t>Zenith Palanga 22/03/2023</t>
  </si>
  <si>
    <t>Nathaniel Ward 21/03/2023</t>
  </si>
  <si>
    <t>Mahshid Davaloukhongar 17/03/2023</t>
  </si>
  <si>
    <t>Lisa Hodgson 13/03/2023</t>
  </si>
  <si>
    <t>Wiremu Berkland 09/03/2023</t>
  </si>
  <si>
    <t>Chloe Wildermoth 01/03/2023</t>
  </si>
  <si>
    <t xml:space="preserve">Jessica Smith 07/06/2023 </t>
  </si>
  <si>
    <t>Storm Iti 13/06/2023</t>
  </si>
  <si>
    <t>Jamie Fisher 16/06/2023</t>
  </si>
  <si>
    <t>Christopher Carson 20/06/2023</t>
  </si>
  <si>
    <t>Stephen Webster 28/06/2023</t>
  </si>
  <si>
    <t>Internal Immunisation Services June 2023</t>
  </si>
  <si>
    <t>EY552307</t>
  </si>
  <si>
    <t>Environmental Health Licence Renewals</t>
  </si>
  <si>
    <t>EY552308</t>
  </si>
  <si>
    <t xml:space="preserve">Imms  Account number </t>
  </si>
  <si>
    <t>EH</t>
  </si>
  <si>
    <t>EH account Number</t>
  </si>
  <si>
    <t xml:space="preserve">Logan North Aquatic &amp; Fitness Centre </t>
  </si>
  <si>
    <t>PH/FSDM/9827</t>
  </si>
  <si>
    <t>Immunisation Services - Hep B Pead</t>
  </si>
  <si>
    <t>Immunisation Services -  Varicella</t>
  </si>
  <si>
    <t>Immunisation Services - Q Fever Initial Consultation</t>
  </si>
  <si>
    <t>QML Pathology on-site fee 1 Collector</t>
  </si>
  <si>
    <t>QML Pathology on-site fee 2 Collector</t>
  </si>
  <si>
    <t>Immunisation Services - Q Fever Vaccination</t>
  </si>
  <si>
    <t>Christopher Carson 01/07/2023</t>
  </si>
  <si>
    <t>Kye Meredith 30/05/2023</t>
  </si>
  <si>
    <t>Non Attendance</t>
  </si>
  <si>
    <t>David Corney 26/06/2023</t>
  </si>
  <si>
    <t>Sione Namoa 26/06/2023</t>
  </si>
  <si>
    <t>Jake Austen 07/07/2023</t>
  </si>
  <si>
    <t>Keith Hope 05/07/2023</t>
  </si>
  <si>
    <t>Shah Hussain 13/07/2023</t>
  </si>
  <si>
    <t>Tim Heise 12/07/2023</t>
  </si>
  <si>
    <t>Ajnesh Achal 11/07/2023</t>
  </si>
  <si>
    <t xml:space="preserve">Lawrence Niekerk 10/05/2023 </t>
  </si>
  <si>
    <t xml:space="preserve">Lawrence Niekerk 17/05/2023 </t>
  </si>
  <si>
    <t>Ian Auda 26/06/2023</t>
  </si>
  <si>
    <t>Ian Auda 17/07/2023</t>
  </si>
  <si>
    <t>Ian Herd 14/07/2023</t>
  </si>
  <si>
    <t>Paul Nielsen 14/07/2023</t>
  </si>
  <si>
    <t>Katrina James 18/07/2023</t>
  </si>
  <si>
    <t>Romeo Amaya 14/07/2023</t>
  </si>
  <si>
    <t xml:space="preserve"> Amount (ex GST) </t>
  </si>
  <si>
    <t>Ben Dresman 28-July-2023</t>
  </si>
  <si>
    <t xml:space="preserve">Romeo Amaya 07-July-2023 </t>
  </si>
  <si>
    <t>Marlene Poulson 14-July-2023</t>
  </si>
  <si>
    <t>David Lemmon 19-July-2023</t>
  </si>
  <si>
    <t>Tyler Leonhardt 20-July-2023</t>
  </si>
  <si>
    <t>Saurrav Joshi 20-July-2023</t>
  </si>
  <si>
    <t>Bradley Kelso 21-July-2023</t>
  </si>
  <si>
    <t>Julie Cahill 24-July-2023</t>
  </si>
  <si>
    <t>David Lemmon 26-July-2023</t>
  </si>
  <si>
    <t>Tyler Leonhardt 27-July-2023</t>
  </si>
  <si>
    <t>Saurrav Joshi 27-July-2023</t>
  </si>
  <si>
    <t>Bradley Kelso 28-July-2023</t>
  </si>
  <si>
    <t>Julie Cahill 31-July-2023</t>
  </si>
  <si>
    <t>Marlene Poulson 31-July-2023</t>
  </si>
  <si>
    <t>Keith Hope 16-Aug-2023</t>
  </si>
  <si>
    <t>Ian Auda 03-Aug-2023</t>
  </si>
  <si>
    <t>Luke Clifton 15-Aug-2023</t>
  </si>
  <si>
    <t>Joseph Leyland 21-July-2023</t>
  </si>
  <si>
    <t>Richard Oakley 11-Aug-2023</t>
  </si>
  <si>
    <t>Paul Hoelscher 01-Aug-2023</t>
  </si>
  <si>
    <t>Sheehan Ali 03-Aug-2023</t>
  </si>
  <si>
    <t>Daniel Laverty 8-Aug-2023</t>
  </si>
  <si>
    <t>Julie Cahill 8-Aug-2023</t>
  </si>
  <si>
    <t>Dwight Allison 8-Aug-2023</t>
  </si>
  <si>
    <t>Ian Auda 10-Aug-2023</t>
  </si>
  <si>
    <t>Romeo Amaya 23-Jun-2023</t>
  </si>
  <si>
    <t>David Corney 26-Jun-2023</t>
  </si>
  <si>
    <t>Christopher Carson 19-Jun-2023</t>
  </si>
  <si>
    <t>Stephen Webster 19-Jun-2023</t>
  </si>
  <si>
    <t>Megan Jacobson 16-Jun-2023</t>
  </si>
  <si>
    <t>Paul Radke 15-Jun-2023</t>
  </si>
  <si>
    <t>Andrea Levai 12-Jun-2023</t>
  </si>
  <si>
    <t>Jessica Smith 07-Jun-2023</t>
  </si>
  <si>
    <t>Beni Ntamwenge 05-Jun-2023</t>
  </si>
  <si>
    <t>Katrina James 01-Jun-2023</t>
  </si>
  <si>
    <t>Kylie Inwood 31-May-2023</t>
  </si>
  <si>
    <t>Darien Thompson 25-May-2023</t>
  </si>
  <si>
    <t>Jackson Ross 16-Aug-2023</t>
  </si>
  <si>
    <t>Jackson Ross 25-Aug-2023</t>
  </si>
  <si>
    <t xml:space="preserve">Immunisation Services - Non Attendance Fee </t>
  </si>
  <si>
    <t>Jackson Ross 21-Jul-2023</t>
  </si>
  <si>
    <t>Crystal Dawison 25-Aug-2023</t>
  </si>
  <si>
    <t>Beni Ntamwenge 03-Aug-2023</t>
  </si>
  <si>
    <t>James Hearn 29-Aug-2023</t>
  </si>
  <si>
    <t>Carissa Blackaby 29-Aug-2023</t>
  </si>
  <si>
    <t>Ajnesh Achal 29-Aug-2023</t>
  </si>
  <si>
    <t>Christopher Carson 22-Aug-2023</t>
  </si>
  <si>
    <t>1-17811-7B123</t>
  </si>
  <si>
    <t>Events Food licence-  PH/FSDM/10217</t>
  </si>
  <si>
    <t>Victoria Taylor 08/09/2023</t>
  </si>
  <si>
    <t>sudharma Gopalan - 14/09/2023</t>
  </si>
  <si>
    <t>Joshua Hall 19/9/2023</t>
  </si>
  <si>
    <t>Stephen Webster 12/09/2023</t>
  </si>
  <si>
    <t>Rhys Hayes 06/04/2083</t>
  </si>
  <si>
    <t>Cameron Williamson 12/09/2023</t>
  </si>
  <si>
    <t>Matthew Arnold 25/08/2023</t>
  </si>
  <si>
    <t>Kim Pegg 30/08/2023</t>
  </si>
  <si>
    <t>IJ028460</t>
  </si>
  <si>
    <t>04.10.23</t>
  </si>
  <si>
    <t>Gihani</t>
  </si>
  <si>
    <t>IJ028461</t>
  </si>
  <si>
    <t>IJ028463</t>
  </si>
  <si>
    <t>IJ028462</t>
  </si>
  <si>
    <t>Floyed Foster 24.10.2023</t>
  </si>
  <si>
    <t>Mathew Arnold 24/10/2023</t>
  </si>
  <si>
    <t>Aidan Francis 24/10/2023</t>
  </si>
  <si>
    <t>Rebecca Martin 17/10/2023</t>
  </si>
  <si>
    <t>Benjamin Alex Formann 17/08/2023</t>
  </si>
  <si>
    <t>Aleisha Ann Bailey 05/10/2023</t>
  </si>
  <si>
    <t>Benjamin Alex Formann 24/08/2023</t>
  </si>
  <si>
    <t>Aleisha Ann Bailey 12/10/2023</t>
  </si>
  <si>
    <t>Carissa Blackaby 3/10/2023</t>
  </si>
  <si>
    <t>Ryan Smith 10/10/2023</t>
  </si>
  <si>
    <t>Matthew Beagle 10/10/2023</t>
  </si>
  <si>
    <t>Justine Hawkes 25/09/2023</t>
  </si>
  <si>
    <t>Shah Hussian 05/10/2023</t>
  </si>
  <si>
    <t>Brandon Ferrigno 26/09/2023</t>
  </si>
  <si>
    <t>Thomas McGreal 26/09/2023</t>
  </si>
  <si>
    <t>Paul Hoelscher 26/09/2023</t>
  </si>
  <si>
    <t>Thomas Halloran 26/09/2023</t>
  </si>
  <si>
    <t>Marisol Moraels 26/09/2023</t>
  </si>
  <si>
    <t>Dylan Mcgavin 26/10/2023</t>
  </si>
  <si>
    <t>Sarah Briffa 18/10/2023</t>
  </si>
  <si>
    <t>Sarah Briffa 25/10/2023</t>
  </si>
  <si>
    <t>pk</t>
  </si>
  <si>
    <t>IJ028701</t>
  </si>
  <si>
    <t>2.11.2023</t>
  </si>
  <si>
    <t>Jared Royall 16/11/2023</t>
  </si>
  <si>
    <t>Rebecca Martin 14/11/2023</t>
  </si>
  <si>
    <t>Ajnesh Achal 14/11/2023</t>
  </si>
  <si>
    <t>Stefan Hall 14/11/2023</t>
  </si>
  <si>
    <t>Craig Delaforce 10/11/2023</t>
  </si>
  <si>
    <t>Floyd Foster 08/11/2023</t>
  </si>
  <si>
    <t>Kaine Wishart 09/11/2023</t>
  </si>
  <si>
    <t>Shah Hussain 09/11/2023</t>
  </si>
  <si>
    <t>Kai Bernard 09/11/2023</t>
  </si>
  <si>
    <t>Rhiannon Gintrac 07/11/2023</t>
  </si>
  <si>
    <t>Billy-Ray Hargreaves 07/11/2023</t>
  </si>
  <si>
    <t>Ryan Smith 07/11/2023</t>
  </si>
  <si>
    <t>Mathew Arnold 07/11/2023</t>
  </si>
  <si>
    <t>Dwight Allison 31/10/2023</t>
  </si>
  <si>
    <t>Jamies Camilleri 31/10/2023</t>
  </si>
  <si>
    <t>Cameron Williamson 31/10/2023</t>
  </si>
  <si>
    <t>Craig Delaforce 24/11/2023</t>
  </si>
  <si>
    <t>Iain Herd 24/11/2023</t>
  </si>
  <si>
    <t>James hearn 28/11/2023</t>
  </si>
  <si>
    <t>Mustafa Bin Keri 28/11/2023</t>
  </si>
  <si>
    <t>Stephen Penwarden 28/11/2023</t>
  </si>
  <si>
    <t>Damien Walker 28/11/2023</t>
  </si>
  <si>
    <t>Paul Hoelscher 28/11/2023</t>
  </si>
  <si>
    <t>Jack Townson 28/11/2023</t>
  </si>
  <si>
    <t>Atareta Wanoa  29/11/2023</t>
  </si>
  <si>
    <t>IJ028965</t>
  </si>
  <si>
    <t>01.12.2023</t>
  </si>
  <si>
    <t>Dwight Allison 12/12/2023</t>
  </si>
  <si>
    <t>Tessa Sells 7/12/2023</t>
  </si>
  <si>
    <t xml:space="preserve"> Stefan Hall 12/12/2023</t>
  </si>
  <si>
    <t>Stefan Hall 12/12/2023</t>
  </si>
  <si>
    <t>Jason Crockett 5/12/2023</t>
  </si>
  <si>
    <t>Trent Walker 5/12/2023</t>
  </si>
  <si>
    <t>Nik Brammall 5/12/2023</t>
  </si>
  <si>
    <t>Anthony Wood 5/12/2023</t>
  </si>
  <si>
    <t>James Condell 5/12/2023</t>
  </si>
  <si>
    <t>Pamela Reddy 5/12/2023</t>
  </si>
  <si>
    <t>Anne Day 6/12/2023</t>
  </si>
  <si>
    <t>Adam barter 19/12/2023</t>
  </si>
  <si>
    <t>3070100 - Waste &amp; Resource Recovery</t>
  </si>
  <si>
    <t>OLD CODE</t>
  </si>
  <si>
    <t>Craig Delaforce 15/12/2023</t>
  </si>
  <si>
    <t>Tessa Sells 14/12/2023</t>
  </si>
  <si>
    <t>Tessa Sells 07/12/2023</t>
  </si>
  <si>
    <t>Hoang Tuan Nguyen 13/12/2023</t>
  </si>
  <si>
    <t>Daniel O'Brien 02/01/2024</t>
  </si>
  <si>
    <t xml:space="preserve">Pamela Reddy 09/01/2024 </t>
  </si>
  <si>
    <t>Bradley Burraston 09/01/2024</t>
  </si>
  <si>
    <t>Deve Tabua 16/11/2023</t>
  </si>
  <si>
    <t>Deve Tabua 10/11/2023</t>
  </si>
  <si>
    <t>Cameron Stuart Williamson 26/10/2023</t>
  </si>
  <si>
    <t>Cameron Stuart Williamson 02/11/2023</t>
  </si>
  <si>
    <t xml:space="preserve">Steven Moore 30/01/2024 </t>
  </si>
  <si>
    <t>Oscar Ndayemera 30/01/2024</t>
  </si>
  <si>
    <t>Colin Barton 30/01/2024</t>
  </si>
  <si>
    <t>Steven Keighley 30/01/2024</t>
  </si>
  <si>
    <t>Luke Clifton 30/01/2024</t>
  </si>
  <si>
    <t>Deve Tabua 2/02/2024</t>
  </si>
  <si>
    <t xml:space="preserve">Immunisation Services - Hep B </t>
  </si>
  <si>
    <t>John George 6/02/2024</t>
  </si>
  <si>
    <t>David Martin 6/02/2024</t>
  </si>
  <si>
    <t>Stephen Webster 6/02/2024</t>
  </si>
  <si>
    <t>Bradley Burraston 6/02/2024</t>
  </si>
  <si>
    <t>Timothy Anderson 6/02/2024</t>
  </si>
  <si>
    <t>Kerri Watton 6/02/2024</t>
  </si>
  <si>
    <t>Kurt Schloss 6/02/2024</t>
  </si>
  <si>
    <t>Kerri Watton 05-mar-2024</t>
  </si>
  <si>
    <t>Jamie Camilleri 05-mar-2024</t>
  </si>
  <si>
    <t>Stefan Hall 05-mar-2024</t>
  </si>
  <si>
    <t>Kurt Schloss 05-mar-2024</t>
  </si>
  <si>
    <t>Ethan Goodship 05-mar-2024</t>
  </si>
  <si>
    <t>Carissa Blackaby 12-mar-2024</t>
  </si>
  <si>
    <t>Jennifer Harley 12-mar-2024</t>
  </si>
  <si>
    <t>Karen Hardiman 12-mar-2024</t>
  </si>
  <si>
    <t xml:space="preserve">William Taylor 12-mar-2024 </t>
  </si>
  <si>
    <t>Christopher Preddice 12-mar-2024</t>
  </si>
  <si>
    <t xml:space="preserve">Brent Adams 12-mar-2024 </t>
  </si>
  <si>
    <t>Jack Ryan 12-mar-2024</t>
  </si>
  <si>
    <t>Adam Barter 03-jan-2024</t>
  </si>
  <si>
    <t>Adam Barter 10-jan-2024</t>
  </si>
  <si>
    <t xml:space="preserve">Steven Kellow 08-feb-2024 </t>
  </si>
  <si>
    <t xml:space="preserve">Shah Hussain 08-feb-2024 </t>
  </si>
  <si>
    <t xml:space="preserve">Simon Anderson 08-feb-2024 </t>
  </si>
  <si>
    <t>Jared Royall 13-feb-2024</t>
  </si>
  <si>
    <t>Christopher Preddice 13-feb-2024</t>
  </si>
  <si>
    <t xml:space="preserve">Rechelle Adams 15-feb-2024 </t>
  </si>
  <si>
    <t>Chistopher Carson 20-feb-2024</t>
  </si>
  <si>
    <t>Bobby Motufoaki 21-feb-2024</t>
  </si>
  <si>
    <t>Joshua Skeen 21-feb-2024</t>
  </si>
  <si>
    <t>Tyler Leonhardt 22-feb-2024</t>
  </si>
  <si>
    <t>Justin Hawkes 25-sept-2023</t>
  </si>
  <si>
    <t>Hussain Shah 18-sept-2023</t>
  </si>
  <si>
    <t>Tian Lim 15-sept-2023</t>
  </si>
  <si>
    <t>Beni Ntamwenge 08-sept-2023</t>
  </si>
  <si>
    <t xml:space="preserve">Cameron Williamson 08-sept-2023 </t>
  </si>
  <si>
    <t xml:space="preserve">Dwight Allison 08-sept-2023 </t>
  </si>
  <si>
    <t>Timothy Heise 21-sept-2023</t>
  </si>
  <si>
    <t xml:space="preserve">Cameron Williamson 26-oct-2023 </t>
  </si>
  <si>
    <t>Mathew Arnold 25-oct-2023</t>
  </si>
  <si>
    <t xml:space="preserve">Oscar Ndayemera 24-oct-2023 </t>
  </si>
  <si>
    <t>Floyd Foster 24-oct-2023</t>
  </si>
  <si>
    <t xml:space="preserve">Kai Bernard 23-oct-2023 </t>
  </si>
  <si>
    <t>Sarah Briffa 18-oct-2023</t>
  </si>
  <si>
    <t xml:space="preserve">Daniel Laverty 16-oct-2023 </t>
  </si>
  <si>
    <t>Robert Maslak 11-oct-2023</t>
  </si>
  <si>
    <t>Sheehan Ali 10-oct-2023</t>
  </si>
  <si>
    <t>Aleisha Bailey 10-oct-2023</t>
  </si>
  <si>
    <t xml:space="preserve">Rhiannon Gintrac 05-oct-2023 </t>
  </si>
  <si>
    <t>Hang Nguyen 24-nov-2023</t>
  </si>
  <si>
    <t>Harry Beduhn 20-nov-2023</t>
  </si>
  <si>
    <t>Craig Delaforce 11-nov-2023</t>
  </si>
  <si>
    <t xml:space="preserve">Troy Lee 08-nov-2023 </t>
  </si>
  <si>
    <t xml:space="preserve">Jason Crockett 07-nov-2023 </t>
  </si>
  <si>
    <t xml:space="preserve">Jamie Fisher 31-oct-2023 </t>
  </si>
  <si>
    <t>Jack Townson 29-nov-2023</t>
  </si>
  <si>
    <t>Stefan Hall 29-nov-2023</t>
  </si>
  <si>
    <t>Dylan McGavin 29-nov-2023</t>
  </si>
  <si>
    <t>Adam Barter 21-dec-2023</t>
  </si>
  <si>
    <t>Mathew Arnold 20-dec-2023</t>
  </si>
  <si>
    <t>Justin Hawkes 20-dec-2023</t>
  </si>
  <si>
    <t>Tessa Sells 07-dec-2023</t>
  </si>
  <si>
    <t>Jarrod Franklin 12-dec-2023</t>
  </si>
  <si>
    <t xml:space="preserve">Gary Davis 09-dec-2023 </t>
  </si>
  <si>
    <t>Craig Delaforce 08-dec-2023</t>
  </si>
  <si>
    <t>Hoang nguen 06-dec-2023</t>
  </si>
  <si>
    <t xml:space="preserve">Marisol Morales 05-dec-2023 </t>
  </si>
  <si>
    <t>Steven Searle 01-dec-2023</t>
  </si>
  <si>
    <t>Thomas Halloran 19-Mar-2024</t>
  </si>
  <si>
    <t>Shaun Healy 19-Mar-2024</t>
  </si>
  <si>
    <t>Jennifer Gay 22-Mar-2024</t>
  </si>
  <si>
    <t>Ben Kleinschmidt 26-Mar-2024</t>
  </si>
  <si>
    <t>Alexander Pacifique 14-Mar-2024</t>
  </si>
  <si>
    <t>Bridie Smith 13-Mar-2024</t>
  </si>
  <si>
    <t>Floyd Foster 18-Mar-2024</t>
  </si>
  <si>
    <t>Jarrod Franklin 28-Feb-2024</t>
  </si>
  <si>
    <t>Mustafa Binkeri 21-Mar-2024</t>
  </si>
  <si>
    <t>Deric Mcvitty 21-Mar-2024</t>
  </si>
  <si>
    <t>Jack Townson 28-Feb-2024</t>
  </si>
  <si>
    <t>Mustafa Binkeri 19-Jan-2024</t>
  </si>
  <si>
    <t>Bradley Burraston 31-Jan-2024</t>
  </si>
  <si>
    <t>Riki James Netana-Patrick 12-Feb-2024</t>
  </si>
  <si>
    <t>Jarrod Franklin 20-Feb-2024</t>
  </si>
  <si>
    <t>Jack Townson 20-Feb-2024</t>
  </si>
  <si>
    <t>Deric Mcvitty 1-Mar-2024</t>
  </si>
  <si>
    <t>Mathew Arnold 25-Aug-2023</t>
  </si>
  <si>
    <t>Benjamin Foremann 18-Aug-2023</t>
  </si>
  <si>
    <t>Paul Hoelscher 17-Aug-2023</t>
  </si>
  <si>
    <t>Ian Auda 3-Aug-2023</t>
  </si>
  <si>
    <t>Stephen Webster 31-Jul-2023</t>
  </si>
  <si>
    <t>Breanna Henwood 28-Jul-2023</t>
  </si>
  <si>
    <t>Michael Kavanaugh 25-Jan-2024</t>
  </si>
  <si>
    <t>Ndayemera Oscar 24-Sep-2023</t>
  </si>
  <si>
    <t>Nakaroz Karimi 15-Jan-2024</t>
  </si>
  <si>
    <t>Iain Herd 11-Jan-2024</t>
  </si>
  <si>
    <t>Steven Kellow 2-Jan-2024</t>
  </si>
  <si>
    <t>Steven Kellow 9-Jan-2024</t>
  </si>
  <si>
    <t>Alexander Pacifique 5-Jan-2024</t>
  </si>
  <si>
    <t>Sione Namoa 5-Jan-2024</t>
  </si>
  <si>
    <t>Kristina Ward 11 -Apr-2024</t>
  </si>
  <si>
    <t>Ruby Barr 4-Apr-2024</t>
  </si>
  <si>
    <t>Jacqueline Falani 10-Apr-2024</t>
  </si>
  <si>
    <t>Ronald Clunn 27-Mar-2024</t>
  </si>
  <si>
    <t>Troy Carver 10-Apr-2024</t>
  </si>
  <si>
    <t>Karl Meakin 10-Apr-2024</t>
  </si>
  <si>
    <t>Renee Noon 27-Mar-2024</t>
  </si>
  <si>
    <t>Niklas Brammall 16-apr-2024</t>
  </si>
  <si>
    <t>Rechella Adams 16-apr-2024</t>
  </si>
  <si>
    <t>Paul Ducat 16-apr-2024</t>
  </si>
  <si>
    <t>Chistopher Carson 09-apr-2024</t>
  </si>
  <si>
    <t>Jacobus Navde 09-apr-2024</t>
  </si>
  <si>
    <t>Kev Brown 02-apr-2024</t>
  </si>
  <si>
    <t>Ahmad Askar 16-apr-2024</t>
  </si>
  <si>
    <t>Deve Tabua 08/03/2024</t>
  </si>
  <si>
    <t>Rye Oman Palmer 15/04/2024</t>
  </si>
  <si>
    <t>Rye Oman Palmer 08/04/2024</t>
  </si>
  <si>
    <t>Simon anderson 07/03/2024</t>
  </si>
  <si>
    <t>Jasmin Cibantos-Velasques 18/04/2024</t>
  </si>
  <si>
    <t xml:space="preserve">Abeysinghe Vinindu 30/04/2024
</t>
  </si>
  <si>
    <t>Hunter Cowdy 30/04/2024</t>
  </si>
  <si>
    <t>Kev Brown30/04/2024</t>
  </si>
  <si>
    <t>Regan Stack 2/05/2024</t>
  </si>
  <si>
    <t>Atareta Wanea 02/05/2024</t>
  </si>
  <si>
    <t>Steven Moore 30/04/2024</t>
  </si>
  <si>
    <t>Robert Young 03/05/2024</t>
  </si>
  <si>
    <t>Jennifer Harley 23/04/2024</t>
  </si>
  <si>
    <t>Daniel Carnahan 23/04/2024</t>
  </si>
  <si>
    <t>grant Freund 23/04/2024</t>
  </si>
  <si>
    <t>Max Ford 23/04/2024</t>
  </si>
  <si>
    <t>paul hoelcher 7/05/204</t>
  </si>
  <si>
    <t>Harry Beduhn 07/05/2024</t>
  </si>
  <si>
    <t>Bryan Seer 26/02/2024</t>
  </si>
  <si>
    <t>Rhiannon Gintrac 22/02/2024</t>
  </si>
  <si>
    <t>Deric Mcvitty 22/02/2024</t>
  </si>
  <si>
    <t>Jack Townson 20/02/2024</t>
  </si>
  <si>
    <t>Jake McNabb 20/02/2024</t>
  </si>
  <si>
    <t>Ajnesh Achal 21/02/2024</t>
  </si>
  <si>
    <t>Jarrod Franklin 20/02/2024</t>
  </si>
  <si>
    <t>Spencer Lukey 20/02/2024</t>
  </si>
  <si>
    <t>Rechelle Adams 13/02/2024</t>
  </si>
  <si>
    <t>tiarna Sweetman 13/02/2024</t>
  </si>
  <si>
    <t>Riki Netana-patrick 12/02/2024</t>
  </si>
  <si>
    <t>Steven Keighley 08/02/2024</t>
  </si>
  <si>
    <t>Humam Wahab 06/02/2024</t>
  </si>
  <si>
    <t>Mustafa Bin Keri 06/02/2024</t>
  </si>
  <si>
    <t>John Potteparambil George 06/02/2024</t>
  </si>
  <si>
    <t>Bradley Burraston 31/01/2024</t>
  </si>
  <si>
    <t>Dwight Allison 01/02/2024</t>
  </si>
  <si>
    <t>Steven Kellow 16/05/2024</t>
  </si>
  <si>
    <t>Ruby Barr 21/05/2024</t>
  </si>
  <si>
    <t>L0</t>
  </si>
  <si>
    <t>PH/TE/2939 - Temporary Event Licence</t>
  </si>
  <si>
    <t>Melinda Hill</t>
  </si>
  <si>
    <t>041</t>
  </si>
  <si>
    <t>Environmental Health - Internal Immunisation Services</t>
  </si>
  <si>
    <t>Greg Carell 23/05/2024</t>
  </si>
  <si>
    <t>Adam Goodsir 23/05/2024</t>
  </si>
  <si>
    <t>Julia Harrison 28/05/2024</t>
  </si>
  <si>
    <t>Rebecca Martin 28/05/2024</t>
  </si>
  <si>
    <t>Floyd Foster 28/05/2024</t>
  </si>
  <si>
    <t>Annette Moratti 28/05/2024</t>
  </si>
  <si>
    <t>Stephen Zillmann 31/05/2024</t>
  </si>
  <si>
    <t>David Corney 24/05/2024</t>
  </si>
  <si>
    <t>Abey Patabendige Vinindu Rajithya 28/05/2024</t>
  </si>
  <si>
    <t>IJ069719</t>
  </si>
  <si>
    <t>Darshika</t>
  </si>
  <si>
    <t>IJ069771</t>
  </si>
  <si>
    <t>PJ</t>
  </si>
  <si>
    <t>IJ06526</t>
  </si>
  <si>
    <t>IJ069132</t>
  </si>
  <si>
    <t>IJ069127</t>
  </si>
  <si>
    <t>IJ068628</t>
  </si>
  <si>
    <t>IJ068466</t>
  </si>
  <si>
    <t>Pamela Reddy 04/06/2024</t>
  </si>
  <si>
    <t>Angela Gallardo 04/06/2024</t>
  </si>
  <si>
    <t>Jared Royall 18/06/2024</t>
  </si>
  <si>
    <t>Samantha Dillon 18/06/2024</t>
  </si>
  <si>
    <t>Rechelle Adams 18/06/2024</t>
  </si>
  <si>
    <t>Stefan Hall 18/06/2024</t>
  </si>
  <si>
    <t xml:space="preserve">Craig Delaforce 18/06/2024 </t>
  </si>
  <si>
    <t>Sonya Karlsson 22/05/2024</t>
  </si>
  <si>
    <t>Kieran Garland 17/06/2024</t>
  </si>
  <si>
    <t>Shaun Healy 03/06/2024</t>
  </si>
  <si>
    <t>Floyd Foster 29/05/2024</t>
  </si>
  <si>
    <t>Sonya Karlsson 29/05/2024</t>
  </si>
  <si>
    <t>Julia Harrison 05/06/204</t>
  </si>
  <si>
    <t>Julia Harrison 12/06/204</t>
  </si>
  <si>
    <t>Rebecca Faye Martin 10/06/2024</t>
  </si>
  <si>
    <t>Rebecca Faye Martin 03/06/2024</t>
  </si>
  <si>
    <t>David Crowe 07/06/2024</t>
  </si>
  <si>
    <t>Laureen Aylward 14/06/2024</t>
  </si>
  <si>
    <t>Jennifer Marian Gay 28/03/2024</t>
  </si>
  <si>
    <t>Troy Carver 29/04/2024</t>
  </si>
  <si>
    <t>Tiarna Sweetman 20/02/2024</t>
  </si>
  <si>
    <t>Jarren Ian Beard 14/04/2024</t>
  </si>
  <si>
    <t>Shaun Healy 10/06/2024</t>
  </si>
  <si>
    <t>Jennifer Marian Gay 21/03/2024</t>
  </si>
  <si>
    <t>Annette Moratti 25/03/2024</t>
  </si>
  <si>
    <t>Troy Carver 22/04/2024</t>
  </si>
  <si>
    <t>Tiarna Sweetman 13/02/2024</t>
  </si>
  <si>
    <t>jarren Ian Beard 08/04/2024</t>
  </si>
  <si>
    <t>Rodney Spiteri 04/04/2024</t>
  </si>
  <si>
    <t>Rodney Spiteri 28/03/2024</t>
  </si>
  <si>
    <t>Jared Royall 25/03/2024</t>
  </si>
  <si>
    <t>Jared Royall 18/03/2024</t>
  </si>
  <si>
    <t>Ruby Barr 15/04/2024</t>
  </si>
  <si>
    <t>Ruby Barr 08/04/2024</t>
  </si>
  <si>
    <t>Rechelle Peta Adams 20/02/2024</t>
  </si>
  <si>
    <t>Rechelle Peta Adams 13/02/2024</t>
  </si>
  <si>
    <t>Andrew Howard 30/04/2024</t>
  </si>
  <si>
    <t>Andrew Howard 23/04/2024</t>
  </si>
  <si>
    <t>Stefan Hall 22/03/2024</t>
  </si>
  <si>
    <t>Stefan Hall 15/03/2024</t>
  </si>
  <si>
    <t>Ethan Goodship 15/03/2024</t>
  </si>
  <si>
    <t>Annette Moratti 01/04/2024</t>
  </si>
  <si>
    <t>Steven jeffret Keighley 08/02/2024</t>
  </si>
  <si>
    <t xml:space="preserve">Troy Lee 18/03/2024 </t>
  </si>
  <si>
    <t>Steven Stewart Kellow 02/01/2024</t>
  </si>
  <si>
    <t>Christopher Preddice 10/04/2024</t>
  </si>
  <si>
    <t>Jacobus Naude 09/04/2024</t>
  </si>
  <si>
    <t>Regan Stack 06/06/2024</t>
  </si>
  <si>
    <t>Simon Anderson 06/06/2024</t>
  </si>
  <si>
    <t>Kimi harrod 06/06/2024</t>
  </si>
  <si>
    <t>David Crowe 14/06/2024</t>
  </si>
  <si>
    <t>1-17701-73115</t>
  </si>
  <si>
    <t>1-17701-73115+B67:O68</t>
  </si>
  <si>
    <t>Julia Harrison 25/06/2024</t>
  </si>
  <si>
    <t>Lauren Aylward 25/06/2024</t>
  </si>
  <si>
    <t>Ravi Pillay 25/06/2024</t>
  </si>
  <si>
    <t>David Corney 21/06/2024</t>
  </si>
  <si>
    <t>Bobby Motufoaki 21/06/2024</t>
  </si>
  <si>
    <t>Phoebe Morgan 26/06/2024</t>
  </si>
  <si>
    <t>Lauren Aylward 24/06/2024</t>
  </si>
  <si>
    <t>EY552833</t>
  </si>
  <si>
    <t>1-19991-7B123</t>
  </si>
  <si>
    <t>1-17971-7B123</t>
  </si>
  <si>
    <t>Beenleigh Events Centre - Renewal (Venue &amp; Events)</t>
  </si>
  <si>
    <t>Logan Entertainmment centure Licence renewal (Venue &amp; Events</t>
  </si>
  <si>
    <t>Community Infrastructure licence renewal (Venue &amp; Events - Leisure Centres)</t>
  </si>
  <si>
    <t>Logan North Aquatic &amp; Fitness Centre (Venue &amp; Events - Leisure Centres)</t>
  </si>
  <si>
    <t>Robert Nay Memorial Swimming Pool Renewal (Venue &amp; Events - Leisure Centres)</t>
  </si>
  <si>
    <t>Aqualogan Springwood - renewal (Venue &amp; Events - Leisure Centres)</t>
  </si>
  <si>
    <t>The basement  licence renewal (Venue &amp; Events)</t>
  </si>
  <si>
    <t>Bradley Burraston 09/07/2024</t>
  </si>
  <si>
    <t>Angela Gallardo 18/07/2024</t>
  </si>
  <si>
    <t>Wayne Lawerence 03/07/2024</t>
  </si>
  <si>
    <t>Samantha Dillon 16/07/2024</t>
  </si>
  <si>
    <t>Peter Proctor 09/07/2024</t>
  </si>
  <si>
    <t>Zenovii Mackenzie 09/07/2024</t>
  </si>
  <si>
    <t>Kelly Shaw 25/06/2024</t>
  </si>
  <si>
    <t>Kieran Garland  24/06/2024</t>
  </si>
  <si>
    <t>Kelly Shaw 17/06/2024</t>
  </si>
  <si>
    <t>Rodney Spiteri 2/07/2024</t>
  </si>
  <si>
    <t>Sophea Madison 30/07/2024</t>
  </si>
  <si>
    <t>Ryan Smith 30/07/2024</t>
  </si>
  <si>
    <t>Carlie Low 30/07/2024</t>
  </si>
  <si>
    <t>Susantha Moragodage Pinto 20/07/2024</t>
  </si>
  <si>
    <t>Micheal Kavanaugh 24/07/2024</t>
  </si>
  <si>
    <t>Renee Hoyle 05/08/2024</t>
  </si>
  <si>
    <t>Kurt Schloss 06/08/2024</t>
  </si>
  <si>
    <t>Wayne Lawrence 06/08/2024</t>
  </si>
  <si>
    <t>Stuart Timmis 06/08/2024</t>
  </si>
  <si>
    <t>Zenovii Mackenzie 06/08/2024</t>
  </si>
  <si>
    <t>Steven Kellow 08/08/2024</t>
  </si>
  <si>
    <t>Pierre Karroum 09/08/2024</t>
  </si>
  <si>
    <t>Salim Rane 13/08/2024</t>
  </si>
  <si>
    <t>Alexander Pacifique 14/08/2024</t>
  </si>
  <si>
    <t xml:space="preserve">1-17701-73115 </t>
  </si>
  <si>
    <t>IJ070259</t>
  </si>
  <si>
    <t>Troy Allen 21/08/2024</t>
  </si>
  <si>
    <t>Simon Anderson 22/08/2024</t>
  </si>
  <si>
    <t>Luke Rooney 26/08/2024</t>
  </si>
  <si>
    <t>Sophea Madison 27/08/2024</t>
  </si>
  <si>
    <t>Brett Barker 27/08/2024</t>
  </si>
  <si>
    <t>Jake McNabb 05/09/2024</t>
  </si>
  <si>
    <t>Troy Carver 03/09/2024</t>
  </si>
  <si>
    <t>Dean McDonald 03/09/2024</t>
  </si>
  <si>
    <t>Salim Rane 10/09/2024</t>
  </si>
  <si>
    <t>Jacobus Naude 10/09/2024</t>
  </si>
  <si>
    <t>Brett Barker 10/09/2024</t>
  </si>
  <si>
    <t>Jack Ryan 10/09/2024</t>
  </si>
  <si>
    <t>William Taylor 10/09/2024</t>
  </si>
  <si>
    <t>Eloise James 12/09/2024</t>
  </si>
  <si>
    <t>Mathew Arnold 24/09/2024</t>
  </si>
  <si>
    <t>Rye Palmer 19/09/2024</t>
  </si>
  <si>
    <t>Paul Nielsen 20/09/2024</t>
  </si>
  <si>
    <t>Lilly Swayn 1/10/2024</t>
  </si>
  <si>
    <t>Dean McDonald 1/10/2024</t>
  </si>
  <si>
    <t>David Licht 27/09/2024</t>
  </si>
  <si>
    <t>Shawn Luxford 26/09/2024</t>
  </si>
  <si>
    <t>Environmental Health Licence</t>
  </si>
  <si>
    <t>PH/MKTS/1945 - Amendment application</t>
  </si>
  <si>
    <t>Economic Development &amp; City Planning</t>
  </si>
  <si>
    <t>Geoff Wilkinson</t>
  </si>
  <si>
    <t>1-18401-7B123</t>
  </si>
  <si>
    <t>100002-200-7B123</t>
  </si>
  <si>
    <t>1-17731-7B123</t>
  </si>
  <si>
    <t>1-17871-7B123</t>
  </si>
  <si>
    <t xml:space="preserve">1-E0092-73128 </t>
  </si>
  <si>
    <t>Tessa Sells 3/10/2024</t>
  </si>
  <si>
    <t>Andrew Howard 3/10/2024</t>
  </si>
  <si>
    <t>IJ070740</t>
  </si>
  <si>
    <t>Brett Barker 8/10/2024</t>
  </si>
  <si>
    <t>Ravindran Pillay 24/06/2024</t>
  </si>
  <si>
    <t>Ravindran Pillay  1/07/2024</t>
  </si>
  <si>
    <t>Sophea Madison 18/07/2024</t>
  </si>
  <si>
    <t>Sophea Madison 11/07/2024</t>
  </si>
  <si>
    <t>Stewart Macdonald 3/07/2024</t>
  </si>
  <si>
    <t>Stewart Macdonald 26/06/2024</t>
  </si>
  <si>
    <t>Aiden James Layton Harker 12/07/2024</t>
  </si>
  <si>
    <t>Aiden James Layton Harker 5/07/2024</t>
  </si>
  <si>
    <t>Regan Stack 18/06/2024</t>
  </si>
  <si>
    <t>Carlie Low 1/07/2024</t>
  </si>
  <si>
    <t>Jaqueline Falani 04/10/2024</t>
  </si>
  <si>
    <t>Layth Angus 09/10/2024</t>
  </si>
  <si>
    <t>Sione Holaafolau 15/10/2024</t>
  </si>
  <si>
    <t>Jared Royall 15/10/2024</t>
  </si>
  <si>
    <t xml:space="preserve">Rechelle Adams 15/10/2024 </t>
  </si>
  <si>
    <t>Kevin Brown 15/10/2024</t>
  </si>
  <si>
    <t>Dhammika Herath 22/10/2024</t>
  </si>
  <si>
    <t>Christopher Preddice 22/10/2024</t>
  </si>
  <si>
    <t>Toni-Sarria Hillman 26/09/2024</t>
  </si>
  <si>
    <t>David Licht 24/09/2024</t>
  </si>
  <si>
    <t>Shawn Luxford 24/09/20224</t>
  </si>
  <si>
    <t>Shawn Luxford 23/09/20224</t>
  </si>
  <si>
    <t>Shane Leota 18/09/2024</t>
  </si>
  <si>
    <t>Ryan Smith 09/09/2024</t>
  </si>
  <si>
    <t xml:space="preserve">Kai Bernard 04/09/2024 </t>
  </si>
  <si>
    <t>Brett Barker 02/09/2024</t>
  </si>
  <si>
    <t>Dean McDonald 02/09/2024</t>
  </si>
  <si>
    <t>Samuel McFallan 03/09/2024</t>
  </si>
  <si>
    <t>Rebecca Martin 03/09/2024</t>
  </si>
  <si>
    <t>Samuel Weiss 30/09/2024</t>
  </si>
  <si>
    <t>Shane Leota 30/09/2024</t>
  </si>
  <si>
    <t xml:space="preserve">Sophea Madison 11/07/2024 </t>
  </si>
  <si>
    <t>Shawn Luxford 24/10/2024</t>
  </si>
  <si>
    <t>Sayed Hossain 24/10/2024</t>
  </si>
  <si>
    <t>Benjamin Tabuwaitui 24/10/2024</t>
  </si>
  <si>
    <t>Sonya Karlsson 29/10/2024</t>
  </si>
  <si>
    <t>Mark Bayes 28/10/2024</t>
  </si>
  <si>
    <t>Dhammika Herath 5/11/2024</t>
  </si>
  <si>
    <t>Sione Holaafolau 12/11/2024</t>
  </si>
  <si>
    <t>Paul Ducat 12/11/2024</t>
  </si>
  <si>
    <t>Karen Hardiman 12/11/2024</t>
  </si>
  <si>
    <t>Mustafa Bin Keri 12/11/2024</t>
  </si>
  <si>
    <t>Jack Ryan 12/11/2024</t>
  </si>
  <si>
    <t>Kaja Thompson 21/11/2024</t>
  </si>
  <si>
    <t>Jennifer Harley 26/11/2024</t>
  </si>
  <si>
    <t>Sonya Karlsson 26/11/2024</t>
  </si>
  <si>
    <t>George Kunowski 26/11/2024</t>
  </si>
  <si>
    <t>William Fakaosi 26/11/2024</t>
  </si>
  <si>
    <t>Sam Mcfallan 26/11/2024</t>
  </si>
  <si>
    <t>Julia Harrison 26/11/2024</t>
  </si>
  <si>
    <t>Adam McDonald 26/11/2024</t>
  </si>
  <si>
    <t>Annette Moratti 26/11/2024</t>
  </si>
  <si>
    <t>Dhammika Herath 25/10/2024</t>
  </si>
  <si>
    <t>Lale Rogeon 21/10/2024</t>
  </si>
  <si>
    <t>Zachary Whiteman 15/10/2024</t>
  </si>
  <si>
    <t>Jacobus Naude 16/11/2024</t>
  </si>
  <si>
    <t>Toni-Sarria Hillman 10/10/2024</t>
  </si>
  <si>
    <t>Lilly Swayn 3/10/2024</t>
  </si>
  <si>
    <t>Tian Lim 2/10/2024</t>
  </si>
  <si>
    <t>Kirsten Armstrong 27/11/2024</t>
  </si>
  <si>
    <t>Brett Barker 2/09/2024</t>
  </si>
  <si>
    <t>Dean Mcdonald 2/09/2024</t>
  </si>
  <si>
    <t>Alexander Pacifique 3/12/2024</t>
  </si>
  <si>
    <t>Adam Mcdonald 3/12/2024</t>
  </si>
  <si>
    <t>Eltayeb Koko 3/12/2024</t>
  </si>
  <si>
    <t>Shane Leota 26/09/2024</t>
  </si>
  <si>
    <t>David Licht 29/09/2024</t>
  </si>
  <si>
    <t>Shawn Luxford 01/10/2024</t>
  </si>
  <si>
    <t>Kai Bernard 11/09/2024</t>
  </si>
  <si>
    <t>lilly Swayn 10/10/2024</t>
  </si>
  <si>
    <t>Kai Bernard 04/09/2024</t>
  </si>
  <si>
    <t>Shawn Luxford 24/09/2024</t>
  </si>
  <si>
    <t>IJ070985</t>
  </si>
  <si>
    <t>Navneeta</t>
  </si>
  <si>
    <t>IJ070658</t>
  </si>
  <si>
    <t>IJ071127</t>
  </si>
  <si>
    <t>Ronald Clunn 26/11/2024</t>
  </si>
  <si>
    <t>Joanna Wall 26/11/2024</t>
  </si>
  <si>
    <t>Kevin Brown 22/11/2024</t>
  </si>
  <si>
    <t>Tyler Baker 26/11/2024</t>
  </si>
  <si>
    <t>Kirsten Armstrong 22/11/2024</t>
  </si>
  <si>
    <t>Shane Marshall 21/11/2024</t>
  </si>
  <si>
    <t>Stefan Hall 15/11/2024</t>
  </si>
  <si>
    <t>Natalie Cooper 11/11/2024</t>
  </si>
  <si>
    <t>Paul Nielsen 30/10/2024</t>
  </si>
  <si>
    <t>David Corney 29/11/2024</t>
  </si>
  <si>
    <t>Sayed Hossian 4/12/2024</t>
  </si>
  <si>
    <t>Nixon Bryce 9/12/2024</t>
  </si>
  <si>
    <t>Salim Ismail Rane 9/12/2024</t>
  </si>
  <si>
    <t>Joanna Wall 10/12/2024</t>
  </si>
  <si>
    <t>Tyler Baker 10/12/2024</t>
  </si>
  <si>
    <t>Emilio Klobucar 17/12/2024</t>
  </si>
  <si>
    <t>Stefan Hall 17/12/2024</t>
  </si>
  <si>
    <t>Donna Crowe 17/12/2024</t>
  </si>
  <si>
    <t>Mustafa bin keri 17/12/2024</t>
  </si>
  <si>
    <t>Karen Hardiman 17/12/2024</t>
  </si>
  <si>
    <t>Clement Durant 17/12/2024</t>
  </si>
  <si>
    <t>Ruby Barr 12/12/2024</t>
  </si>
  <si>
    <t>Scott Gratten 06/12/2024</t>
  </si>
  <si>
    <t>Salim Ismail Rane16/12/2024</t>
  </si>
  <si>
    <t>Nixon Bryce16/12/2024</t>
  </si>
  <si>
    <t>Sayed Hossian11/12/2024</t>
  </si>
  <si>
    <t>Justin Burgess 18/12/2024</t>
  </si>
  <si>
    <t>Renee Kelly 19/12/2024</t>
  </si>
  <si>
    <t>Scott Rigby 20/12/2024</t>
  </si>
  <si>
    <t>Hunter Gowdy 12/12/2024</t>
  </si>
  <si>
    <t>Adrian Engler 16/12/2024</t>
  </si>
  <si>
    <t>Joanna Wall 6/12/2024</t>
  </si>
  <si>
    <t>Zac Whiteman 22/10/2024</t>
  </si>
  <si>
    <t>Zac Whiteman 15/10/2024</t>
  </si>
  <si>
    <t>Toni-Sarria Hillman 9/10/2024</t>
  </si>
  <si>
    <t>Tyler Baker 6/12/2024</t>
  </si>
  <si>
    <t>John Brady 5/12/2024</t>
  </si>
  <si>
    <t>Jason Crockett 5/12/2024</t>
  </si>
  <si>
    <t>Atareta Wanoa 6/12/2024</t>
  </si>
  <si>
    <t>Tian Lim 2/12/2024</t>
  </si>
  <si>
    <t>Eltayeb Hammad 3/12/2024</t>
  </si>
  <si>
    <t>Carissa Blackaby 3/12/2024</t>
  </si>
  <si>
    <t>Shane Marshall 28/11/2024</t>
  </si>
  <si>
    <t>Abelardo Vicente 29/11/2024</t>
  </si>
  <si>
    <t>Kirsten Armstrong 29/11/2024</t>
  </si>
  <si>
    <t>George Kunowski 28/11/2024</t>
  </si>
  <si>
    <t>Kirsten Armstrong 9/01/2025</t>
  </si>
  <si>
    <t>Paul Roser 10/01/2025</t>
  </si>
  <si>
    <t>Shannon Fisher 11/01/2025</t>
  </si>
  <si>
    <t>Alexander Vanek 14/01/2025</t>
  </si>
  <si>
    <t>Cameron Williamson 14/01/2025</t>
  </si>
  <si>
    <t>Adam McDonald 14/01/2025</t>
  </si>
  <si>
    <t>Clyde Powys 14/01/2025</t>
  </si>
  <si>
    <t>Paul Roser 14/01/2025</t>
  </si>
  <si>
    <t>IJ071411</t>
  </si>
  <si>
    <t>Navneeta Prasad</t>
  </si>
  <si>
    <t>Kirsten Armstrong 6/12/2024</t>
  </si>
  <si>
    <t>Stewart McDonald 26/06/2024</t>
  </si>
  <si>
    <t>Laureen Aylward 21/06/2024</t>
  </si>
  <si>
    <t xml:space="preserve">Kieran Garland 17/06/2024 </t>
  </si>
  <si>
    <t>Anne Day 19/06/2024</t>
  </si>
  <si>
    <t>Daniel O'Brian 07/06/2024</t>
  </si>
  <si>
    <t>Julia Harrison 05/06/2024</t>
  </si>
  <si>
    <t xml:space="preserve">Thomas Halloran 31/05/2024 </t>
  </si>
  <si>
    <t xml:space="preserve">Shaun Healy 03/06/2024 </t>
  </si>
  <si>
    <t>David Crowe 31/05/2024</t>
  </si>
  <si>
    <t>Ravindran Pillay 24/07/2024</t>
  </si>
  <si>
    <t>Luke Rooney 17/07/2024</t>
  </si>
  <si>
    <t>Jean Nizeymana 18/07/2024</t>
  </si>
  <si>
    <t>Simon Anderson 17/07/2024</t>
  </si>
  <si>
    <t>Jean Nizeymana 15/07/2024</t>
  </si>
  <si>
    <t>Megan Macdonald 11/07/2024</t>
  </si>
  <si>
    <t>Keith Hope 11/07/2024</t>
  </si>
  <si>
    <t xml:space="preserve">Oscar Ndayemera 09/07/2024 </t>
  </si>
  <si>
    <t>Megan Macdonald 05/07/2024</t>
  </si>
  <si>
    <t xml:space="preserve">Carlie Low 01/07/2024 </t>
  </si>
  <si>
    <t>Christopher Carson 03/07/2024</t>
  </si>
  <si>
    <t>Renee Kelly 03/07/2024</t>
  </si>
  <si>
    <t xml:space="preserve">Kimberley Howard 28/06/2024 </t>
  </si>
  <si>
    <t>William Fakaosi 27/08/2024</t>
  </si>
  <si>
    <t xml:space="preserve">Brett Barker 27/08/2024 </t>
  </si>
  <si>
    <t>Dean Mcdonald 27/08/2024</t>
  </si>
  <si>
    <t>Samuel Weiss 27/08/2024</t>
  </si>
  <si>
    <t>Jessica Pollard 19/08/2024</t>
  </si>
  <si>
    <t>Eloise James 16/08/2024</t>
  </si>
  <si>
    <t xml:space="preserve">Paul Nielson 16/08/2024 </t>
  </si>
  <si>
    <t>Stuart Timmis 14/08/2024</t>
  </si>
  <si>
    <t>Tobias Benjamin 16/08/2024</t>
  </si>
  <si>
    <t xml:space="preserve">Reddy Pamela 14/08/2024 </t>
  </si>
  <si>
    <t>Nicole Silipa 08/08/2024</t>
  </si>
  <si>
    <t>Niklas Brammall 06/08/2024</t>
  </si>
  <si>
    <t>Nicole Silipa 02/08/2024</t>
  </si>
  <si>
    <t xml:space="preserve">Salim Rane 01/08/2024 </t>
  </si>
  <si>
    <t>Wayne Lawrence 29/07/2024</t>
  </si>
  <si>
    <t>Stuart Timmis 30/07/2024</t>
  </si>
  <si>
    <t xml:space="preserve">Riki Netana-Patrick 25/07/2024 </t>
  </si>
  <si>
    <t xml:space="preserve">Toni-Sarria Hillman 26/09/2024 </t>
  </si>
  <si>
    <t>David Light 24/09/2024</t>
  </si>
  <si>
    <t>Shawn Luxford 23/09/2024</t>
  </si>
  <si>
    <t xml:space="preserve">Brett Barker 02/09/2024 </t>
  </si>
  <si>
    <t>Dean Mcdonald 02/09/2024</t>
  </si>
  <si>
    <t>Rebecca Martin 03/06/2024</t>
  </si>
  <si>
    <t>Samuel Weiss 30/08/2024</t>
  </si>
  <si>
    <t>Shane Leota 30/08/2024</t>
  </si>
  <si>
    <t>James Luu 23/01/2025</t>
  </si>
  <si>
    <t>Christopher Fowler 21/01/2025</t>
  </si>
  <si>
    <t>Damien Guard 21/01/2025</t>
  </si>
  <si>
    <t>Luke Rooney 30/01/2025</t>
  </si>
  <si>
    <t>IJ071455</t>
  </si>
  <si>
    <t>CS/HRISK/184 - internal invoice for high risk application</t>
  </si>
  <si>
    <t xml:space="preserve">11/02/2025 Alice Hinton </t>
  </si>
  <si>
    <t xml:space="preserve">1-18551-73211 </t>
  </si>
  <si>
    <t>Zhi Cai 22/01/2025</t>
  </si>
  <si>
    <t>Natalie Marshall 23/01/2025</t>
  </si>
  <si>
    <t>Aleisha Bailey 23/01/2025</t>
  </si>
  <si>
    <t>Sione Holaafolau 21/01/2025</t>
  </si>
  <si>
    <t>Bradley Burraston 22/01/2025</t>
  </si>
  <si>
    <t>Tyler Baker 21/01/2025</t>
  </si>
  <si>
    <t>Billy Bevan 15/01/2025</t>
  </si>
  <si>
    <t>Steven Weaver 16/01/2025</t>
  </si>
  <si>
    <t>Christian Fowler 15/01/2025</t>
  </si>
  <si>
    <t>James Condell 15/01/2025</t>
  </si>
  <si>
    <t>Alexander Pacifique 14/01/2025</t>
  </si>
  <si>
    <t>David Corney 09/01/2025</t>
  </si>
  <si>
    <t>Damien Guard 08/01/2025</t>
  </si>
  <si>
    <t>Clyde Powys 07/01/2025</t>
  </si>
  <si>
    <t>Paul Roser 03/01/2025</t>
  </si>
  <si>
    <t>preferred name: Sage Cai</t>
  </si>
  <si>
    <t>Natalie Marshall 30/01/2025</t>
  </si>
  <si>
    <t>Sophea Madison 04/02/2025</t>
  </si>
  <si>
    <t>Colin Barton 04/02/2025</t>
  </si>
  <si>
    <t>Gibson Kelly 04/02/2025</t>
  </si>
  <si>
    <t>Shiara Adamson 04/02/2025</t>
  </si>
  <si>
    <t>Megan Jacobson 04/02/2025</t>
  </si>
  <si>
    <t xml:space="preserve">Jake Deans 06/02/2025 </t>
  </si>
  <si>
    <t>Salim Rane 11/02/2025</t>
  </si>
  <si>
    <t>Deve Tabua 11/02/2025</t>
  </si>
  <si>
    <t>James Condell 11/02/2025</t>
  </si>
  <si>
    <t>Paul Roser 11/02/2025</t>
  </si>
  <si>
    <t>Zenovii Mackenzie 11/02/2025</t>
  </si>
  <si>
    <t>Damien Guard 18/02/2025</t>
  </si>
  <si>
    <t>Luke Rooney 27/02/2025</t>
  </si>
  <si>
    <t>Zhi Cai20/02/2025</t>
  </si>
  <si>
    <t>Darren Ryan 20/02/2025</t>
  </si>
  <si>
    <t>IJ071643</t>
  </si>
  <si>
    <t>John Somerville 18/03/2025</t>
  </si>
  <si>
    <t>Brett Barker 18/03/2025</t>
  </si>
  <si>
    <t>Matthew O'Hearn 18/03/2025</t>
  </si>
  <si>
    <t>Samuel Puplett 04/03/2025</t>
  </si>
  <si>
    <t>Megan Jacobson 04/03/2025</t>
  </si>
  <si>
    <t>Jonathan Mahony 04/03/2025</t>
  </si>
  <si>
    <t>Beau Watson 24/02/2025</t>
  </si>
  <si>
    <t>IJ071128</t>
  </si>
  <si>
    <t>IJ071728</t>
  </si>
  <si>
    <t>Cynthia Han</t>
  </si>
  <si>
    <t>Tyler Baker 06/12/2024</t>
  </si>
  <si>
    <t>Jason Crockett 05/12/2024</t>
  </si>
  <si>
    <t>SioneHolaafolau 28/01/2025</t>
  </si>
  <si>
    <t>Tyler Baker 13/12/2024</t>
  </si>
  <si>
    <t>Jason Crockett 12/12/2024</t>
  </si>
  <si>
    <t>Jake Deans 12/02/2025</t>
  </si>
  <si>
    <t>Sion Holaafolau 21/01/2025</t>
  </si>
  <si>
    <t>David Corney 25/03/2025</t>
  </si>
  <si>
    <t>Mark Bayes 25/03/2025</t>
  </si>
  <si>
    <t>Che Caldwell 17/03/2025</t>
  </si>
  <si>
    <t>James Condell 27/03/2025</t>
  </si>
  <si>
    <t>Lachlan Peebles 25/03/2025</t>
  </si>
  <si>
    <t>Tessa Sells 03/03/2025</t>
  </si>
  <si>
    <t>Lachlan Peebles 3/04/2025</t>
  </si>
  <si>
    <t>Shawn Luxford 03/04/2025</t>
  </si>
  <si>
    <t>Christopher Greaves 04/04/2025</t>
  </si>
  <si>
    <t>Robby Lockett 08/04/2025</t>
  </si>
  <si>
    <t>Charmah Kendrick 08/04/2025</t>
  </si>
  <si>
    <t>Gabi Crowe 08/04/2025</t>
  </si>
  <si>
    <t>William Taylor 08/04/2025</t>
  </si>
  <si>
    <t>Antony Crowden 08/04/2025</t>
  </si>
  <si>
    <t>Darren Ryan 1/04/2025</t>
  </si>
  <si>
    <t>Lilly Swayn 01/04/2025</t>
  </si>
  <si>
    <t>Samuel Puplett 01/04/2025</t>
  </si>
  <si>
    <t>Michael Byng 01/04/2025</t>
  </si>
  <si>
    <t>Amanda Inshull 01/04/2025</t>
  </si>
  <si>
    <t>Sharmah Kendrick 01/04/2025</t>
  </si>
  <si>
    <t>Jasmin Cibantos-Velasquez  01/04/2025</t>
  </si>
  <si>
    <t>David Licht 02/04/2025</t>
  </si>
  <si>
    <t>Sione Holaafolau 15/04/2025</t>
  </si>
  <si>
    <t>John Somerville 15/04/2025</t>
  </si>
  <si>
    <t>Stephen Tootell 15/04/2025</t>
  </si>
  <si>
    <t>Joshua McDermott 16/04/2025</t>
  </si>
  <si>
    <t>Michael Brown 22/04/2025</t>
  </si>
  <si>
    <t>William Taylor 09/04/2025</t>
  </si>
  <si>
    <t>Brett Morton 09/04/2025</t>
  </si>
  <si>
    <t>IJ072089</t>
  </si>
  <si>
    <t>Brett Morton 17/04/2025</t>
  </si>
  <si>
    <t>Anthony Wood 23/04/2025</t>
  </si>
  <si>
    <t>Steve Weaver 7/04/2025</t>
  </si>
  <si>
    <t>Steve Weaver 28/04/2025</t>
  </si>
  <si>
    <t>Christopher Greaves 16/04/2025</t>
  </si>
  <si>
    <t>William Taylor 17/04/2025</t>
  </si>
  <si>
    <t>Brett Morton 24/04/2025</t>
  </si>
  <si>
    <t>Sonya Karlsson 29/04/2025</t>
  </si>
  <si>
    <t>Anthony Wood 29/04/2025</t>
  </si>
  <si>
    <t>Abeysinghe Patabendige Vinindu Rajithya 29/04/2025</t>
  </si>
  <si>
    <t>Jasmin Cibantos-Velasquez  29/04/2025</t>
  </si>
  <si>
    <t>IJ072295</t>
  </si>
  <si>
    <t>26.05.2025</t>
  </si>
  <si>
    <t>1-L0041</t>
  </si>
  <si>
    <t>LEAF Event Licence</t>
  </si>
  <si>
    <t>26/05/2025 - Emma Schmidt</t>
  </si>
  <si>
    <t>Anthony Wood 30/04/2025</t>
  </si>
  <si>
    <t>Deve Tabua 31/03/2025</t>
  </si>
  <si>
    <t>Chistopher Greaves 31/03/2025</t>
  </si>
  <si>
    <t>Sharmah Kendrick 1/04/2025</t>
  </si>
  <si>
    <t>Hellana Kendrick 2/04/2025</t>
  </si>
  <si>
    <t>Brett Morton 08/04/2025</t>
  </si>
  <si>
    <t>Salim Rane 08/04/2025</t>
  </si>
  <si>
    <t>Stephen Tootell 08/04/2025</t>
  </si>
  <si>
    <t>Kristan Graham 08/04/2025</t>
  </si>
  <si>
    <t>Shane Moir 08/04/2025</t>
  </si>
  <si>
    <t>Michael Brown 08/04/2025</t>
  </si>
  <si>
    <t>Joshua McDermott 09/04/2025</t>
  </si>
  <si>
    <t>Steven Weaver 07/04/2025</t>
  </si>
  <si>
    <t xml:space="preserve">Mikael Ooi 11/04/2025 </t>
  </si>
  <si>
    <t xml:space="preserve">Kehinde Owolabi 17/04/2025 </t>
  </si>
  <si>
    <t>Nick Tzannes 22/04/2025</t>
  </si>
  <si>
    <t xml:space="preserve">Anthony Wood 23/04/2025 </t>
  </si>
  <si>
    <t xml:space="preserve">Kehinde Owolabi 23/04/2025 </t>
  </si>
  <si>
    <t>Andrew Howard 1/05/2025</t>
  </si>
  <si>
    <t>Hellana Renton 06/05/2025</t>
  </si>
  <si>
    <t>Salim Rane 06/05/2025</t>
  </si>
  <si>
    <t>Troy Carver 06/05/2025</t>
  </si>
  <si>
    <t>Will Garlic 07/05/2025</t>
  </si>
  <si>
    <t>Karen Hardiman 13/05/2025</t>
  </si>
  <si>
    <t>Mustafa Bin Ken 13/05/2025</t>
  </si>
  <si>
    <t>Stephan Tootell 13/05/2025</t>
  </si>
  <si>
    <t>Dhaminika Herath 13/05/2025</t>
  </si>
  <si>
    <t>Sharmah Kendrick 13/05/2025</t>
  </si>
  <si>
    <t>Hellana Renton 13/05/2025</t>
  </si>
  <si>
    <t>Christopher Greaves 14/05/2025</t>
  </si>
  <si>
    <t xml:space="preserve">Kehinda Owolabi 16/05/2025 </t>
  </si>
  <si>
    <t>Tane Holley 20/05/2025</t>
  </si>
  <si>
    <t>J.D Christ 20/05/2025</t>
  </si>
  <si>
    <t>Richard Laughlin 20/05/2025</t>
  </si>
  <si>
    <t>Christopher Greaves 21/05/2025</t>
  </si>
  <si>
    <t>Hellana Renton 26/05/2025</t>
  </si>
  <si>
    <t>William Fakaosi 27/05/2025</t>
  </si>
  <si>
    <t>Sam McFallan 27/05/2025</t>
  </si>
  <si>
    <t>Amanda Minshull 27/05/2025</t>
  </si>
  <si>
    <t>Aaron Mcdougall 27/05/2025</t>
  </si>
  <si>
    <t>Sharnee Muller 27/05/2025</t>
  </si>
  <si>
    <t>Andrea Levai 27/05/2025</t>
  </si>
  <si>
    <t>IJ072372</t>
  </si>
  <si>
    <t>HCC</t>
  </si>
  <si>
    <t>William Fakaosi 11/06/2025</t>
  </si>
  <si>
    <t>JD Christ 11/06/2025</t>
  </si>
  <si>
    <t>Adam Mcdonald-Price 11/06/2025</t>
  </si>
  <si>
    <t>Benjamin Tabuwauitui 06/06/2025</t>
  </si>
  <si>
    <t>Sharnee Jade Muller 28/05/2025</t>
  </si>
  <si>
    <t>Adam Mcdonald-Price 4/06/2025</t>
  </si>
  <si>
    <t>Samuel Andrew Mcfallan 05/06/2025</t>
  </si>
  <si>
    <t>Tane Holley 05/06/2025</t>
  </si>
  <si>
    <t>JD Christ 04/06/2025</t>
  </si>
  <si>
    <t>William Fakaosi 03/06/2025</t>
  </si>
  <si>
    <t>Tane Holley 28/05/2025</t>
  </si>
  <si>
    <t>Samuel Andrew Mcfallan 29/05/2025</t>
  </si>
  <si>
    <t>John Sommerville 03/06/2025</t>
  </si>
  <si>
    <t>John Sommerville 27/05/2025</t>
  </si>
  <si>
    <t>Luke Chester-Mmaster 11/06/2025</t>
  </si>
  <si>
    <t xml:space="preserve">Stuart Timmis 10/06/2025 </t>
  </si>
  <si>
    <t>Tyler Baker 10/06/2025</t>
  </si>
  <si>
    <t>Natus Barned 10/06/2025</t>
  </si>
  <si>
    <t>Trevor Kenapi 10/06/2025</t>
  </si>
  <si>
    <t>Hellana Renton 03/06/2025</t>
  </si>
  <si>
    <t>Nick Tzannes 03/06/2025</t>
  </si>
  <si>
    <t>Adam Mcdonald 03/06/2025</t>
  </si>
  <si>
    <t>Kristen Graham 03/06/2025</t>
  </si>
  <si>
    <t>Aleisha Bailey 03/06/2025</t>
  </si>
  <si>
    <t>Kerri Watton 03/06/2025</t>
  </si>
  <si>
    <t>John Brady 03/06/2025</t>
  </si>
  <si>
    <t>Ruby Barr 03/06/2025</t>
  </si>
  <si>
    <t>Matthew Beale 17/06/2025</t>
  </si>
  <si>
    <t>JD Christ 17/06/2025</t>
  </si>
  <si>
    <t>Troy Carver 17/06/2025</t>
  </si>
  <si>
    <t>Brooke Griffin 17/06/2025</t>
  </si>
  <si>
    <t>Nicole Silipa 17/06/2025</t>
  </si>
  <si>
    <t>Joe Groffman 12/06/2025</t>
  </si>
  <si>
    <t>Sione Holaafolau 26/05/2025</t>
  </si>
  <si>
    <t>Sharnee Muller 20/05/2025</t>
  </si>
  <si>
    <t>Luke Chester-Master 20/05/2025</t>
  </si>
  <si>
    <t>Richard Loughlin 20/05/2025</t>
  </si>
  <si>
    <t>Phillip Nash 16/05/2025</t>
  </si>
  <si>
    <t>Hellan Renton 13/05/2025</t>
  </si>
  <si>
    <t>Shawn Luxford 10/05/2025</t>
  </si>
  <si>
    <t>Zenovii Mackenzie 02/05/2025</t>
  </si>
  <si>
    <t>Will Garlick 30/04/2025</t>
  </si>
  <si>
    <t>David Corney 28/04/2025</t>
  </si>
  <si>
    <t>Kristin Graham 11/06/2025</t>
  </si>
  <si>
    <t>Graeme Gray 10/06/2025</t>
  </si>
  <si>
    <t>Michael Brown 9/06/2025</t>
  </si>
  <si>
    <t>Khile Morisset 24/06/2025</t>
  </si>
  <si>
    <t>Sharnee Muller 24/06/2025</t>
  </si>
  <si>
    <t>Sayed Hossain 19/06/2025</t>
  </si>
  <si>
    <t>Brett Morton 26/06/2025</t>
  </si>
  <si>
    <t>Renee Hoyle 30/06/2025</t>
  </si>
  <si>
    <t>Khile Morisset 23/06/2025</t>
  </si>
  <si>
    <t>Thomas Goldsmith 23/06/2025</t>
  </si>
  <si>
    <t>EY553337</t>
  </si>
  <si>
    <t>Sharnee Jade Muller 18/06/2025</t>
  </si>
  <si>
    <t>Jacobus Naude 23/06/2025</t>
  </si>
  <si>
    <t>Vinindu Rajithya Abeysinghe Patabendige 23/06/2025</t>
  </si>
  <si>
    <t>Matthew Bond 2/07/2025</t>
  </si>
  <si>
    <t>Adam Goodsir 3/07/2025</t>
  </si>
  <si>
    <t>Jared Royall 8/07/2025</t>
  </si>
  <si>
    <t>Aidan Francis 8/07/2025</t>
  </si>
  <si>
    <t>Mario Bandic 8/07/2025</t>
  </si>
  <si>
    <t>Shiara Adamson 8/07/2025</t>
  </si>
  <si>
    <t>Benjamin Tabuwaitui 8/07/2025</t>
  </si>
  <si>
    <t>Deana Jayaweera 10/07/2025</t>
  </si>
  <si>
    <t>Aleisha Bailey 15/07/2025</t>
  </si>
  <si>
    <t>Paul Roser 15/07/2025</t>
  </si>
  <si>
    <t>Luke Chester-Master 16/07/2025</t>
  </si>
  <si>
    <t>Christian Fowler 22/07/2025</t>
  </si>
  <si>
    <t>Damien Guard 22/07/2025</t>
  </si>
  <si>
    <t>Tyler Cameron 22/07/2025</t>
  </si>
  <si>
    <t>Dominic Unwin 29/07/2025</t>
  </si>
  <si>
    <t>Ellie Sommer 29/07/2025</t>
  </si>
  <si>
    <t>Anna Marie Higgins 25/07/2025</t>
  </si>
  <si>
    <t>Venue &amp; Events</t>
  </si>
  <si>
    <t>2025/2026 Food Licence Renewal PH/FSDM/1832</t>
  </si>
  <si>
    <t>2025/2026 Food Licence Renewal PH/FSDM/5318</t>
  </si>
  <si>
    <t xml:space="preserve">1000067-100-72111 </t>
  </si>
  <si>
    <t>Logan Water</t>
  </si>
  <si>
    <t>2025/2026 Food Licence Renewal PH/FSDM/6860</t>
  </si>
  <si>
    <t>2025/2026 Food Licence Renewal PH/FSDM/7613</t>
  </si>
  <si>
    <t>2025/2026 Food Licence Renewal PH/FSDM/8489</t>
  </si>
  <si>
    <t>2025/2026 Food Licence Renewal PH/FSDM/9030</t>
  </si>
  <si>
    <t>Environmental Health Renewals - Internal Invoices - EH Account # - SL-1-17131-6B113</t>
  </si>
  <si>
    <t>2025/2026 Food Licence Renewal PH/FSDM/3985</t>
  </si>
  <si>
    <t>IJ072836</t>
  </si>
  <si>
    <t>Nav</t>
  </si>
  <si>
    <t>Beni Ntamwenge 21/08/2025</t>
  </si>
  <si>
    <t>Chris Tomlin 12/08/2025</t>
  </si>
  <si>
    <t>Deana Jayaweera 12/08/2025</t>
  </si>
  <si>
    <t>Barbara Thomas 12/08/2025</t>
  </si>
  <si>
    <t>Andy Huang 12/08/2025</t>
  </si>
  <si>
    <t>Ruma Prestney 12/08/2025</t>
  </si>
  <si>
    <t>Samuel Hutchinson 12/08/2025</t>
  </si>
  <si>
    <t>Yugdeep Bura 12/08/2025</t>
  </si>
  <si>
    <t>Troy Carver 05/08/2025</t>
  </si>
  <si>
    <t>Megan Jacobson 05/08/2025</t>
  </si>
  <si>
    <t>Lyndall Rosevear 05/08/2025</t>
  </si>
  <si>
    <t>Matthew Moran 05/08/2025</t>
  </si>
  <si>
    <t>Zhi Cai 01/08/2025</t>
  </si>
  <si>
    <t>Jason Fourmile 22/07/2025</t>
  </si>
  <si>
    <t>Ellie Sommer 23/07/2025</t>
  </si>
  <si>
    <t>Anna-Marie Higgins 23/07/2025</t>
  </si>
  <si>
    <t>Henry Fusi 25/07/2025</t>
  </si>
  <si>
    <t>Dominic Unwin 28/07/2025</t>
  </si>
  <si>
    <t>Jeffrey Hawkins 29/07/2025</t>
  </si>
  <si>
    <t>Jason Fourmile 29/07/2025</t>
  </si>
  <si>
    <t xml:space="preserve">Peter Parker 4/09/2025 </t>
  </si>
  <si>
    <t>Christian Fowler 27/08/2025</t>
  </si>
  <si>
    <t>Christian Fowler 3/09/2025</t>
  </si>
  <si>
    <t>Jamie Anthony Camilleri 21/08/2025</t>
  </si>
  <si>
    <t>Ruma Prestney 15/08/2025</t>
  </si>
  <si>
    <t>Sayed Hossian 25/07/2025</t>
  </si>
  <si>
    <t>William Fakaosi 21/07/2025</t>
  </si>
  <si>
    <t>Matthew Beale 16/07/2025</t>
  </si>
  <si>
    <t>Jason Fourmile 9/07/2025</t>
  </si>
  <si>
    <t>Sonya Karlsson 11/07/2025</t>
  </si>
  <si>
    <t>Jodie-Lee Mccoy 9/07/2025</t>
  </si>
  <si>
    <t>Deana Jayaweera 8/07/2025</t>
  </si>
  <si>
    <t>Troy Carver 15/07/2025</t>
  </si>
  <si>
    <t>Matthew O'Hearn 8/07/2025</t>
  </si>
  <si>
    <t>Jamie Camilleri 21/08/2025</t>
  </si>
  <si>
    <t>Roydon Condon 21/08/2025</t>
  </si>
  <si>
    <t>Stefan Hall 21/08/2025</t>
  </si>
  <si>
    <t>Damien Guard 19/08/2025</t>
  </si>
  <si>
    <t>Storm Iti 15/08/2025</t>
  </si>
  <si>
    <t>Margaret Sidney-Tereo 13/08/2025</t>
  </si>
  <si>
    <t>Jared Royall 12/08/2025</t>
  </si>
  <si>
    <t>Kajenthiny Kulasingam 11/08/2025</t>
  </si>
  <si>
    <t>Gary Bock 5/08/2025</t>
  </si>
  <si>
    <t>Ahmad Askar 7/08/2025</t>
  </si>
  <si>
    <t>Renee Hoyle 31/07/2025</t>
  </si>
  <si>
    <t>IJ073052</t>
  </si>
  <si>
    <t>Tyler Cameron 17/07/2025</t>
  </si>
  <si>
    <t>Md Imtiaj Ali 5/09/2025</t>
  </si>
  <si>
    <t>John Donaldson 4/09/2025</t>
  </si>
  <si>
    <t>Kajenthiny Kulasingam 11/09/2025</t>
  </si>
  <si>
    <t>Samuel Hutchinson 10/09/2025</t>
  </si>
  <si>
    <t>Harry Beduhn 5/09/2025</t>
  </si>
  <si>
    <t>Jamie Anthony Camilleri 28/08/2025</t>
  </si>
  <si>
    <t>Khlie Morisset 30/06/2025</t>
  </si>
  <si>
    <t>Sharnee Jade Muller 9/07/2025</t>
  </si>
  <si>
    <t>Ruma Prestney 22/08/2025</t>
  </si>
  <si>
    <t>llisoni Mara 18/09/2025</t>
  </si>
  <si>
    <t>Vincent Manns 5/09/2025</t>
  </si>
  <si>
    <t>Barbara Thomas 9/09/2025</t>
  </si>
  <si>
    <t>Samuel Puplett 9/09/2025</t>
  </si>
  <si>
    <t>Fernando Taia 9/09/2025</t>
  </si>
  <si>
    <t>Samuel Hutchinson 9/09/2025</t>
  </si>
  <si>
    <t>Varun Lal 9/09/2025</t>
  </si>
  <si>
    <t>Bryndon Griffiths 9/09/2025</t>
  </si>
  <si>
    <t>Ruma Prestney 9/09/2025</t>
  </si>
  <si>
    <t>Imtiaj Ali 16/09/2025</t>
  </si>
  <si>
    <t>Bruce Audet 16/09/2025</t>
  </si>
  <si>
    <t>Margaret Sidney-Te Reo 16/09/2025</t>
  </si>
  <si>
    <t>John Somerville 16/09/2025</t>
  </si>
  <si>
    <t>Asaad Farooq 16/09/2025</t>
  </si>
  <si>
    <t>Jacqueline Falani 16/09/2025</t>
  </si>
  <si>
    <t>Graeme Gray 23/09/2025</t>
  </si>
  <si>
    <t>Troy Carver 23/09/2025</t>
  </si>
  <si>
    <t>Kaje Kulasingam 23/09/2025</t>
  </si>
  <si>
    <t>Tyrone Ellis 23/09/2025</t>
  </si>
  <si>
    <t>Joe Groffman 12/06/2026</t>
  </si>
  <si>
    <t>Joe Groffman 12/07/2025</t>
  </si>
  <si>
    <t>Asaad Farooq 10/09/2025</t>
  </si>
  <si>
    <t>Benjamin Pateman 11/09/2025</t>
  </si>
  <si>
    <t>Asaad Farooq 23/09/2025</t>
  </si>
  <si>
    <t>Dane-Michael Shears 18/09/2025</t>
  </si>
  <si>
    <t>Kajenthiny Kulasingam 18/09/2025</t>
  </si>
  <si>
    <t>Jared Royall 30/09/2025</t>
  </si>
  <si>
    <t>Roydon Condon 30/09/2025</t>
  </si>
  <si>
    <t>Colin Barton 30/09/2025</t>
  </si>
  <si>
    <t>Benjamin Say 30/09/2025</t>
  </si>
  <si>
    <t>Phillip Denman 30/09/2025</t>
  </si>
  <si>
    <t>Christopher Gale 30/09/2025</t>
  </si>
  <si>
    <t>Gary Bock 30/09/2025</t>
  </si>
  <si>
    <t>Sharmah Kendrick 10/10/2025</t>
  </si>
  <si>
    <t>Todd Mace 13/10/2025</t>
  </si>
  <si>
    <t>Pierre Karroum 13/10/2025</t>
  </si>
  <si>
    <t>Brian Sami 8/10/2025</t>
  </si>
  <si>
    <t>Connor Laverty 8/10/2025</t>
  </si>
  <si>
    <t>Jason Fourmile 8/10/2025</t>
  </si>
  <si>
    <t>Phoebe Morgan 9/10/2025</t>
  </si>
  <si>
    <t>Jake McNabb 9/10/2025</t>
  </si>
  <si>
    <t>Varun Lal 1/10/2025</t>
  </si>
  <si>
    <t>Varun Lal 8/10/2025</t>
  </si>
  <si>
    <t>Jacqueline Falani 24/09/2025</t>
  </si>
  <si>
    <t>Jacqueline Falani 1/10/2025</t>
  </si>
  <si>
    <t>Imtiaj Ali 19/09/2025</t>
  </si>
  <si>
    <t>Imtiaj Ali 1/10/2025</t>
  </si>
  <si>
    <t>Amanda Minshull 7/10/2025</t>
  </si>
  <si>
    <t>Tane Holley 7/10/2025</t>
  </si>
  <si>
    <t>Nuwanthi Medagedara 7/10/2025</t>
  </si>
  <si>
    <t>Luke Rooney 2/10/2025</t>
  </si>
  <si>
    <t>Colin Barton 25/09/2025</t>
  </si>
  <si>
    <t>Mark Bayes 17/09/2025</t>
  </si>
  <si>
    <t>Tyrone Ellis 16/09/2025</t>
  </si>
  <si>
    <t>Connor Laverty 12/09/2025</t>
  </si>
  <si>
    <t>Elias Fakkas 9/09/2025</t>
  </si>
  <si>
    <t>Bruce Audet 9/09/2025</t>
  </si>
  <si>
    <t>Harry Beduhn 6/09/2025</t>
  </si>
  <si>
    <t>Imtiaj Ali 5/09/2025</t>
  </si>
  <si>
    <t>Zhi Cai 5/09/2025</t>
  </si>
  <si>
    <t>Megan Jacobson 3/09/2025</t>
  </si>
  <si>
    <t>Varun Lal 1/09/2025</t>
  </si>
  <si>
    <t>Dane-Michael Shears 1/09/2025</t>
  </si>
  <si>
    <t>IJ073262</t>
  </si>
  <si>
    <t>Jemma Travers 29/09/2025</t>
  </si>
  <si>
    <t>Nuwanthi Medagedara 30/09/2025</t>
  </si>
  <si>
    <t>Gregory Cavell 02/10/2025</t>
  </si>
  <si>
    <t>Nahcia Ghram 02/10/2025</t>
  </si>
  <si>
    <t>V+E</t>
  </si>
  <si>
    <t>Phillip Denman 01/10/2025</t>
  </si>
  <si>
    <t>Varun Lal 01/10/2025</t>
  </si>
  <si>
    <t>Steven Moore 03/10/2025</t>
  </si>
  <si>
    <t>Brian Sami 07/10/2025</t>
  </si>
  <si>
    <t>Benjamin Say 08/10/2025</t>
  </si>
  <si>
    <t>Daniel Carnahan 09/10/2025</t>
  </si>
  <si>
    <t>Luke Chester Master 09/10/2025</t>
  </si>
  <si>
    <t>Lee Mooney 14/10/2025</t>
  </si>
  <si>
    <t>Gavin Nicholson 16/10/2025</t>
  </si>
  <si>
    <t>Charlton Abel 16/10/2025</t>
  </si>
  <si>
    <t>John Sommerville 16/10/2025</t>
  </si>
  <si>
    <t>Brendan Sammon 15/10/2025</t>
  </si>
  <si>
    <t>Bobby Motufoaki 16/10/2025</t>
  </si>
  <si>
    <t>Jonathan Fuavao 17/10/2025</t>
  </si>
  <si>
    <t>Jennifer Harley 21/10/2025</t>
  </si>
  <si>
    <t>Adam Goodsir 21/10/2025</t>
  </si>
  <si>
    <t>Christopher Gale 17/10/2025</t>
  </si>
  <si>
    <t>Troy Carver 27/10/2025</t>
  </si>
  <si>
    <t>Sheldon Reimann 28/10/2025</t>
  </si>
  <si>
    <t>James Hearn 28/10/2025</t>
  </si>
  <si>
    <t>Karen Hardiman 28/10/2025</t>
  </si>
  <si>
    <t>Floyd Foster 28/10/2025</t>
  </si>
  <si>
    <t xml:space="preserve"> </t>
  </si>
  <si>
    <t>V+E - need to contact bonnie.g hg.</t>
  </si>
  <si>
    <t>Ben Say 08/10/2025</t>
  </si>
  <si>
    <t>Joshua Skeen 13/10/2025</t>
  </si>
  <si>
    <t>Billy-ray Hargreaves 13/10/2025</t>
  </si>
  <si>
    <t>Joshua Skeen 20/10/2025</t>
  </si>
  <si>
    <t>Billy-ray Hargreaves 20/10/2025</t>
  </si>
  <si>
    <t>Charlton Abel 23/10/2025</t>
  </si>
  <si>
    <t>Lale Rogeon 27/10/2025</t>
  </si>
  <si>
    <t>Bruce Audet 10/10/2025</t>
  </si>
  <si>
    <t>Asaad Farooq 14/10/2025</t>
  </si>
  <si>
    <t>Kayla Guardado 15/10/2025</t>
  </si>
  <si>
    <t>Lee Mooney 16/10/2025</t>
  </si>
  <si>
    <t>Bobby Motufoaki 17/10/2025</t>
  </si>
  <si>
    <t>Rye Palmer 21/10/2025</t>
  </si>
  <si>
    <t>Teresa Vlaanderen 27/10/2025</t>
  </si>
  <si>
    <t>Roydon Condon 28/10/2025</t>
  </si>
  <si>
    <t>Jared Royall 28/10/2025</t>
  </si>
  <si>
    <t>Mathew Bond 28/10/2025</t>
  </si>
  <si>
    <t>Benjamin Say 28/10/2025</t>
  </si>
  <si>
    <t>Ethan Goodship 28/10/2025</t>
  </si>
  <si>
    <t>Christopher Gale 28/10/2025</t>
  </si>
  <si>
    <t>Adrian Engler 28/10/2025</t>
  </si>
  <si>
    <t>Anthony Wood 28/10/2025</t>
  </si>
  <si>
    <t>Luke Chester-Master 28/10/2025</t>
  </si>
  <si>
    <t>Raymond Love 28/10/2025</t>
  </si>
  <si>
    <t>Jack Ryan 28/10/2025</t>
  </si>
  <si>
    <t>Nathan Haywood 28/10/2025</t>
  </si>
  <si>
    <t>Jayson Del Socorro 28/10/2025</t>
  </si>
  <si>
    <t>IJ073453</t>
  </si>
  <si>
    <t>Venues and Events</t>
  </si>
  <si>
    <t>Kerri Ellis 20/11/2025</t>
  </si>
  <si>
    <t>PH/TE/3012 - Christmas Carol Event Licence</t>
  </si>
  <si>
    <t>1-L0001–73433</t>
  </si>
  <si>
    <t>Amanda Minshull 11/11/2025</t>
  </si>
  <si>
    <t>Jacqueline Falani 11/11/2025</t>
  </si>
  <si>
    <t>David Fernandez 11/11/2025</t>
  </si>
  <si>
    <t>Hellana Renton 4/11/2025</t>
  </si>
  <si>
    <t>Nuwanthi Madushika Medagedara 4/11/2025</t>
  </si>
  <si>
    <t>Sheldon Reimann 4/11/2025</t>
  </si>
  <si>
    <t>Shaun Smith 6/11/2025</t>
  </si>
  <si>
    <t>Todd Mace 10/11/2025</t>
  </si>
  <si>
    <t>Karen Hardiman 5/11/2025</t>
  </si>
  <si>
    <t>Lale Rogeon 3/11/2025</t>
  </si>
  <si>
    <t>Brendan Sammon 29/10/2025</t>
  </si>
  <si>
    <t>Christopher Gale 24/10/2025</t>
  </si>
  <si>
    <t>Benjamin Dresman 4/11/2025</t>
  </si>
  <si>
    <t>Charlton Abel 6/11/2025</t>
  </si>
  <si>
    <t>Donna Maree Yewsang 10/11/2025</t>
  </si>
  <si>
    <t>Darren Bester 6/11/2025</t>
  </si>
  <si>
    <t>Gabi Crowe 30/10/2025</t>
  </si>
  <si>
    <t>Charlton Abel 31/10/2025</t>
  </si>
  <si>
    <t>Karen Hardiman 29/10/2025</t>
  </si>
  <si>
    <t>Benjamin Dresman 28/10/2025</t>
  </si>
  <si>
    <t>Humam Wahab 4/11/2025</t>
  </si>
  <si>
    <t>Gavin Nicholson 4/11/2025</t>
  </si>
  <si>
    <t>David Fernandez 4/11/2025</t>
  </si>
  <si>
    <t>Noah O'Brien 20/11/2025</t>
  </si>
  <si>
    <t>Priya Prajapati 20/11/2025</t>
  </si>
  <si>
    <t>Saurav Joshi 20/11/2025</t>
  </si>
  <si>
    <t>Remmy Webster 24/11/2025</t>
  </si>
  <si>
    <t>Teresa Vlaanderen 24/11/2025</t>
  </si>
  <si>
    <t>Josephine Mijts 25/11/2025</t>
  </si>
  <si>
    <t>Melinda Hill 25/11/2025</t>
  </si>
  <si>
    <t>Charlton Abel 25/11/2025</t>
  </si>
  <si>
    <t>Paul Turnbull 25/11/2025</t>
  </si>
  <si>
    <t>Sherif Mahadi 25/11/2025</t>
  </si>
  <si>
    <t>IJ073639</t>
  </si>
  <si>
    <t>Sara Bahry 27/11/2025</t>
  </si>
  <si>
    <t>Andrew Dobson 24/11/2025</t>
  </si>
  <si>
    <t>Sara Bahry 4/12/2025</t>
  </si>
  <si>
    <t>Priya Prajapati 24/11/2025</t>
  </si>
  <si>
    <t>Priya Prajapati 1/12/2025</t>
  </si>
  <si>
    <t>Andrew Dobson 4/12/2025</t>
  </si>
  <si>
    <t>Katrina Mansell 5/12/2025</t>
  </si>
  <si>
    <t>Jamie Farrow 1/12/2025</t>
  </si>
  <si>
    <t>Christine Delaney 1/12/2025</t>
  </si>
  <si>
    <t>Angues Heares 2/12/2025</t>
  </si>
  <si>
    <t>Ethan Sorby 2/12/2025</t>
  </si>
  <si>
    <t>Kristin Graham 2/12/2025</t>
  </si>
  <si>
    <t>Sharnee Muller 2/12/2025</t>
  </si>
  <si>
    <t>Banjo McGuire 2/12/2025</t>
  </si>
  <si>
    <t>Jeffrey King 2/12/2025</t>
  </si>
  <si>
    <t>Banjo McGuire 27/11/2025</t>
  </si>
  <si>
    <t>Brody Williams 26/11/2025</t>
  </si>
  <si>
    <t>Luke Chester-Master 26/11/2025</t>
  </si>
  <si>
    <t>Jason Hale 26/11/2025</t>
  </si>
  <si>
    <t>Jack Ryan 26/11/2025</t>
  </si>
  <si>
    <t>Jared Royall 25/11/2025</t>
  </si>
  <si>
    <t>Brendan Sammon 21/11/2025</t>
  </si>
  <si>
    <t>Rye Palmer 20/11/2025</t>
  </si>
  <si>
    <t>Paul Hoelscher 19/11/2025</t>
  </si>
  <si>
    <t>Priya Prajapati 18/11/2025</t>
  </si>
  <si>
    <t>Robby Lockett 16/11/2025</t>
  </si>
  <si>
    <t>Noah O'Brien 14/11/2025</t>
  </si>
  <si>
    <t>Donna Yewsang 10/11/2025</t>
  </si>
  <si>
    <t>Shane Morris 10/11/2025</t>
  </si>
  <si>
    <t>Melinda Hill 10/11/2025</t>
  </si>
  <si>
    <t>Christine Delaney 10/11/2025</t>
  </si>
  <si>
    <t>Dave Fernandez 4/11/2025</t>
  </si>
  <si>
    <t>Amanda Minshull 5/11/2025</t>
  </si>
  <si>
    <t>Darren Bester 31/10/2025</t>
  </si>
  <si>
    <t>Paul Roser 31/10/2025</t>
  </si>
  <si>
    <t>Samuel Puplett 29/10/2025</t>
  </si>
  <si>
    <t>Christian De Leon 29/10/2025</t>
  </si>
  <si>
    <t>Joe Groffman 6/12/2025</t>
  </si>
  <si>
    <t>Shane Morris 13/11/2025</t>
  </si>
  <si>
    <t>Elias Fakkas 14/11/2025</t>
  </si>
  <si>
    <t>William Riley 4/12/2025</t>
  </si>
  <si>
    <t>William Taylor 9/12/2025</t>
  </si>
  <si>
    <t>Corinne Ryan 9/12/2025</t>
  </si>
  <si>
    <t>Benjamin Pateman 9/12/2025</t>
  </si>
  <si>
    <t>Lachlan Peebles 9/12/2025</t>
  </si>
  <si>
    <t>Danyl Ehrlich 03/12/2025</t>
  </si>
  <si>
    <t xml:space="preserve">Banjo McGuire 03/12/2025 </t>
  </si>
  <si>
    <t>Lachlan Kim Peebles 03/12/2025</t>
  </si>
  <si>
    <t>Ethan Storm Joey Sorby 05/12/2025</t>
  </si>
  <si>
    <t>Darren Bester 10/12/2025</t>
  </si>
  <si>
    <t>Shane Morris 12/12/2025</t>
  </si>
  <si>
    <t>Donna Yewsang 16/12/2025</t>
  </si>
  <si>
    <t>Aleisha Bailey 16/12/2025</t>
  </si>
  <si>
    <t>Xianzhi Zeng 16/12/2025</t>
  </si>
  <si>
    <t>Betty Karroum 16/12/2025</t>
  </si>
  <si>
    <t>Billy-ray Hargreaves 16/12/2025</t>
  </si>
  <si>
    <t>Jayson Del Socorro 10/12/2025</t>
  </si>
  <si>
    <t>Danyl Ehrlich 10/12/2025</t>
  </si>
  <si>
    <t>Brody Jack Williams 16/12/2025</t>
  </si>
  <si>
    <t>Ethan Storm Joey Sorby 16/12/2025</t>
  </si>
  <si>
    <t>Banjo McGuire 17/12/2025</t>
  </si>
  <si>
    <t>Jayson Del Socorro 17/12/2025</t>
  </si>
  <si>
    <t>Noah O'Brien 18/12/2025</t>
  </si>
  <si>
    <t>Jasmine Walker 19/12/2025</t>
  </si>
  <si>
    <t>Nahcia Graham 17/12/2025</t>
  </si>
  <si>
    <t>IJ073756</t>
  </si>
  <si>
    <t>Remmy Webster 5/01/2026</t>
  </si>
  <si>
    <t>Paul Leggett 6/01/2026</t>
  </si>
  <si>
    <t>Josephine Mijts 6/01/2026</t>
  </si>
  <si>
    <t>Mathew Bond 6/01/2026</t>
  </si>
  <si>
    <t>Melinda Hill 6/01/2026</t>
  </si>
  <si>
    <t>Khile Morisset 6/01/2026</t>
  </si>
  <si>
    <t>Michelle Crook 6/01/2026</t>
  </si>
  <si>
    <t>Samantha Aloese 6/01/2026</t>
  </si>
  <si>
    <t>Corinne Ryan 6/01/2026</t>
  </si>
  <si>
    <t>Phoebe Morgan 8/01/2026</t>
  </si>
  <si>
    <t>Darren Bester 9/01/2026</t>
  </si>
  <si>
    <t>Michael Silman 30/12/2025</t>
  </si>
  <si>
    <t>Donna Maree Yewsang 17/11/2025</t>
  </si>
  <si>
    <t>Josephine Mijts 30/12/2025</t>
  </si>
  <si>
    <t>John McCurry 22/12/2025</t>
  </si>
  <si>
    <t>Luke Rooney 16/12/2025</t>
  </si>
  <si>
    <t>Jasmine Walker 16/12/2025</t>
  </si>
  <si>
    <t>Craig Hansen 15/12/2025</t>
  </si>
  <si>
    <t>Nahcia Graham 10/12/2025</t>
  </si>
  <si>
    <t>Jake McNabb 12/12/2025</t>
  </si>
  <si>
    <t>Jacqueline Falani 10/12/2025</t>
  </si>
  <si>
    <t>Betty Karroum 10/12/2025</t>
  </si>
  <si>
    <t>Pierre Karroum 10/12/2025</t>
  </si>
  <si>
    <t>Christopher Tomlin 8/12/2025</t>
  </si>
  <si>
    <t>Ethan Sorby 5/12/2025</t>
  </si>
  <si>
    <t>Xianzhi Zeng 8/12/2025</t>
  </si>
  <si>
    <t>Brody Williams 4/12/2025</t>
  </si>
  <si>
    <t>Jarrod Begg 4/12/2025</t>
  </si>
  <si>
    <t>Banjo McGuire 3/12/2025</t>
  </si>
  <si>
    <t>Danyl Ehrlich 3/12/2025</t>
  </si>
  <si>
    <t>Lachlan Peebles 3/12/2025</t>
  </si>
  <si>
    <t>Matthew Moran 4/12/2025</t>
  </si>
  <si>
    <t>Lynette Hughes 3/12/2025</t>
  </si>
  <si>
    <t>Steven White 3/12/2025</t>
  </si>
  <si>
    <t>Jarrod Begg 2/12/2025</t>
  </si>
  <si>
    <t>Hellana Renton 3/12/2025</t>
  </si>
  <si>
    <t>Mustafa Bin Keri 1/12/2025</t>
  </si>
  <si>
    <t>Jayson Del Socorro 2/12/2025</t>
  </si>
  <si>
    <t>Andy Huang 13/01/2026</t>
  </si>
  <si>
    <t>Deana Jayaweera 13/01/2026</t>
  </si>
  <si>
    <t>Donna Yewsang 13/01/2026</t>
  </si>
  <si>
    <t>Ethan Sorby 13/01/2026</t>
  </si>
  <si>
    <t>Stefan Hall 13/01/2026</t>
  </si>
  <si>
    <t>Barbara Thomas 13/01/2026</t>
  </si>
  <si>
    <t>Yugdeep Bura 13/01/2026</t>
  </si>
  <si>
    <t>Tane Holley 13/01/2026</t>
  </si>
  <si>
    <t>Daniel Caterson 13/01/2026</t>
  </si>
  <si>
    <t>Daniel Ryan 28/01/2026</t>
  </si>
  <si>
    <t>Josephine Mijts 7/01/2026</t>
  </si>
  <si>
    <t>John Mccurry 14/01/2026</t>
  </si>
  <si>
    <t>William Jason Lea'Aetoa 21/01/2026</t>
  </si>
  <si>
    <t>Adam Potts 23/01/2026</t>
  </si>
  <si>
    <t>Daniel Ryan 22/01/2026</t>
  </si>
  <si>
    <t>Christine Delaney 12/01/2026</t>
  </si>
  <si>
    <t>Riki Netana Patrick 15/01/2026</t>
  </si>
  <si>
    <t>Daniel Ryan 15/01/2026</t>
  </si>
  <si>
    <t>Katrina Mansell 16/01/2026</t>
  </si>
  <si>
    <t>Tyler Cameron 20/01/2026</t>
  </si>
  <si>
    <t>Nahcia Graham-Wiperi 20/01/2026</t>
  </si>
  <si>
    <t>Craig Hansen 23/01/2026</t>
  </si>
  <si>
    <t>Dominic Unwin 27/01/2026</t>
  </si>
  <si>
    <t>Paul Nielsen 27/01/2026</t>
  </si>
  <si>
    <t>William Jason Lea'Aetoa 30/01/2026</t>
  </si>
  <si>
    <t>Adam Potts 30/01/2026</t>
  </si>
  <si>
    <t>IJ073940</t>
  </si>
  <si>
    <t>PH/TE/3033 - LEAF</t>
  </si>
  <si>
    <t>Kerri Ellis 24/02/2026</t>
  </si>
  <si>
    <t>1-L0041-73433</t>
  </si>
  <si>
    <t xml:space="preserve">SL </t>
  </si>
  <si>
    <t>Grant Vernon 2/2/2026</t>
  </si>
  <si>
    <t>Ben Dresman 2/2/2026</t>
  </si>
  <si>
    <t>Lynette Hughes 2/2/2026</t>
  </si>
  <si>
    <t>Colin Barton 3/2/2026</t>
  </si>
  <si>
    <t>James Lloyd-Jones 3/2/2026</t>
  </si>
  <si>
    <t>Isabel Howard 3/2/2026</t>
  </si>
  <si>
    <t>Jarrod Begg 3/2/2026</t>
  </si>
  <si>
    <t>Raymond Love 3/2/2026</t>
  </si>
  <si>
    <t>Tina Lacey 3/2/2026</t>
  </si>
  <si>
    <t>Guy Carkeet 11/2/2026</t>
  </si>
  <si>
    <t>Dale McKenzie 11/2/2026</t>
  </si>
  <si>
    <t>Kieyanna Parker 18/2/2026</t>
  </si>
  <si>
    <t>Paul Leggett 10/2/2026</t>
  </si>
  <si>
    <t>William Lea'aetoa 10/2/2026</t>
  </si>
  <si>
    <t>Ruma Prestney 10/2/2026</t>
  </si>
  <si>
    <t>Samantha Aloese 10/2/2026</t>
  </si>
  <si>
    <t>Billy-Ray Hargreaves 10/2/2026</t>
  </si>
  <si>
    <t>Daniel Caterson 10/2/2026</t>
  </si>
  <si>
    <t>Gary Bock 24/2/2026</t>
  </si>
  <si>
    <t>William Lea'aetoa 24/2/2026</t>
  </si>
  <si>
    <t>Floyd Foster 24/2/2026</t>
  </si>
  <si>
    <t>Craig Hanson 24/2/2026</t>
  </si>
  <si>
    <t>Dana Wright 24/2/2026</t>
  </si>
  <si>
    <t>Sharareh Ebrahim Zadeh 24/2/2026</t>
  </si>
  <si>
    <t>Samuel Hutchinson 24/2/2026</t>
  </si>
  <si>
    <t>Kaje Kulasingam 24/2/2026</t>
  </si>
  <si>
    <t>Graeme Gray 3/3/2026</t>
  </si>
  <si>
    <t>Dalton Hobbs 3/3/2026</t>
  </si>
  <si>
    <t>James Lloyd-Jones 3/3/2026</t>
  </si>
  <si>
    <t>Isabel Howard 3/3/2026</t>
  </si>
  <si>
    <t>Oliver Mueller 3/3/2026</t>
  </si>
  <si>
    <t>Stefan Hall 3/3/2026</t>
  </si>
  <si>
    <t>Storm Iti 3/3/2026</t>
  </si>
  <si>
    <t>John Mazzo 3/3/26</t>
  </si>
  <si>
    <t>Connor Ross 3/3/2026</t>
  </si>
  <si>
    <t>Kayla Guardado 23/2/2026</t>
  </si>
  <si>
    <t>John Tully 23/2/2026</t>
  </si>
  <si>
    <t>Julie-Ann Fisher 13/2/2026</t>
  </si>
  <si>
    <t>Jarrod Begg 3/12/2025</t>
  </si>
  <si>
    <t>Brody Williams 3/12/2025</t>
  </si>
  <si>
    <t>Jarrod Begg 16/2/2026</t>
  </si>
  <si>
    <t>Rebecca Martin 27/1/2026</t>
  </si>
  <si>
    <t>Adam Potts 23/1/2026</t>
  </si>
  <si>
    <t>Isabel Howard 23/1/2026</t>
  </si>
  <si>
    <t>James Lloyd-Jones 23/1/2026</t>
  </si>
  <si>
    <t>Heliton De Mediros Filiaci 23/1/2026</t>
  </si>
  <si>
    <t>William Lea'aetoa 21/1/2026</t>
  </si>
  <si>
    <t>Daniel Ryan 22/1/2026</t>
  </si>
  <si>
    <t>Daniel Ryan 14/1/2026</t>
  </si>
  <si>
    <t>Muhammad Islam 10/1/2026</t>
  </si>
  <si>
    <t>Joe Groffman 10/1/2026</t>
  </si>
  <si>
    <t>Amanda Mnshull 8/1/2026</t>
  </si>
  <si>
    <t>3070000 - Health, Environment &amp; Sustainability - Built Environment</t>
  </si>
  <si>
    <t>1-15481-7B213</t>
  </si>
  <si>
    <t>IJ074226</t>
  </si>
  <si>
    <t>Nav Prasad</t>
  </si>
  <si>
    <t>Guy Carkeet 11/03/2026</t>
  </si>
  <si>
    <t>Lyndall Rosevear 19/02/2026</t>
  </si>
  <si>
    <t>Lynette Hughes 05/03/2026</t>
  </si>
  <si>
    <t>Aleisha Bailey 25/02/2026</t>
  </si>
  <si>
    <t>Harry Roberts 25/02/2026</t>
  </si>
  <si>
    <t>Guy Carkeet 18/02/2026</t>
  </si>
  <si>
    <t>Dale Mckenzie 18/02/2026</t>
  </si>
  <si>
    <t>Sharareh Zadeh 19/02/2026</t>
  </si>
  <si>
    <t>Yugdeep Bura 19/02/2026</t>
  </si>
  <si>
    <t>Samuel Mason 18/02/2026</t>
  </si>
  <si>
    <t>Deana Jayaweera 17/02/2026</t>
  </si>
  <si>
    <t>Barbara Thomas 17/02/2026</t>
  </si>
  <si>
    <t>Disheng Huang 12/02/2026</t>
  </si>
  <si>
    <t>Julie-anne fisher 13/02/2026</t>
  </si>
  <si>
    <t>William Lea'Aetoa 10/02/2026</t>
  </si>
  <si>
    <t>Guy Carkeet 10/02/2026</t>
  </si>
  <si>
    <t>William Taylor 10/02/2026</t>
  </si>
  <si>
    <t>Dale Mckenzie 10/02/2026</t>
  </si>
  <si>
    <t>Kieyana Parker 04/02/2026</t>
  </si>
  <si>
    <t>Sharnee Muller 04/02/2026</t>
  </si>
  <si>
    <t>Kobi Lane 03/02/2026</t>
  </si>
  <si>
    <t>Dana Wright 03/02/2026</t>
  </si>
  <si>
    <t>Tina Lacey 28/01/2026</t>
  </si>
  <si>
    <t>IJ074372</t>
  </si>
  <si>
    <t>William Riley 27/02/2026</t>
  </si>
  <si>
    <t>Colin Barton 04/03/2026</t>
  </si>
  <si>
    <t>Jason Ward 05/03/2026</t>
  </si>
  <si>
    <t>Liam Horsey 06/03/2026</t>
  </si>
  <si>
    <t>Kerri Watton 10/03/2026</t>
  </si>
  <si>
    <t>Paul Nielsen 10/03/2026</t>
  </si>
  <si>
    <t>Arno Schneider 09/03/2026</t>
  </si>
  <si>
    <t>Erin Kohu 10/03/2026</t>
  </si>
  <si>
    <t>Zevanea Renata-Richardson 17/03/2026</t>
  </si>
  <si>
    <t>Carolyn Alder 23/03/2026</t>
  </si>
  <si>
    <t>Billy Hargreaves 23/03/2026</t>
  </si>
  <si>
    <t>Rachel Booth 10/03/2026</t>
  </si>
  <si>
    <t xml:space="preserve">Jarmahl Manley 10/03/2026 </t>
  </si>
  <si>
    <t>Amanda Minshull 17/03/2026</t>
  </si>
  <si>
    <t>Natasha Oliver 17/03/2026</t>
  </si>
  <si>
    <t>Natasha Oliver 10/03/2026</t>
  </si>
  <si>
    <t xml:space="preserve">3070000 - Health, Environment &amp; Sustainability - Built Environment </t>
  </si>
  <si>
    <t>Arno Schneider 19/03/2026</t>
  </si>
  <si>
    <t>Zevanea Renata-Richardson 24/03/2026</t>
  </si>
  <si>
    <t>Asaad Farooq 24/03/2026</t>
  </si>
  <si>
    <t>Bruce Audet 24/03/2026</t>
  </si>
  <si>
    <t xml:space="preserve">Tyrone Ellis 24/03/2026 </t>
  </si>
  <si>
    <t>Emma Radcliffe 24/03/2026</t>
  </si>
  <si>
    <t>Zakarul Islam 27/03/2026</t>
  </si>
  <si>
    <t>Benjamin Say 31/03/2026</t>
  </si>
  <si>
    <t>Chistopher Gale 31/03/2026</t>
  </si>
  <si>
    <t>Oliver Mueller 31/03/2026</t>
  </si>
  <si>
    <t>John Mazzeo 31/03/2026</t>
  </si>
  <si>
    <t>Roydon Coudon 7/04/2026</t>
  </si>
  <si>
    <t>Justice Thomas 7/04/2026</t>
  </si>
  <si>
    <t>Kieyana Parker 8/04/2026</t>
  </si>
  <si>
    <t>Toni-Ann Watson 11/04/2026</t>
  </si>
  <si>
    <t>Edward Hancox 14/04/2026</t>
  </si>
  <si>
    <t>Gina Elphick 14/04/2026</t>
  </si>
  <si>
    <t>Nuwanthi Madushika Medagedara 14/04/2026</t>
  </si>
  <si>
    <t>John Tully 20/04/2026</t>
  </si>
  <si>
    <t>Natasha Oliver 14/04/2026</t>
  </si>
  <si>
    <t>Zevanea Renata-Richardson 21/04/2026</t>
  </si>
  <si>
    <t>Edward Hancox 21/04/2026</t>
  </si>
  <si>
    <t>Ahmad Askar 21/04/2026</t>
  </si>
  <si>
    <t>Connor Laverty 21/04/2026</t>
  </si>
  <si>
    <t>Luke Turner 22/04/2026</t>
  </si>
  <si>
    <t>Troy Kasper 22/04/2026</t>
  </si>
  <si>
    <t>Carolyn Alder 22/04/2026</t>
  </si>
  <si>
    <t>Marek Cygan 22/04/2026</t>
  </si>
  <si>
    <t>Helitom Filiaci 23/04/2026</t>
  </si>
  <si>
    <t>Chris Tomlin 23/04/2026</t>
  </si>
  <si>
    <t>Emma Ratcliffe 28/04/2026</t>
  </si>
  <si>
    <t>Connor Ross 28/04/2026</t>
  </si>
  <si>
    <t>Amanda Minshull 28/04/2026</t>
  </si>
  <si>
    <t>Peter Waller 30/04/2026</t>
  </si>
  <si>
    <t>Simone Hobden 30/4/2026</t>
  </si>
  <si>
    <t>Ronald Harrod 30/04/2026</t>
  </si>
  <si>
    <t>Teresa Vlaanderen 29/04/2026</t>
  </si>
  <si>
    <t>IJ074595</t>
  </si>
  <si>
    <t>4050000 - Venue and Events (Sport, Leisure &amp; Facilities)</t>
  </si>
  <si>
    <t xml:space="preserve">(SL) 1-17701-73115 </t>
  </si>
  <si>
    <t>email Bonnie gorman to confirm cost code for any marketing and events staff</t>
  </si>
  <si>
    <t>Erin Siogren 26/05/2026</t>
  </si>
  <si>
    <t>Mario Ernesto Fuentes 29/05/2026</t>
  </si>
  <si>
    <t>Delwyn Enkera 27/05/2026</t>
  </si>
  <si>
    <t>Elias Karimi 25/05/2026</t>
  </si>
  <si>
    <t>Shane Morris 29/05/2026</t>
  </si>
  <si>
    <t>Terry Cannon 29/05/2026</t>
  </si>
  <si>
    <t>Saythavy Bounnhong 29/05/2026</t>
  </si>
  <si>
    <t>Tane Holkey 26/05/2026</t>
  </si>
  <si>
    <t>Carolyn Alder 26/05/2026</t>
  </si>
  <si>
    <t>Edward Hancox 26/05/2026</t>
  </si>
  <si>
    <t>Mario Fuentes 26/05/2026</t>
  </si>
  <si>
    <t>Jaimeson Smith 26/05/2026</t>
  </si>
  <si>
    <t>Mohammad Abro 26/05/2026</t>
  </si>
  <si>
    <t>Delwyn Enkera 20/05/2026</t>
  </si>
  <si>
    <t>Kate Louise Bell 19/05/2026</t>
  </si>
  <si>
    <t>Brodie Russo 19/05/2026</t>
  </si>
  <si>
    <t>Delwyn Enkera 19/05/2026</t>
  </si>
  <si>
    <t>Raymond Love 19/05/2026</t>
  </si>
  <si>
    <t>John McCurry 19/05/2026</t>
  </si>
  <si>
    <t>Jason Ward 19/05/2026</t>
  </si>
  <si>
    <t>Keani Smith 19/05/2026</t>
  </si>
  <si>
    <t>Teleea Davis 20/05/2026</t>
  </si>
  <si>
    <t>Elias Fakkas 15/05/2026</t>
  </si>
  <si>
    <t>Jason Ward 12/05/2026</t>
  </si>
  <si>
    <t>Ashleigh Mountford 12/05/2026</t>
  </si>
  <si>
    <t>Justice Thomas 12/05/2026</t>
  </si>
  <si>
    <t>Denver Pollock 12/05/2026</t>
  </si>
  <si>
    <t>Harry Roberts 12/05/2026</t>
  </si>
  <si>
    <t>Ashleigh Mountford 05/05/2026</t>
  </si>
  <si>
    <t>Aaron Fuller 12/05/2026</t>
  </si>
  <si>
    <t>Oliver Mueller 30/04/2026</t>
  </si>
  <si>
    <t>James Lloyd-Jones 30/04/2026</t>
  </si>
  <si>
    <t>Simone Jade Shaw Hobden 30/04/2026</t>
  </si>
  <si>
    <t>Oliver Mueller 07/05/2026</t>
  </si>
  <si>
    <t>Hunter Gowdy 13/05/2026</t>
  </si>
  <si>
    <t>Toni-Ann Watson 9/05/2026</t>
  </si>
  <si>
    <t>Luke Turner 20/04/2026</t>
  </si>
  <si>
    <t>Aaron Fuller 17/04/2026</t>
  </si>
  <si>
    <t>Trevor Kanapi 17/04/2026</t>
  </si>
  <si>
    <t>Gina Elphick 10/04/2026</t>
  </si>
  <si>
    <t>Storm Iti 10/04/2026</t>
  </si>
  <si>
    <t>Mathew Bond 10/04/2026</t>
  </si>
  <si>
    <t>Dominic Unwin 07/04/2026</t>
  </si>
  <si>
    <t>Toni-Ann Watson 07/04/2026</t>
  </si>
  <si>
    <t>Justice Thomas 31/03/2026</t>
  </si>
  <si>
    <t>Simone Jade Shaw Hobden 07/05/2026</t>
  </si>
  <si>
    <t>John Mazzeo 30/04/2026</t>
  </si>
  <si>
    <t>Justice Thomas 30/04/2026</t>
  </si>
  <si>
    <t>Denver Pollock 30/04/2026</t>
  </si>
  <si>
    <t>Harry Roberts 30/04/2026</t>
  </si>
  <si>
    <t>Kayla Guardado 7/05/2026</t>
  </si>
  <si>
    <t>Simone Hobden 5/05/2026</t>
  </si>
  <si>
    <t>Varun Lal 5/05/2026</t>
  </si>
  <si>
    <t>Shaun Cummerford 5/05/2026</t>
  </si>
  <si>
    <t>IJ074855</t>
  </si>
  <si>
    <t xml:space="preserve">Navneeta Prasad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</si>
</sst>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_);[Red]\(&quot;$&quot;#,##0.00\)"/>
    <numFmt numFmtId="165" formatCode="_(&quot;$&quot;* #,##0.00_);_(&quot;$&quot;* \(#,##0.00\);_(&quot;$&quot;* &quot;-&quot;??_);_(@_)"/>
    <numFmt numFmtId="166" formatCode="_(* #,##0.00_);_(* \(#,##0.00\);_(* &quot;-&quot;??_);_(@_)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212121"/>
      <name val="Calibri"/>
      <family val="2"/>
      <scheme val="minor"/>
    </font>
    <font>
      <sz val="10"/>
      <color theme="1"/>
      <name val="Arial"/>
      <family val="2"/>
    </font>
    <font>
      <b/>
      <sz val="11"/>
      <color rgb="FF7030A0"/>
      <name val="Calibri"/>
      <family val="2"/>
      <scheme val="minor"/>
    </font>
    <font>
      <b/>
      <u/>
      <sz val="20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555555"/>
      <name val="Trebuchet MS"/>
      <family val="2"/>
    </font>
    <font>
      <b/>
      <sz val="10"/>
      <color rgb="FFFF0000"/>
      <name val="Calibri"/>
      <family val="2"/>
      <scheme val="minor"/>
    </font>
    <font>
      <sz val="10"/>
      <name val="Arial"/>
      <family val="2"/>
    </font>
    <font>
      <sz val="11"/>
      <color rgb="FFDF6C00"/>
      <name val="Arial"/>
      <family val="2"/>
    </font>
    <font>
      <sz val="11"/>
      <color rgb="FFDF6C00"/>
      <name val="Arial"/>
      <family val="2"/>
    </font>
    <font>
      <sz val="11"/>
      <color rgb="FFDF6C00"/>
      <name val="Arial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DF6C00"/>
      <name val="Arial"/>
      <family val="2"/>
    </font>
    <font>
      <sz val="11"/>
      <color theme="1"/>
      <name val="Calibri"/>
      <family val="2"/>
    </font>
    <font>
      <sz val="11"/>
      <color rgb="FFDF6C00"/>
      <name val="Arial"/>
      <family val="2"/>
    </font>
    <font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55">
    <xf numFmtId="0" fontId="0" fillId="0" borderId="0" xfId="0"/>
    <xf numFmtId="0" fontId="2" fillId="0" borderId="0" xfId="0" applyFont="1"/>
    <xf numFmtId="166" fontId="0" fillId="0" borderId="0" xfId="1" applyFont="1"/>
    <xf numFmtId="166" fontId="2" fillId="0" borderId="0" xfId="1" applyFont="1"/>
    <xf numFmtId="0" fontId="3" fillId="0" borderId="0" xfId="0" applyFont="1"/>
    <xf numFmtId="14" fontId="0" fillId="0" borderId="0" xfId="0" applyNumberFormat="1"/>
    <xf numFmtId="0" fontId="2" fillId="0" borderId="1" xfId="0" applyFont="1" applyBorder="1"/>
    <xf numFmtId="0" fontId="0" fillId="0" borderId="2" xfId="0" applyBorder="1"/>
    <xf numFmtId="0" fontId="2" fillId="0" borderId="3" xfId="0" applyFont="1" applyBorder="1"/>
    <xf numFmtId="14" fontId="0" fillId="0" borderId="4" xfId="0" applyNumberFormat="1" applyBorder="1"/>
    <xf numFmtId="0" fontId="2" fillId="0" borderId="5" xfId="0" applyFont="1" applyBorder="1"/>
    <xf numFmtId="0" fontId="0" fillId="0" borderId="6" xfId="0" applyBorder="1" applyAlignment="1">
      <alignment horizontal="right"/>
    </xf>
    <xf numFmtId="0" fontId="4" fillId="0" borderId="0" xfId="0" applyFont="1"/>
    <xf numFmtId="17" fontId="2" fillId="0" borderId="0" xfId="0" applyNumberFormat="1" applyFont="1"/>
    <xf numFmtId="49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2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2" fillId="0" borderId="3" xfId="0" applyFont="1" applyBorder="1" applyAlignment="1">
      <alignment vertical="center"/>
    </xf>
    <xf numFmtId="14" fontId="0" fillId="0" borderId="4" xfId="0" applyNumberForma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0" fillId="0" borderId="6" xfId="0" applyBorder="1" applyAlignment="1">
      <alignment horizontal="right" vertical="center"/>
    </xf>
    <xf numFmtId="0" fontId="7" fillId="0" borderId="0" xfId="0" applyFont="1"/>
    <xf numFmtId="165" fontId="0" fillId="0" borderId="0" xfId="2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8" fillId="0" borderId="0" xfId="0" applyFont="1"/>
    <xf numFmtId="166" fontId="8" fillId="0" borderId="0" xfId="1" applyFont="1"/>
    <xf numFmtId="0" fontId="8" fillId="0" borderId="0" xfId="0" applyFont="1" applyAlignment="1">
      <alignment wrapText="1"/>
    </xf>
    <xf numFmtId="0" fontId="9" fillId="2" borderId="9" xfId="0" applyFont="1" applyFill="1" applyBorder="1" applyAlignment="1">
      <alignment vertical="center" wrapText="1"/>
    </xf>
    <xf numFmtId="0" fontId="9" fillId="2" borderId="10" xfId="0" applyFont="1" applyFill="1" applyBorder="1" applyAlignment="1">
      <alignment vertical="center" wrapText="1"/>
    </xf>
    <xf numFmtId="0" fontId="9" fillId="2" borderId="1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8" fillId="0" borderId="10" xfId="0" applyFont="1" applyBorder="1"/>
    <xf numFmtId="0" fontId="8" fillId="0" borderId="11" xfId="0" applyFont="1" applyBorder="1"/>
    <xf numFmtId="0" fontId="13" fillId="0" borderId="0" xfId="0" applyFont="1"/>
    <xf numFmtId="0" fontId="8" fillId="0" borderId="0" xfId="0" applyFont="1" applyAlignment="1">
      <alignment vertical="center"/>
    </xf>
    <xf numFmtId="166" fontId="8" fillId="0" borderId="0" xfId="1" applyFont="1" applyAlignment="1">
      <alignment vertical="center"/>
    </xf>
    <xf numFmtId="0" fontId="8" fillId="0" borderId="0" xfId="0" applyFont="1" applyAlignment="1">
      <alignment horizontal="left" vertical="center"/>
    </xf>
    <xf numFmtId="166" fontId="8" fillId="0" borderId="0" xfId="1" applyFont="1" applyAlignment="1">
      <alignment horizontal="left" vertical="center"/>
    </xf>
    <xf numFmtId="0" fontId="8" fillId="3" borderId="0" xfId="0" applyFont="1" applyFill="1"/>
    <xf numFmtId="0" fontId="0" fillId="0" borderId="2" xfId="0" applyBorder="1" applyAlignment="1">
      <alignment horizontal="right"/>
    </xf>
    <xf numFmtId="166" fontId="8" fillId="0" borderId="10" xfId="1" applyFont="1" applyBorder="1"/>
    <xf numFmtId="0" fontId="0" fillId="0" borderId="10" xfId="0" applyBorder="1"/>
    <xf numFmtId="0" fontId="0" fillId="0" borderId="9" xfId="0" applyBorder="1"/>
    <xf numFmtId="0" fontId="0" fillId="0" borderId="11" xfId="0" applyBorder="1"/>
    <xf numFmtId="166" fontId="0" fillId="0" borderId="10" xfId="1" applyFont="1" applyBorder="1"/>
    <xf numFmtId="166" fontId="9" fillId="2" borderId="10" xfId="1" applyFont="1" applyFill="1" applyBorder="1" applyAlignment="1">
      <alignment vertical="center" wrapText="1"/>
    </xf>
    <xf numFmtId="0" fontId="8" fillId="0" borderId="9" xfId="0" applyFont="1" applyBorder="1"/>
    <xf numFmtId="0" fontId="8" fillId="0" borderId="10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14" fillId="0" borderId="0" xfId="0" applyFont="1"/>
    <xf numFmtId="0" fontId="14" fillId="0" borderId="0" xfId="0" applyFont="1" applyAlignment="1">
      <alignment vertical="center"/>
    </xf>
    <xf numFmtId="165" fontId="8" fillId="0" borderId="0" xfId="2" applyFont="1"/>
    <xf numFmtId="165" fontId="0" fillId="0" borderId="0" xfId="2" applyFont="1" applyAlignment="1">
      <alignment vertical="center"/>
    </xf>
    <xf numFmtId="0" fontId="2" fillId="0" borderId="0" xfId="0" applyFont="1" applyAlignment="1">
      <alignment vertical="top"/>
    </xf>
    <xf numFmtId="0" fontId="15" fillId="0" borderId="0" xfId="0" applyFont="1" applyAlignment="1">
      <alignment vertical="center"/>
    </xf>
    <xf numFmtId="166" fontId="9" fillId="2" borderId="10" xfId="3" applyFont="1" applyFill="1" applyBorder="1" applyAlignment="1">
      <alignment vertical="center" wrapText="1"/>
    </xf>
    <xf numFmtId="166" fontId="0" fillId="0" borderId="10" xfId="3" applyFont="1" applyBorder="1"/>
    <xf numFmtId="166" fontId="8" fillId="0" borderId="10" xfId="3" applyFont="1" applyBorder="1"/>
    <xf numFmtId="0" fontId="0" fillId="0" borderId="12" xfId="0" applyBorder="1"/>
    <xf numFmtId="166" fontId="8" fillId="0" borderId="12" xfId="3" applyFont="1" applyBorder="1"/>
    <xf numFmtId="0" fontId="8" fillId="0" borderId="12" xfId="0" applyFont="1" applyBorder="1"/>
    <xf numFmtId="0" fontId="8" fillId="0" borderId="13" xfId="0" applyFont="1" applyBorder="1"/>
    <xf numFmtId="166" fontId="0" fillId="0" borderId="0" xfId="3" applyFont="1"/>
    <xf numFmtId="166" fontId="2" fillId="0" borderId="0" xfId="3" applyFont="1"/>
    <xf numFmtId="166" fontId="8" fillId="0" borderId="0" xfId="3" applyFont="1"/>
    <xf numFmtId="165" fontId="8" fillId="0" borderId="10" xfId="2" applyFont="1" applyBorder="1"/>
    <xf numFmtId="165" fontId="0" fillId="0" borderId="10" xfId="2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9" fillId="2" borderId="9" xfId="0" applyFont="1" applyFill="1" applyBorder="1"/>
    <xf numFmtId="0" fontId="9" fillId="2" borderId="10" xfId="0" applyFont="1" applyFill="1" applyBorder="1"/>
    <xf numFmtId="166" fontId="9" fillId="2" borderId="10" xfId="1" applyFont="1" applyFill="1" applyBorder="1"/>
    <xf numFmtId="0" fontId="9" fillId="2" borderId="11" xfId="0" applyFont="1" applyFill="1" applyBorder="1"/>
    <xf numFmtId="0" fontId="2" fillId="0" borderId="9" xfId="0" applyFont="1" applyBorder="1"/>
    <xf numFmtId="0" fontId="4" fillId="0" borderId="10" xfId="0" applyFont="1" applyBorder="1"/>
    <xf numFmtId="166" fontId="2" fillId="0" borderId="10" xfId="1" applyFont="1" applyBorder="1"/>
    <xf numFmtId="0" fontId="2" fillId="0" borderId="10" xfId="0" applyFont="1" applyBorder="1"/>
    <xf numFmtId="17" fontId="2" fillId="0" borderId="11" xfId="0" applyNumberFormat="1" applyFont="1" applyBorder="1"/>
    <xf numFmtId="165" fontId="0" fillId="0" borderId="10" xfId="2" applyFont="1" applyBorder="1"/>
    <xf numFmtId="0" fontId="13" fillId="0" borderId="10" xfId="0" applyFont="1" applyBorder="1"/>
    <xf numFmtId="0" fontId="8" fillId="3" borderId="10" xfId="0" applyFont="1" applyFill="1" applyBorder="1"/>
    <xf numFmtId="0" fontId="8" fillId="0" borderId="14" xfId="0" applyFont="1" applyBorder="1"/>
    <xf numFmtId="165" fontId="8" fillId="0" borderId="0" xfId="2" applyFont="1" applyFill="1" applyBorder="1"/>
    <xf numFmtId="165" fontId="0" fillId="0" borderId="0" xfId="4" applyFont="1"/>
    <xf numFmtId="166" fontId="9" fillId="2" borderId="10" xfId="3" applyFont="1" applyFill="1" applyBorder="1"/>
    <xf numFmtId="166" fontId="2" fillId="0" borderId="10" xfId="3" applyFont="1" applyBorder="1"/>
    <xf numFmtId="0" fontId="4" fillId="0" borderId="9" xfId="0" applyFont="1" applyBorder="1"/>
    <xf numFmtId="165" fontId="0" fillId="0" borderId="9" xfId="2" applyFont="1" applyBorder="1"/>
    <xf numFmtId="165" fontId="2" fillId="0" borderId="9" xfId="2" applyFont="1" applyBorder="1"/>
    <xf numFmtId="17" fontId="2" fillId="0" borderId="9" xfId="0" applyNumberFormat="1" applyFont="1" applyBorder="1"/>
    <xf numFmtId="0" fontId="16" fillId="0" borderId="0" xfId="0" applyFont="1"/>
    <xf numFmtId="165" fontId="0" fillId="0" borderId="15" xfId="2" applyFont="1" applyFill="1" applyBorder="1"/>
    <xf numFmtId="0" fontId="0" fillId="0" borderId="15" xfId="0" applyBorder="1"/>
    <xf numFmtId="165" fontId="0" fillId="0" borderId="0" xfId="2" applyFont="1" applyFill="1" applyBorder="1"/>
    <xf numFmtId="165" fontId="0" fillId="0" borderId="0" xfId="2" applyFont="1" applyFill="1"/>
    <xf numFmtId="0" fontId="2" fillId="0" borderId="15" xfId="0" applyFont="1" applyBorder="1"/>
    <xf numFmtId="0" fontId="4" fillId="0" borderId="15" xfId="0" applyFont="1" applyBorder="1"/>
    <xf numFmtId="0" fontId="0" fillId="0" borderId="16" xfId="0" applyBorder="1"/>
    <xf numFmtId="0" fontId="4" fillId="0" borderId="16" xfId="0" applyFont="1" applyBorder="1"/>
    <xf numFmtId="165" fontId="0" fillId="0" borderId="16" xfId="2" applyFont="1" applyBorder="1"/>
    <xf numFmtId="165" fontId="0" fillId="0" borderId="16" xfId="2" applyFont="1" applyFill="1" applyBorder="1"/>
    <xf numFmtId="0" fontId="2" fillId="0" borderId="16" xfId="0" applyFont="1" applyBorder="1"/>
    <xf numFmtId="166" fontId="2" fillId="0" borderId="16" xfId="1" applyFont="1" applyBorder="1"/>
    <xf numFmtId="17" fontId="2" fillId="0" borderId="16" xfId="0" applyNumberFormat="1" applyFont="1" applyBorder="1"/>
    <xf numFmtId="0" fontId="2" fillId="4" borderId="0" xfId="0" applyFont="1" applyFill="1"/>
    <xf numFmtId="0" fontId="0" fillId="4" borderId="0" xfId="0" applyFill="1"/>
    <xf numFmtId="0" fontId="4" fillId="4" borderId="0" xfId="0" applyFont="1" applyFill="1"/>
    <xf numFmtId="165" fontId="0" fillId="4" borderId="15" xfId="2" applyFont="1" applyFill="1" applyBorder="1"/>
    <xf numFmtId="0" fontId="0" fillId="4" borderId="9" xfId="0" applyFill="1" applyBorder="1"/>
    <xf numFmtId="0" fontId="0" fillId="0" borderId="17" xfId="0" applyBorder="1"/>
    <xf numFmtId="0" fontId="4" fillId="0" borderId="17" xfId="0" applyFont="1" applyBorder="1"/>
    <xf numFmtId="14" fontId="0" fillId="0" borderId="16" xfId="0" applyNumberFormat="1" applyBorder="1"/>
    <xf numFmtId="14" fontId="0" fillId="0" borderId="17" xfId="0" applyNumberFormat="1" applyBorder="1"/>
    <xf numFmtId="0" fontId="0" fillId="0" borderId="16" xfId="0" applyBorder="1" applyAlignment="1">
      <alignment wrapText="1"/>
    </xf>
    <xf numFmtId="165" fontId="0" fillId="0" borderId="16" xfId="0" applyNumberFormat="1" applyBorder="1"/>
    <xf numFmtId="0" fontId="13" fillId="0" borderId="16" xfId="0" applyFont="1" applyBorder="1"/>
    <xf numFmtId="165" fontId="0" fillId="0" borderId="0" xfId="0" applyNumberFormat="1"/>
    <xf numFmtId="49" fontId="0" fillId="0" borderId="16" xfId="0" applyNumberFormat="1" applyBorder="1"/>
    <xf numFmtId="0" fontId="9" fillId="2" borderId="0" xfId="0" applyFont="1" applyFill="1"/>
    <xf numFmtId="166" fontId="9" fillId="2" borderId="0" xfId="1" applyFont="1" applyFill="1" applyBorder="1"/>
    <xf numFmtId="0" fontId="2" fillId="3" borderId="18" xfId="0" applyFont="1" applyFill="1" applyBorder="1"/>
    <xf numFmtId="0" fontId="0" fillId="3" borderId="18" xfId="0" applyFill="1" applyBorder="1"/>
    <xf numFmtId="0" fontId="4" fillId="3" borderId="18" xfId="0" applyFont="1" applyFill="1" applyBorder="1"/>
    <xf numFmtId="165" fontId="0" fillId="3" borderId="18" xfId="2" applyFont="1" applyFill="1" applyBorder="1"/>
    <xf numFmtId="0" fontId="16" fillId="3" borderId="18" xfId="0" applyFont="1" applyFill="1" applyBorder="1"/>
    <xf numFmtId="0" fontId="0" fillId="3" borderId="19" xfId="0" applyFill="1" applyBorder="1"/>
    <xf numFmtId="0" fontId="9" fillId="2" borderId="18" xfId="0" applyFont="1" applyFill="1" applyBorder="1"/>
    <xf numFmtId="17" fontId="2" fillId="0" borderId="18" xfId="0" applyNumberFormat="1" applyFont="1" applyBorder="1"/>
    <xf numFmtId="0" fontId="2" fillId="0" borderId="18" xfId="0" applyFont="1" applyBorder="1"/>
    <xf numFmtId="0" fontId="2" fillId="3" borderId="19" xfId="0" applyFont="1" applyFill="1" applyBorder="1"/>
    <xf numFmtId="0" fontId="4" fillId="3" borderId="20" xfId="0" applyFont="1" applyFill="1" applyBorder="1"/>
    <xf numFmtId="0" fontId="4" fillId="0" borderId="18" xfId="0" applyFont="1" applyBorder="1"/>
    <xf numFmtId="0" fontId="17" fillId="0" borderId="18" xfId="0" applyFont="1" applyBorder="1"/>
    <xf numFmtId="0" fontId="8" fillId="0" borderId="16" xfId="0" applyFont="1" applyBorder="1"/>
    <xf numFmtId="165" fontId="8" fillId="0" borderId="16" xfId="0" applyNumberFormat="1" applyFont="1" applyBorder="1"/>
    <xf numFmtId="17" fontId="5" fillId="0" borderId="16" xfId="0" applyNumberFormat="1" applyFont="1" applyBorder="1"/>
    <xf numFmtId="165" fontId="8" fillId="0" borderId="16" xfId="2" applyFont="1" applyFill="1" applyBorder="1"/>
    <xf numFmtId="49" fontId="8" fillId="0" borderId="0" xfId="0" applyNumberFormat="1" applyFont="1"/>
    <xf numFmtId="165" fontId="8" fillId="0" borderId="0" xfId="2" applyFont="1" applyFill="1"/>
    <xf numFmtId="0" fontId="8" fillId="3" borderId="18" xfId="0" applyFont="1" applyFill="1" applyBorder="1"/>
    <xf numFmtId="165" fontId="0" fillId="3" borderId="18" xfId="0" applyNumberFormat="1" applyFill="1" applyBorder="1"/>
    <xf numFmtId="0" fontId="0" fillId="0" borderId="18" xfId="0" applyBorder="1"/>
    <xf numFmtId="49" fontId="0" fillId="0" borderId="18" xfId="0" applyNumberFormat="1" applyBorder="1"/>
    <xf numFmtId="166" fontId="9" fillId="2" borderId="18" xfId="1" applyFont="1" applyFill="1" applyBorder="1"/>
    <xf numFmtId="165" fontId="2" fillId="0" borderId="18" xfId="2" applyFont="1" applyBorder="1"/>
    <xf numFmtId="165" fontId="0" fillId="0" borderId="18" xfId="2" applyFont="1" applyFill="1" applyBorder="1"/>
    <xf numFmtId="0" fontId="0" fillId="3" borderId="0" xfId="0" applyFill="1"/>
    <xf numFmtId="165" fontId="0" fillId="3" borderId="0" xfId="0" applyNumberFormat="1" applyFill="1"/>
    <xf numFmtId="0" fontId="18" fillId="0" borderId="18" xfId="0" applyFont="1" applyBorder="1"/>
    <xf numFmtId="0" fontId="9" fillId="2" borderId="21" xfId="0" applyFont="1" applyFill="1" applyBorder="1"/>
    <xf numFmtId="0" fontId="0" fillId="4" borderId="18" xfId="0" applyFill="1" applyBorder="1"/>
    <xf numFmtId="165" fontId="0" fillId="4" borderId="18" xfId="2" applyFont="1" applyFill="1" applyBorder="1"/>
    <xf numFmtId="165" fontId="0" fillId="0" borderId="18" xfId="2" applyFont="1" applyBorder="1"/>
    <xf numFmtId="165" fontId="0" fillId="0" borderId="18" xfId="0" applyNumberFormat="1" applyBorder="1"/>
    <xf numFmtId="0" fontId="7" fillId="0" borderId="18" xfId="0" applyFont="1" applyBorder="1"/>
    <xf numFmtId="0" fontId="15" fillId="0" borderId="1" xfId="0" applyFont="1" applyBorder="1" applyAlignment="1">
      <alignment vertical="center"/>
    </xf>
    <xf numFmtId="0" fontId="14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4" fillId="0" borderId="18" xfId="0" applyFont="1" applyBorder="1" applyAlignment="1">
      <alignment vertical="center"/>
    </xf>
    <xf numFmtId="0" fontId="20" fillId="5" borderId="18" xfId="0" applyFont="1" applyFill="1" applyBorder="1" applyAlignment="1">
      <alignment vertical="center"/>
    </xf>
    <xf numFmtId="0" fontId="14" fillId="6" borderId="18" xfId="0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4" fillId="0" borderId="18" xfId="0" applyFont="1" applyBorder="1" applyAlignment="1">
      <alignment horizontal="right" vertical="center"/>
    </xf>
    <xf numFmtId="0" fontId="15" fillId="0" borderId="18" xfId="0" applyFont="1" applyBorder="1" applyAlignment="1">
      <alignment vertical="center"/>
    </xf>
    <xf numFmtId="0" fontId="4" fillId="6" borderId="18" xfId="0" applyFont="1" applyFill="1" applyBorder="1" applyAlignment="1">
      <alignment horizontal="right" vertical="center"/>
    </xf>
    <xf numFmtId="0" fontId="4" fillId="0" borderId="18" xfId="0" applyFont="1" applyBorder="1" applyAlignment="1">
      <alignment vertical="center"/>
    </xf>
    <xf numFmtId="165" fontId="0" fillId="3" borderId="18" xfId="2" applyFont="1" applyFill="1" applyBorder="1" applyAlignment="1"/>
    <xf numFmtId="165" fontId="14" fillId="0" borderId="18" xfId="2" applyFont="1" applyBorder="1" applyAlignment="1">
      <alignment vertical="center"/>
    </xf>
    <xf numFmtId="165" fontId="14" fillId="6" borderId="18" xfId="2" applyFont="1" applyFill="1" applyBorder="1" applyAlignment="1">
      <alignment vertical="center"/>
    </xf>
    <xf numFmtId="164" fontId="0" fillId="0" borderId="0" xfId="0" applyNumberFormat="1"/>
    <xf numFmtId="165" fontId="14" fillId="6" borderId="18" xfId="0" applyNumberFormat="1" applyFont="1" applyFill="1" applyBorder="1" applyAlignment="1">
      <alignment vertical="center"/>
    </xf>
    <xf numFmtId="0" fontId="14" fillId="0" borderId="6" xfId="0" applyFont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2" fillId="0" borderId="22" xfId="0" applyFont="1" applyBorder="1"/>
    <xf numFmtId="0" fontId="21" fillId="0" borderId="23" xfId="0" applyFont="1" applyBorder="1"/>
    <xf numFmtId="0" fontId="2" fillId="0" borderId="24" xfId="0" applyFont="1" applyBorder="1"/>
    <xf numFmtId="14" fontId="0" fillId="0" borderId="25" xfId="0" applyNumberFormat="1" applyBorder="1"/>
    <xf numFmtId="0" fontId="2" fillId="0" borderId="26" xfId="0" applyFont="1" applyBorder="1"/>
    <xf numFmtId="0" fontId="0" fillId="0" borderId="27" xfId="0" applyBorder="1" applyAlignment="1">
      <alignment horizontal="left"/>
    </xf>
    <xf numFmtId="165" fontId="0" fillId="0" borderId="0" xfId="2" applyFont="1" applyBorder="1"/>
    <xf numFmtId="17" fontId="0" fillId="0" borderId="18" xfId="0" applyNumberFormat="1" applyBorder="1"/>
    <xf numFmtId="0" fontId="0" fillId="0" borderId="28" xfId="0" applyBorder="1"/>
    <xf numFmtId="49" fontId="4" fillId="0" borderId="0" xfId="0" applyNumberFormat="1" applyFont="1"/>
    <xf numFmtId="0" fontId="13" fillId="0" borderId="18" xfId="0" applyFont="1" applyBorder="1"/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8" xfId="0" applyBorder="1" applyAlignment="1">
      <alignment wrapText="1"/>
    </xf>
    <xf numFmtId="0" fontId="0" fillId="0" borderId="18" xfId="0" applyBorder="1" applyAlignment="1">
      <alignment horizontal="left" vertical="top"/>
    </xf>
    <xf numFmtId="0" fontId="13" fillId="0" borderId="18" xfId="0" applyFont="1" applyBorder="1" applyAlignment="1">
      <alignment horizontal="left" vertical="top"/>
    </xf>
    <xf numFmtId="165" fontId="0" fillId="0" borderId="18" xfId="2" applyFont="1" applyFill="1" applyBorder="1" applyAlignment="1">
      <alignment horizontal="left" vertical="top"/>
    </xf>
    <xf numFmtId="49" fontId="0" fillId="0" borderId="18" xfId="0" applyNumberFormat="1" applyBorder="1" applyAlignment="1">
      <alignment horizontal="left" vertical="top"/>
    </xf>
    <xf numFmtId="0" fontId="0" fillId="0" borderId="0" xfId="0" applyAlignment="1">
      <alignment horizontal="left" vertical="top"/>
    </xf>
    <xf numFmtId="165" fontId="8" fillId="0" borderId="18" xfId="2" applyFont="1" applyBorder="1"/>
    <xf numFmtId="0" fontId="13" fillId="0" borderId="0" xfId="0" applyFont="1" applyAlignment="1">
      <alignment horizontal="left" vertical="top"/>
    </xf>
    <xf numFmtId="165" fontId="0" fillId="0" borderId="0" xfId="2" applyFont="1" applyFill="1" applyBorder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0" fillId="0" borderId="29" xfId="0" applyNumberFormat="1" applyBorder="1"/>
    <xf numFmtId="0" fontId="13" fillId="3" borderId="18" xfId="0" applyFont="1" applyFill="1" applyBorder="1" applyAlignment="1">
      <alignment horizontal="left" vertical="top"/>
    </xf>
    <xf numFmtId="0" fontId="0" fillId="3" borderId="18" xfId="0" applyFill="1" applyBorder="1" applyAlignment="1">
      <alignment vertical="center"/>
    </xf>
    <xf numFmtId="49" fontId="0" fillId="3" borderId="18" xfId="0" applyNumberFormat="1" applyFill="1" applyBorder="1"/>
    <xf numFmtId="0" fontId="13" fillId="0" borderId="0" xfId="0" applyFont="1" applyAlignment="1">
      <alignment horizontal="center" wrapText="1"/>
    </xf>
    <xf numFmtId="0" fontId="0" fillId="0" borderId="19" xfId="0" applyBorder="1"/>
    <xf numFmtId="0" fontId="22" fillId="0" borderId="0" xfId="0" applyFont="1" applyAlignment="1">
      <alignment horizontal="center" vertical="center" wrapText="1"/>
    </xf>
    <xf numFmtId="0" fontId="0" fillId="0" borderId="21" xfId="0" applyBorder="1"/>
    <xf numFmtId="0" fontId="13" fillId="0" borderId="21" xfId="0" applyFont="1" applyBorder="1"/>
    <xf numFmtId="165" fontId="0" fillId="0" borderId="21" xfId="2" applyFont="1" applyFill="1" applyBorder="1"/>
    <xf numFmtId="0" fontId="23" fillId="0" borderId="18" xfId="0" applyFont="1" applyBorder="1" applyAlignment="1">
      <alignment vertical="center"/>
    </xf>
    <xf numFmtId="0" fontId="23" fillId="0" borderId="0" xfId="0" applyFont="1"/>
    <xf numFmtId="0" fontId="4" fillId="0" borderId="0" xfId="0" applyFont="1" applyAlignment="1">
      <alignment vertical="center"/>
    </xf>
    <xf numFmtId="49" fontId="8" fillId="0" borderId="18" xfId="0" applyNumberFormat="1" applyFont="1" applyBorder="1"/>
    <xf numFmtId="165" fontId="8" fillId="0" borderId="18" xfId="2" applyFont="1" applyFill="1" applyBorder="1"/>
    <xf numFmtId="0" fontId="8" fillId="0" borderId="18" xfId="0" applyFont="1" applyBorder="1"/>
    <xf numFmtId="14" fontId="0" fillId="0" borderId="18" xfId="0" applyNumberFormat="1" applyBorder="1"/>
    <xf numFmtId="0" fontId="24" fillId="0" borderId="2" xfId="0" applyFont="1" applyBorder="1"/>
    <xf numFmtId="0" fontId="4" fillId="0" borderId="24" xfId="0" applyFont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25" fillId="0" borderId="2" xfId="0" applyFont="1" applyBorder="1"/>
    <xf numFmtId="0" fontId="26" fillId="0" borderId="2" xfId="0" applyFont="1" applyBorder="1"/>
    <xf numFmtId="0" fontId="27" fillId="0" borderId="0" xfId="0" applyFont="1"/>
    <xf numFmtId="165" fontId="1" fillId="3" borderId="18" xfId="2" applyFont="1" applyFill="1" applyBorder="1"/>
    <xf numFmtId="0" fontId="28" fillId="0" borderId="18" xfId="0" applyFont="1" applyBorder="1" applyAlignment="1">
      <alignment vertical="center"/>
    </xf>
    <xf numFmtId="0" fontId="14" fillId="0" borderId="18" xfId="0" applyFont="1" applyBorder="1"/>
    <xf numFmtId="0" fontId="13" fillId="3" borderId="18" xfId="0" applyFont="1" applyFill="1" applyBorder="1"/>
    <xf numFmtId="0" fontId="14" fillId="3" borderId="18" xfId="0" applyFont="1" applyFill="1" applyBorder="1"/>
    <xf numFmtId="0" fontId="29" fillId="0" borderId="2" xfId="0" applyFont="1" applyBorder="1"/>
    <xf numFmtId="0" fontId="30" fillId="0" borderId="0" xfId="0" applyFont="1"/>
    <xf numFmtId="0" fontId="31" fillId="0" borderId="2" xfId="0" applyFont="1" applyBorder="1"/>
    <xf numFmtId="0" fontId="32" fillId="0" borderId="18" xfId="0" applyFont="1" applyBorder="1"/>
    <xf numFmtId="165" fontId="1" fillId="0" borderId="18" xfId="2" applyFont="1" applyFill="1" applyBorder="1"/>
    <xf numFmtId="165" fontId="4" fillId="0" borderId="18" xfId="2" applyFont="1" applyFill="1" applyBorder="1"/>
    <xf numFmtId="49" fontId="4" fillId="0" borderId="18" xfId="0" applyNumberFormat="1" applyFont="1" applyBorder="1"/>
    <xf numFmtId="0" fontId="33" fillId="2" borderId="18" xfId="0" applyFont="1" applyFill="1" applyBorder="1"/>
    <xf numFmtId="166" fontId="33" fillId="2" borderId="18" xfId="1" applyFont="1" applyFill="1" applyBorder="1"/>
    <xf numFmtId="165" fontId="1" fillId="0" borderId="18" xfId="2" applyFont="1" applyBorder="1"/>
    <xf numFmtId="0" fontId="34" fillId="0" borderId="0" xfId="0" applyFont="1" applyAlignment="1">
      <alignment vertical="center"/>
    </xf>
    <xf numFmtId="0" fontId="35" fillId="0" borderId="0" xfId="0" applyFont="1"/>
    <xf numFmtId="0" fontId="33" fillId="2" borderId="21" xfId="0" applyFont="1" applyFill="1" applyBorder="1"/>
    <xf numFmtId="0" fontId="0" fillId="0" borderId="30" xfId="0" applyBorder="1"/>
    <xf numFmtId="49" fontId="0" fillId="0" borderId="28" xfId="0" applyNumberFormat="1" applyBorder="1"/>
    <xf numFmtId="0" fontId="27" fillId="0" borderId="18" xfId="0" applyFont="1" applyBorder="1"/>
    <xf numFmtId="0" fontId="6" fillId="0" borderId="1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</cellXfs>
  <cellStyles count="5">
    <cellStyle name="Comma" xfId="1" builtinId="3"/>
    <cellStyle name="Comma 2" xfId="3" xr:uid="{65B2FB2B-D75A-4D82-858D-EE48261FA2D9}"/>
    <cellStyle name="Currency" xfId="2" builtinId="4"/>
    <cellStyle name="Currency 2" xfId="4" xr:uid="{24486332-87D3-44CA-A866-68A1E83DDA6E}"/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* #,##0.00_);_(* \(#,##0.00\);_(* &quot;-&quot;??_);_(@_)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alcChain" Target="calcChain.xml"/><Relationship Id="rId16" Type="http://schemas.openxmlformats.org/officeDocument/2006/relationships/worksheet" Target="worksheets/sheet16.xml"/><Relationship Id="rId107" Type="http://schemas.openxmlformats.org/officeDocument/2006/relationships/externalLink" Target="externalLinks/externalLink4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microsoft.com/office/2006/relationships/vbaProject" Target="vbaProject.bin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externalLink" Target="externalLinks/externalLink5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theme" Target="theme/theme1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oricoleman_logan_qld_gov_au/Documents/Desktop/May%202021%20LCC_DOCS-#14674633-v1-3070000_-_Internal_Immunisation_Services_Journal_2020_2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PCDOCS://MAY%202021%20LCC_DOCS/14674633/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olemal\Documents\September%2021LCC_DOCS-%2314674633-v1-3070000_-_Internal_Immunisation_Services_Journal_2020_2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oricoleman_logan_qld_gov_au/Documents/Documents/October%202021%20LCC_DOCS-#14674633-v1-3070000_-_Internal_Immunisation_Services_Journal_2020_21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loricoleman_logan_qld_gov_au/Documents/Desktop/April%202022%20LCC_DOCS-#14674633-v1-3070000_-_Internal_Immunisation_Services_Journal_2020_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Lookup Values"/>
    </sheetNames>
    <sheetDataSet>
      <sheetData sheetId="0"/>
      <sheetData sheetId="1"/>
      <sheetData sheetId="2"/>
      <sheetData sheetId="3">
        <row r="1">
          <cell r="A1" t="str">
            <v>Immunisation Service Name</v>
          </cell>
          <cell r="B1" t="str">
            <v>Amount</v>
          </cell>
          <cell r="G1" t="str">
            <v>Branch List</v>
          </cell>
          <cell r="H1" t="str">
            <v>Ledger Code</v>
          </cell>
          <cell r="I1" t="str">
            <v>Account Number</v>
          </cell>
        </row>
        <row r="2">
          <cell r="A2" t="str">
            <v>Immunisation Services - Blood Test</v>
          </cell>
          <cell r="B2">
            <v>70</v>
          </cell>
          <cell r="G2" t="str">
            <v>1010000 - Office of the Chief Executive</v>
          </cell>
        </row>
        <row r="3">
          <cell r="A3" t="str">
            <v>Immunisation Services - Hep A &amp; Hep B</v>
          </cell>
          <cell r="B3">
            <v>54</v>
          </cell>
          <cell r="G3" t="str">
            <v>2010000 - OS Office of the Director</v>
          </cell>
        </row>
        <row r="4">
          <cell r="A4" t="str">
            <v xml:space="preserve">Immunisation Services - Hep A </v>
          </cell>
          <cell r="B4">
            <v>40</v>
          </cell>
          <cell r="G4" t="str">
            <v>2020000 - Administration</v>
          </cell>
        </row>
        <row r="5">
          <cell r="A5" t="str">
            <v>Immunisation Services - Hep B</v>
          </cell>
          <cell r="B5">
            <v>14</v>
          </cell>
          <cell r="G5" t="str">
            <v>2030000 - Finance</v>
          </cell>
        </row>
        <row r="6">
          <cell r="A6" t="str">
            <v>Immunisation Services - Hep B &amp; DTPa</v>
          </cell>
          <cell r="B6">
            <v>39</v>
          </cell>
          <cell r="G6" t="str">
            <v>2040000 - Corporate Governance</v>
          </cell>
        </row>
        <row r="7">
          <cell r="A7" t="str">
            <v>Immunisation Services - Hep A, Hep B &amp; DTPa</v>
          </cell>
          <cell r="B7">
            <v>79</v>
          </cell>
          <cell r="G7" t="str">
            <v>2050000 - Information Technology</v>
          </cell>
        </row>
        <row r="8">
          <cell r="A8" t="str">
            <v>Immunisation Services - Varivax</v>
          </cell>
          <cell r="B8">
            <v>45</v>
          </cell>
          <cell r="G8" t="str">
            <v>2060000 - People &amp; Culture</v>
          </cell>
        </row>
        <row r="9">
          <cell r="A9" t="str">
            <v>Immunisation Services - Q Fever Intial consultation</v>
          </cell>
          <cell r="B9">
            <v>132</v>
          </cell>
          <cell r="G9" t="str">
            <v>2070000 - Plant Fleet Services</v>
          </cell>
          <cell r="H9" t="str">
            <v>SL</v>
          </cell>
          <cell r="I9" t="str">
            <v>1-13051-7B213</v>
          </cell>
        </row>
        <row r="10">
          <cell r="A10" t="str">
            <v>Immunisation Services - DTPa</v>
          </cell>
          <cell r="B10">
            <v>25</v>
          </cell>
          <cell r="G10" t="str">
            <v>2080000 - Corporate Finance</v>
          </cell>
        </row>
        <row r="11">
          <cell r="A11" t="str">
            <v>Immunisation Services - Q Fever vaccination</v>
          </cell>
          <cell r="B11">
            <v>166.1</v>
          </cell>
          <cell r="G11" t="str">
            <v>3010000 - SS Office of the Director</v>
          </cell>
        </row>
        <row r="12">
          <cell r="A12" t="str">
            <v>QML Pathology on-site fee 1 collector</v>
          </cell>
          <cell r="B12">
            <v>112.5</v>
          </cell>
          <cell r="G12" t="str">
            <v>3020000 - Development Assessment</v>
          </cell>
          <cell r="H12" t="str">
            <v>SL</v>
          </cell>
          <cell r="I12" t="str">
            <v>1-14501-7B213</v>
          </cell>
        </row>
        <row r="13">
          <cell r="A13" t="str">
            <v>QML Pathology on-site fee 2 collector</v>
          </cell>
          <cell r="B13">
            <v>133</v>
          </cell>
          <cell r="G13" t="str">
            <v>3060000 - Economic Development &amp; Strategy</v>
          </cell>
          <cell r="H13" t="str">
            <v>SL</v>
          </cell>
          <cell r="I13" t="str">
            <v>1-E0035-7B213</v>
          </cell>
        </row>
        <row r="14">
          <cell r="G14" t="str">
            <v>3070000 - Health, Environment &amp; Waste - Waste</v>
          </cell>
          <cell r="H14" t="str">
            <v>SL</v>
          </cell>
          <cell r="I14" t="str">
            <v>1-30612-7B213</v>
          </cell>
        </row>
        <row r="15">
          <cell r="G15" t="str">
            <v>3070000 - Health, Environment &amp; Waste - NES</v>
          </cell>
          <cell r="H15" t="str">
            <v>SL</v>
          </cell>
          <cell r="I15" t="str">
            <v>1-50002-7B213</v>
          </cell>
        </row>
        <row r="16">
          <cell r="G16" t="str">
            <v>3070000 - Health, Environment &amp; Waste - Admin</v>
          </cell>
          <cell r="H16" t="str">
            <v>SL</v>
          </cell>
          <cell r="I16" t="str">
            <v>1-50001-7B213</v>
          </cell>
        </row>
        <row r="17">
          <cell r="G17" t="str">
            <v>4010000 - CS Office of the Director</v>
          </cell>
        </row>
        <row r="18">
          <cell r="G18" t="str">
            <v>4020000 - City Standards &amp; Animal Care</v>
          </cell>
        </row>
        <row r="19">
          <cell r="G19" t="str">
            <v>4040000 - Marketing &amp; Events</v>
          </cell>
        </row>
        <row r="20">
          <cell r="G20" t="str">
            <v>4050000 - Sport, Leisure &amp; Facilities</v>
          </cell>
        </row>
        <row r="21">
          <cell r="G21" t="str">
            <v>4060000 - Community Services</v>
          </cell>
        </row>
        <row r="22">
          <cell r="G22" t="str">
            <v>4070000 - Customer Experience &amp; Community Engagement</v>
          </cell>
        </row>
        <row r="23">
          <cell r="G23" t="str">
            <v>4080000 - Libraries &amp; Creative Industries</v>
          </cell>
        </row>
        <row r="24">
          <cell r="G24" t="str">
            <v>4090000 - Parks</v>
          </cell>
        </row>
        <row r="25">
          <cell r="G25" t="str">
            <v>4100000 - Media</v>
          </cell>
        </row>
        <row r="26">
          <cell r="G26" t="str">
            <v>5010000 - RW Office of the Director</v>
          </cell>
        </row>
        <row r="27">
          <cell r="G27" t="str">
            <v>5030000 - Road Infrastructure Planning</v>
          </cell>
        </row>
        <row r="28">
          <cell r="G28" t="str">
            <v>5050000 - Road Construction &amp; Maintenance</v>
          </cell>
          <cell r="H28" t="str">
            <v>R</v>
          </cell>
          <cell r="I28" t="str">
            <v>D00-30-000-7B213</v>
          </cell>
        </row>
        <row r="29">
          <cell r="G29" t="str">
            <v>5060000 - Road Infrastructure Delivery</v>
          </cell>
          <cell r="H29" t="str">
            <v>SL</v>
          </cell>
          <cell r="I29" t="str">
            <v>1-19521-7B213</v>
          </cell>
        </row>
        <row r="30">
          <cell r="G30" t="str">
            <v>6110000 - Water Service Delivery</v>
          </cell>
          <cell r="H30" t="str">
            <v>PS</v>
          </cell>
          <cell r="I30" t="str">
            <v>100009-200-7B213</v>
          </cell>
        </row>
        <row r="31">
          <cell r="G31" t="str">
            <v>6120000 - Water Service Performance</v>
          </cell>
        </row>
        <row r="32">
          <cell r="G32" t="str">
            <v>6130000 - Water Infrastructure Solutions</v>
          </cell>
        </row>
        <row r="33">
          <cell r="G33" t="str">
            <v>7010000 - ICT Office of the Director</v>
          </cell>
        </row>
        <row r="34">
          <cell r="G34" t="str">
            <v>7020000 - Business Transformation</v>
          </cell>
        </row>
        <row r="35">
          <cell r="G35" t="str">
            <v>7050000 - City Transformation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oleLink xmlns:r="http://schemas.openxmlformats.org/officeDocument/2006/relationships" r:id="rId1" progId="PwDMoniker.PwDMoniker.1">
    <oleItems>
      <mc:AlternateContent xmlns:mc="http://schemas.openxmlformats.org/markup-compatibility/2006">
        <mc:Choice Requires="x14">
          <x14:oleItem name="!Lookup Values!C1:C2" advise="1"/>
        </mc:Choice>
        <mc:Fallback>
          <oleItem name="!Lookup Values!C1:C2" advise="1"/>
        </mc:Fallback>
      </mc:AlternateContent>
    </oleItems>
  </ol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Parks Journal input June 2021"/>
      <sheetName val="June 2021"/>
      <sheetName val="July 2021"/>
      <sheetName val="Parks Journal input July 2021"/>
      <sheetName val="August 2021"/>
      <sheetName val="Parks Journal input August 2021"/>
      <sheetName val="September 2021"/>
      <sheetName val="Parks Journal input Sept 2021"/>
      <sheetName val="October 2021"/>
      <sheetName val="November 2021"/>
      <sheetName val="December 2021"/>
      <sheetName val="Lookup Values"/>
      <sheetName val="September 21LCC_DOCS-#14674633-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Parks Journal input June 2021"/>
      <sheetName val="June 2021"/>
      <sheetName val="July 2021"/>
      <sheetName val="Parks Journal input July 2021"/>
      <sheetName val="August 2021"/>
      <sheetName val="Parks Journal input August 2021"/>
      <sheetName val="September 2021"/>
      <sheetName val="Parks Journal input October 21"/>
      <sheetName val="October 2021"/>
      <sheetName val="November 2021"/>
      <sheetName val="December 2021"/>
      <sheetName val="Lookup Valu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Immunisation Service Name</v>
          </cell>
          <cell r="B1" t="str">
            <v>Amount</v>
          </cell>
          <cell r="G1" t="str">
            <v>Branch List</v>
          </cell>
          <cell r="H1" t="str">
            <v>Ledger Code</v>
          </cell>
          <cell r="I1" t="str">
            <v>Account Number</v>
          </cell>
        </row>
        <row r="2">
          <cell r="A2" t="str">
            <v>Immunisation Services - Blood Test</v>
          </cell>
          <cell r="B2">
            <v>71.75</v>
          </cell>
          <cell r="G2" t="str">
            <v>1010000 - Office of the Chief Executive</v>
          </cell>
        </row>
        <row r="3">
          <cell r="A3" t="str">
            <v>Immunisation Services - Hep A &amp; Hep B</v>
          </cell>
          <cell r="B3">
            <v>54</v>
          </cell>
          <cell r="G3" t="str">
            <v>2010000 - OS Office of the Director</v>
          </cell>
        </row>
        <row r="4">
          <cell r="A4" t="str">
            <v xml:space="preserve">Immunisation Services - Hep A </v>
          </cell>
          <cell r="B4">
            <v>40</v>
          </cell>
          <cell r="G4" t="str">
            <v>2020000 - Administration</v>
          </cell>
        </row>
        <row r="5">
          <cell r="A5" t="str">
            <v>Immunisation Services - Hep B</v>
          </cell>
          <cell r="B5">
            <v>14</v>
          </cell>
          <cell r="G5" t="str">
            <v>2030000 - Finance</v>
          </cell>
        </row>
        <row r="6">
          <cell r="A6" t="str">
            <v>Immunisation Services - Hep B &amp; DTPa</v>
          </cell>
          <cell r="B6">
            <v>39</v>
          </cell>
          <cell r="G6" t="str">
            <v>2040000 - Corporate Governance</v>
          </cell>
        </row>
        <row r="7">
          <cell r="A7" t="str">
            <v>Immunisation Services - Hep A, Hep B &amp; DTPa</v>
          </cell>
          <cell r="B7">
            <v>79</v>
          </cell>
          <cell r="G7" t="str">
            <v>2050000 - Information Technology</v>
          </cell>
        </row>
        <row r="8">
          <cell r="A8" t="str">
            <v>Immunisation Services - Varivax</v>
          </cell>
          <cell r="B8">
            <v>45</v>
          </cell>
          <cell r="G8" t="str">
            <v>2060000 - People &amp; Culture</v>
          </cell>
        </row>
        <row r="9">
          <cell r="A9" t="str">
            <v>Immunisation Services - Q Fever Intial consultation</v>
          </cell>
          <cell r="B9">
            <v>132</v>
          </cell>
          <cell r="G9" t="str">
            <v>2070000 - Plant Fleet Services</v>
          </cell>
          <cell r="H9" t="str">
            <v>SL</v>
          </cell>
          <cell r="I9" t="str">
            <v>1-13051-7B213</v>
          </cell>
        </row>
        <row r="10">
          <cell r="A10" t="str">
            <v>Immunisation Services - DTPa</v>
          </cell>
          <cell r="B10">
            <v>25</v>
          </cell>
          <cell r="G10" t="str">
            <v>2080000 - Corporate Finance</v>
          </cell>
        </row>
        <row r="11">
          <cell r="A11" t="str">
            <v>Immunisation Services - Hep A &amp; dTpa</v>
          </cell>
          <cell r="B11">
            <v>65</v>
          </cell>
          <cell r="G11" t="str">
            <v>3010000 - SS Office of the Director</v>
          </cell>
        </row>
        <row r="12">
          <cell r="A12" t="str">
            <v>Influenza - Flucelvax</v>
          </cell>
          <cell r="B12">
            <v>40</v>
          </cell>
          <cell r="G12" t="str">
            <v>3020000 - Development Assessment</v>
          </cell>
          <cell r="H12" t="str">
            <v>SL</v>
          </cell>
          <cell r="I12" t="str">
            <v>1-14501-7B213</v>
          </cell>
        </row>
        <row r="13">
          <cell r="A13" t="str">
            <v>Immunisation Services - Q Fever vaccination</v>
          </cell>
          <cell r="B13">
            <v>166.1</v>
          </cell>
          <cell r="G13" t="str">
            <v>3060000 - Economic Development &amp; Strategy</v>
          </cell>
          <cell r="H13" t="str">
            <v>SL</v>
          </cell>
          <cell r="I13" t="str">
            <v>1-E0035-7B213</v>
          </cell>
        </row>
        <row r="14">
          <cell r="A14" t="str">
            <v>QML Pathology on-site fee 1 collector</v>
          </cell>
          <cell r="B14">
            <v>112.5</v>
          </cell>
          <cell r="G14" t="str">
            <v>3070000 - Health, Environment &amp; Waste - Waste</v>
          </cell>
          <cell r="H14" t="str">
            <v>SL</v>
          </cell>
          <cell r="I14" t="str">
            <v>1-30612-7B213</v>
          </cell>
        </row>
        <row r="15">
          <cell r="A15" t="str">
            <v>QML Pathology on-site fee 2 collector</v>
          </cell>
          <cell r="B15">
            <v>133</v>
          </cell>
          <cell r="G15" t="str">
            <v>3070000 - Health, Environment &amp; Waste - NES</v>
          </cell>
          <cell r="H15" t="str">
            <v>SL</v>
          </cell>
          <cell r="I15" t="str">
            <v>1-50002-7B213</v>
          </cell>
        </row>
        <row r="16">
          <cell r="G16" t="str">
            <v>3070000 - Health, Environment &amp; Waste - Admin</v>
          </cell>
          <cell r="H16" t="str">
            <v>SL</v>
          </cell>
          <cell r="I16" t="str">
            <v>1-50001-7B213</v>
          </cell>
        </row>
        <row r="17">
          <cell r="G17" t="str">
            <v>4010000 - CS Office of the Director</v>
          </cell>
        </row>
        <row r="18">
          <cell r="G18" t="str">
            <v>4020000 - City Standards &amp; Animal Care</v>
          </cell>
          <cell r="H18" t="str">
            <v>SL</v>
          </cell>
          <cell r="I18" t="str">
            <v>1-17151-7B213</v>
          </cell>
        </row>
        <row r="19">
          <cell r="G19" t="str">
            <v>4040000 - Marketing &amp; Events</v>
          </cell>
        </row>
        <row r="20">
          <cell r="G20" t="str">
            <v>4050000 - Sport, Leisure &amp; Facilities</v>
          </cell>
        </row>
        <row r="21">
          <cell r="G21" t="str">
            <v>4060000 - Community Services</v>
          </cell>
        </row>
        <row r="22">
          <cell r="G22" t="str">
            <v>4070000 - Customer Experience &amp; Community Engagement</v>
          </cell>
        </row>
        <row r="23">
          <cell r="G23" t="str">
            <v>4080000 - Libraries &amp; Creative Industries</v>
          </cell>
        </row>
        <row r="24">
          <cell r="G24" t="str">
            <v>4090000 - Parks</v>
          </cell>
        </row>
        <row r="25">
          <cell r="G25" t="str">
            <v>4100000 - Media</v>
          </cell>
        </row>
        <row r="26">
          <cell r="G26" t="str">
            <v>5010000 - RW Office of the Director</v>
          </cell>
        </row>
        <row r="27">
          <cell r="G27" t="str">
            <v>5030000 - Road Infrastructure Planning</v>
          </cell>
        </row>
        <row r="28">
          <cell r="G28" t="str">
            <v>5050000 - Road Construction &amp; Maintenance</v>
          </cell>
          <cell r="H28" t="str">
            <v>R</v>
          </cell>
          <cell r="I28" t="str">
            <v>D00-30-000-7B213</v>
          </cell>
        </row>
        <row r="29">
          <cell r="G29" t="str">
            <v>5060000 - Road Infrastructure Delivery</v>
          </cell>
          <cell r="H29" t="str">
            <v>SL</v>
          </cell>
          <cell r="I29" t="str">
            <v>1-19521-7B213</v>
          </cell>
        </row>
        <row r="30">
          <cell r="G30" t="str">
            <v>6110000 - Water Service Delivery</v>
          </cell>
          <cell r="H30" t="str">
            <v>PS</v>
          </cell>
          <cell r="I30" t="str">
            <v>100009-200-7B213</v>
          </cell>
        </row>
        <row r="31">
          <cell r="G31" t="str">
            <v>6120000 - Water Service Performance</v>
          </cell>
        </row>
        <row r="32">
          <cell r="G32" t="str">
            <v>6130000 - Water Infrastructure Solutions</v>
          </cell>
          <cell r="H32" t="str">
            <v>PS</v>
          </cell>
          <cell r="I32" t="str">
            <v>100012-200-7B213</v>
          </cell>
        </row>
        <row r="33">
          <cell r="G33" t="str">
            <v>7010000 - ICT Office of the Director</v>
          </cell>
        </row>
        <row r="34">
          <cell r="G34" t="str">
            <v>7020000 - Business Transformation</v>
          </cell>
        </row>
        <row r="35">
          <cell r="G35" t="str">
            <v>7050000 - City Transformation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ks Journal input May 2021"/>
      <sheetName val="May-2021"/>
      <sheetName val="April Example"/>
      <sheetName val="Parks Journal input June 2021"/>
      <sheetName val="June 2021"/>
      <sheetName val="July 2021"/>
      <sheetName val="Parks Journal input July 2021"/>
      <sheetName val="August 2021"/>
      <sheetName val="Parks Journal input August 2021"/>
      <sheetName val="September 2021"/>
      <sheetName val="Parks Journal input October 21"/>
      <sheetName val="October 2021"/>
      <sheetName val="Parks Journal input Nov 21"/>
      <sheetName val="November 2021"/>
      <sheetName val="Parks Journal input Dec 2021"/>
      <sheetName val="December 2021"/>
      <sheetName val="Parks Journal input Jan 2022"/>
      <sheetName val="January 2022"/>
      <sheetName val="Parks Journal input March 2022"/>
      <sheetName val="March 2022"/>
      <sheetName val="Parks Journal input April 2022"/>
      <sheetName val="April 2022"/>
      <sheetName val="Lookup Values"/>
      <sheetName val="April 2022 LCC_DOCS-#14674633-v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9099EA8-3AEC-40C7-85CE-C2DCD60925D9}" name="Table24" displayName="Table24" ref="A8:G533" totalsRowShown="0" headerRowDxfId="22">
  <autoFilter ref="A8:G533" xr:uid="{E9B8D703-B19C-4711-BCAE-314D16B66776}">
    <filterColumn colId="0">
      <filters>
        <filter val="PS"/>
      </filters>
    </filterColumn>
  </autoFilter>
  <tableColumns count="7">
    <tableColumn id="1" xr3:uid="{F5A0A4F1-375C-4614-95BA-794B683AF203}" name="Ledger Code"/>
    <tableColumn id="2" xr3:uid="{E65E43E6-C71C-4EE9-A16D-567B5D4C2EB9}" name="Cost Code"/>
    <tableColumn id="7" xr3:uid="{F037C187-9DC8-4660-A179-5140C28BC60C}" name="Qty" dataDxfId="21">
      <calculatedColumnFormula>IF(Table24[[#This Row],[Journal Description (Service Description)]]="","",1)</calculatedColumnFormula>
    </tableColumn>
    <tableColumn id="3" xr3:uid="{0D518331-4C06-4BD9-A422-6B40A4DF5AA6}" name="Amount (ex GST)" dataDxfId="20" dataCellStyle="Comma">
      <calculatedColumnFormula>-SUM(D10:D39)</calculatedColumnFormula>
    </tableColumn>
    <tableColumn id="4" xr3:uid="{5353A907-FD6E-4B39-A440-D22634C5F482}" name="Branch Name"/>
    <tableColumn id="5" xr3:uid="{6F6B0404-C2F9-481D-AE7C-4141227816AF}" name="Journal Description (Service Description)"/>
    <tableColumn id="6" xr3:uid="{D43C0160-C0D0-48BC-8831-B07ADF2ED15B}" name="Worker / Date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9437EB-CA87-490D-A155-5749FD52E561}" name="Table2" displayName="Table2" ref="A8:G533" totalsRowShown="0" headerRowDxfId="19">
  <autoFilter ref="A8:G533" xr:uid="{E9B8D703-B19C-4711-BCAE-314D16B66776}"/>
  <tableColumns count="7">
    <tableColumn id="1" xr3:uid="{B5767CA6-D801-4852-82EF-832E86D90BA0}" name="Ledger Code"/>
    <tableColumn id="2" xr3:uid="{5869C534-D0B0-4477-93A4-FE8342306518}" name="Cost Code"/>
    <tableColumn id="7" xr3:uid="{BD704D7E-43B2-4CC1-85AB-0C7A336796F3}" name="Qty"/>
    <tableColumn id="3" xr3:uid="{C05D4219-457B-4B36-8323-9FE439C5A3B0}" name="Amount (ex GST)" dataDxfId="18" dataCellStyle="Comma"/>
    <tableColumn id="4" xr3:uid="{C3CFBBC6-CEFF-407C-AEC7-48FCA317510A}" name="Branch Name"/>
    <tableColumn id="5" xr3:uid="{C3DDB387-1E12-4F74-B4DA-4476DAA647A6}" name="Journal Description"/>
    <tableColumn id="6" xr3:uid="{932A0778-FE0F-4CB7-BA16-3A24693B7A68}" name="Worker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1A94E3-65E9-43BB-A180-AFAEBB96A76E}" name="Table242" displayName="Table242" ref="A8:G533" totalsRowShown="0" headerRowDxfId="17">
  <autoFilter ref="A8:G533" xr:uid="{C40CB13A-D3B2-49C4-89FF-7B52795AF072}">
    <filterColumn colId="0">
      <filters blank="1">
        <filter val="PS"/>
        <filter val="SL"/>
      </filters>
    </filterColumn>
    <filterColumn colId="4">
      <filters>
        <filter val="6120000 - Water Service Performance"/>
      </filters>
    </filterColumn>
  </autoFilter>
  <tableColumns count="7">
    <tableColumn id="1" xr3:uid="{2E4F486B-E6AC-49FB-A54D-3DEB7555206A}" name="Ledger Code"/>
    <tableColumn id="2" xr3:uid="{23D47AA1-2874-4C7D-B1E8-4B1D7A292649}" name="Cost Code"/>
    <tableColumn id="7" xr3:uid="{473829A6-5CDC-4EFD-9AF9-F0A9692C3625}" name="Qty" dataDxfId="16">
      <calculatedColumnFormula>IF(Table242[[#This Row],[Journal Description (Service Description)]]="","",1)</calculatedColumnFormula>
    </tableColumn>
    <tableColumn id="3" xr3:uid="{CE71B6B2-07AB-4B57-AA1C-414AAEEF28DE}" name="Amount (ex GST)" dataDxfId="15" dataCellStyle="Comma">
      <calculatedColumnFormula>-SUM(D10:D39)</calculatedColumnFormula>
    </tableColumn>
    <tableColumn id="4" xr3:uid="{5F2184D3-7AF5-47AF-9B2F-F0DACE16F74C}" name="Branch Name"/>
    <tableColumn id="5" xr3:uid="{BD369CF8-6184-4613-B14D-D0325E11CCB1}" name="Journal Description (Service Description)"/>
    <tableColumn id="6" xr3:uid="{40289B5A-ADCA-4CBE-AA5F-0A4348CB2374}" name="Worker / Date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FE4DF4-F1F4-4397-AE7B-568923A46F93}" name="Table2425" displayName="Table2425" ref="A8:G532" totalsRowShown="0" headerRowDxfId="14">
  <autoFilter ref="A8:G532" xr:uid="{B71893E4-C177-4DDE-8FD7-03400B0811E5}"/>
  <tableColumns count="7">
    <tableColumn id="1" xr3:uid="{B680D767-6937-4B1D-BA64-6AF905EAC13B}" name="Ledger Code"/>
    <tableColumn id="2" xr3:uid="{3963AAB7-F71D-4991-94B4-42D8F858493E}" name="Cost Code"/>
    <tableColumn id="7" xr3:uid="{5CB0A64B-7D1C-470C-8E8B-E6EBAA24F823}" name="Qty" dataDxfId="13">
      <calculatedColumnFormula>IF(Table2425[[#This Row],[Journal Description (Service Description)]]="","",1)</calculatedColumnFormula>
    </tableColumn>
    <tableColumn id="3" xr3:uid="{1CF3F385-006D-42F8-997D-7F6F3099A3E4}" name="Amount (ex GST)" dataDxfId="12" dataCellStyle="Comma">
      <calculatedColumnFormula>-SUM(D10:D38)</calculatedColumnFormula>
    </tableColumn>
    <tableColumn id="4" xr3:uid="{D9984933-5CA8-461A-A1AD-A1F701A2A7D9}" name="Branch Name"/>
    <tableColumn id="5" xr3:uid="{0AF3C18D-874F-469F-A82C-2ABF64A17CCF}" name="Journal Description (Service Description)"/>
    <tableColumn id="6" xr3:uid="{A10629BD-F68C-4680-9298-D6EB2AFBB779}" name="Worker / Date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F3AC42-815C-46EB-ADD8-6C6E350DEB1B}" name="Table24254" displayName="Table24254" ref="A8:G513" totalsRowShown="0" headerRowDxfId="11">
  <autoFilter ref="A8:G513" xr:uid="{0A8D79F8-910B-431A-BE06-994AF82BF396}"/>
  <tableColumns count="7">
    <tableColumn id="1" xr3:uid="{AD7F9CE3-09A5-47A5-9045-2955CABC2BA6}" name="Ledger Code"/>
    <tableColumn id="2" xr3:uid="{7E5CD666-1D3E-44FE-8BD1-57238A6FF4AE}" name="Cost Code"/>
    <tableColumn id="7" xr3:uid="{FBF054C4-6712-4DC5-B5FE-A78605BD57BE}" name="Qty" dataDxfId="10">
      <calculatedColumnFormula>IF(Table24254[[#This Row],[Journal Description (Service Description)]]="","",1)</calculatedColumnFormula>
    </tableColumn>
    <tableColumn id="3" xr3:uid="{E61C03AF-480F-4DC1-935E-41E7A003AAB3}" name="Amount (ex GST)" dataDxfId="9" dataCellStyle="Comma">
      <calculatedColumnFormula>-SUM(D10:D21)</calculatedColumnFormula>
    </tableColumn>
    <tableColumn id="4" xr3:uid="{80D502F4-8349-4499-8BA2-9295C70BEC82}" name="Branch Name"/>
    <tableColumn id="5" xr3:uid="{427F1436-95B4-454C-9D06-B4A609AB4F47}" name="Journal Description (Service Description)"/>
    <tableColumn id="6" xr3:uid="{510A30C9-A02E-4B73-9178-BE44EB017168}" name="Worker / Date"/>
  </tableColumns>
  <tableStyleInfo name="TableStyleLight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062C49-C07C-4FBD-B282-03BDDF0DBF8C}" name="Table2427" displayName="Table2427" ref="A8:G533" totalsRowShown="0" headerRowDxfId="8">
  <autoFilter ref="A8:G533" xr:uid="{A735DA88-9096-4ABF-88C4-959CD7E488AF}"/>
  <tableColumns count="7">
    <tableColumn id="1" xr3:uid="{6ACAC65B-ABBC-49AA-8BDA-659E396C5296}" name="Ledger Code"/>
    <tableColumn id="2" xr3:uid="{7308185B-0E18-4B37-868D-EBFBFF3475DC}" name="Cost Code"/>
    <tableColumn id="7" xr3:uid="{59738558-A566-46AF-B63C-3DA4884E0298}" name="Qty" dataDxfId="7">
      <calculatedColumnFormula>IF(Table2427[[#This Row],[Journal Description (Service Description)]]="","",1)</calculatedColumnFormula>
    </tableColumn>
    <tableColumn id="3" xr3:uid="{6D86FA6B-96C0-4D52-8507-E8E596184F78}" name="Amount (ex GST)" dataDxfId="6" dataCellStyle="Comma">
      <calculatedColumnFormula>-SUM(D10:D39)</calculatedColumnFormula>
    </tableColumn>
    <tableColumn id="4" xr3:uid="{B5C3AD4F-7813-49E7-BA2E-1FC63872A950}" name="Branch Name"/>
    <tableColumn id="5" xr3:uid="{09E901A9-9B96-467A-AF4B-071115451CF5}" name="Journal Description (Service Description)"/>
    <tableColumn id="6" xr3:uid="{5BD9B44E-DB1C-4A38-8080-1519440FBEB4}" name="Worker / Date"/>
  </tableColumns>
  <tableStyleInfo name="TableStyleLight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58D3F1-438C-4B49-A158-22C638022A76}" name="Table2428" displayName="Table2428" ref="A8:G533" totalsRowShown="0" headerRowDxfId="5">
  <autoFilter ref="A8:G533" xr:uid="{BC4B4203-0F4E-4CFE-AC30-70B7D659003D}">
    <filterColumn colId="4">
      <filters blank="1">
        <filter val="3020000 - Development Assessment"/>
        <filter val="3070000 - Health, Environment &amp; Waste - Waste"/>
        <filter val="4020000 - City Standards &amp; Animal Care"/>
        <filter val="5060000 - Road Infrastructure Delivery"/>
        <filter val="6110000 - Water Service Delivery"/>
        <filter val="6120000 - Water Service Performance"/>
        <filter val="6130000 - Water Infrastructure Solutions"/>
        <filter val="HEW"/>
      </filters>
    </filterColumn>
  </autoFilter>
  <tableColumns count="7">
    <tableColumn id="1" xr3:uid="{1AA81088-86B7-43CB-8D59-5628FA7A2030}" name="Ledger Code"/>
    <tableColumn id="2" xr3:uid="{44DF3C6C-8410-4D32-B1D8-B04028649D83}" name="Cost Code"/>
    <tableColumn id="7" xr3:uid="{FF114778-A823-4A92-A90C-70466929B77C}" name="Qty" dataDxfId="4">
      <calculatedColumnFormula>IF(Table2428[[#This Row],[Journal Description (Service Description)]]="","",1)</calculatedColumnFormula>
    </tableColumn>
    <tableColumn id="3" xr3:uid="{F6EF2152-63D0-4680-948F-632333B214D8}" name="Amount (ex GST)" dataDxfId="3" dataCellStyle="Comma">
      <calculatedColumnFormula>-SUM(D10:D39)</calculatedColumnFormula>
    </tableColumn>
    <tableColumn id="4" xr3:uid="{CC9D46EB-8BF8-4CCA-835C-4724C3218161}" name="Branch Name"/>
    <tableColumn id="5" xr3:uid="{2B63B564-9723-44B8-8B99-81BC45932A4F}" name="Journal Description (Service Description)"/>
    <tableColumn id="6" xr3:uid="{CAB59720-5718-445F-8245-48FD934A3D53}" name="Worker / Date"/>
  </tableColumns>
  <tableStyleInfo name="TableStyleLight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4C78CC5-5F8A-4EC6-8A90-E21AF6496453}" name="Table2429" displayName="Table2429" ref="A8:G533" totalsRowShown="0" headerRowDxfId="2">
  <autoFilter ref="A8:G533" xr:uid="{3CA3632D-E885-4342-9D2C-61BF1B195B21}"/>
  <tableColumns count="7">
    <tableColumn id="1" xr3:uid="{343D8B9D-45A2-485E-88A1-79E06B34E5EC}" name="Ledger Code"/>
    <tableColumn id="2" xr3:uid="{B7B6FD2A-65C6-48A2-B497-1A7FDC4725B5}" name="Cost Code"/>
    <tableColumn id="7" xr3:uid="{FA4A354D-8C3A-46E6-AD74-1CCD21EF0461}" name="Qty" dataDxfId="1">
      <calculatedColumnFormula>IF(Table2429[[#This Row],[Journal Description (Service Description)]]="","",1)</calculatedColumnFormula>
    </tableColumn>
    <tableColumn id="3" xr3:uid="{54B8EE95-A62A-46F7-A8A7-9FF1FD61F53A}" name="Amount (ex GST)" dataDxfId="0" dataCellStyle="Comma">
      <calculatedColumnFormula>-SUM(D10:D39)</calculatedColumnFormula>
    </tableColumn>
    <tableColumn id="4" xr3:uid="{9D1C89FB-B059-45A5-9021-661E7EE01AF5}" name="Branch Name"/>
    <tableColumn id="5" xr3:uid="{37359B6A-FBDF-49AD-AB34-A9DF463E2070}" name="Journal Description (Service Description)"/>
    <tableColumn id="6" xr3:uid="{01A76CBA-344F-4525-8BCA-854EEFFB0547}" name="Worker / Date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25F7A-3944-44E4-8C73-6EE2F82DBF3C}">
  <sheetPr codeName="Sheet4"/>
  <dimension ref="A1:I106"/>
  <sheetViews>
    <sheetView workbookViewId="0">
      <selection activeCell="D119" sqref="D119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13.7265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5" t="s">
        <v>73</v>
      </c>
      <c r="B4" s="44" t="s">
        <v>201</v>
      </c>
      <c r="C4" s="44" t="s">
        <v>159</v>
      </c>
      <c r="D4" s="44" t="s">
        <v>160</v>
      </c>
      <c r="E4" s="44">
        <v>1</v>
      </c>
      <c r="F4" s="47">
        <v>-10</v>
      </c>
      <c r="G4" s="44" t="s">
        <v>56</v>
      </c>
      <c r="H4" s="44" t="s">
        <v>70</v>
      </c>
      <c r="I4" s="46" t="s">
        <v>75</v>
      </c>
    </row>
    <row r="5" spans="1:9" x14ac:dyDescent="0.35">
      <c r="A5" s="45" t="s">
        <v>73</v>
      </c>
      <c r="B5" s="44" t="s">
        <v>201</v>
      </c>
      <c r="C5" s="44" t="s">
        <v>159</v>
      </c>
      <c r="D5" s="44" t="s">
        <v>160</v>
      </c>
      <c r="E5" s="44">
        <v>1</v>
      </c>
      <c r="F5" s="43">
        <v>132</v>
      </c>
      <c r="G5" s="34" t="s">
        <v>56</v>
      </c>
      <c r="H5" s="34" t="s">
        <v>90</v>
      </c>
      <c r="I5" s="35" t="s">
        <v>94</v>
      </c>
    </row>
    <row r="6" spans="1:9" x14ac:dyDescent="0.35">
      <c r="A6" s="45" t="s">
        <v>73</v>
      </c>
      <c r="B6" s="44" t="s">
        <v>201</v>
      </c>
      <c r="C6" s="44" t="s">
        <v>159</v>
      </c>
      <c r="D6" s="44" t="s">
        <v>160</v>
      </c>
      <c r="E6" s="44">
        <v>1</v>
      </c>
      <c r="F6" s="43">
        <v>166.1</v>
      </c>
      <c r="G6" s="34" t="s">
        <v>56</v>
      </c>
      <c r="H6" s="34" t="s">
        <v>91</v>
      </c>
      <c r="I6" s="35" t="s">
        <v>94</v>
      </c>
    </row>
    <row r="7" spans="1:9" x14ac:dyDescent="0.35">
      <c r="A7" s="45" t="s">
        <v>73</v>
      </c>
      <c r="B7" s="44" t="s">
        <v>201</v>
      </c>
      <c r="C7" s="44" t="s">
        <v>159</v>
      </c>
      <c r="D7" s="44" t="s">
        <v>160</v>
      </c>
      <c r="E7" s="44">
        <v>1</v>
      </c>
      <c r="F7" s="43">
        <v>132</v>
      </c>
      <c r="G7" s="34" t="s">
        <v>56</v>
      </c>
      <c r="H7" s="34" t="s">
        <v>90</v>
      </c>
      <c r="I7" s="35" t="s">
        <v>95</v>
      </c>
    </row>
    <row r="8" spans="1:9" x14ac:dyDescent="0.35">
      <c r="A8" s="45" t="s">
        <v>73</v>
      </c>
      <c r="B8" s="44" t="s">
        <v>201</v>
      </c>
      <c r="C8" s="44" t="s">
        <v>159</v>
      </c>
      <c r="D8" s="44" t="s">
        <v>160</v>
      </c>
      <c r="E8" s="44">
        <v>1</v>
      </c>
      <c r="F8" s="43">
        <v>166.1</v>
      </c>
      <c r="G8" s="34" t="s">
        <v>56</v>
      </c>
      <c r="H8" s="34" t="s">
        <v>91</v>
      </c>
      <c r="I8" s="35" t="s">
        <v>95</v>
      </c>
    </row>
    <row r="9" spans="1:9" x14ac:dyDescent="0.35">
      <c r="A9" s="45" t="s">
        <v>73</v>
      </c>
      <c r="B9" s="44" t="s">
        <v>201</v>
      </c>
      <c r="C9" s="44" t="s">
        <v>159</v>
      </c>
      <c r="D9" s="44" t="s">
        <v>160</v>
      </c>
      <c r="E9" s="44">
        <v>1</v>
      </c>
      <c r="F9" s="43">
        <v>132</v>
      </c>
      <c r="G9" s="34" t="s">
        <v>56</v>
      </c>
      <c r="H9" s="34" t="s">
        <v>90</v>
      </c>
      <c r="I9" s="35" t="s">
        <v>96</v>
      </c>
    </row>
    <row r="10" spans="1:9" x14ac:dyDescent="0.35">
      <c r="A10" s="45" t="s">
        <v>73</v>
      </c>
      <c r="B10" s="44" t="s">
        <v>201</v>
      </c>
      <c r="C10" s="44" t="s">
        <v>159</v>
      </c>
      <c r="D10" s="44" t="s">
        <v>160</v>
      </c>
      <c r="E10" s="44">
        <v>1</v>
      </c>
      <c r="F10" s="43">
        <v>166.1</v>
      </c>
      <c r="G10" s="34" t="s">
        <v>56</v>
      </c>
      <c r="H10" s="34" t="s">
        <v>91</v>
      </c>
      <c r="I10" s="35" t="s">
        <v>96</v>
      </c>
    </row>
    <row r="11" spans="1:9" x14ac:dyDescent="0.35">
      <c r="A11" s="45" t="s">
        <v>73</v>
      </c>
      <c r="B11" s="44" t="s">
        <v>201</v>
      </c>
      <c r="C11" s="44" t="s">
        <v>159</v>
      </c>
      <c r="D11" s="44" t="s">
        <v>160</v>
      </c>
      <c r="E11" s="44">
        <v>1</v>
      </c>
      <c r="F11" s="43">
        <v>132</v>
      </c>
      <c r="G11" s="34" t="s">
        <v>56</v>
      </c>
      <c r="H11" s="34" t="s">
        <v>90</v>
      </c>
      <c r="I11" s="35" t="s">
        <v>97</v>
      </c>
    </row>
    <row r="12" spans="1:9" x14ac:dyDescent="0.35">
      <c r="A12" s="45" t="s">
        <v>73</v>
      </c>
      <c r="B12" s="44" t="s">
        <v>201</v>
      </c>
      <c r="C12" s="44" t="s">
        <v>159</v>
      </c>
      <c r="D12" s="44" t="s">
        <v>160</v>
      </c>
      <c r="E12" s="44">
        <v>1</v>
      </c>
      <c r="F12" s="43">
        <v>166.1</v>
      </c>
      <c r="G12" s="34" t="s">
        <v>56</v>
      </c>
      <c r="H12" s="34" t="s">
        <v>91</v>
      </c>
      <c r="I12" s="35" t="s">
        <v>97</v>
      </c>
    </row>
    <row r="13" spans="1:9" x14ac:dyDescent="0.35">
      <c r="A13" s="45" t="s">
        <v>73</v>
      </c>
      <c r="B13" s="34" t="s">
        <v>198</v>
      </c>
      <c r="C13" s="44" t="s">
        <v>159</v>
      </c>
      <c r="D13" s="44" t="s">
        <v>160</v>
      </c>
      <c r="E13" s="44">
        <v>1</v>
      </c>
      <c r="F13" s="43">
        <v>132</v>
      </c>
      <c r="G13" s="34" t="s">
        <v>56</v>
      </c>
      <c r="H13" s="34" t="s">
        <v>90</v>
      </c>
      <c r="I13" s="35" t="s">
        <v>98</v>
      </c>
    </row>
    <row r="14" spans="1:9" x14ac:dyDescent="0.35">
      <c r="A14" s="45" t="s">
        <v>73</v>
      </c>
      <c r="B14" s="34" t="s">
        <v>198</v>
      </c>
      <c r="C14" s="44" t="s">
        <v>159</v>
      </c>
      <c r="D14" s="44" t="s">
        <v>160</v>
      </c>
      <c r="E14" s="44">
        <v>1</v>
      </c>
      <c r="F14" s="43">
        <v>166.1</v>
      </c>
      <c r="G14" s="34" t="s">
        <v>56</v>
      </c>
      <c r="H14" s="34" t="s">
        <v>91</v>
      </c>
      <c r="I14" s="35" t="s">
        <v>98</v>
      </c>
    </row>
    <row r="15" spans="1:9" x14ac:dyDescent="0.35">
      <c r="A15" s="45" t="s">
        <v>73</v>
      </c>
      <c r="B15" s="44" t="s">
        <v>201</v>
      </c>
      <c r="C15" s="44" t="s">
        <v>159</v>
      </c>
      <c r="D15" s="44" t="s">
        <v>160</v>
      </c>
      <c r="E15" s="44">
        <v>1</v>
      </c>
      <c r="F15" s="43">
        <v>132</v>
      </c>
      <c r="G15" s="34" t="s">
        <v>56</v>
      </c>
      <c r="H15" s="34" t="s">
        <v>90</v>
      </c>
      <c r="I15" s="35" t="s">
        <v>99</v>
      </c>
    </row>
    <row r="16" spans="1:9" x14ac:dyDescent="0.35">
      <c r="A16" s="45" t="s">
        <v>73</v>
      </c>
      <c r="B16" s="44" t="s">
        <v>201</v>
      </c>
      <c r="C16" s="44" t="s">
        <v>159</v>
      </c>
      <c r="D16" s="44" t="s">
        <v>160</v>
      </c>
      <c r="E16" s="44">
        <v>1</v>
      </c>
      <c r="F16" s="43">
        <v>166.1</v>
      </c>
      <c r="G16" s="34" t="s">
        <v>56</v>
      </c>
      <c r="H16" s="34" t="s">
        <v>91</v>
      </c>
      <c r="I16" s="35" t="s">
        <v>99</v>
      </c>
    </row>
    <row r="17" spans="1:9" x14ac:dyDescent="0.35">
      <c r="A17" s="45" t="s">
        <v>73</v>
      </c>
      <c r="B17" s="44" t="s">
        <v>201</v>
      </c>
      <c r="C17" s="44" t="s">
        <v>159</v>
      </c>
      <c r="D17" s="44" t="s">
        <v>160</v>
      </c>
      <c r="E17" s="44">
        <v>1</v>
      </c>
      <c r="F17" s="43">
        <v>132</v>
      </c>
      <c r="G17" s="34" t="s">
        <v>56</v>
      </c>
      <c r="H17" s="34" t="s">
        <v>90</v>
      </c>
      <c r="I17" s="35" t="s">
        <v>100</v>
      </c>
    </row>
    <row r="18" spans="1:9" x14ac:dyDescent="0.35">
      <c r="A18" s="45" t="s">
        <v>73</v>
      </c>
      <c r="B18" s="44" t="s">
        <v>201</v>
      </c>
      <c r="C18" s="44" t="s">
        <v>159</v>
      </c>
      <c r="D18" s="44" t="s">
        <v>160</v>
      </c>
      <c r="E18" s="44">
        <v>1</v>
      </c>
      <c r="F18" s="43">
        <v>166.1</v>
      </c>
      <c r="G18" s="34" t="s">
        <v>56</v>
      </c>
      <c r="H18" s="34" t="s">
        <v>91</v>
      </c>
      <c r="I18" s="35" t="s">
        <v>100</v>
      </c>
    </row>
    <row r="19" spans="1:9" x14ac:dyDescent="0.35">
      <c r="A19" s="45" t="s">
        <v>73</v>
      </c>
      <c r="B19" s="44" t="s">
        <v>201</v>
      </c>
      <c r="C19" s="44" t="s">
        <v>159</v>
      </c>
      <c r="D19" s="44" t="s">
        <v>160</v>
      </c>
      <c r="E19" s="44">
        <v>1</v>
      </c>
      <c r="F19" s="43">
        <v>132</v>
      </c>
      <c r="G19" s="34" t="s">
        <v>56</v>
      </c>
      <c r="H19" s="34" t="s">
        <v>90</v>
      </c>
      <c r="I19" s="35" t="s">
        <v>101</v>
      </c>
    </row>
    <row r="20" spans="1:9" x14ac:dyDescent="0.35">
      <c r="A20" s="45" t="s">
        <v>73</v>
      </c>
      <c r="B20" s="44" t="s">
        <v>201</v>
      </c>
      <c r="C20" s="44" t="s">
        <v>159</v>
      </c>
      <c r="D20" s="44" t="s">
        <v>160</v>
      </c>
      <c r="E20" s="44">
        <v>1</v>
      </c>
      <c r="F20" s="43">
        <v>166.1</v>
      </c>
      <c r="G20" s="34" t="s">
        <v>56</v>
      </c>
      <c r="H20" s="34" t="s">
        <v>91</v>
      </c>
      <c r="I20" s="35" t="s">
        <v>101</v>
      </c>
    </row>
    <row r="21" spans="1:9" x14ac:dyDescent="0.35">
      <c r="A21" s="45" t="s">
        <v>73</v>
      </c>
      <c r="B21" s="44" t="s">
        <v>201</v>
      </c>
      <c r="C21" s="44" t="s">
        <v>159</v>
      </c>
      <c r="D21" s="44" t="s">
        <v>160</v>
      </c>
      <c r="E21" s="44">
        <v>1</v>
      </c>
      <c r="F21" s="43">
        <v>132</v>
      </c>
      <c r="G21" s="34" t="s">
        <v>56</v>
      </c>
      <c r="H21" s="34" t="s">
        <v>90</v>
      </c>
      <c r="I21" s="35" t="s">
        <v>102</v>
      </c>
    </row>
    <row r="22" spans="1:9" x14ac:dyDescent="0.35">
      <c r="A22" s="45" t="s">
        <v>73</v>
      </c>
      <c r="B22" s="44" t="s">
        <v>201</v>
      </c>
      <c r="C22" s="44" t="s">
        <v>159</v>
      </c>
      <c r="D22" s="44" t="s">
        <v>160</v>
      </c>
      <c r="E22" s="44">
        <v>1</v>
      </c>
      <c r="F22" s="43">
        <v>132</v>
      </c>
      <c r="G22" s="34" t="s">
        <v>56</v>
      </c>
      <c r="H22" s="34" t="s">
        <v>90</v>
      </c>
      <c r="I22" s="35" t="s">
        <v>102</v>
      </c>
    </row>
    <row r="23" spans="1:9" x14ac:dyDescent="0.35">
      <c r="A23" s="45" t="s">
        <v>73</v>
      </c>
      <c r="B23" s="44" t="s">
        <v>201</v>
      </c>
      <c r="C23" s="44" t="s">
        <v>159</v>
      </c>
      <c r="D23" s="44" t="s">
        <v>160</v>
      </c>
      <c r="E23" s="44">
        <v>1</v>
      </c>
      <c r="F23" s="43">
        <v>166.1</v>
      </c>
      <c r="G23" s="34" t="s">
        <v>56</v>
      </c>
      <c r="H23" s="34" t="s">
        <v>91</v>
      </c>
      <c r="I23" s="35" t="s">
        <v>102</v>
      </c>
    </row>
    <row r="24" spans="1:9" x14ac:dyDescent="0.35">
      <c r="A24" s="45" t="s">
        <v>73</v>
      </c>
      <c r="B24" s="44" t="s">
        <v>201</v>
      </c>
      <c r="C24" s="44" t="s">
        <v>159</v>
      </c>
      <c r="D24" s="44" t="s">
        <v>160</v>
      </c>
      <c r="E24" s="44">
        <v>1</v>
      </c>
      <c r="F24" s="43">
        <v>132</v>
      </c>
      <c r="G24" s="34" t="s">
        <v>56</v>
      </c>
      <c r="H24" s="34" t="s">
        <v>90</v>
      </c>
      <c r="I24" s="35" t="s">
        <v>103</v>
      </c>
    </row>
    <row r="25" spans="1:9" x14ac:dyDescent="0.35">
      <c r="A25" s="45" t="s">
        <v>73</v>
      </c>
      <c r="B25" s="44" t="s">
        <v>201</v>
      </c>
      <c r="C25" s="44" t="s">
        <v>159</v>
      </c>
      <c r="D25" s="44" t="s">
        <v>160</v>
      </c>
      <c r="E25" s="44">
        <v>1</v>
      </c>
      <c r="F25" s="43">
        <v>166.1</v>
      </c>
      <c r="G25" s="34" t="s">
        <v>56</v>
      </c>
      <c r="H25" s="34" t="s">
        <v>91</v>
      </c>
      <c r="I25" s="35" t="s">
        <v>103</v>
      </c>
    </row>
    <row r="26" spans="1:9" x14ac:dyDescent="0.35">
      <c r="A26" s="45" t="s">
        <v>73</v>
      </c>
      <c r="B26" s="44" t="s">
        <v>200</v>
      </c>
      <c r="C26" s="44" t="s">
        <v>159</v>
      </c>
      <c r="D26" s="44" t="s">
        <v>160</v>
      </c>
      <c r="E26" s="44">
        <v>1</v>
      </c>
      <c r="F26" s="43">
        <v>132</v>
      </c>
      <c r="G26" s="34" t="s">
        <v>56</v>
      </c>
      <c r="H26" s="34" t="s">
        <v>90</v>
      </c>
      <c r="I26" s="35" t="s">
        <v>104</v>
      </c>
    </row>
    <row r="27" spans="1:9" x14ac:dyDescent="0.35">
      <c r="A27" s="45" t="s">
        <v>73</v>
      </c>
      <c r="B27" s="44" t="s">
        <v>200</v>
      </c>
      <c r="C27" s="44" t="s">
        <v>159</v>
      </c>
      <c r="D27" s="44" t="s">
        <v>160</v>
      </c>
      <c r="E27" s="44">
        <v>1</v>
      </c>
      <c r="F27" s="43">
        <v>166.1</v>
      </c>
      <c r="G27" s="34" t="s">
        <v>56</v>
      </c>
      <c r="H27" s="34" t="s">
        <v>91</v>
      </c>
      <c r="I27" s="35" t="s">
        <v>104</v>
      </c>
    </row>
    <row r="28" spans="1:9" x14ac:dyDescent="0.35">
      <c r="A28" s="45" t="s">
        <v>73</v>
      </c>
      <c r="B28" s="44" t="s">
        <v>201</v>
      </c>
      <c r="C28" s="44" t="s">
        <v>159</v>
      </c>
      <c r="D28" s="44" t="s">
        <v>160</v>
      </c>
      <c r="E28" s="44">
        <v>1</v>
      </c>
      <c r="F28" s="43">
        <v>132</v>
      </c>
      <c r="G28" s="34" t="s">
        <v>56</v>
      </c>
      <c r="H28" s="34" t="s">
        <v>90</v>
      </c>
      <c r="I28" s="35" t="s">
        <v>105</v>
      </c>
    </row>
    <row r="29" spans="1:9" x14ac:dyDescent="0.35">
      <c r="A29" s="45" t="s">
        <v>73</v>
      </c>
      <c r="B29" s="44" t="s">
        <v>201</v>
      </c>
      <c r="C29" s="44" t="s">
        <v>159</v>
      </c>
      <c r="D29" s="44" t="s">
        <v>160</v>
      </c>
      <c r="E29" s="44">
        <v>1</v>
      </c>
      <c r="F29" s="43">
        <v>166.1</v>
      </c>
      <c r="G29" s="34" t="s">
        <v>56</v>
      </c>
      <c r="H29" s="34" t="s">
        <v>91</v>
      </c>
      <c r="I29" s="35" t="s">
        <v>105</v>
      </c>
    </row>
    <row r="30" spans="1:9" x14ac:dyDescent="0.35">
      <c r="A30" s="45" t="s">
        <v>73</v>
      </c>
      <c r="B30" s="44" t="s">
        <v>200</v>
      </c>
      <c r="C30" s="44" t="s">
        <v>159</v>
      </c>
      <c r="D30" s="44" t="s">
        <v>160</v>
      </c>
      <c r="E30" s="44">
        <v>1</v>
      </c>
      <c r="F30" s="43">
        <v>132</v>
      </c>
      <c r="G30" s="34" t="s">
        <v>56</v>
      </c>
      <c r="H30" s="34" t="s">
        <v>90</v>
      </c>
      <c r="I30" s="35" t="s">
        <v>106</v>
      </c>
    </row>
    <row r="31" spans="1:9" x14ac:dyDescent="0.35">
      <c r="A31" s="45" t="s">
        <v>73</v>
      </c>
      <c r="B31" s="44" t="s">
        <v>200</v>
      </c>
      <c r="C31" s="44" t="s">
        <v>159</v>
      </c>
      <c r="D31" s="44" t="s">
        <v>160</v>
      </c>
      <c r="E31" s="44">
        <v>1</v>
      </c>
      <c r="F31" s="43">
        <v>166.1</v>
      </c>
      <c r="G31" s="34" t="s">
        <v>56</v>
      </c>
      <c r="H31" s="34" t="s">
        <v>91</v>
      </c>
      <c r="I31" s="35" t="s">
        <v>106</v>
      </c>
    </row>
    <row r="32" spans="1:9" x14ac:dyDescent="0.35">
      <c r="A32" s="45" t="s">
        <v>73</v>
      </c>
      <c r="B32" s="34" t="s">
        <v>197</v>
      </c>
      <c r="C32" s="44" t="s">
        <v>159</v>
      </c>
      <c r="D32" s="44" t="s">
        <v>160</v>
      </c>
      <c r="E32" s="44">
        <v>1</v>
      </c>
      <c r="F32" s="43">
        <v>132</v>
      </c>
      <c r="G32" s="34" t="s">
        <v>56</v>
      </c>
      <c r="H32" s="34" t="s">
        <v>90</v>
      </c>
      <c r="I32" s="35" t="s">
        <v>107</v>
      </c>
    </row>
    <row r="33" spans="1:9" x14ac:dyDescent="0.35">
      <c r="A33" s="45" t="s">
        <v>73</v>
      </c>
      <c r="B33" s="34" t="s">
        <v>197</v>
      </c>
      <c r="C33" s="44" t="s">
        <v>159</v>
      </c>
      <c r="D33" s="44" t="s">
        <v>160</v>
      </c>
      <c r="E33" s="44">
        <v>1</v>
      </c>
      <c r="F33" s="43">
        <v>132</v>
      </c>
      <c r="G33" s="34" t="s">
        <v>56</v>
      </c>
      <c r="H33" s="34" t="s">
        <v>90</v>
      </c>
      <c r="I33" s="35" t="s">
        <v>107</v>
      </c>
    </row>
    <row r="34" spans="1:9" x14ac:dyDescent="0.35">
      <c r="A34" s="45" t="s">
        <v>73</v>
      </c>
      <c r="B34" s="34" t="s">
        <v>197</v>
      </c>
      <c r="C34" s="44" t="s">
        <v>159</v>
      </c>
      <c r="D34" s="44" t="s">
        <v>160</v>
      </c>
      <c r="E34" s="44">
        <v>1</v>
      </c>
      <c r="F34" s="43">
        <v>166.1</v>
      </c>
      <c r="G34" s="34" t="s">
        <v>56</v>
      </c>
      <c r="H34" s="34" t="s">
        <v>91</v>
      </c>
      <c r="I34" s="35" t="s">
        <v>107</v>
      </c>
    </row>
    <row r="35" spans="1:9" x14ac:dyDescent="0.35">
      <c r="A35" s="45" t="s">
        <v>73</v>
      </c>
      <c r="B35" s="44" t="s">
        <v>201</v>
      </c>
      <c r="C35" s="44" t="s">
        <v>159</v>
      </c>
      <c r="D35" s="44" t="s">
        <v>160</v>
      </c>
      <c r="E35" s="44">
        <v>1</v>
      </c>
      <c r="F35" s="43">
        <v>132</v>
      </c>
      <c r="G35" s="34" t="s">
        <v>56</v>
      </c>
      <c r="H35" s="34" t="s">
        <v>90</v>
      </c>
      <c r="I35" s="35" t="s">
        <v>108</v>
      </c>
    </row>
    <row r="36" spans="1:9" x14ac:dyDescent="0.35">
      <c r="A36" s="45" t="s">
        <v>73</v>
      </c>
      <c r="B36" s="44" t="s">
        <v>201</v>
      </c>
      <c r="C36" s="44" t="s">
        <v>159</v>
      </c>
      <c r="D36" s="44" t="s">
        <v>160</v>
      </c>
      <c r="E36" s="44">
        <v>1</v>
      </c>
      <c r="F36" s="43">
        <v>166.1</v>
      </c>
      <c r="G36" s="34" t="s">
        <v>56</v>
      </c>
      <c r="H36" s="34" t="s">
        <v>91</v>
      </c>
      <c r="I36" s="35" t="s">
        <v>108</v>
      </c>
    </row>
    <row r="37" spans="1:9" x14ac:dyDescent="0.35">
      <c r="A37" s="45" t="s">
        <v>73</v>
      </c>
      <c r="B37" s="44" t="s">
        <v>201</v>
      </c>
      <c r="C37" s="44" t="s">
        <v>159</v>
      </c>
      <c r="D37" s="44" t="s">
        <v>160</v>
      </c>
      <c r="E37" s="44">
        <v>1</v>
      </c>
      <c r="F37" s="43">
        <v>132</v>
      </c>
      <c r="G37" s="34" t="s">
        <v>56</v>
      </c>
      <c r="H37" s="34" t="s">
        <v>90</v>
      </c>
      <c r="I37" s="35" t="s">
        <v>109</v>
      </c>
    </row>
    <row r="38" spans="1:9" x14ac:dyDescent="0.35">
      <c r="A38" s="45" t="s">
        <v>73</v>
      </c>
      <c r="B38" s="44" t="s">
        <v>201</v>
      </c>
      <c r="C38" s="44" t="s">
        <v>159</v>
      </c>
      <c r="D38" s="44" t="s">
        <v>160</v>
      </c>
      <c r="E38" s="44">
        <v>1</v>
      </c>
      <c r="F38" s="43">
        <v>166.1</v>
      </c>
      <c r="G38" s="34" t="s">
        <v>56</v>
      </c>
      <c r="H38" s="34" t="s">
        <v>91</v>
      </c>
      <c r="I38" s="35" t="s">
        <v>109</v>
      </c>
    </row>
    <row r="39" spans="1:9" x14ac:dyDescent="0.35">
      <c r="A39" s="45" t="s">
        <v>73</v>
      </c>
      <c r="B39" s="44" t="s">
        <v>201</v>
      </c>
      <c r="C39" s="44" t="s">
        <v>159</v>
      </c>
      <c r="D39" s="44" t="s">
        <v>160</v>
      </c>
      <c r="E39" s="44">
        <v>1</v>
      </c>
      <c r="F39" s="43">
        <v>132</v>
      </c>
      <c r="G39" s="34" t="s">
        <v>56</v>
      </c>
      <c r="H39" s="34" t="s">
        <v>90</v>
      </c>
      <c r="I39" s="35" t="s">
        <v>110</v>
      </c>
    </row>
    <row r="40" spans="1:9" x14ac:dyDescent="0.35">
      <c r="A40" s="45" t="s">
        <v>73</v>
      </c>
      <c r="B40" s="44" t="s">
        <v>201</v>
      </c>
      <c r="C40" s="44" t="s">
        <v>159</v>
      </c>
      <c r="D40" s="44" t="s">
        <v>160</v>
      </c>
      <c r="E40" s="44">
        <v>1</v>
      </c>
      <c r="F40" s="43">
        <v>166.1</v>
      </c>
      <c r="G40" s="34" t="s">
        <v>56</v>
      </c>
      <c r="H40" s="34" t="s">
        <v>91</v>
      </c>
      <c r="I40" s="35" t="s">
        <v>110</v>
      </c>
    </row>
    <row r="41" spans="1:9" x14ac:dyDescent="0.35">
      <c r="A41" s="45" t="s">
        <v>73</v>
      </c>
      <c r="B41" s="34" t="s">
        <v>197</v>
      </c>
      <c r="C41" s="44" t="s">
        <v>159</v>
      </c>
      <c r="D41" s="44" t="s">
        <v>160</v>
      </c>
      <c r="E41" s="44">
        <v>1</v>
      </c>
      <c r="F41" s="43">
        <v>132</v>
      </c>
      <c r="G41" s="34" t="s">
        <v>56</v>
      </c>
      <c r="H41" s="34" t="s">
        <v>90</v>
      </c>
      <c r="I41" s="35" t="s">
        <v>111</v>
      </c>
    </row>
    <row r="42" spans="1:9" x14ac:dyDescent="0.35">
      <c r="A42" s="45" t="s">
        <v>73</v>
      </c>
      <c r="B42" s="34" t="s">
        <v>197</v>
      </c>
      <c r="C42" s="44" t="s">
        <v>159</v>
      </c>
      <c r="D42" s="44" t="s">
        <v>160</v>
      </c>
      <c r="E42" s="44">
        <v>1</v>
      </c>
      <c r="F42" s="43">
        <v>166.1</v>
      </c>
      <c r="G42" s="34" t="s">
        <v>56</v>
      </c>
      <c r="H42" s="34" t="s">
        <v>91</v>
      </c>
      <c r="I42" s="35" t="s">
        <v>111</v>
      </c>
    </row>
    <row r="43" spans="1:9" x14ac:dyDescent="0.35">
      <c r="A43" s="45" t="s">
        <v>73</v>
      </c>
      <c r="B43" s="44" t="s">
        <v>201</v>
      </c>
      <c r="C43" s="44" t="s">
        <v>159</v>
      </c>
      <c r="D43" s="44" t="s">
        <v>160</v>
      </c>
      <c r="E43" s="44">
        <v>1</v>
      </c>
      <c r="F43" s="43">
        <v>132</v>
      </c>
      <c r="G43" s="34" t="s">
        <v>56</v>
      </c>
      <c r="H43" s="34" t="s">
        <v>90</v>
      </c>
      <c r="I43" s="35" t="s">
        <v>112</v>
      </c>
    </row>
    <row r="44" spans="1:9" x14ac:dyDescent="0.35">
      <c r="A44" s="45" t="s">
        <v>73</v>
      </c>
      <c r="B44" s="44" t="s">
        <v>201</v>
      </c>
      <c r="C44" s="44" t="s">
        <v>159</v>
      </c>
      <c r="D44" s="44" t="s">
        <v>160</v>
      </c>
      <c r="E44" s="44">
        <v>1</v>
      </c>
      <c r="F44" s="43">
        <v>166.1</v>
      </c>
      <c r="G44" s="34" t="s">
        <v>56</v>
      </c>
      <c r="H44" s="34" t="s">
        <v>91</v>
      </c>
      <c r="I44" s="35" t="s">
        <v>112</v>
      </c>
    </row>
    <row r="45" spans="1:9" x14ac:dyDescent="0.35">
      <c r="A45" s="45" t="s">
        <v>73</v>
      </c>
      <c r="B45" s="34" t="s">
        <v>198</v>
      </c>
      <c r="C45" s="44" t="s">
        <v>159</v>
      </c>
      <c r="D45" s="44" t="s">
        <v>160</v>
      </c>
      <c r="E45" s="44">
        <v>1</v>
      </c>
      <c r="F45" s="43">
        <v>132</v>
      </c>
      <c r="G45" s="34" t="s">
        <v>56</v>
      </c>
      <c r="H45" s="34" t="s">
        <v>90</v>
      </c>
      <c r="I45" s="35" t="s">
        <v>113</v>
      </c>
    </row>
    <row r="46" spans="1:9" x14ac:dyDescent="0.35">
      <c r="A46" s="45" t="s">
        <v>73</v>
      </c>
      <c r="B46" s="34" t="s">
        <v>198</v>
      </c>
      <c r="C46" s="44" t="s">
        <v>159</v>
      </c>
      <c r="D46" s="44" t="s">
        <v>160</v>
      </c>
      <c r="E46" s="44">
        <v>1</v>
      </c>
      <c r="F46" s="43">
        <v>166.1</v>
      </c>
      <c r="G46" s="34" t="s">
        <v>56</v>
      </c>
      <c r="H46" s="34" t="s">
        <v>91</v>
      </c>
      <c r="I46" s="35" t="s">
        <v>113</v>
      </c>
    </row>
    <row r="47" spans="1:9" x14ac:dyDescent="0.35">
      <c r="A47" s="45" t="s">
        <v>73</v>
      </c>
      <c r="B47" s="44" t="s">
        <v>200</v>
      </c>
      <c r="C47" s="44" t="s">
        <v>159</v>
      </c>
      <c r="D47" s="44" t="s">
        <v>160</v>
      </c>
      <c r="E47" s="44">
        <v>1</v>
      </c>
      <c r="F47" s="43">
        <v>132</v>
      </c>
      <c r="G47" s="34" t="s">
        <v>56</v>
      </c>
      <c r="H47" s="34" t="s">
        <v>90</v>
      </c>
      <c r="I47" s="35" t="s">
        <v>114</v>
      </c>
    </row>
    <row r="48" spans="1:9" x14ac:dyDescent="0.35">
      <c r="A48" s="45" t="s">
        <v>73</v>
      </c>
      <c r="B48" s="44" t="s">
        <v>200</v>
      </c>
      <c r="C48" s="44" t="s">
        <v>159</v>
      </c>
      <c r="D48" s="44" t="s">
        <v>160</v>
      </c>
      <c r="E48" s="44">
        <v>1</v>
      </c>
      <c r="F48" s="43">
        <v>166.1</v>
      </c>
      <c r="G48" s="34" t="s">
        <v>56</v>
      </c>
      <c r="H48" s="34" t="s">
        <v>91</v>
      </c>
      <c r="I48" s="35" t="s">
        <v>114</v>
      </c>
    </row>
    <row r="49" spans="1:9" x14ac:dyDescent="0.35">
      <c r="A49" s="45" t="s">
        <v>73</v>
      </c>
      <c r="B49" s="34" t="s">
        <v>198</v>
      </c>
      <c r="C49" s="44" t="s">
        <v>159</v>
      </c>
      <c r="D49" s="44" t="s">
        <v>160</v>
      </c>
      <c r="E49" s="44">
        <v>1</v>
      </c>
      <c r="F49" s="43">
        <v>132</v>
      </c>
      <c r="G49" s="34" t="s">
        <v>56</v>
      </c>
      <c r="H49" s="34" t="s">
        <v>90</v>
      </c>
      <c r="I49" s="35" t="s">
        <v>115</v>
      </c>
    </row>
    <row r="50" spans="1:9" x14ac:dyDescent="0.35">
      <c r="A50" s="45" t="s">
        <v>73</v>
      </c>
      <c r="B50" s="34" t="s">
        <v>198</v>
      </c>
      <c r="C50" s="44" t="s">
        <v>159</v>
      </c>
      <c r="D50" s="44" t="s">
        <v>160</v>
      </c>
      <c r="E50" s="44">
        <v>1</v>
      </c>
      <c r="F50" s="43">
        <v>166.1</v>
      </c>
      <c r="G50" s="34" t="s">
        <v>56</v>
      </c>
      <c r="H50" s="34" t="s">
        <v>91</v>
      </c>
      <c r="I50" s="35" t="s">
        <v>115</v>
      </c>
    </row>
    <row r="51" spans="1:9" x14ac:dyDescent="0.35">
      <c r="A51" s="45" t="s">
        <v>73</v>
      </c>
      <c r="B51" s="34" t="s">
        <v>197</v>
      </c>
      <c r="C51" s="44" t="s">
        <v>159</v>
      </c>
      <c r="D51" s="44" t="s">
        <v>160</v>
      </c>
      <c r="E51" s="44">
        <v>1</v>
      </c>
      <c r="F51" s="43">
        <v>132</v>
      </c>
      <c r="G51" s="34" t="s">
        <v>56</v>
      </c>
      <c r="H51" s="34" t="s">
        <v>90</v>
      </c>
      <c r="I51" s="35" t="s">
        <v>116</v>
      </c>
    </row>
    <row r="52" spans="1:9" x14ac:dyDescent="0.35">
      <c r="A52" s="45" t="s">
        <v>73</v>
      </c>
      <c r="B52" s="34" t="s">
        <v>197</v>
      </c>
      <c r="C52" s="44" t="s">
        <v>159</v>
      </c>
      <c r="D52" s="44" t="s">
        <v>160</v>
      </c>
      <c r="E52" s="44">
        <v>1</v>
      </c>
      <c r="F52" s="43">
        <v>166.1</v>
      </c>
      <c r="G52" s="34" t="s">
        <v>56</v>
      </c>
      <c r="H52" s="34" t="s">
        <v>91</v>
      </c>
      <c r="I52" s="35" t="s">
        <v>116</v>
      </c>
    </row>
    <row r="53" spans="1:9" x14ac:dyDescent="0.35">
      <c r="A53" s="45" t="s">
        <v>73</v>
      </c>
      <c r="B53" s="44" t="s">
        <v>201</v>
      </c>
      <c r="C53" s="44" t="s">
        <v>159</v>
      </c>
      <c r="D53" s="44" t="s">
        <v>160</v>
      </c>
      <c r="E53" s="44">
        <v>1</v>
      </c>
      <c r="F53" s="43">
        <v>132</v>
      </c>
      <c r="G53" s="34" t="s">
        <v>56</v>
      </c>
      <c r="H53" s="34" t="s">
        <v>90</v>
      </c>
      <c r="I53" s="35" t="s">
        <v>117</v>
      </c>
    </row>
    <row r="54" spans="1:9" x14ac:dyDescent="0.35">
      <c r="A54" s="45" t="s">
        <v>73</v>
      </c>
      <c r="B54" s="44" t="s">
        <v>201</v>
      </c>
      <c r="C54" s="44" t="s">
        <v>159</v>
      </c>
      <c r="D54" s="44" t="s">
        <v>160</v>
      </c>
      <c r="E54" s="44">
        <v>1</v>
      </c>
      <c r="F54" s="43">
        <v>166.1</v>
      </c>
      <c r="G54" s="34" t="s">
        <v>56</v>
      </c>
      <c r="H54" s="34" t="s">
        <v>91</v>
      </c>
      <c r="I54" s="35" t="s">
        <v>117</v>
      </c>
    </row>
    <row r="55" spans="1:9" x14ac:dyDescent="0.35">
      <c r="A55" s="45" t="s">
        <v>73</v>
      </c>
      <c r="B55" s="34" t="s">
        <v>199</v>
      </c>
      <c r="C55" s="44" t="s">
        <v>159</v>
      </c>
      <c r="D55" s="44" t="s">
        <v>160</v>
      </c>
      <c r="E55" s="44">
        <v>1</v>
      </c>
      <c r="F55" s="43">
        <v>132</v>
      </c>
      <c r="G55" s="34" t="s">
        <v>56</v>
      </c>
      <c r="H55" s="34" t="s">
        <v>90</v>
      </c>
      <c r="I55" s="35" t="s">
        <v>118</v>
      </c>
    </row>
    <row r="56" spans="1:9" x14ac:dyDescent="0.35">
      <c r="A56" s="45" t="s">
        <v>73</v>
      </c>
      <c r="B56" s="34" t="s">
        <v>199</v>
      </c>
      <c r="C56" s="44" t="s">
        <v>159</v>
      </c>
      <c r="D56" s="44" t="s">
        <v>160</v>
      </c>
      <c r="E56" s="44">
        <v>1</v>
      </c>
      <c r="F56" s="43">
        <v>166.1</v>
      </c>
      <c r="G56" s="34" t="s">
        <v>56</v>
      </c>
      <c r="H56" s="34" t="s">
        <v>91</v>
      </c>
      <c r="I56" s="35" t="s">
        <v>118</v>
      </c>
    </row>
    <row r="57" spans="1:9" x14ac:dyDescent="0.35">
      <c r="A57" s="45" t="s">
        <v>73</v>
      </c>
      <c r="B57" s="34" t="s">
        <v>199</v>
      </c>
      <c r="C57" s="44" t="s">
        <v>159</v>
      </c>
      <c r="D57" s="44" t="s">
        <v>160</v>
      </c>
      <c r="E57" s="44">
        <v>1</v>
      </c>
      <c r="F57" s="43">
        <v>132</v>
      </c>
      <c r="G57" s="34" t="s">
        <v>56</v>
      </c>
      <c r="H57" s="34" t="s">
        <v>90</v>
      </c>
      <c r="I57" s="35" t="s">
        <v>119</v>
      </c>
    </row>
    <row r="58" spans="1:9" x14ac:dyDescent="0.35">
      <c r="A58" s="45" t="s">
        <v>73</v>
      </c>
      <c r="B58" s="34" t="s">
        <v>199</v>
      </c>
      <c r="C58" s="44" t="s">
        <v>159</v>
      </c>
      <c r="D58" s="44" t="s">
        <v>160</v>
      </c>
      <c r="E58" s="44">
        <v>1</v>
      </c>
      <c r="F58" s="43">
        <v>166.1</v>
      </c>
      <c r="G58" s="34" t="s">
        <v>56</v>
      </c>
      <c r="H58" s="34" t="s">
        <v>91</v>
      </c>
      <c r="I58" s="35" t="s">
        <v>119</v>
      </c>
    </row>
    <row r="59" spans="1:9" x14ac:dyDescent="0.35">
      <c r="A59" s="45" t="s">
        <v>73</v>
      </c>
      <c r="B59" s="44" t="s">
        <v>200</v>
      </c>
      <c r="C59" s="44" t="s">
        <v>159</v>
      </c>
      <c r="D59" s="44" t="s">
        <v>160</v>
      </c>
      <c r="E59" s="44">
        <v>1</v>
      </c>
      <c r="F59" s="43">
        <v>132</v>
      </c>
      <c r="G59" s="34" t="s">
        <v>56</v>
      </c>
      <c r="H59" s="34" t="s">
        <v>90</v>
      </c>
      <c r="I59" s="35" t="s">
        <v>120</v>
      </c>
    </row>
    <row r="60" spans="1:9" x14ac:dyDescent="0.35">
      <c r="A60" s="45" t="s">
        <v>73</v>
      </c>
      <c r="B60" s="44" t="s">
        <v>200</v>
      </c>
      <c r="C60" s="44" t="s">
        <v>159</v>
      </c>
      <c r="D60" s="44" t="s">
        <v>160</v>
      </c>
      <c r="E60" s="44">
        <v>1</v>
      </c>
      <c r="F60" s="43">
        <v>166.1</v>
      </c>
      <c r="G60" s="34" t="s">
        <v>56</v>
      </c>
      <c r="H60" s="34" t="s">
        <v>91</v>
      </c>
      <c r="I60" s="35" t="s">
        <v>120</v>
      </c>
    </row>
    <row r="61" spans="1:9" x14ac:dyDescent="0.35">
      <c r="A61" s="45" t="s">
        <v>73</v>
      </c>
      <c r="B61" s="34" t="s">
        <v>197</v>
      </c>
      <c r="C61" s="44" t="s">
        <v>159</v>
      </c>
      <c r="D61" s="44" t="s">
        <v>160</v>
      </c>
      <c r="E61" s="44">
        <v>1</v>
      </c>
      <c r="F61" s="43">
        <v>132</v>
      </c>
      <c r="G61" s="34" t="s">
        <v>56</v>
      </c>
      <c r="H61" s="34" t="s">
        <v>90</v>
      </c>
      <c r="I61" s="35" t="s">
        <v>121</v>
      </c>
    </row>
    <row r="62" spans="1:9" x14ac:dyDescent="0.35">
      <c r="A62" s="45" t="s">
        <v>73</v>
      </c>
      <c r="B62" s="34" t="s">
        <v>197</v>
      </c>
      <c r="C62" s="44" t="s">
        <v>159</v>
      </c>
      <c r="D62" s="44" t="s">
        <v>160</v>
      </c>
      <c r="E62" s="44">
        <v>1</v>
      </c>
      <c r="F62" s="43">
        <v>166.1</v>
      </c>
      <c r="G62" s="34" t="s">
        <v>56</v>
      </c>
      <c r="H62" s="34" t="s">
        <v>91</v>
      </c>
      <c r="I62" s="35" t="s">
        <v>121</v>
      </c>
    </row>
    <row r="63" spans="1:9" x14ac:dyDescent="0.35">
      <c r="A63" s="45" t="s">
        <v>73</v>
      </c>
      <c r="B63" s="34" t="s">
        <v>199</v>
      </c>
      <c r="C63" s="44" t="s">
        <v>159</v>
      </c>
      <c r="D63" s="44" t="s">
        <v>160</v>
      </c>
      <c r="E63" s="44">
        <v>1</v>
      </c>
      <c r="F63" s="43">
        <v>132</v>
      </c>
      <c r="G63" s="34" t="s">
        <v>56</v>
      </c>
      <c r="H63" s="34" t="s">
        <v>90</v>
      </c>
      <c r="I63" s="35" t="s">
        <v>122</v>
      </c>
    </row>
    <row r="64" spans="1:9" x14ac:dyDescent="0.35">
      <c r="A64" s="45" t="s">
        <v>73</v>
      </c>
      <c r="B64" s="34" t="s">
        <v>199</v>
      </c>
      <c r="C64" s="44" t="s">
        <v>159</v>
      </c>
      <c r="D64" s="44" t="s">
        <v>160</v>
      </c>
      <c r="E64" s="44">
        <v>1</v>
      </c>
      <c r="F64" s="43">
        <v>132</v>
      </c>
      <c r="G64" s="34" t="s">
        <v>56</v>
      </c>
      <c r="H64" s="34" t="s">
        <v>90</v>
      </c>
      <c r="I64" s="35" t="s">
        <v>123</v>
      </c>
    </row>
    <row r="65" spans="1:9" x14ac:dyDescent="0.35">
      <c r="A65" s="45" t="s">
        <v>73</v>
      </c>
      <c r="B65" s="34" t="s">
        <v>199</v>
      </c>
      <c r="C65" s="44" t="s">
        <v>159</v>
      </c>
      <c r="D65" s="44" t="s">
        <v>160</v>
      </c>
      <c r="E65" s="44">
        <v>1</v>
      </c>
      <c r="F65" s="43">
        <v>132</v>
      </c>
      <c r="G65" s="34" t="s">
        <v>56</v>
      </c>
      <c r="H65" s="34" t="s">
        <v>90</v>
      </c>
      <c r="I65" s="35" t="s">
        <v>124</v>
      </c>
    </row>
    <row r="66" spans="1:9" x14ac:dyDescent="0.35">
      <c r="A66" s="45" t="s">
        <v>73</v>
      </c>
      <c r="B66" s="44" t="s">
        <v>200</v>
      </c>
      <c r="C66" s="44" t="s">
        <v>159</v>
      </c>
      <c r="D66" s="44" t="s">
        <v>160</v>
      </c>
      <c r="E66" s="44">
        <v>1</v>
      </c>
      <c r="F66" s="43">
        <v>132</v>
      </c>
      <c r="G66" s="34" t="s">
        <v>56</v>
      </c>
      <c r="H66" s="34" t="s">
        <v>90</v>
      </c>
      <c r="I66" s="35" t="s">
        <v>125</v>
      </c>
    </row>
    <row r="67" spans="1:9" x14ac:dyDescent="0.35">
      <c r="A67" s="45" t="s">
        <v>73</v>
      </c>
      <c r="B67" s="44" t="s">
        <v>201</v>
      </c>
      <c r="C67" s="44" t="s">
        <v>159</v>
      </c>
      <c r="D67" s="44" t="s">
        <v>160</v>
      </c>
      <c r="E67" s="44">
        <v>1</v>
      </c>
      <c r="F67" s="43">
        <v>132</v>
      </c>
      <c r="G67" s="34" t="s">
        <v>56</v>
      </c>
      <c r="H67" s="34" t="s">
        <v>90</v>
      </c>
      <c r="I67" s="35" t="s">
        <v>126</v>
      </c>
    </row>
    <row r="68" spans="1:9" x14ac:dyDescent="0.35">
      <c r="A68" s="45" t="s">
        <v>73</v>
      </c>
      <c r="B68" s="34" t="s">
        <v>199</v>
      </c>
      <c r="C68" s="44" t="s">
        <v>159</v>
      </c>
      <c r="D68" s="44" t="s">
        <v>160</v>
      </c>
      <c r="E68" s="44">
        <v>1</v>
      </c>
      <c r="F68" s="43">
        <v>132</v>
      </c>
      <c r="G68" s="34" t="s">
        <v>56</v>
      </c>
      <c r="H68" s="34" t="s">
        <v>90</v>
      </c>
      <c r="I68" s="35" t="s">
        <v>127</v>
      </c>
    </row>
    <row r="69" spans="1:9" x14ac:dyDescent="0.35">
      <c r="A69" s="45" t="s">
        <v>73</v>
      </c>
      <c r="B69" s="44" t="s">
        <v>200</v>
      </c>
      <c r="C69" s="44" t="s">
        <v>159</v>
      </c>
      <c r="D69" s="44" t="s">
        <v>160</v>
      </c>
      <c r="E69" s="44">
        <v>1</v>
      </c>
      <c r="F69" s="43">
        <v>132</v>
      </c>
      <c r="G69" s="34" t="s">
        <v>56</v>
      </c>
      <c r="H69" s="34" t="s">
        <v>90</v>
      </c>
      <c r="I69" s="35" t="s">
        <v>128</v>
      </c>
    </row>
    <row r="70" spans="1:9" x14ac:dyDescent="0.35">
      <c r="A70" s="45" t="s">
        <v>73</v>
      </c>
      <c r="B70" s="34" t="s">
        <v>200</v>
      </c>
      <c r="C70" s="44" t="s">
        <v>159</v>
      </c>
      <c r="D70" s="44" t="s">
        <v>160</v>
      </c>
      <c r="E70" s="44">
        <v>1</v>
      </c>
      <c r="F70" s="43">
        <v>132</v>
      </c>
      <c r="G70" s="34" t="s">
        <v>56</v>
      </c>
      <c r="H70" s="34" t="s">
        <v>90</v>
      </c>
      <c r="I70" s="35" t="s">
        <v>129</v>
      </c>
    </row>
    <row r="71" spans="1:9" x14ac:dyDescent="0.35">
      <c r="A71" s="45" t="s">
        <v>73</v>
      </c>
      <c r="B71" s="34" t="s">
        <v>198</v>
      </c>
      <c r="C71" s="44" t="s">
        <v>159</v>
      </c>
      <c r="D71" s="44" t="s">
        <v>160</v>
      </c>
      <c r="E71" s="44">
        <v>1</v>
      </c>
      <c r="F71" s="43">
        <v>70</v>
      </c>
      <c r="G71" s="34" t="s">
        <v>56</v>
      </c>
      <c r="H71" s="34" t="s">
        <v>33</v>
      </c>
      <c r="I71" s="35" t="s">
        <v>113</v>
      </c>
    </row>
    <row r="72" spans="1:9" x14ac:dyDescent="0.35">
      <c r="A72" s="45" t="s">
        <v>73</v>
      </c>
      <c r="B72" s="44" t="s">
        <v>201</v>
      </c>
      <c r="C72" s="44" t="s">
        <v>159</v>
      </c>
      <c r="D72" s="44" t="s">
        <v>160</v>
      </c>
      <c r="E72" s="44">
        <v>1</v>
      </c>
      <c r="F72" s="43">
        <v>70</v>
      </c>
      <c r="G72" s="34" t="s">
        <v>56</v>
      </c>
      <c r="H72" s="34" t="s">
        <v>33</v>
      </c>
      <c r="I72" s="35" t="s">
        <v>112</v>
      </c>
    </row>
    <row r="73" spans="1:9" x14ac:dyDescent="0.35">
      <c r="A73" s="45" t="s">
        <v>73</v>
      </c>
      <c r="B73" s="44" t="s">
        <v>201</v>
      </c>
      <c r="C73" s="44" t="s">
        <v>159</v>
      </c>
      <c r="D73" s="44" t="s">
        <v>160</v>
      </c>
      <c r="E73" s="44">
        <v>1</v>
      </c>
      <c r="F73" s="43">
        <v>70</v>
      </c>
      <c r="G73" s="34" t="s">
        <v>56</v>
      </c>
      <c r="H73" s="34" t="s">
        <v>33</v>
      </c>
      <c r="I73" s="35" t="s">
        <v>102</v>
      </c>
    </row>
    <row r="74" spans="1:9" x14ac:dyDescent="0.35">
      <c r="A74" s="45" t="s">
        <v>73</v>
      </c>
      <c r="B74" s="44" t="s">
        <v>200</v>
      </c>
      <c r="C74" s="44" t="s">
        <v>159</v>
      </c>
      <c r="D74" s="44" t="s">
        <v>160</v>
      </c>
      <c r="E74" s="44">
        <v>1</v>
      </c>
      <c r="F74" s="43">
        <v>70</v>
      </c>
      <c r="G74" s="34" t="s">
        <v>56</v>
      </c>
      <c r="H74" s="34" t="s">
        <v>33</v>
      </c>
      <c r="I74" s="35" t="s">
        <v>120</v>
      </c>
    </row>
    <row r="75" spans="1:9" x14ac:dyDescent="0.35">
      <c r="A75" s="45" t="s">
        <v>73</v>
      </c>
      <c r="B75" s="44" t="s">
        <v>201</v>
      </c>
      <c r="C75" s="44" t="s">
        <v>159</v>
      </c>
      <c r="D75" s="44" t="s">
        <v>160</v>
      </c>
      <c r="E75" s="44">
        <v>1</v>
      </c>
      <c r="F75" s="43">
        <v>70</v>
      </c>
      <c r="G75" s="34" t="s">
        <v>56</v>
      </c>
      <c r="H75" s="34" t="s">
        <v>33</v>
      </c>
      <c r="I75" s="35" t="s">
        <v>108</v>
      </c>
    </row>
    <row r="76" spans="1:9" x14ac:dyDescent="0.35">
      <c r="A76" s="45" t="s">
        <v>73</v>
      </c>
      <c r="B76" s="44" t="s">
        <v>201</v>
      </c>
      <c r="C76" s="44" t="s">
        <v>159</v>
      </c>
      <c r="D76" s="44" t="s">
        <v>160</v>
      </c>
      <c r="E76" s="44">
        <v>1</v>
      </c>
      <c r="F76" s="43">
        <v>70</v>
      </c>
      <c r="G76" s="34" t="s">
        <v>56</v>
      </c>
      <c r="H76" s="34" t="s">
        <v>33</v>
      </c>
      <c r="I76" s="35" t="s">
        <v>110</v>
      </c>
    </row>
    <row r="77" spans="1:9" x14ac:dyDescent="0.35">
      <c r="A77" s="45" t="s">
        <v>73</v>
      </c>
      <c r="B77" s="34" t="s">
        <v>197</v>
      </c>
      <c r="C77" s="44" t="s">
        <v>159</v>
      </c>
      <c r="D77" s="44" t="s">
        <v>160</v>
      </c>
      <c r="E77" s="44">
        <v>1</v>
      </c>
      <c r="F77" s="43">
        <v>70</v>
      </c>
      <c r="G77" s="34" t="s">
        <v>56</v>
      </c>
      <c r="H77" s="34" t="s">
        <v>33</v>
      </c>
      <c r="I77" s="35" t="s">
        <v>121</v>
      </c>
    </row>
    <row r="78" spans="1:9" x14ac:dyDescent="0.35">
      <c r="A78" s="45" t="s">
        <v>73</v>
      </c>
      <c r="B78" s="34" t="s">
        <v>199</v>
      </c>
      <c r="C78" s="44" t="s">
        <v>159</v>
      </c>
      <c r="D78" s="44" t="s">
        <v>160</v>
      </c>
      <c r="E78" s="44">
        <v>1</v>
      </c>
      <c r="F78" s="43">
        <v>70</v>
      </c>
      <c r="G78" s="34" t="s">
        <v>56</v>
      </c>
      <c r="H78" s="34" t="s">
        <v>33</v>
      </c>
      <c r="I78" s="35" t="s">
        <v>118</v>
      </c>
    </row>
    <row r="79" spans="1:9" x14ac:dyDescent="0.35">
      <c r="A79" s="45" t="s">
        <v>73</v>
      </c>
      <c r="B79" s="34" t="s">
        <v>199</v>
      </c>
      <c r="C79" s="44" t="s">
        <v>159</v>
      </c>
      <c r="D79" s="44" t="s">
        <v>160</v>
      </c>
      <c r="E79" s="44">
        <v>1</v>
      </c>
      <c r="F79" s="43">
        <v>70</v>
      </c>
      <c r="G79" s="34" t="s">
        <v>56</v>
      </c>
      <c r="H79" s="34" t="s">
        <v>33</v>
      </c>
      <c r="I79" s="35" t="s">
        <v>122</v>
      </c>
    </row>
    <row r="80" spans="1:9" x14ac:dyDescent="0.35">
      <c r="A80" s="45" t="s">
        <v>73</v>
      </c>
      <c r="B80" s="44" t="s">
        <v>201</v>
      </c>
      <c r="C80" s="44" t="s">
        <v>159</v>
      </c>
      <c r="D80" s="44" t="s">
        <v>160</v>
      </c>
      <c r="E80" s="44">
        <v>1</v>
      </c>
      <c r="F80" s="43">
        <v>70</v>
      </c>
      <c r="G80" s="34" t="s">
        <v>56</v>
      </c>
      <c r="H80" s="34" t="s">
        <v>33</v>
      </c>
      <c r="I80" s="35" t="s">
        <v>117</v>
      </c>
    </row>
    <row r="81" spans="1:9" x14ac:dyDescent="0.35">
      <c r="A81" s="45" t="s">
        <v>73</v>
      </c>
      <c r="B81" s="44" t="s">
        <v>201</v>
      </c>
      <c r="C81" s="44" t="s">
        <v>159</v>
      </c>
      <c r="D81" s="44" t="s">
        <v>160</v>
      </c>
      <c r="E81" s="44">
        <v>1</v>
      </c>
      <c r="F81" s="43">
        <v>70</v>
      </c>
      <c r="G81" s="34" t="s">
        <v>56</v>
      </c>
      <c r="H81" s="34" t="s">
        <v>33</v>
      </c>
      <c r="I81" s="35" t="s">
        <v>109</v>
      </c>
    </row>
    <row r="82" spans="1:9" x14ac:dyDescent="0.35">
      <c r="A82" s="45" t="s">
        <v>73</v>
      </c>
      <c r="B82" s="34" t="s">
        <v>199</v>
      </c>
      <c r="C82" s="44" t="s">
        <v>159</v>
      </c>
      <c r="D82" s="44" t="s">
        <v>160</v>
      </c>
      <c r="E82" s="44">
        <v>1</v>
      </c>
      <c r="F82" s="43">
        <v>70</v>
      </c>
      <c r="G82" s="34" t="s">
        <v>56</v>
      </c>
      <c r="H82" s="34" t="s">
        <v>33</v>
      </c>
      <c r="I82" s="35" t="s">
        <v>123</v>
      </c>
    </row>
    <row r="83" spans="1:9" x14ac:dyDescent="0.35">
      <c r="A83" s="45" t="s">
        <v>73</v>
      </c>
      <c r="B83" s="34" t="s">
        <v>197</v>
      </c>
      <c r="C83" s="44" t="s">
        <v>159</v>
      </c>
      <c r="D83" s="44" t="s">
        <v>160</v>
      </c>
      <c r="E83" s="44">
        <v>1</v>
      </c>
      <c r="F83" s="43">
        <v>70</v>
      </c>
      <c r="G83" s="34" t="s">
        <v>56</v>
      </c>
      <c r="H83" s="34" t="s">
        <v>33</v>
      </c>
      <c r="I83" s="35" t="s">
        <v>111</v>
      </c>
    </row>
    <row r="84" spans="1:9" x14ac:dyDescent="0.35">
      <c r="A84" s="45" t="s">
        <v>73</v>
      </c>
      <c r="B84" s="34" t="s">
        <v>199</v>
      </c>
      <c r="C84" s="44" t="s">
        <v>159</v>
      </c>
      <c r="D84" s="44" t="s">
        <v>160</v>
      </c>
      <c r="E84" s="44">
        <v>1</v>
      </c>
      <c r="F84" s="43">
        <v>70</v>
      </c>
      <c r="G84" s="34" t="s">
        <v>56</v>
      </c>
      <c r="H84" s="34" t="s">
        <v>33</v>
      </c>
      <c r="I84" s="35" t="s">
        <v>119</v>
      </c>
    </row>
    <row r="85" spans="1:9" x14ac:dyDescent="0.35">
      <c r="A85" s="45" t="s">
        <v>73</v>
      </c>
      <c r="B85" s="34" t="s">
        <v>197</v>
      </c>
      <c r="C85" s="44" t="s">
        <v>159</v>
      </c>
      <c r="D85" s="44" t="s">
        <v>160</v>
      </c>
      <c r="E85" s="44">
        <v>1</v>
      </c>
      <c r="F85" s="43">
        <v>70</v>
      </c>
      <c r="G85" s="34" t="s">
        <v>56</v>
      </c>
      <c r="H85" s="34" t="s">
        <v>33</v>
      </c>
      <c r="I85" s="35" t="s">
        <v>107</v>
      </c>
    </row>
    <row r="86" spans="1:9" x14ac:dyDescent="0.35">
      <c r="A86" s="45" t="s">
        <v>73</v>
      </c>
      <c r="B86" s="34" t="s">
        <v>197</v>
      </c>
      <c r="C86" s="44" t="s">
        <v>159</v>
      </c>
      <c r="D86" s="44" t="s">
        <v>160</v>
      </c>
      <c r="E86" s="44">
        <v>1</v>
      </c>
      <c r="F86" s="43">
        <v>70</v>
      </c>
      <c r="G86" s="34" t="s">
        <v>56</v>
      </c>
      <c r="H86" s="34" t="s">
        <v>33</v>
      </c>
      <c r="I86" s="35" t="s">
        <v>116</v>
      </c>
    </row>
    <row r="87" spans="1:9" x14ac:dyDescent="0.35">
      <c r="A87" s="45" t="s">
        <v>73</v>
      </c>
      <c r="B87" s="44" t="s">
        <v>200</v>
      </c>
      <c r="C87" s="44" t="s">
        <v>159</v>
      </c>
      <c r="D87" s="44" t="s">
        <v>160</v>
      </c>
      <c r="E87" s="44">
        <v>1</v>
      </c>
      <c r="F87" s="43">
        <v>70</v>
      </c>
      <c r="G87" s="34" t="s">
        <v>56</v>
      </c>
      <c r="H87" s="34" t="s">
        <v>33</v>
      </c>
      <c r="I87" s="35" t="s">
        <v>114</v>
      </c>
    </row>
    <row r="88" spans="1:9" x14ac:dyDescent="0.35">
      <c r="A88" s="45" t="s">
        <v>73</v>
      </c>
      <c r="B88" s="34" t="s">
        <v>198</v>
      </c>
      <c r="C88" s="44" t="s">
        <v>159</v>
      </c>
      <c r="D88" s="44" t="s">
        <v>160</v>
      </c>
      <c r="E88" s="44">
        <v>1</v>
      </c>
      <c r="F88" s="43">
        <v>70</v>
      </c>
      <c r="G88" s="34" t="s">
        <v>56</v>
      </c>
      <c r="H88" s="34" t="s">
        <v>33</v>
      </c>
      <c r="I88" s="35" t="s">
        <v>115</v>
      </c>
    </row>
    <row r="89" spans="1:9" x14ac:dyDescent="0.35">
      <c r="A89" s="45" t="s">
        <v>73</v>
      </c>
      <c r="B89" s="34" t="s">
        <v>199</v>
      </c>
      <c r="C89" s="44" t="s">
        <v>159</v>
      </c>
      <c r="D89" s="44" t="s">
        <v>160</v>
      </c>
      <c r="E89" s="44">
        <v>1</v>
      </c>
      <c r="F89" s="43">
        <v>70</v>
      </c>
      <c r="G89" s="34" t="s">
        <v>56</v>
      </c>
      <c r="H89" s="34" t="s">
        <v>33</v>
      </c>
      <c r="I89" s="35" t="s">
        <v>124</v>
      </c>
    </row>
    <row r="90" spans="1:9" x14ac:dyDescent="0.35">
      <c r="A90" s="45" t="s">
        <v>73</v>
      </c>
      <c r="B90" s="44" t="s">
        <v>200</v>
      </c>
      <c r="C90" s="44" t="s">
        <v>159</v>
      </c>
      <c r="D90" s="44" t="s">
        <v>160</v>
      </c>
      <c r="E90" s="44">
        <v>1</v>
      </c>
      <c r="F90" s="43">
        <v>70</v>
      </c>
      <c r="G90" s="34" t="s">
        <v>56</v>
      </c>
      <c r="H90" s="34" t="s">
        <v>33</v>
      </c>
      <c r="I90" s="35" t="s">
        <v>125</v>
      </c>
    </row>
    <row r="91" spans="1:9" x14ac:dyDescent="0.35">
      <c r="A91" s="45" t="s">
        <v>73</v>
      </c>
      <c r="B91" s="44" t="s">
        <v>201</v>
      </c>
      <c r="C91" s="44" t="s">
        <v>159</v>
      </c>
      <c r="D91" s="44" t="s">
        <v>160</v>
      </c>
      <c r="E91" s="44">
        <v>1</v>
      </c>
      <c r="F91" s="43">
        <v>70</v>
      </c>
      <c r="G91" s="34" t="s">
        <v>56</v>
      </c>
      <c r="H91" s="34" t="s">
        <v>33</v>
      </c>
      <c r="I91" s="35" t="s">
        <v>126</v>
      </c>
    </row>
    <row r="92" spans="1:9" x14ac:dyDescent="0.35">
      <c r="A92" s="45" t="s">
        <v>73</v>
      </c>
      <c r="B92" s="44" t="s">
        <v>201</v>
      </c>
      <c r="C92" s="44" t="s">
        <v>159</v>
      </c>
      <c r="D92" s="44" t="s">
        <v>160</v>
      </c>
      <c r="E92" s="44">
        <v>1</v>
      </c>
      <c r="F92" s="43">
        <v>70</v>
      </c>
      <c r="G92" s="34" t="s">
        <v>56</v>
      </c>
      <c r="H92" s="34" t="s">
        <v>33</v>
      </c>
      <c r="I92" s="35" t="s">
        <v>103</v>
      </c>
    </row>
    <row r="93" spans="1:9" x14ac:dyDescent="0.35">
      <c r="A93" s="45" t="s">
        <v>73</v>
      </c>
      <c r="B93" s="44" t="s">
        <v>201</v>
      </c>
      <c r="C93" s="44" t="s">
        <v>159</v>
      </c>
      <c r="D93" s="44" t="s">
        <v>160</v>
      </c>
      <c r="E93" s="44">
        <v>1</v>
      </c>
      <c r="F93" s="43">
        <v>70</v>
      </c>
      <c r="G93" s="34" t="s">
        <v>56</v>
      </c>
      <c r="H93" s="34" t="s">
        <v>33</v>
      </c>
      <c r="I93" s="35" t="s">
        <v>100</v>
      </c>
    </row>
    <row r="94" spans="1:9" x14ac:dyDescent="0.35">
      <c r="A94" s="45" t="s">
        <v>73</v>
      </c>
      <c r="B94" s="34" t="s">
        <v>200</v>
      </c>
      <c r="C94" s="44" t="s">
        <v>159</v>
      </c>
      <c r="D94" s="44" t="s">
        <v>160</v>
      </c>
      <c r="E94" s="44">
        <v>1</v>
      </c>
      <c r="F94" s="43">
        <v>70</v>
      </c>
      <c r="G94" s="34" t="s">
        <v>56</v>
      </c>
      <c r="H94" s="34" t="s">
        <v>33</v>
      </c>
      <c r="I94" s="35" t="s">
        <v>129</v>
      </c>
    </row>
    <row r="95" spans="1:9" x14ac:dyDescent="0.35">
      <c r="A95" s="45" t="s">
        <v>73</v>
      </c>
      <c r="B95" s="34" t="s">
        <v>199</v>
      </c>
      <c r="C95" s="44" t="s">
        <v>159</v>
      </c>
      <c r="D95" s="44" t="s">
        <v>160</v>
      </c>
      <c r="E95" s="44">
        <v>1</v>
      </c>
      <c r="F95" s="43">
        <v>70</v>
      </c>
      <c r="G95" s="34" t="s">
        <v>56</v>
      </c>
      <c r="H95" s="34" t="s">
        <v>33</v>
      </c>
      <c r="I95" s="35" t="s">
        <v>127</v>
      </c>
    </row>
    <row r="96" spans="1:9" x14ac:dyDescent="0.35">
      <c r="A96" s="45" t="s">
        <v>73</v>
      </c>
      <c r="B96" s="44" t="s">
        <v>201</v>
      </c>
      <c r="C96" s="44" t="s">
        <v>159</v>
      </c>
      <c r="D96" s="44" t="s">
        <v>160</v>
      </c>
      <c r="E96" s="44">
        <v>1</v>
      </c>
      <c r="F96" s="43">
        <v>70</v>
      </c>
      <c r="G96" s="34" t="s">
        <v>56</v>
      </c>
      <c r="H96" s="34" t="s">
        <v>33</v>
      </c>
      <c r="I96" s="35" t="s">
        <v>105</v>
      </c>
    </row>
    <row r="97" spans="1:9" x14ac:dyDescent="0.35">
      <c r="A97" s="45" t="s">
        <v>73</v>
      </c>
      <c r="B97" s="44" t="s">
        <v>200</v>
      </c>
      <c r="C97" s="44" t="s">
        <v>159</v>
      </c>
      <c r="D97" s="44" t="s">
        <v>160</v>
      </c>
      <c r="E97" s="44">
        <v>1</v>
      </c>
      <c r="F97" s="43">
        <v>70</v>
      </c>
      <c r="G97" s="34" t="s">
        <v>56</v>
      </c>
      <c r="H97" s="34" t="s">
        <v>33</v>
      </c>
      <c r="I97" s="35" t="s">
        <v>106</v>
      </c>
    </row>
    <row r="98" spans="1:9" x14ac:dyDescent="0.35">
      <c r="A98" s="45" t="s">
        <v>73</v>
      </c>
      <c r="B98" s="44" t="s">
        <v>200</v>
      </c>
      <c r="C98" s="44" t="s">
        <v>159</v>
      </c>
      <c r="D98" s="44" t="s">
        <v>160</v>
      </c>
      <c r="E98" s="44">
        <v>1</v>
      </c>
      <c r="F98" s="43">
        <v>70</v>
      </c>
      <c r="G98" s="34" t="s">
        <v>56</v>
      </c>
      <c r="H98" s="34" t="s">
        <v>33</v>
      </c>
      <c r="I98" s="35" t="s">
        <v>128</v>
      </c>
    </row>
    <row r="99" spans="1:9" x14ac:dyDescent="0.35">
      <c r="A99" s="45" t="s">
        <v>73</v>
      </c>
      <c r="B99" s="44" t="s">
        <v>201</v>
      </c>
      <c r="C99" s="44" t="s">
        <v>159</v>
      </c>
      <c r="D99" s="44" t="s">
        <v>160</v>
      </c>
      <c r="E99" s="44">
        <v>1</v>
      </c>
      <c r="F99" s="43">
        <v>70</v>
      </c>
      <c r="G99" s="34" t="s">
        <v>56</v>
      </c>
      <c r="H99" s="34" t="s">
        <v>33</v>
      </c>
      <c r="I99" s="35" t="s">
        <v>96</v>
      </c>
    </row>
    <row r="100" spans="1:9" x14ac:dyDescent="0.35">
      <c r="A100" s="45" t="s">
        <v>73</v>
      </c>
      <c r="B100" s="44" t="s">
        <v>201</v>
      </c>
      <c r="C100" s="44" t="s">
        <v>159</v>
      </c>
      <c r="D100" s="44" t="s">
        <v>160</v>
      </c>
      <c r="E100" s="44">
        <v>1</v>
      </c>
      <c r="F100" s="43">
        <v>70</v>
      </c>
      <c r="G100" s="34" t="s">
        <v>56</v>
      </c>
      <c r="H100" s="34" t="s">
        <v>33</v>
      </c>
      <c r="I100" s="35" t="s">
        <v>101</v>
      </c>
    </row>
    <row r="101" spans="1:9" x14ac:dyDescent="0.35">
      <c r="A101" s="45" t="s">
        <v>73</v>
      </c>
      <c r="B101" s="44" t="s">
        <v>201</v>
      </c>
      <c r="C101" s="44" t="s">
        <v>159</v>
      </c>
      <c r="D101" s="44" t="s">
        <v>160</v>
      </c>
      <c r="E101" s="44">
        <v>1</v>
      </c>
      <c r="F101" s="43">
        <v>70</v>
      </c>
      <c r="G101" s="34" t="s">
        <v>56</v>
      </c>
      <c r="H101" s="34" t="s">
        <v>33</v>
      </c>
      <c r="I101" s="35" t="s">
        <v>94</v>
      </c>
    </row>
    <row r="102" spans="1:9" x14ac:dyDescent="0.35">
      <c r="A102" s="45" t="s">
        <v>73</v>
      </c>
      <c r="B102" s="34" t="s">
        <v>198</v>
      </c>
      <c r="C102" s="44" t="s">
        <v>159</v>
      </c>
      <c r="D102" s="44" t="s">
        <v>160</v>
      </c>
      <c r="E102" s="44">
        <v>1</v>
      </c>
      <c r="F102" s="43">
        <v>70</v>
      </c>
      <c r="G102" s="34" t="s">
        <v>56</v>
      </c>
      <c r="H102" s="34" t="s">
        <v>33</v>
      </c>
      <c r="I102" s="35" t="s">
        <v>98</v>
      </c>
    </row>
    <row r="103" spans="1:9" x14ac:dyDescent="0.35">
      <c r="A103" s="45" t="s">
        <v>73</v>
      </c>
      <c r="B103" s="44" t="s">
        <v>201</v>
      </c>
      <c r="C103" s="44" t="s">
        <v>159</v>
      </c>
      <c r="D103" s="44" t="s">
        <v>160</v>
      </c>
      <c r="E103" s="44">
        <v>1</v>
      </c>
      <c r="F103" s="43">
        <v>70</v>
      </c>
      <c r="G103" s="34" t="s">
        <v>56</v>
      </c>
      <c r="H103" s="34" t="s">
        <v>33</v>
      </c>
      <c r="I103" s="35" t="s">
        <v>95</v>
      </c>
    </row>
    <row r="104" spans="1:9" x14ac:dyDescent="0.35">
      <c r="A104" s="45" t="s">
        <v>73</v>
      </c>
      <c r="B104" s="44" t="s">
        <v>200</v>
      </c>
      <c r="C104" s="44" t="s">
        <v>159</v>
      </c>
      <c r="D104" s="44" t="s">
        <v>160</v>
      </c>
      <c r="E104" s="44">
        <v>1</v>
      </c>
      <c r="F104" s="43">
        <v>70</v>
      </c>
      <c r="G104" s="34" t="s">
        <v>56</v>
      </c>
      <c r="H104" s="34" t="s">
        <v>33</v>
      </c>
      <c r="I104" s="35" t="s">
        <v>104</v>
      </c>
    </row>
    <row r="105" spans="1:9" x14ac:dyDescent="0.35">
      <c r="A105" s="45" t="s">
        <v>73</v>
      </c>
      <c r="B105" s="34" t="s">
        <v>209</v>
      </c>
      <c r="C105" s="44" t="s">
        <v>159</v>
      </c>
      <c r="D105" s="44" t="s">
        <v>160</v>
      </c>
      <c r="E105" s="44">
        <v>1</v>
      </c>
      <c r="F105" s="43">
        <v>112.5</v>
      </c>
      <c r="G105" s="34" t="s">
        <v>56</v>
      </c>
      <c r="H105" s="34" t="s">
        <v>133</v>
      </c>
      <c r="I105" s="35" t="s">
        <v>135</v>
      </c>
    </row>
    <row r="106" spans="1:9" x14ac:dyDescent="0.35">
      <c r="A106" s="45" t="s">
        <v>73</v>
      </c>
      <c r="B106" s="34" t="s">
        <v>209</v>
      </c>
      <c r="C106" s="44" t="s">
        <v>159</v>
      </c>
      <c r="D106" s="44" t="s">
        <v>160</v>
      </c>
      <c r="E106" s="44">
        <v>1</v>
      </c>
      <c r="F106" s="43">
        <v>133</v>
      </c>
      <c r="G106" s="34" t="s">
        <v>56</v>
      </c>
      <c r="H106" s="34" t="s">
        <v>134</v>
      </c>
      <c r="I106" s="35" t="s">
        <v>135</v>
      </c>
    </row>
  </sheetData>
  <protectedRanges>
    <protectedRange sqref="F4" name="Amount_7"/>
    <protectedRange sqref="F5:F70" name="Amount_8"/>
    <protectedRange sqref="F71:F106" name="Amount_9"/>
  </protectedRange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B23A-7CE7-4A1C-8BBB-E27C0A4B833E}">
  <sheetPr codeName="Sheet2"/>
  <dimension ref="A1:G533"/>
  <sheetViews>
    <sheetView zoomScaleNormal="100" workbookViewId="0">
      <pane xSplit="1" ySplit="9" topLeftCell="B10" activePane="bottomRight" state="frozen"/>
      <selection activeCell="D119" sqref="D119"/>
      <selection pane="topRight" activeCell="D119" sqref="D119"/>
      <selection pane="bottomLeft" activeCell="D119" sqref="D119"/>
      <selection pane="bottomRight" activeCell="A536" sqref="A536"/>
    </sheetView>
  </sheetViews>
  <sheetFormatPr defaultColWidth="8.7265625" defaultRowHeight="14.5" x14ac:dyDescent="0.35"/>
  <cols>
    <col min="1" max="1" width="14.1796875" customWidth="1"/>
    <col min="2" max="2" width="18.54296875" bestFit="1" customWidth="1"/>
    <col min="3" max="3" width="16.7265625" customWidth="1"/>
    <col min="4" max="4" width="19.54296875" style="2" customWidth="1"/>
    <col min="5" max="5" width="46.26953125" customWidth="1"/>
    <col min="6" max="6" width="47.1796875" bestFit="1" customWidth="1"/>
    <col min="7" max="7" width="3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x14ac:dyDescent="0.35">
      <c r="A3" s="6" t="s">
        <v>28</v>
      </c>
      <c r="B3" s="42" t="s">
        <v>208</v>
      </c>
    </row>
    <row r="4" spans="1:7" x14ac:dyDescent="0.35">
      <c r="A4" s="8" t="s">
        <v>29</v>
      </c>
      <c r="B4" s="9">
        <v>44347</v>
      </c>
      <c r="C4" s="5"/>
    </row>
    <row r="5" spans="1:7" ht="15" thickBot="1" x14ac:dyDescent="0.4">
      <c r="A5" s="10" t="s">
        <v>30</v>
      </c>
      <c r="B5" s="11" t="s">
        <v>207</v>
      </c>
      <c r="C5" s="15"/>
    </row>
    <row r="8" spans="1:7" x14ac:dyDescent="0.3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hidden="1" x14ac:dyDescent="0.35">
      <c r="A9" s="1" t="s">
        <v>6</v>
      </c>
      <c r="B9" s="12" t="s">
        <v>7</v>
      </c>
      <c r="C9" s="12">
        <f>IF(Table24[[#This Row],[Journal Description (Service Description)]]="","",1)</f>
        <v>1</v>
      </c>
      <c r="D9" s="3">
        <f>-SUM(D10:D136)</f>
        <v>-14706.700000000006</v>
      </c>
      <c r="E9" s="1" t="s">
        <v>12</v>
      </c>
      <c r="F9" s="1" t="s">
        <v>13</v>
      </c>
      <c r="G9" s="13" t="str">
        <f>TEXT(B4,"mmm-yy")</f>
        <v>May-21</v>
      </c>
    </row>
    <row r="10" spans="1:7" hidden="1" x14ac:dyDescent="0.35">
      <c r="A10" t="s">
        <v>73</v>
      </c>
      <c r="B10" t="s">
        <v>74</v>
      </c>
      <c r="C10">
        <f>IF(Table24[[#This Row],[Journal Description (Service Description)]]="","",1)</f>
        <v>1</v>
      </c>
      <c r="D10" s="2">
        <v>-10</v>
      </c>
      <c r="E10" t="s">
        <v>56</v>
      </c>
      <c r="F10" t="s">
        <v>70</v>
      </c>
      <c r="G10" t="s">
        <v>75</v>
      </c>
    </row>
    <row r="11" spans="1:7" x14ac:dyDescent="0.35">
      <c r="A11" s="27" t="s">
        <v>23</v>
      </c>
      <c r="B11" s="27" t="s">
        <v>206</v>
      </c>
      <c r="C11" s="27">
        <f>IF(Table24[[#This Row],[Journal Description (Service Description)]]="","",1)</f>
        <v>1</v>
      </c>
      <c r="D11" s="28">
        <f>IF(Table24[[#This Row],[Journal Description (Service Description)]]="","",VLOOKUP(Table24[[#This Row],[Journal Description (Service Description)]],'[1]Lookup Values'!$A:$B,2,FALSE))</f>
        <v>132</v>
      </c>
      <c r="E11" s="27" t="s">
        <v>63</v>
      </c>
      <c r="F11" s="27" t="s">
        <v>90</v>
      </c>
      <c r="G11" s="27" t="s">
        <v>92</v>
      </c>
    </row>
    <row r="12" spans="1:7" x14ac:dyDescent="0.35">
      <c r="A12" s="27" t="s">
        <v>23</v>
      </c>
      <c r="B12" s="27" t="s">
        <v>206</v>
      </c>
      <c r="C12" s="27">
        <f>IF(Table24[[#This Row],[Journal Description (Service Description)]]="","",1)</f>
        <v>1</v>
      </c>
      <c r="D12" s="28">
        <f>IF(Table24[[#This Row],[Journal Description (Service Description)]]="","",VLOOKUP(Table24[[#This Row],[Journal Description (Service Description)]],'[1]Lookup Values'!$A:$B,2,FALSE))</f>
        <v>166.1</v>
      </c>
      <c r="E12" s="27" t="s">
        <v>63</v>
      </c>
      <c r="F12" s="27" t="s">
        <v>91</v>
      </c>
      <c r="G12" s="27" t="s">
        <v>92</v>
      </c>
    </row>
    <row r="13" spans="1:7" hidden="1" x14ac:dyDescent="0.35">
      <c r="A13" s="27" t="s">
        <v>6</v>
      </c>
      <c r="B13" s="27" t="s">
        <v>143</v>
      </c>
      <c r="C13" s="27">
        <f>IF(Table24[[#This Row],[Journal Description (Service Description)]]="","",1)</f>
        <v>1</v>
      </c>
      <c r="D13" s="28">
        <f>IF(Table24[[#This Row],[Journal Description (Service Description)]]="","",VLOOKUP(Table24[[#This Row],[Journal Description (Service Description)]],'[1]Lookup Values'!$A:$B,2,FALSE))</f>
        <v>132</v>
      </c>
      <c r="E13" s="27" t="s">
        <v>50</v>
      </c>
      <c r="F13" s="27" t="s">
        <v>90</v>
      </c>
      <c r="G13" s="27" t="s">
        <v>93</v>
      </c>
    </row>
    <row r="14" spans="1:7" hidden="1" x14ac:dyDescent="0.35">
      <c r="A14" s="27" t="s">
        <v>6</v>
      </c>
      <c r="B14" s="27" t="s">
        <v>143</v>
      </c>
      <c r="C14" s="27">
        <f>IF(Table24[[#This Row],[Journal Description (Service Description)]]="","",1)</f>
        <v>1</v>
      </c>
      <c r="D14" s="28">
        <f>IF(Table24[[#This Row],[Journal Description (Service Description)]]="","",VLOOKUP(Table24[[#This Row],[Journal Description (Service Description)]],'[1]Lookup Values'!$A:$B,2,FALSE))</f>
        <v>166.1</v>
      </c>
      <c r="E14" s="27" t="s">
        <v>50</v>
      </c>
      <c r="F14" s="27" t="s">
        <v>91</v>
      </c>
      <c r="G14" s="27" t="s">
        <v>93</v>
      </c>
    </row>
    <row r="15" spans="1:7" hidden="1" x14ac:dyDescent="0.35">
      <c r="A15" t="s">
        <v>73</v>
      </c>
      <c r="B15" t="s">
        <v>74</v>
      </c>
      <c r="C15" s="27">
        <f>IF(Table24[[#This Row],[Journal Description (Service Description)]]="","",1)</f>
        <v>1</v>
      </c>
      <c r="D15" s="28">
        <f>IF(Table24[[#This Row],[Journal Description (Service Description)]]="","",VLOOKUP(Table24[[#This Row],[Journal Description (Service Description)]],'[1]Lookup Values'!$A:$B,2,FALSE))</f>
        <v>132</v>
      </c>
      <c r="E15" s="27" t="s">
        <v>56</v>
      </c>
      <c r="F15" s="27" t="s">
        <v>90</v>
      </c>
      <c r="G15" s="27" t="s">
        <v>94</v>
      </c>
    </row>
    <row r="16" spans="1:7" hidden="1" x14ac:dyDescent="0.35">
      <c r="A16" t="s">
        <v>73</v>
      </c>
      <c r="B16" t="s">
        <v>74</v>
      </c>
      <c r="C16" s="27">
        <f>IF(Table24[[#This Row],[Journal Description (Service Description)]]="","",1)</f>
        <v>1</v>
      </c>
      <c r="D16" s="28">
        <f>IF(Table24[[#This Row],[Journal Description (Service Description)]]="","",VLOOKUP(Table24[[#This Row],[Journal Description (Service Description)]],'[1]Lookup Values'!$A:$B,2,FALSE))</f>
        <v>166.1</v>
      </c>
      <c r="E16" s="27" t="s">
        <v>56</v>
      </c>
      <c r="F16" s="27" t="s">
        <v>91</v>
      </c>
      <c r="G16" s="27" t="s">
        <v>94</v>
      </c>
    </row>
    <row r="17" spans="1:7" hidden="1" x14ac:dyDescent="0.35">
      <c r="A17" t="s">
        <v>73</v>
      </c>
      <c r="B17" t="s">
        <v>74</v>
      </c>
      <c r="C17" s="27">
        <f>IF(Table24[[#This Row],[Journal Description (Service Description)]]="","",1)</f>
        <v>1</v>
      </c>
      <c r="D17" s="28">
        <f>IF(Table24[[#This Row],[Journal Description (Service Description)]]="","",VLOOKUP(Table24[[#This Row],[Journal Description (Service Description)]],'[1]Lookup Values'!$A:$B,2,FALSE))</f>
        <v>132</v>
      </c>
      <c r="E17" s="27" t="s">
        <v>56</v>
      </c>
      <c r="F17" s="27" t="s">
        <v>90</v>
      </c>
      <c r="G17" s="27" t="s">
        <v>95</v>
      </c>
    </row>
    <row r="18" spans="1:7" hidden="1" x14ac:dyDescent="0.35">
      <c r="A18" t="s">
        <v>73</v>
      </c>
      <c r="B18" t="s">
        <v>74</v>
      </c>
      <c r="C18" s="27">
        <f>IF(Table24[[#This Row],[Journal Description (Service Description)]]="","",1)</f>
        <v>1</v>
      </c>
      <c r="D18" s="28">
        <f>IF(Table24[[#This Row],[Journal Description (Service Description)]]="","",VLOOKUP(Table24[[#This Row],[Journal Description (Service Description)]],'[1]Lookup Values'!$A:$B,2,FALSE))</f>
        <v>166.1</v>
      </c>
      <c r="E18" s="27" t="s">
        <v>56</v>
      </c>
      <c r="F18" s="27" t="s">
        <v>91</v>
      </c>
      <c r="G18" s="27" t="s">
        <v>95</v>
      </c>
    </row>
    <row r="19" spans="1:7" hidden="1" x14ac:dyDescent="0.35">
      <c r="A19" t="s">
        <v>73</v>
      </c>
      <c r="B19" t="s">
        <v>74</v>
      </c>
      <c r="C19" s="27">
        <f>IF(Table24[[#This Row],[Journal Description (Service Description)]]="","",1)</f>
        <v>1</v>
      </c>
      <c r="D19" s="28">
        <f>IF(Table24[[#This Row],[Journal Description (Service Description)]]="","",VLOOKUP(Table24[[#This Row],[Journal Description (Service Description)]],'[1]Lookup Values'!$A:$B,2,FALSE))</f>
        <v>132</v>
      </c>
      <c r="E19" s="27" t="s">
        <v>56</v>
      </c>
      <c r="F19" s="27" t="s">
        <v>90</v>
      </c>
      <c r="G19" s="27" t="s">
        <v>96</v>
      </c>
    </row>
    <row r="20" spans="1:7" hidden="1" x14ac:dyDescent="0.35">
      <c r="A20" t="s">
        <v>73</v>
      </c>
      <c r="B20" t="s">
        <v>74</v>
      </c>
      <c r="C20" s="27">
        <f>IF(Table24[[#This Row],[Journal Description (Service Description)]]="","",1)</f>
        <v>1</v>
      </c>
      <c r="D20" s="28">
        <f>IF(Table24[[#This Row],[Journal Description (Service Description)]]="","",VLOOKUP(Table24[[#This Row],[Journal Description (Service Description)]],'[1]Lookup Values'!$A:$B,2,FALSE))</f>
        <v>166.1</v>
      </c>
      <c r="E20" s="27" t="s">
        <v>56</v>
      </c>
      <c r="F20" s="27" t="s">
        <v>91</v>
      </c>
      <c r="G20" s="27" t="s">
        <v>96</v>
      </c>
    </row>
    <row r="21" spans="1:7" hidden="1" x14ac:dyDescent="0.35">
      <c r="A21" t="s">
        <v>73</v>
      </c>
      <c r="B21" t="s">
        <v>74</v>
      </c>
      <c r="C21" s="27">
        <f>IF(Table24[[#This Row],[Journal Description (Service Description)]]="","",1)</f>
        <v>1</v>
      </c>
      <c r="D21" s="28">
        <f>IF(Table24[[#This Row],[Journal Description (Service Description)]]="","",VLOOKUP(Table24[[#This Row],[Journal Description (Service Description)]],'[1]Lookup Values'!$A:$B,2,FALSE))</f>
        <v>132</v>
      </c>
      <c r="E21" s="27" t="s">
        <v>56</v>
      </c>
      <c r="F21" s="27" t="s">
        <v>90</v>
      </c>
      <c r="G21" s="27" t="s">
        <v>97</v>
      </c>
    </row>
    <row r="22" spans="1:7" hidden="1" x14ac:dyDescent="0.35">
      <c r="A22" t="s">
        <v>73</v>
      </c>
      <c r="B22" t="s">
        <v>74</v>
      </c>
      <c r="C22" s="27">
        <f>IF(Table24[[#This Row],[Journal Description (Service Description)]]="","",1)</f>
        <v>1</v>
      </c>
      <c r="D22" s="28">
        <f>IF(Table24[[#This Row],[Journal Description (Service Description)]]="","",VLOOKUP(Table24[[#This Row],[Journal Description (Service Description)]],'[1]Lookup Values'!$A:$B,2,FALSE))</f>
        <v>166.1</v>
      </c>
      <c r="E22" s="27" t="s">
        <v>56</v>
      </c>
      <c r="F22" s="27" t="s">
        <v>91</v>
      </c>
      <c r="G22" s="27" t="s">
        <v>97</v>
      </c>
    </row>
    <row r="23" spans="1:7" hidden="1" x14ac:dyDescent="0.35">
      <c r="A23" t="s">
        <v>73</v>
      </c>
      <c r="B23" s="27" t="s">
        <v>162</v>
      </c>
      <c r="C23" s="27">
        <f>IF(Table24[[#This Row],[Journal Description (Service Description)]]="","",1)</f>
        <v>1</v>
      </c>
      <c r="D23" s="28">
        <f>IF(Table24[[#This Row],[Journal Description (Service Description)]]="","",VLOOKUP(Table24[[#This Row],[Journal Description (Service Description)]],'[1]Lookup Values'!$A:$B,2,FALSE))</f>
        <v>132</v>
      </c>
      <c r="E23" s="27" t="s">
        <v>56</v>
      </c>
      <c r="F23" s="27" t="s">
        <v>90</v>
      </c>
      <c r="G23" s="27" t="s">
        <v>98</v>
      </c>
    </row>
    <row r="24" spans="1:7" hidden="1" x14ac:dyDescent="0.35">
      <c r="A24" t="s">
        <v>73</v>
      </c>
      <c r="B24" s="27" t="s">
        <v>162</v>
      </c>
      <c r="C24" s="27">
        <f>IF(Table24[[#This Row],[Journal Description (Service Description)]]="","",1)</f>
        <v>1</v>
      </c>
      <c r="D24" s="28">
        <f>IF(Table24[[#This Row],[Journal Description (Service Description)]]="","",VLOOKUP(Table24[[#This Row],[Journal Description (Service Description)]],'[1]Lookup Values'!$A:$B,2,FALSE))</f>
        <v>166.1</v>
      </c>
      <c r="E24" s="27" t="s">
        <v>56</v>
      </c>
      <c r="F24" s="27" t="s">
        <v>91</v>
      </c>
      <c r="G24" s="27" t="s">
        <v>98</v>
      </c>
    </row>
    <row r="25" spans="1:7" hidden="1" x14ac:dyDescent="0.35">
      <c r="A25" t="s">
        <v>73</v>
      </c>
      <c r="B25" t="s">
        <v>74</v>
      </c>
      <c r="C25" s="27">
        <f>IF(Table24[[#This Row],[Journal Description (Service Description)]]="","",1)</f>
        <v>1</v>
      </c>
      <c r="D25" s="28">
        <f>IF(Table24[[#This Row],[Journal Description (Service Description)]]="","",VLOOKUP(Table24[[#This Row],[Journal Description (Service Description)]],'[1]Lookup Values'!$A:$B,2,FALSE))</f>
        <v>132</v>
      </c>
      <c r="E25" s="27" t="s">
        <v>56</v>
      </c>
      <c r="F25" s="27" t="s">
        <v>90</v>
      </c>
      <c r="G25" s="27" t="s">
        <v>99</v>
      </c>
    </row>
    <row r="26" spans="1:7" hidden="1" x14ac:dyDescent="0.35">
      <c r="A26" t="s">
        <v>73</v>
      </c>
      <c r="B26" t="s">
        <v>74</v>
      </c>
      <c r="C26" s="27">
        <f>IF(Table24[[#This Row],[Journal Description (Service Description)]]="","",1)</f>
        <v>1</v>
      </c>
      <c r="D26" s="28">
        <f>IF(Table24[[#This Row],[Journal Description (Service Description)]]="","",VLOOKUP(Table24[[#This Row],[Journal Description (Service Description)]],'[1]Lookup Values'!$A:$B,2,FALSE))</f>
        <v>166.1</v>
      </c>
      <c r="E26" s="27" t="s">
        <v>56</v>
      </c>
      <c r="F26" s="27" t="s">
        <v>91</v>
      </c>
      <c r="G26" s="27" t="s">
        <v>99</v>
      </c>
    </row>
    <row r="27" spans="1:7" hidden="1" x14ac:dyDescent="0.35">
      <c r="A27" t="s">
        <v>73</v>
      </c>
      <c r="B27" t="s">
        <v>74</v>
      </c>
      <c r="C27" s="27">
        <f>IF(Table24[[#This Row],[Journal Description (Service Description)]]="","",1)</f>
        <v>1</v>
      </c>
      <c r="D27" s="28">
        <f>IF(Table24[[#This Row],[Journal Description (Service Description)]]="","",VLOOKUP(Table24[[#This Row],[Journal Description (Service Description)]],'[1]Lookup Values'!$A:$B,2,FALSE))</f>
        <v>132</v>
      </c>
      <c r="E27" s="27" t="s">
        <v>56</v>
      </c>
      <c r="F27" s="27" t="s">
        <v>90</v>
      </c>
      <c r="G27" s="27" t="s">
        <v>100</v>
      </c>
    </row>
    <row r="28" spans="1:7" hidden="1" x14ac:dyDescent="0.35">
      <c r="A28" t="s">
        <v>73</v>
      </c>
      <c r="B28" t="s">
        <v>74</v>
      </c>
      <c r="C28" s="27">
        <f>IF(Table24[[#This Row],[Journal Description (Service Description)]]="","",1)</f>
        <v>1</v>
      </c>
      <c r="D28" s="28">
        <f>IF(Table24[[#This Row],[Journal Description (Service Description)]]="","",VLOOKUP(Table24[[#This Row],[Journal Description (Service Description)]],'[1]Lookup Values'!$A:$B,2,FALSE))</f>
        <v>166.1</v>
      </c>
      <c r="E28" s="27" t="s">
        <v>56</v>
      </c>
      <c r="F28" s="27" t="s">
        <v>91</v>
      </c>
      <c r="G28" s="27" t="s">
        <v>100</v>
      </c>
    </row>
    <row r="29" spans="1:7" hidden="1" x14ac:dyDescent="0.35">
      <c r="A29" t="s">
        <v>73</v>
      </c>
      <c r="B29" t="s">
        <v>74</v>
      </c>
      <c r="C29" s="27">
        <f>IF(Table24[[#This Row],[Journal Description (Service Description)]]="","",1)</f>
        <v>1</v>
      </c>
      <c r="D29" s="28">
        <f>IF(Table24[[#This Row],[Journal Description (Service Description)]]="","",VLOOKUP(Table24[[#This Row],[Journal Description (Service Description)]],'[1]Lookup Values'!$A:$B,2,FALSE))</f>
        <v>132</v>
      </c>
      <c r="E29" s="27" t="s">
        <v>56</v>
      </c>
      <c r="F29" s="27" t="s">
        <v>90</v>
      </c>
      <c r="G29" s="27" t="s">
        <v>101</v>
      </c>
    </row>
    <row r="30" spans="1:7" hidden="1" x14ac:dyDescent="0.35">
      <c r="A30" t="s">
        <v>73</v>
      </c>
      <c r="B30" t="s">
        <v>74</v>
      </c>
      <c r="C30" s="27">
        <f>IF(Table24[[#This Row],[Journal Description (Service Description)]]="","",1)</f>
        <v>1</v>
      </c>
      <c r="D30" s="28">
        <f>IF(Table24[[#This Row],[Journal Description (Service Description)]]="","",VLOOKUP(Table24[[#This Row],[Journal Description (Service Description)]],'[1]Lookup Values'!$A:$B,2,FALSE))</f>
        <v>166.1</v>
      </c>
      <c r="E30" s="27" t="s">
        <v>56</v>
      </c>
      <c r="F30" s="27" t="s">
        <v>91</v>
      </c>
      <c r="G30" s="27" t="s">
        <v>101</v>
      </c>
    </row>
    <row r="31" spans="1:7" hidden="1" x14ac:dyDescent="0.35">
      <c r="A31" t="s">
        <v>73</v>
      </c>
      <c r="B31" t="s">
        <v>74</v>
      </c>
      <c r="C31" s="27">
        <f>IF(Table24[[#This Row],[Journal Description (Service Description)]]="","",1)</f>
        <v>1</v>
      </c>
      <c r="D31" s="28">
        <f>IF(Table24[[#This Row],[Journal Description (Service Description)]]="","",VLOOKUP(Table24[[#This Row],[Journal Description (Service Description)]],'[1]Lookup Values'!$A:$B,2,FALSE))</f>
        <v>132</v>
      </c>
      <c r="E31" s="27" t="s">
        <v>56</v>
      </c>
      <c r="F31" s="27" t="s">
        <v>90</v>
      </c>
      <c r="G31" s="27" t="s">
        <v>102</v>
      </c>
    </row>
    <row r="32" spans="1:7" hidden="1" x14ac:dyDescent="0.35">
      <c r="A32" t="s">
        <v>73</v>
      </c>
      <c r="B32" t="s">
        <v>74</v>
      </c>
      <c r="C32" s="27">
        <f>IF(Table24[[#This Row],[Journal Description (Service Description)]]="","",1)</f>
        <v>1</v>
      </c>
      <c r="D32" s="28">
        <f>IF(Table24[[#This Row],[Journal Description (Service Description)]]="","",VLOOKUP(Table24[[#This Row],[Journal Description (Service Description)]],'[1]Lookup Values'!$A:$B,2,FALSE))</f>
        <v>132</v>
      </c>
      <c r="E32" s="27" t="s">
        <v>56</v>
      </c>
      <c r="F32" s="27" t="s">
        <v>90</v>
      </c>
      <c r="G32" s="27" t="s">
        <v>102</v>
      </c>
    </row>
    <row r="33" spans="1:7" hidden="1" x14ac:dyDescent="0.35">
      <c r="A33" t="s">
        <v>73</v>
      </c>
      <c r="B33" t="s">
        <v>74</v>
      </c>
      <c r="C33" s="27">
        <f>IF(Table24[[#This Row],[Journal Description (Service Description)]]="","",1)</f>
        <v>1</v>
      </c>
      <c r="D33" s="28">
        <f>IF(Table24[[#This Row],[Journal Description (Service Description)]]="","",VLOOKUP(Table24[[#This Row],[Journal Description (Service Description)]],'[1]Lookup Values'!$A:$B,2,FALSE))</f>
        <v>166.1</v>
      </c>
      <c r="E33" s="27" t="s">
        <v>56</v>
      </c>
      <c r="F33" s="27" t="s">
        <v>91</v>
      </c>
      <c r="G33" s="27" t="s">
        <v>102</v>
      </c>
    </row>
    <row r="34" spans="1:7" hidden="1" x14ac:dyDescent="0.35">
      <c r="A34" t="s">
        <v>73</v>
      </c>
      <c r="B34" t="s">
        <v>74</v>
      </c>
      <c r="C34" s="27">
        <f>IF(Table24[[#This Row],[Journal Description (Service Description)]]="","",1)</f>
        <v>1</v>
      </c>
      <c r="D34" s="28">
        <f>IF(Table24[[#This Row],[Journal Description (Service Description)]]="","",VLOOKUP(Table24[[#This Row],[Journal Description (Service Description)]],'[1]Lookup Values'!$A:$B,2,FALSE))</f>
        <v>132</v>
      </c>
      <c r="E34" s="27" t="s">
        <v>56</v>
      </c>
      <c r="F34" s="27" t="s">
        <v>90</v>
      </c>
      <c r="G34" s="27" t="s">
        <v>103</v>
      </c>
    </row>
    <row r="35" spans="1:7" hidden="1" x14ac:dyDescent="0.35">
      <c r="A35" t="s">
        <v>73</v>
      </c>
      <c r="B35" t="s">
        <v>74</v>
      </c>
      <c r="C35" s="27">
        <f>IF(Table24[[#This Row],[Journal Description (Service Description)]]="","",1)</f>
        <v>1</v>
      </c>
      <c r="D35" s="28">
        <f>IF(Table24[[#This Row],[Journal Description (Service Description)]]="","",VLOOKUP(Table24[[#This Row],[Journal Description (Service Description)]],'[1]Lookup Values'!$A:$B,2,FALSE))</f>
        <v>166.1</v>
      </c>
      <c r="E35" s="27" t="s">
        <v>56</v>
      </c>
      <c r="F35" s="27" t="s">
        <v>91</v>
      </c>
      <c r="G35" s="27" t="s">
        <v>103</v>
      </c>
    </row>
    <row r="36" spans="1:7" hidden="1" x14ac:dyDescent="0.35">
      <c r="A36" t="s">
        <v>73</v>
      </c>
      <c r="B36" t="s">
        <v>164</v>
      </c>
      <c r="C36" s="27">
        <f>IF(Table24[[#This Row],[Journal Description (Service Description)]]="","",1)</f>
        <v>1</v>
      </c>
      <c r="D36" s="28">
        <f>IF(Table24[[#This Row],[Journal Description (Service Description)]]="","",VLOOKUP(Table24[[#This Row],[Journal Description (Service Description)]],'[1]Lookup Values'!$A:$B,2,FALSE))</f>
        <v>132</v>
      </c>
      <c r="E36" s="27" t="s">
        <v>56</v>
      </c>
      <c r="F36" s="27" t="s">
        <v>90</v>
      </c>
      <c r="G36" s="27" t="s">
        <v>104</v>
      </c>
    </row>
    <row r="37" spans="1:7" hidden="1" x14ac:dyDescent="0.35">
      <c r="A37" t="s">
        <v>73</v>
      </c>
      <c r="B37" t="s">
        <v>164</v>
      </c>
      <c r="C37" s="27">
        <f>IF(Table24[[#This Row],[Journal Description (Service Description)]]="","",1)</f>
        <v>1</v>
      </c>
      <c r="D37" s="28">
        <f>IF(Table24[[#This Row],[Journal Description (Service Description)]]="","",VLOOKUP(Table24[[#This Row],[Journal Description (Service Description)]],'[1]Lookup Values'!$A:$B,2,FALSE))</f>
        <v>166.1</v>
      </c>
      <c r="E37" s="27" t="s">
        <v>56</v>
      </c>
      <c r="F37" s="27" t="s">
        <v>91</v>
      </c>
      <c r="G37" s="27" t="s">
        <v>104</v>
      </c>
    </row>
    <row r="38" spans="1:7" hidden="1" x14ac:dyDescent="0.35">
      <c r="A38" t="s">
        <v>73</v>
      </c>
      <c r="B38" t="s">
        <v>74</v>
      </c>
      <c r="C38" s="27">
        <f>IF(Table24[[#This Row],[Journal Description (Service Description)]]="","",1)</f>
        <v>1</v>
      </c>
      <c r="D38" s="28">
        <f>IF(Table24[[#This Row],[Journal Description (Service Description)]]="","",VLOOKUP(Table24[[#This Row],[Journal Description (Service Description)]],'[1]Lookup Values'!$A:$B,2,FALSE))</f>
        <v>132</v>
      </c>
      <c r="E38" s="27" t="s">
        <v>56</v>
      </c>
      <c r="F38" s="27" t="s">
        <v>90</v>
      </c>
      <c r="G38" s="27" t="s">
        <v>105</v>
      </c>
    </row>
    <row r="39" spans="1:7" hidden="1" x14ac:dyDescent="0.35">
      <c r="A39" t="s">
        <v>73</v>
      </c>
      <c r="B39" t="s">
        <v>74</v>
      </c>
      <c r="C39" s="27">
        <f>IF(Table24[[#This Row],[Journal Description (Service Description)]]="","",1)</f>
        <v>1</v>
      </c>
      <c r="D39" s="28">
        <f>IF(Table24[[#This Row],[Journal Description (Service Description)]]="","",VLOOKUP(Table24[[#This Row],[Journal Description (Service Description)]],'[1]Lookup Values'!$A:$B,2,FALSE))</f>
        <v>166.1</v>
      </c>
      <c r="E39" s="27" t="s">
        <v>56</v>
      </c>
      <c r="F39" s="27" t="s">
        <v>91</v>
      </c>
      <c r="G39" s="27" t="s">
        <v>105</v>
      </c>
    </row>
    <row r="40" spans="1:7" hidden="1" x14ac:dyDescent="0.35">
      <c r="A40" t="s">
        <v>73</v>
      </c>
      <c r="B40" t="s">
        <v>164</v>
      </c>
      <c r="C40" s="27">
        <f>IF(Table24[[#This Row],[Journal Description (Service Description)]]="","",1)</f>
        <v>1</v>
      </c>
      <c r="D40" s="28">
        <f>IF(Table24[[#This Row],[Journal Description (Service Description)]]="","",VLOOKUP(Table24[[#This Row],[Journal Description (Service Description)]],'[1]Lookup Values'!$A:$B,2,FALSE))</f>
        <v>132</v>
      </c>
      <c r="E40" s="27" t="s">
        <v>56</v>
      </c>
      <c r="F40" s="27" t="s">
        <v>90</v>
      </c>
      <c r="G40" s="27" t="s">
        <v>106</v>
      </c>
    </row>
    <row r="41" spans="1:7" hidden="1" x14ac:dyDescent="0.35">
      <c r="A41" t="s">
        <v>73</v>
      </c>
      <c r="B41" t="s">
        <v>164</v>
      </c>
      <c r="C41" s="27">
        <f>IF(Table24[[#This Row],[Journal Description (Service Description)]]="","",1)</f>
        <v>1</v>
      </c>
      <c r="D41" s="28">
        <f>IF(Table24[[#This Row],[Journal Description (Service Description)]]="","",VLOOKUP(Table24[[#This Row],[Journal Description (Service Description)]],'[1]Lookup Values'!$A:$B,2,FALSE))</f>
        <v>166.1</v>
      </c>
      <c r="E41" s="27" t="s">
        <v>56</v>
      </c>
      <c r="F41" s="27" t="s">
        <v>91</v>
      </c>
      <c r="G41" s="27" t="s">
        <v>106</v>
      </c>
    </row>
    <row r="42" spans="1:7" hidden="1" x14ac:dyDescent="0.35">
      <c r="A42" t="s">
        <v>73</v>
      </c>
      <c r="B42" s="27" t="s">
        <v>161</v>
      </c>
      <c r="C42" s="27">
        <f>IF(Table24[[#This Row],[Journal Description (Service Description)]]="","",1)</f>
        <v>1</v>
      </c>
      <c r="D42" s="28">
        <f>IF(Table24[[#This Row],[Journal Description (Service Description)]]="","",VLOOKUP(Table24[[#This Row],[Journal Description (Service Description)]],'[1]Lookup Values'!$A:$B,2,FALSE))</f>
        <v>132</v>
      </c>
      <c r="E42" s="27" t="s">
        <v>56</v>
      </c>
      <c r="F42" s="27" t="s">
        <v>90</v>
      </c>
      <c r="G42" s="27" t="s">
        <v>107</v>
      </c>
    </row>
    <row r="43" spans="1:7" hidden="1" x14ac:dyDescent="0.35">
      <c r="A43" t="s">
        <v>73</v>
      </c>
      <c r="B43" s="27" t="s">
        <v>161</v>
      </c>
      <c r="C43" s="27">
        <f>IF(Table24[[#This Row],[Journal Description (Service Description)]]="","",1)</f>
        <v>1</v>
      </c>
      <c r="D43" s="28">
        <f>IF(Table24[[#This Row],[Journal Description (Service Description)]]="","",VLOOKUP(Table24[[#This Row],[Journal Description (Service Description)]],'[1]Lookup Values'!$A:$B,2,FALSE))</f>
        <v>132</v>
      </c>
      <c r="E43" s="27" t="s">
        <v>56</v>
      </c>
      <c r="F43" s="27" t="s">
        <v>90</v>
      </c>
      <c r="G43" s="27" t="s">
        <v>107</v>
      </c>
    </row>
    <row r="44" spans="1:7" hidden="1" x14ac:dyDescent="0.35">
      <c r="A44" t="s">
        <v>73</v>
      </c>
      <c r="B44" s="27" t="s">
        <v>161</v>
      </c>
      <c r="C44" s="27">
        <f>IF(Table24[[#This Row],[Journal Description (Service Description)]]="","",1)</f>
        <v>1</v>
      </c>
      <c r="D44" s="28">
        <f>IF(Table24[[#This Row],[Journal Description (Service Description)]]="","",VLOOKUP(Table24[[#This Row],[Journal Description (Service Description)]],'[1]Lookup Values'!$A:$B,2,FALSE))</f>
        <v>166.1</v>
      </c>
      <c r="E44" s="27" t="s">
        <v>56</v>
      </c>
      <c r="F44" s="27" t="s">
        <v>91</v>
      </c>
      <c r="G44" s="27" t="s">
        <v>107</v>
      </c>
    </row>
    <row r="45" spans="1:7" hidden="1" x14ac:dyDescent="0.35">
      <c r="A45" t="s">
        <v>73</v>
      </c>
      <c r="B45" t="s">
        <v>74</v>
      </c>
      <c r="C45" s="27">
        <f>IF(Table24[[#This Row],[Journal Description (Service Description)]]="","",1)</f>
        <v>1</v>
      </c>
      <c r="D45" s="28">
        <f>IF(Table24[[#This Row],[Journal Description (Service Description)]]="","",VLOOKUP(Table24[[#This Row],[Journal Description (Service Description)]],'[1]Lookup Values'!$A:$B,2,FALSE))</f>
        <v>132</v>
      </c>
      <c r="E45" s="27" t="s">
        <v>56</v>
      </c>
      <c r="F45" s="27" t="s">
        <v>90</v>
      </c>
      <c r="G45" s="27" t="s">
        <v>108</v>
      </c>
    </row>
    <row r="46" spans="1:7" hidden="1" x14ac:dyDescent="0.35">
      <c r="A46" t="s">
        <v>73</v>
      </c>
      <c r="B46" t="s">
        <v>74</v>
      </c>
      <c r="C46" s="27">
        <f>IF(Table24[[#This Row],[Journal Description (Service Description)]]="","",1)</f>
        <v>1</v>
      </c>
      <c r="D46" s="28">
        <f>IF(Table24[[#This Row],[Journal Description (Service Description)]]="","",VLOOKUP(Table24[[#This Row],[Journal Description (Service Description)]],'[1]Lookup Values'!$A:$B,2,FALSE))</f>
        <v>166.1</v>
      </c>
      <c r="E46" s="27" t="s">
        <v>56</v>
      </c>
      <c r="F46" s="27" t="s">
        <v>91</v>
      </c>
      <c r="G46" s="27" t="s">
        <v>108</v>
      </c>
    </row>
    <row r="47" spans="1:7" hidden="1" x14ac:dyDescent="0.35">
      <c r="A47" t="s">
        <v>73</v>
      </c>
      <c r="B47" t="s">
        <v>74</v>
      </c>
      <c r="C47" s="27">
        <f>IF(Table24[[#This Row],[Journal Description (Service Description)]]="","",1)</f>
        <v>1</v>
      </c>
      <c r="D47" s="28">
        <f>IF(Table24[[#This Row],[Journal Description (Service Description)]]="","",VLOOKUP(Table24[[#This Row],[Journal Description (Service Description)]],'[1]Lookup Values'!$A:$B,2,FALSE))</f>
        <v>132</v>
      </c>
      <c r="E47" s="27" t="s">
        <v>56</v>
      </c>
      <c r="F47" s="27" t="s">
        <v>90</v>
      </c>
      <c r="G47" s="27" t="s">
        <v>109</v>
      </c>
    </row>
    <row r="48" spans="1:7" hidden="1" x14ac:dyDescent="0.35">
      <c r="A48" t="s">
        <v>73</v>
      </c>
      <c r="B48" t="s">
        <v>74</v>
      </c>
      <c r="C48" s="27">
        <f>IF(Table24[[#This Row],[Journal Description (Service Description)]]="","",1)</f>
        <v>1</v>
      </c>
      <c r="D48" s="28">
        <f>IF(Table24[[#This Row],[Journal Description (Service Description)]]="","",VLOOKUP(Table24[[#This Row],[Journal Description (Service Description)]],'[1]Lookup Values'!$A:$B,2,FALSE))</f>
        <v>166.1</v>
      </c>
      <c r="E48" s="27" t="s">
        <v>56</v>
      </c>
      <c r="F48" s="27" t="s">
        <v>91</v>
      </c>
      <c r="G48" s="27" t="s">
        <v>109</v>
      </c>
    </row>
    <row r="49" spans="1:7" hidden="1" x14ac:dyDescent="0.35">
      <c r="A49" t="s">
        <v>73</v>
      </c>
      <c r="B49" t="s">
        <v>74</v>
      </c>
      <c r="C49" s="27">
        <f>IF(Table24[[#This Row],[Journal Description (Service Description)]]="","",1)</f>
        <v>1</v>
      </c>
      <c r="D49" s="28">
        <f>IF(Table24[[#This Row],[Journal Description (Service Description)]]="","",VLOOKUP(Table24[[#This Row],[Journal Description (Service Description)]],'[1]Lookup Values'!$A:$B,2,FALSE))</f>
        <v>132</v>
      </c>
      <c r="E49" s="27" t="s">
        <v>56</v>
      </c>
      <c r="F49" s="27" t="s">
        <v>90</v>
      </c>
      <c r="G49" s="27" t="s">
        <v>110</v>
      </c>
    </row>
    <row r="50" spans="1:7" hidden="1" x14ac:dyDescent="0.35">
      <c r="A50" t="s">
        <v>73</v>
      </c>
      <c r="B50" t="s">
        <v>74</v>
      </c>
      <c r="C50" s="27">
        <f>IF(Table24[[#This Row],[Journal Description (Service Description)]]="","",1)</f>
        <v>1</v>
      </c>
      <c r="D50" s="28">
        <f>IF(Table24[[#This Row],[Journal Description (Service Description)]]="","",VLOOKUP(Table24[[#This Row],[Journal Description (Service Description)]],'[1]Lookup Values'!$A:$B,2,FALSE))</f>
        <v>166.1</v>
      </c>
      <c r="E50" s="27" t="s">
        <v>56</v>
      </c>
      <c r="F50" s="27" t="s">
        <v>91</v>
      </c>
      <c r="G50" s="27" t="s">
        <v>110</v>
      </c>
    </row>
    <row r="51" spans="1:7" hidden="1" x14ac:dyDescent="0.35">
      <c r="A51" t="s">
        <v>73</v>
      </c>
      <c r="B51" s="27" t="s">
        <v>161</v>
      </c>
      <c r="C51" s="27">
        <f>IF(Table24[[#This Row],[Journal Description (Service Description)]]="","",1)</f>
        <v>1</v>
      </c>
      <c r="D51" s="28">
        <f>IF(Table24[[#This Row],[Journal Description (Service Description)]]="","",VLOOKUP(Table24[[#This Row],[Journal Description (Service Description)]],'[1]Lookup Values'!$A:$B,2,FALSE))</f>
        <v>132</v>
      </c>
      <c r="E51" s="27" t="s">
        <v>56</v>
      </c>
      <c r="F51" s="27" t="s">
        <v>90</v>
      </c>
      <c r="G51" s="27" t="s">
        <v>111</v>
      </c>
    </row>
    <row r="52" spans="1:7" hidden="1" x14ac:dyDescent="0.35">
      <c r="A52" t="s">
        <v>73</v>
      </c>
      <c r="B52" s="27" t="s">
        <v>161</v>
      </c>
      <c r="C52" s="27">
        <f>IF(Table24[[#This Row],[Journal Description (Service Description)]]="","",1)</f>
        <v>1</v>
      </c>
      <c r="D52" s="28">
        <f>IF(Table24[[#This Row],[Journal Description (Service Description)]]="","",VLOOKUP(Table24[[#This Row],[Journal Description (Service Description)]],'[1]Lookup Values'!$A:$B,2,FALSE))</f>
        <v>166.1</v>
      </c>
      <c r="E52" s="27" t="s">
        <v>56</v>
      </c>
      <c r="F52" s="27" t="s">
        <v>91</v>
      </c>
      <c r="G52" s="27" t="s">
        <v>111</v>
      </c>
    </row>
    <row r="53" spans="1:7" hidden="1" x14ac:dyDescent="0.35">
      <c r="A53" t="s">
        <v>73</v>
      </c>
      <c r="B53" t="s">
        <v>74</v>
      </c>
      <c r="C53" s="27">
        <f>IF(Table24[[#This Row],[Journal Description (Service Description)]]="","",1)</f>
        <v>1</v>
      </c>
      <c r="D53" s="28">
        <f>IF(Table24[[#This Row],[Journal Description (Service Description)]]="","",VLOOKUP(Table24[[#This Row],[Journal Description (Service Description)]],'[1]Lookup Values'!$A:$B,2,FALSE))</f>
        <v>132</v>
      </c>
      <c r="E53" s="27" t="s">
        <v>56</v>
      </c>
      <c r="F53" s="27" t="s">
        <v>90</v>
      </c>
      <c r="G53" s="27" t="s">
        <v>112</v>
      </c>
    </row>
    <row r="54" spans="1:7" hidden="1" x14ac:dyDescent="0.35">
      <c r="A54" t="s">
        <v>73</v>
      </c>
      <c r="B54" t="s">
        <v>74</v>
      </c>
      <c r="C54" s="27">
        <f>IF(Table24[[#This Row],[Journal Description (Service Description)]]="","",1)</f>
        <v>1</v>
      </c>
      <c r="D54" s="28">
        <f>IF(Table24[[#This Row],[Journal Description (Service Description)]]="","",VLOOKUP(Table24[[#This Row],[Journal Description (Service Description)]],'[1]Lookup Values'!$A:$B,2,FALSE))</f>
        <v>166.1</v>
      </c>
      <c r="E54" s="27" t="s">
        <v>56</v>
      </c>
      <c r="F54" s="27" t="s">
        <v>91</v>
      </c>
      <c r="G54" s="27" t="s">
        <v>112</v>
      </c>
    </row>
    <row r="55" spans="1:7" hidden="1" x14ac:dyDescent="0.35">
      <c r="A55" s="27" t="s">
        <v>73</v>
      </c>
      <c r="B55" s="27" t="s">
        <v>162</v>
      </c>
      <c r="C55" s="27">
        <f>IF(Table24[[#This Row],[Journal Description (Service Description)]]="","",1)</f>
        <v>1</v>
      </c>
      <c r="D55" s="28">
        <f>IF(Table24[[#This Row],[Journal Description (Service Description)]]="","",VLOOKUP(Table24[[#This Row],[Journal Description (Service Description)]],'[1]Lookup Values'!$A:$B,2,FALSE))</f>
        <v>132</v>
      </c>
      <c r="E55" s="27" t="s">
        <v>56</v>
      </c>
      <c r="F55" s="27" t="s">
        <v>90</v>
      </c>
      <c r="G55" s="27" t="s">
        <v>113</v>
      </c>
    </row>
    <row r="56" spans="1:7" hidden="1" x14ac:dyDescent="0.35">
      <c r="A56" s="27" t="s">
        <v>73</v>
      </c>
      <c r="B56" s="27" t="s">
        <v>162</v>
      </c>
      <c r="C56" s="27">
        <f>IF(Table24[[#This Row],[Journal Description (Service Description)]]="","",1)</f>
        <v>1</v>
      </c>
      <c r="D56" s="28">
        <f>IF(Table24[[#This Row],[Journal Description (Service Description)]]="","",VLOOKUP(Table24[[#This Row],[Journal Description (Service Description)]],'[1]Lookup Values'!$A:$B,2,FALSE))</f>
        <v>166.1</v>
      </c>
      <c r="E56" s="27" t="s">
        <v>56</v>
      </c>
      <c r="F56" s="27" t="s">
        <v>91</v>
      </c>
      <c r="G56" s="27" t="s">
        <v>113</v>
      </c>
    </row>
    <row r="57" spans="1:7" hidden="1" x14ac:dyDescent="0.35">
      <c r="A57" t="s">
        <v>73</v>
      </c>
      <c r="B57" t="s">
        <v>164</v>
      </c>
      <c r="C57" s="27">
        <f>IF(Table24[[#This Row],[Journal Description (Service Description)]]="","",1)</f>
        <v>1</v>
      </c>
      <c r="D57" s="28">
        <f>IF(Table24[[#This Row],[Journal Description (Service Description)]]="","",VLOOKUP(Table24[[#This Row],[Journal Description (Service Description)]],'[1]Lookup Values'!$A:$B,2,FALSE))</f>
        <v>132</v>
      </c>
      <c r="E57" s="27" t="s">
        <v>56</v>
      </c>
      <c r="F57" s="27" t="s">
        <v>90</v>
      </c>
      <c r="G57" s="27" t="s">
        <v>114</v>
      </c>
    </row>
    <row r="58" spans="1:7" hidden="1" x14ac:dyDescent="0.35">
      <c r="A58" t="s">
        <v>73</v>
      </c>
      <c r="B58" t="s">
        <v>164</v>
      </c>
      <c r="C58" s="27">
        <f>IF(Table24[[#This Row],[Journal Description (Service Description)]]="","",1)</f>
        <v>1</v>
      </c>
      <c r="D58" s="28">
        <f>IF(Table24[[#This Row],[Journal Description (Service Description)]]="","",VLOOKUP(Table24[[#This Row],[Journal Description (Service Description)]],'[1]Lookup Values'!$A:$B,2,FALSE))</f>
        <v>166.1</v>
      </c>
      <c r="E58" s="27" t="s">
        <v>56</v>
      </c>
      <c r="F58" s="27" t="s">
        <v>91</v>
      </c>
      <c r="G58" s="27" t="s">
        <v>114</v>
      </c>
    </row>
    <row r="59" spans="1:7" hidden="1" x14ac:dyDescent="0.35">
      <c r="A59" t="s">
        <v>73</v>
      </c>
      <c r="B59" s="27" t="s">
        <v>162</v>
      </c>
      <c r="C59" s="27">
        <f>IF(Table24[[#This Row],[Journal Description (Service Description)]]="","",1)</f>
        <v>1</v>
      </c>
      <c r="D59" s="28">
        <f>IF(Table24[[#This Row],[Journal Description (Service Description)]]="","",VLOOKUP(Table24[[#This Row],[Journal Description (Service Description)]],'[1]Lookup Values'!$A:$B,2,FALSE))</f>
        <v>132</v>
      </c>
      <c r="E59" s="27" t="s">
        <v>56</v>
      </c>
      <c r="F59" s="27" t="s">
        <v>90</v>
      </c>
      <c r="G59" s="27" t="s">
        <v>115</v>
      </c>
    </row>
    <row r="60" spans="1:7" hidden="1" x14ac:dyDescent="0.35">
      <c r="A60" t="s">
        <v>73</v>
      </c>
      <c r="B60" s="27" t="s">
        <v>162</v>
      </c>
      <c r="C60" s="27">
        <f>IF(Table24[[#This Row],[Journal Description (Service Description)]]="","",1)</f>
        <v>1</v>
      </c>
      <c r="D60" s="28">
        <f>IF(Table24[[#This Row],[Journal Description (Service Description)]]="","",VLOOKUP(Table24[[#This Row],[Journal Description (Service Description)]],'[1]Lookup Values'!$A:$B,2,FALSE))</f>
        <v>166.1</v>
      </c>
      <c r="E60" s="27" t="s">
        <v>56</v>
      </c>
      <c r="F60" s="27" t="s">
        <v>91</v>
      </c>
      <c r="G60" s="27" t="s">
        <v>115</v>
      </c>
    </row>
    <row r="61" spans="1:7" hidden="1" x14ac:dyDescent="0.35">
      <c r="A61" t="s">
        <v>73</v>
      </c>
      <c r="B61" s="27" t="s">
        <v>161</v>
      </c>
      <c r="C61" s="27">
        <f>IF(Table24[[#This Row],[Journal Description (Service Description)]]="","",1)</f>
        <v>1</v>
      </c>
      <c r="D61" s="28">
        <f>IF(Table24[[#This Row],[Journal Description (Service Description)]]="","",VLOOKUP(Table24[[#This Row],[Journal Description (Service Description)]],'[1]Lookup Values'!$A:$B,2,FALSE))</f>
        <v>132</v>
      </c>
      <c r="E61" s="27" t="s">
        <v>56</v>
      </c>
      <c r="F61" s="27" t="s">
        <v>90</v>
      </c>
      <c r="G61" s="27" t="s">
        <v>116</v>
      </c>
    </row>
    <row r="62" spans="1:7" hidden="1" x14ac:dyDescent="0.35">
      <c r="A62" t="s">
        <v>73</v>
      </c>
      <c r="B62" s="27" t="s">
        <v>161</v>
      </c>
      <c r="C62" s="27">
        <f>IF(Table24[[#This Row],[Journal Description (Service Description)]]="","",1)</f>
        <v>1</v>
      </c>
      <c r="D62" s="28">
        <f>IF(Table24[[#This Row],[Journal Description (Service Description)]]="","",VLOOKUP(Table24[[#This Row],[Journal Description (Service Description)]],'[1]Lookup Values'!$A:$B,2,FALSE))</f>
        <v>166.1</v>
      </c>
      <c r="E62" s="27" t="s">
        <v>56</v>
      </c>
      <c r="F62" s="27" t="s">
        <v>91</v>
      </c>
      <c r="G62" s="27" t="s">
        <v>116</v>
      </c>
    </row>
    <row r="63" spans="1:7" hidden="1" x14ac:dyDescent="0.35">
      <c r="A63" t="s">
        <v>73</v>
      </c>
      <c r="B63" t="s">
        <v>74</v>
      </c>
      <c r="C63" s="27">
        <f>IF(Table24[[#This Row],[Journal Description (Service Description)]]="","",1)</f>
        <v>1</v>
      </c>
      <c r="D63" s="28">
        <f>IF(Table24[[#This Row],[Journal Description (Service Description)]]="","",VLOOKUP(Table24[[#This Row],[Journal Description (Service Description)]],'[1]Lookup Values'!$A:$B,2,FALSE))</f>
        <v>132</v>
      </c>
      <c r="E63" s="27" t="s">
        <v>56</v>
      </c>
      <c r="F63" s="27" t="s">
        <v>90</v>
      </c>
      <c r="G63" s="27" t="s">
        <v>117</v>
      </c>
    </row>
    <row r="64" spans="1:7" hidden="1" x14ac:dyDescent="0.35">
      <c r="A64" t="s">
        <v>73</v>
      </c>
      <c r="B64" t="s">
        <v>74</v>
      </c>
      <c r="C64" s="27">
        <f>IF(Table24[[#This Row],[Journal Description (Service Description)]]="","",1)</f>
        <v>1</v>
      </c>
      <c r="D64" s="28">
        <f>IF(Table24[[#This Row],[Journal Description (Service Description)]]="","",VLOOKUP(Table24[[#This Row],[Journal Description (Service Description)]],'[1]Lookup Values'!$A:$B,2,FALSE))</f>
        <v>166.1</v>
      </c>
      <c r="E64" s="27" t="s">
        <v>56</v>
      </c>
      <c r="F64" s="27" t="s">
        <v>91</v>
      </c>
      <c r="G64" s="27" t="s">
        <v>117</v>
      </c>
    </row>
    <row r="65" spans="1:7" hidden="1" x14ac:dyDescent="0.35">
      <c r="A65" t="s">
        <v>73</v>
      </c>
      <c r="B65" s="27" t="s">
        <v>163</v>
      </c>
      <c r="C65" s="27">
        <f>IF(Table24[[#This Row],[Journal Description (Service Description)]]="","",1)</f>
        <v>1</v>
      </c>
      <c r="D65" s="28">
        <f>IF(Table24[[#This Row],[Journal Description (Service Description)]]="","",VLOOKUP(Table24[[#This Row],[Journal Description (Service Description)]],'[1]Lookup Values'!$A:$B,2,FALSE))</f>
        <v>132</v>
      </c>
      <c r="E65" s="27" t="s">
        <v>56</v>
      </c>
      <c r="F65" s="27" t="s">
        <v>90</v>
      </c>
      <c r="G65" s="27" t="s">
        <v>118</v>
      </c>
    </row>
    <row r="66" spans="1:7" hidden="1" x14ac:dyDescent="0.35">
      <c r="A66" t="s">
        <v>73</v>
      </c>
      <c r="B66" s="27" t="s">
        <v>163</v>
      </c>
      <c r="C66" s="27">
        <f>IF(Table24[[#This Row],[Journal Description (Service Description)]]="","",1)</f>
        <v>1</v>
      </c>
      <c r="D66" s="28">
        <f>IF(Table24[[#This Row],[Journal Description (Service Description)]]="","",VLOOKUP(Table24[[#This Row],[Journal Description (Service Description)]],'[1]Lookup Values'!$A:$B,2,FALSE))</f>
        <v>166.1</v>
      </c>
      <c r="E66" s="27" t="s">
        <v>56</v>
      </c>
      <c r="F66" s="27" t="s">
        <v>91</v>
      </c>
      <c r="G66" s="27" t="s">
        <v>118</v>
      </c>
    </row>
    <row r="67" spans="1:7" hidden="1" x14ac:dyDescent="0.35">
      <c r="A67" t="s">
        <v>73</v>
      </c>
      <c r="B67" s="27" t="s">
        <v>163</v>
      </c>
      <c r="C67" s="27">
        <f>IF(Table24[[#This Row],[Journal Description (Service Description)]]="","",1)</f>
        <v>1</v>
      </c>
      <c r="D67" s="28">
        <f>IF(Table24[[#This Row],[Journal Description (Service Description)]]="","",VLOOKUP(Table24[[#This Row],[Journal Description (Service Description)]],'[1]Lookup Values'!$A:$B,2,FALSE))</f>
        <v>132</v>
      </c>
      <c r="E67" s="27" t="s">
        <v>56</v>
      </c>
      <c r="F67" s="27" t="s">
        <v>90</v>
      </c>
      <c r="G67" s="27" t="s">
        <v>119</v>
      </c>
    </row>
    <row r="68" spans="1:7" hidden="1" x14ac:dyDescent="0.35">
      <c r="A68" t="s">
        <v>73</v>
      </c>
      <c r="B68" s="27" t="s">
        <v>163</v>
      </c>
      <c r="C68" s="27">
        <f>IF(Table24[[#This Row],[Journal Description (Service Description)]]="","",1)</f>
        <v>1</v>
      </c>
      <c r="D68" s="28">
        <f>IF(Table24[[#This Row],[Journal Description (Service Description)]]="","",VLOOKUP(Table24[[#This Row],[Journal Description (Service Description)]],'[1]Lookup Values'!$A:$B,2,FALSE))</f>
        <v>166.1</v>
      </c>
      <c r="E68" s="27" t="s">
        <v>56</v>
      </c>
      <c r="F68" s="27" t="s">
        <v>91</v>
      </c>
      <c r="G68" s="27" t="s">
        <v>119</v>
      </c>
    </row>
    <row r="69" spans="1:7" hidden="1" x14ac:dyDescent="0.35">
      <c r="A69" t="s">
        <v>73</v>
      </c>
      <c r="B69" t="s">
        <v>164</v>
      </c>
      <c r="C69" s="27">
        <f>IF(Table24[[#This Row],[Journal Description (Service Description)]]="","",1)</f>
        <v>1</v>
      </c>
      <c r="D69" s="28">
        <f>IF(Table24[[#This Row],[Journal Description (Service Description)]]="","",VLOOKUP(Table24[[#This Row],[Journal Description (Service Description)]],'[1]Lookup Values'!$A:$B,2,FALSE))</f>
        <v>132</v>
      </c>
      <c r="E69" s="27" t="s">
        <v>56</v>
      </c>
      <c r="F69" s="27" t="s">
        <v>90</v>
      </c>
      <c r="G69" s="27" t="s">
        <v>120</v>
      </c>
    </row>
    <row r="70" spans="1:7" hidden="1" x14ac:dyDescent="0.35">
      <c r="A70" t="s">
        <v>73</v>
      </c>
      <c r="B70" t="s">
        <v>164</v>
      </c>
      <c r="C70" s="27">
        <f>IF(Table24[[#This Row],[Journal Description (Service Description)]]="","",1)</f>
        <v>1</v>
      </c>
      <c r="D70" s="28">
        <f>IF(Table24[[#This Row],[Journal Description (Service Description)]]="","",VLOOKUP(Table24[[#This Row],[Journal Description (Service Description)]],'[1]Lookup Values'!$A:$B,2,FALSE))</f>
        <v>166.1</v>
      </c>
      <c r="E70" s="27" t="s">
        <v>56</v>
      </c>
      <c r="F70" s="27" t="s">
        <v>91</v>
      </c>
      <c r="G70" s="27" t="s">
        <v>120</v>
      </c>
    </row>
    <row r="71" spans="1:7" s="27" customFormat="1" hidden="1" x14ac:dyDescent="0.35">
      <c r="A71" t="s">
        <v>73</v>
      </c>
      <c r="B71" s="27" t="s">
        <v>161</v>
      </c>
      <c r="C71" s="27">
        <f>IF(Table24[[#This Row],[Journal Description (Service Description)]]="","",1)</f>
        <v>1</v>
      </c>
      <c r="D71" s="28">
        <f>IF(Table24[[#This Row],[Journal Description (Service Description)]]="","",VLOOKUP(Table24[[#This Row],[Journal Description (Service Description)]],'[1]Lookup Values'!$A:$B,2,FALSE))</f>
        <v>132</v>
      </c>
      <c r="E71" s="27" t="s">
        <v>56</v>
      </c>
      <c r="F71" s="27" t="s">
        <v>90</v>
      </c>
      <c r="G71" s="27" t="s">
        <v>121</v>
      </c>
    </row>
    <row r="72" spans="1:7" s="27" customFormat="1" hidden="1" x14ac:dyDescent="0.35">
      <c r="A72" t="s">
        <v>73</v>
      </c>
      <c r="B72" s="27" t="s">
        <v>161</v>
      </c>
      <c r="C72" s="27">
        <f>IF(Table24[[#This Row],[Journal Description (Service Description)]]="","",1)</f>
        <v>1</v>
      </c>
      <c r="D72" s="28">
        <f>IF(Table24[[#This Row],[Journal Description (Service Description)]]="","",VLOOKUP(Table24[[#This Row],[Journal Description (Service Description)]],'[1]Lookup Values'!$A:$B,2,FALSE))</f>
        <v>166.1</v>
      </c>
      <c r="E72" s="27" t="s">
        <v>56</v>
      </c>
      <c r="F72" s="27" t="s">
        <v>91</v>
      </c>
      <c r="G72" s="27" t="s">
        <v>121</v>
      </c>
    </row>
    <row r="73" spans="1:7" hidden="1" x14ac:dyDescent="0.35">
      <c r="A73" t="s">
        <v>73</v>
      </c>
      <c r="B73" s="27" t="s">
        <v>163</v>
      </c>
      <c r="C73" s="27">
        <f>IF(Table24[[#This Row],[Journal Description (Service Description)]]="","",1)</f>
        <v>1</v>
      </c>
      <c r="D73" s="28">
        <f>IF(Table24[[#This Row],[Journal Description (Service Description)]]="","",VLOOKUP(Table24[[#This Row],[Journal Description (Service Description)]],'[1]Lookup Values'!$A:$B,2,FALSE))</f>
        <v>132</v>
      </c>
      <c r="E73" s="27" t="s">
        <v>56</v>
      </c>
      <c r="F73" s="27" t="s">
        <v>90</v>
      </c>
      <c r="G73" s="27" t="s">
        <v>122</v>
      </c>
    </row>
    <row r="74" spans="1:7" hidden="1" x14ac:dyDescent="0.35">
      <c r="A74" t="s">
        <v>73</v>
      </c>
      <c r="B74" s="27" t="s">
        <v>163</v>
      </c>
      <c r="C74" s="27">
        <f>IF(Table24[[#This Row],[Journal Description (Service Description)]]="","",1)</f>
        <v>1</v>
      </c>
      <c r="D74" s="28">
        <f>IF(Table24[[#This Row],[Journal Description (Service Description)]]="","",VLOOKUP(Table24[[#This Row],[Journal Description (Service Description)]],'[1]Lookup Values'!$A:$B,2,FALSE))</f>
        <v>132</v>
      </c>
      <c r="E74" s="27" t="s">
        <v>56</v>
      </c>
      <c r="F74" s="27" t="s">
        <v>90</v>
      </c>
      <c r="G74" s="27" t="s">
        <v>123</v>
      </c>
    </row>
    <row r="75" spans="1:7" hidden="1" x14ac:dyDescent="0.35">
      <c r="A75" t="s">
        <v>73</v>
      </c>
      <c r="B75" s="27" t="s">
        <v>163</v>
      </c>
      <c r="C75" s="27">
        <f>IF(Table24[[#This Row],[Journal Description (Service Description)]]="","",1)</f>
        <v>1</v>
      </c>
      <c r="D75" s="28">
        <f>IF(Table24[[#This Row],[Journal Description (Service Description)]]="","",VLOOKUP(Table24[[#This Row],[Journal Description (Service Description)]],'[1]Lookup Values'!$A:$B,2,FALSE))</f>
        <v>132</v>
      </c>
      <c r="E75" s="27" t="s">
        <v>56</v>
      </c>
      <c r="F75" s="27" t="s">
        <v>90</v>
      </c>
      <c r="G75" s="27" t="s">
        <v>124</v>
      </c>
    </row>
    <row r="76" spans="1:7" hidden="1" x14ac:dyDescent="0.35">
      <c r="A76" t="s">
        <v>73</v>
      </c>
      <c r="B76" t="s">
        <v>164</v>
      </c>
      <c r="C76" s="27">
        <f>IF(Table24[[#This Row],[Journal Description (Service Description)]]="","",1)</f>
        <v>1</v>
      </c>
      <c r="D76" s="28">
        <f>IF(Table24[[#This Row],[Journal Description (Service Description)]]="","",VLOOKUP(Table24[[#This Row],[Journal Description (Service Description)]],'[1]Lookup Values'!$A:$B,2,FALSE))</f>
        <v>132</v>
      </c>
      <c r="E76" s="27" t="s">
        <v>56</v>
      </c>
      <c r="F76" s="27" t="s">
        <v>90</v>
      </c>
      <c r="G76" s="27" t="s">
        <v>125</v>
      </c>
    </row>
    <row r="77" spans="1:7" hidden="1" x14ac:dyDescent="0.35">
      <c r="A77" t="s">
        <v>73</v>
      </c>
      <c r="B77" t="s">
        <v>74</v>
      </c>
      <c r="C77" s="27">
        <f>IF(Table24[[#This Row],[Journal Description (Service Description)]]="","",1)</f>
        <v>1</v>
      </c>
      <c r="D77" s="28">
        <f>IF(Table24[[#This Row],[Journal Description (Service Description)]]="","",VLOOKUP(Table24[[#This Row],[Journal Description (Service Description)]],'[1]Lookup Values'!$A:$B,2,FALSE))</f>
        <v>132</v>
      </c>
      <c r="E77" s="27" t="s">
        <v>56</v>
      </c>
      <c r="F77" s="27" t="s">
        <v>90</v>
      </c>
      <c r="G77" s="27" t="s">
        <v>126</v>
      </c>
    </row>
    <row r="78" spans="1:7" hidden="1" x14ac:dyDescent="0.35">
      <c r="A78" t="s">
        <v>73</v>
      </c>
      <c r="B78" s="27" t="s">
        <v>163</v>
      </c>
      <c r="C78" s="27">
        <f>IF(Table24[[#This Row],[Journal Description (Service Description)]]="","",1)</f>
        <v>1</v>
      </c>
      <c r="D78" s="28">
        <f>IF(Table24[[#This Row],[Journal Description (Service Description)]]="","",VLOOKUP(Table24[[#This Row],[Journal Description (Service Description)]],'[1]Lookup Values'!$A:$B,2,FALSE))</f>
        <v>132</v>
      </c>
      <c r="E78" s="27" t="s">
        <v>56</v>
      </c>
      <c r="F78" s="27" t="s">
        <v>90</v>
      </c>
      <c r="G78" s="27" t="s">
        <v>127</v>
      </c>
    </row>
    <row r="79" spans="1:7" hidden="1" x14ac:dyDescent="0.35">
      <c r="A79" t="s">
        <v>73</v>
      </c>
      <c r="B79" t="s">
        <v>164</v>
      </c>
      <c r="C79" s="27">
        <f>IF(Table24[[#This Row],[Journal Description (Service Description)]]="","",1)</f>
        <v>1</v>
      </c>
      <c r="D79" s="28">
        <f>IF(Table24[[#This Row],[Journal Description (Service Description)]]="","",VLOOKUP(Table24[[#This Row],[Journal Description (Service Description)]],'[1]Lookup Values'!$A:$B,2,FALSE))</f>
        <v>132</v>
      </c>
      <c r="E79" s="27" t="s">
        <v>56</v>
      </c>
      <c r="F79" s="27" t="s">
        <v>90</v>
      </c>
      <c r="G79" s="27" t="s">
        <v>128</v>
      </c>
    </row>
    <row r="80" spans="1:7" hidden="1" x14ac:dyDescent="0.35">
      <c r="A80" s="27" t="s">
        <v>73</v>
      </c>
      <c r="B80" s="27" t="s">
        <v>164</v>
      </c>
      <c r="C80" s="27">
        <f>IF(Table24[[#This Row],[Journal Description (Service Description)]]="","",1)</f>
        <v>1</v>
      </c>
      <c r="D80" s="28">
        <f>IF(Table24[[#This Row],[Journal Description (Service Description)]]="","",VLOOKUP(Table24[[#This Row],[Journal Description (Service Description)]],'[1]Lookup Values'!$A:$B,2,FALSE))</f>
        <v>132</v>
      </c>
      <c r="E80" s="27" t="s">
        <v>56</v>
      </c>
      <c r="F80" s="27" t="s">
        <v>90</v>
      </c>
      <c r="G80" s="27" t="s">
        <v>129</v>
      </c>
    </row>
    <row r="81" spans="1:7" hidden="1" x14ac:dyDescent="0.35">
      <c r="A81" s="27" t="s">
        <v>6</v>
      </c>
      <c r="B81" s="27" t="s">
        <v>144</v>
      </c>
      <c r="C81" s="27">
        <f>IF(Table24[[#This Row],[Journal Description (Service Description)]]="","",1)</f>
        <v>1</v>
      </c>
      <c r="D81" s="28">
        <f>IF(Table24[[#This Row],[Journal Description (Service Description)]]="","",VLOOKUP(Table24[[#This Row],[Journal Description (Service Description)]],'[1]Lookup Values'!$A:$B,2,FALSE))</f>
        <v>132</v>
      </c>
      <c r="E81" s="27" t="s">
        <v>50</v>
      </c>
      <c r="F81" s="27" t="s">
        <v>90</v>
      </c>
      <c r="G81" s="27" t="s">
        <v>130</v>
      </c>
    </row>
    <row r="82" spans="1:7" hidden="1" x14ac:dyDescent="0.35">
      <c r="A82" s="27" t="s">
        <v>6</v>
      </c>
      <c r="B82" s="27" t="s">
        <v>143</v>
      </c>
      <c r="C82" s="27">
        <f>IF(Table24[[#This Row],[Journal Description (Service Description)]]="","",1)</f>
        <v>1</v>
      </c>
      <c r="D82" s="28">
        <f>IF(Table24[[#This Row],[Journal Description (Service Description)]]="","",VLOOKUP(Table24[[#This Row],[Journal Description (Service Description)]],'[1]Lookup Values'!$A:$B,2,FALSE))</f>
        <v>132</v>
      </c>
      <c r="E82" s="27" t="s">
        <v>50</v>
      </c>
      <c r="F82" s="27" t="s">
        <v>90</v>
      </c>
      <c r="G82" s="27" t="s">
        <v>131</v>
      </c>
    </row>
    <row r="83" spans="1:7" hidden="1" x14ac:dyDescent="0.35">
      <c r="A83" s="27" t="s">
        <v>6</v>
      </c>
      <c r="B83" s="27" t="s">
        <v>143</v>
      </c>
      <c r="C83" s="27">
        <f>IF(Table24[[#This Row],[Journal Description (Service Description)]]="","",1)</f>
        <v>1</v>
      </c>
      <c r="D83" s="28">
        <f>IF(Table24[[#This Row],[Journal Description (Service Description)]]="","",VLOOKUP(Table24[[#This Row],[Journal Description (Service Description)]],'[1]Lookup Values'!$A:$B,2,FALSE))</f>
        <v>166.1</v>
      </c>
      <c r="E83" s="27" t="s">
        <v>50</v>
      </c>
      <c r="F83" s="27" t="s">
        <v>91</v>
      </c>
      <c r="G83" s="27" t="s">
        <v>131</v>
      </c>
    </row>
    <row r="84" spans="1:7" hidden="1" x14ac:dyDescent="0.35">
      <c r="A84" s="27" t="s">
        <v>6</v>
      </c>
      <c r="B84" s="27" t="s">
        <v>145</v>
      </c>
      <c r="C84" s="27">
        <f>IF(Table24[[#This Row],[Journal Description (Service Description)]]="","",1)</f>
        <v>1</v>
      </c>
      <c r="D84" s="28">
        <f>IF(Table24[[#This Row],[Journal Description (Service Description)]]="","",VLOOKUP(Table24[[#This Row],[Journal Description (Service Description)]],'[1]Lookup Values'!$A:$B,2,FALSE))</f>
        <v>132</v>
      </c>
      <c r="E84" s="27" t="s">
        <v>50</v>
      </c>
      <c r="F84" s="27" t="s">
        <v>90</v>
      </c>
      <c r="G84" s="27" t="s">
        <v>132</v>
      </c>
    </row>
    <row r="85" spans="1:7" hidden="1" x14ac:dyDescent="0.35">
      <c r="A85" s="27" t="s">
        <v>6</v>
      </c>
      <c r="B85" s="27" t="s">
        <v>145</v>
      </c>
      <c r="C85" s="27">
        <f>IF(Table24[[#This Row],[Journal Description (Service Description)]]="","",1)</f>
        <v>1</v>
      </c>
      <c r="D85" s="28">
        <f>IF(Table24[[#This Row],[Journal Description (Service Description)]]="","",VLOOKUP(Table24[[#This Row],[Journal Description (Service Description)]],'[1]Lookup Values'!$A:$B,2,FALSE))</f>
        <v>166.1</v>
      </c>
      <c r="E85" s="27" t="s">
        <v>50</v>
      </c>
      <c r="F85" s="27" t="s">
        <v>91</v>
      </c>
      <c r="G85" s="27" t="s">
        <v>132</v>
      </c>
    </row>
    <row r="86" spans="1:7" hidden="1" x14ac:dyDescent="0.35">
      <c r="A86" s="27" t="s">
        <v>6</v>
      </c>
      <c r="B86" s="27" t="s">
        <v>153</v>
      </c>
      <c r="C86" s="27">
        <v>1</v>
      </c>
      <c r="D86" s="28">
        <v>70</v>
      </c>
      <c r="E86" s="27" t="s">
        <v>50</v>
      </c>
      <c r="F86" s="27" t="s">
        <v>33</v>
      </c>
      <c r="G86" s="29" t="s">
        <v>146</v>
      </c>
    </row>
    <row r="87" spans="1:7" hidden="1" x14ac:dyDescent="0.35">
      <c r="A87" s="27" t="s">
        <v>6</v>
      </c>
      <c r="B87" s="27" t="s">
        <v>145</v>
      </c>
      <c r="C87" s="27">
        <v>1</v>
      </c>
      <c r="D87" s="28">
        <v>70</v>
      </c>
      <c r="E87" s="27" t="s">
        <v>50</v>
      </c>
      <c r="F87" s="27" t="s">
        <v>33</v>
      </c>
      <c r="G87" s="27" t="s">
        <v>147</v>
      </c>
    </row>
    <row r="88" spans="1:7" hidden="1" x14ac:dyDescent="0.35">
      <c r="A88" s="27" t="s">
        <v>6</v>
      </c>
      <c r="B88" s="27" t="s">
        <v>154</v>
      </c>
      <c r="C88" s="27">
        <v>1</v>
      </c>
      <c r="D88" s="28">
        <v>70</v>
      </c>
      <c r="E88" s="27" t="s">
        <v>50</v>
      </c>
      <c r="F88" s="27" t="s">
        <v>33</v>
      </c>
      <c r="G88" s="27" t="s">
        <v>148</v>
      </c>
    </row>
    <row r="89" spans="1:7" hidden="1" x14ac:dyDescent="0.35">
      <c r="A89" s="27" t="s">
        <v>6</v>
      </c>
      <c r="B89" s="27" t="s">
        <v>154</v>
      </c>
      <c r="C89" s="27">
        <v>1</v>
      </c>
      <c r="D89" s="28">
        <v>70</v>
      </c>
      <c r="E89" s="27" t="s">
        <v>50</v>
      </c>
      <c r="F89" s="27" t="s">
        <v>33</v>
      </c>
      <c r="G89" s="27" t="s">
        <v>149</v>
      </c>
    </row>
    <row r="90" spans="1:7" hidden="1" x14ac:dyDescent="0.35">
      <c r="A90" s="27" t="s">
        <v>6</v>
      </c>
      <c r="B90" s="27" t="s">
        <v>154</v>
      </c>
      <c r="C90" s="27">
        <v>1</v>
      </c>
      <c r="D90" s="28">
        <v>70</v>
      </c>
      <c r="E90" s="27" t="s">
        <v>50</v>
      </c>
      <c r="F90" s="27" t="s">
        <v>33</v>
      </c>
      <c r="G90" s="27" t="s">
        <v>150</v>
      </c>
    </row>
    <row r="91" spans="1:7" hidden="1" x14ac:dyDescent="0.35">
      <c r="A91" s="27" t="s">
        <v>6</v>
      </c>
      <c r="B91" s="27" t="s">
        <v>145</v>
      </c>
      <c r="C91" s="27">
        <v>1</v>
      </c>
      <c r="D91" s="28">
        <v>70</v>
      </c>
      <c r="E91" s="27" t="s">
        <v>50</v>
      </c>
      <c r="F91" s="27" t="s">
        <v>33</v>
      </c>
      <c r="G91" s="27" t="s">
        <v>151</v>
      </c>
    </row>
    <row r="92" spans="1:7" hidden="1" x14ac:dyDescent="0.35">
      <c r="A92" s="27" t="s">
        <v>6</v>
      </c>
      <c r="B92" s="27" t="s">
        <v>144</v>
      </c>
      <c r="C92" s="27">
        <v>1</v>
      </c>
      <c r="D92" s="28">
        <v>70</v>
      </c>
      <c r="E92" s="27" t="s">
        <v>50</v>
      </c>
      <c r="F92" s="27" t="s">
        <v>33</v>
      </c>
      <c r="G92" s="27" t="s">
        <v>152</v>
      </c>
    </row>
    <row r="93" spans="1:7" hidden="1" x14ac:dyDescent="0.35">
      <c r="A93" s="27" t="s">
        <v>73</v>
      </c>
      <c r="B93" s="27" t="s">
        <v>162</v>
      </c>
      <c r="C93" s="27">
        <f>IF(Table24[[#This Row],[Journal Description (Service Description)]]="","",1)</f>
        <v>1</v>
      </c>
      <c r="D93" s="28">
        <f>IF(Table24[[#This Row],[Journal Description (Service Description)]]="","",VLOOKUP(Table24[[#This Row],[Journal Description (Service Description)]],'[1]Lookup Values'!$A:$B,2,FALSE))</f>
        <v>70</v>
      </c>
      <c r="E93" s="27" t="s">
        <v>56</v>
      </c>
      <c r="F93" s="27" t="s">
        <v>33</v>
      </c>
      <c r="G93" s="27" t="s">
        <v>113</v>
      </c>
    </row>
    <row r="94" spans="1:7" hidden="1" x14ac:dyDescent="0.35">
      <c r="A94" t="s">
        <v>73</v>
      </c>
      <c r="B94" t="s">
        <v>74</v>
      </c>
      <c r="C94" s="27">
        <f>IF(Table24[[#This Row],[Journal Description (Service Description)]]="","",1)</f>
        <v>1</v>
      </c>
      <c r="D94" s="28">
        <f>IF(Table24[[#This Row],[Journal Description (Service Description)]]="","",VLOOKUP(Table24[[#This Row],[Journal Description (Service Description)]],'[1]Lookup Values'!$A:$B,2,FALSE))</f>
        <v>70</v>
      </c>
      <c r="E94" s="27" t="s">
        <v>56</v>
      </c>
      <c r="F94" s="27" t="s">
        <v>33</v>
      </c>
      <c r="G94" s="27" t="s">
        <v>112</v>
      </c>
    </row>
    <row r="95" spans="1:7" hidden="1" x14ac:dyDescent="0.35">
      <c r="A95" t="s">
        <v>73</v>
      </c>
      <c r="B95" t="s">
        <v>74</v>
      </c>
      <c r="C95" s="27">
        <f>IF(Table24[[#This Row],[Journal Description (Service Description)]]="","",1)</f>
        <v>1</v>
      </c>
      <c r="D95" s="28">
        <f>IF(Table24[[#This Row],[Journal Description (Service Description)]]="","",VLOOKUP(Table24[[#This Row],[Journal Description (Service Description)]],'[1]Lookup Values'!$A:$B,2,FALSE))</f>
        <v>70</v>
      </c>
      <c r="E95" s="27" t="s">
        <v>56</v>
      </c>
      <c r="F95" s="27" t="s">
        <v>33</v>
      </c>
      <c r="G95" s="27" t="s">
        <v>102</v>
      </c>
    </row>
    <row r="96" spans="1:7" hidden="1" x14ac:dyDescent="0.35">
      <c r="A96" t="s">
        <v>73</v>
      </c>
      <c r="B96" t="s">
        <v>164</v>
      </c>
      <c r="C96" s="27">
        <f>IF(Table24[[#This Row],[Journal Description (Service Description)]]="","",1)</f>
        <v>1</v>
      </c>
      <c r="D96" s="28">
        <f>IF(Table24[[#This Row],[Journal Description (Service Description)]]="","",VLOOKUP(Table24[[#This Row],[Journal Description (Service Description)]],'[1]Lookup Values'!$A:$B,2,FALSE))</f>
        <v>70</v>
      </c>
      <c r="E96" s="27" t="s">
        <v>56</v>
      </c>
      <c r="F96" s="27" t="s">
        <v>33</v>
      </c>
      <c r="G96" s="27" t="s">
        <v>120</v>
      </c>
    </row>
    <row r="97" spans="1:7" hidden="1" x14ac:dyDescent="0.35">
      <c r="A97" t="s">
        <v>73</v>
      </c>
      <c r="B97" t="s">
        <v>74</v>
      </c>
      <c r="C97" s="27">
        <f>IF(Table24[[#This Row],[Journal Description (Service Description)]]="","",1)</f>
        <v>1</v>
      </c>
      <c r="D97" s="28">
        <f>IF(Table24[[#This Row],[Journal Description (Service Description)]]="","",VLOOKUP(Table24[[#This Row],[Journal Description (Service Description)]],'[1]Lookup Values'!$A:$B,2,FALSE))</f>
        <v>70</v>
      </c>
      <c r="E97" s="27" t="s">
        <v>56</v>
      </c>
      <c r="F97" s="27" t="s">
        <v>33</v>
      </c>
      <c r="G97" s="27" t="s">
        <v>108</v>
      </c>
    </row>
    <row r="98" spans="1:7" hidden="1" x14ac:dyDescent="0.35">
      <c r="A98" t="s">
        <v>73</v>
      </c>
      <c r="B98" t="s">
        <v>74</v>
      </c>
      <c r="C98" s="27">
        <f>IF(Table24[[#This Row],[Journal Description (Service Description)]]="","",1)</f>
        <v>1</v>
      </c>
      <c r="D98" s="28">
        <f>IF(Table24[[#This Row],[Journal Description (Service Description)]]="","",VLOOKUP(Table24[[#This Row],[Journal Description (Service Description)]],'[1]Lookup Values'!$A:$B,2,FALSE))</f>
        <v>70</v>
      </c>
      <c r="E98" s="27" t="s">
        <v>56</v>
      </c>
      <c r="F98" s="27" t="s">
        <v>33</v>
      </c>
      <c r="G98" s="27" t="s">
        <v>110</v>
      </c>
    </row>
    <row r="99" spans="1:7" hidden="1" x14ac:dyDescent="0.35">
      <c r="A99" t="s">
        <v>73</v>
      </c>
      <c r="B99" s="27" t="s">
        <v>161</v>
      </c>
      <c r="C99" s="27">
        <f>IF(Table24[[#This Row],[Journal Description (Service Description)]]="","",1)</f>
        <v>1</v>
      </c>
      <c r="D99" s="28">
        <f>IF(Table24[[#This Row],[Journal Description (Service Description)]]="","",VLOOKUP(Table24[[#This Row],[Journal Description (Service Description)]],'[1]Lookup Values'!$A:$B,2,FALSE))</f>
        <v>70</v>
      </c>
      <c r="E99" s="27" t="s">
        <v>56</v>
      </c>
      <c r="F99" s="27" t="s">
        <v>33</v>
      </c>
      <c r="G99" s="27" t="s">
        <v>121</v>
      </c>
    </row>
    <row r="100" spans="1:7" hidden="1" x14ac:dyDescent="0.35">
      <c r="A100" t="s">
        <v>73</v>
      </c>
      <c r="B100" s="27" t="s">
        <v>163</v>
      </c>
      <c r="C100" s="27">
        <f>IF(Table24[[#This Row],[Journal Description (Service Description)]]="","",1)</f>
        <v>1</v>
      </c>
      <c r="D100" s="28">
        <f>IF(Table24[[#This Row],[Journal Description (Service Description)]]="","",VLOOKUP(Table24[[#This Row],[Journal Description (Service Description)]],'[1]Lookup Values'!$A:$B,2,FALSE))</f>
        <v>70</v>
      </c>
      <c r="E100" s="27" t="s">
        <v>56</v>
      </c>
      <c r="F100" s="27" t="s">
        <v>33</v>
      </c>
      <c r="G100" s="27" t="s">
        <v>118</v>
      </c>
    </row>
    <row r="101" spans="1:7" hidden="1" x14ac:dyDescent="0.35">
      <c r="A101" t="s">
        <v>73</v>
      </c>
      <c r="B101" s="27" t="s">
        <v>163</v>
      </c>
      <c r="C101" s="27">
        <f>IF(Table24[[#This Row],[Journal Description (Service Description)]]="","",1)</f>
        <v>1</v>
      </c>
      <c r="D101" s="28">
        <f>IF(Table24[[#This Row],[Journal Description (Service Description)]]="","",VLOOKUP(Table24[[#This Row],[Journal Description (Service Description)]],'[1]Lookup Values'!$A:$B,2,FALSE))</f>
        <v>70</v>
      </c>
      <c r="E101" s="27" t="s">
        <v>56</v>
      </c>
      <c r="F101" s="27" t="s">
        <v>33</v>
      </c>
      <c r="G101" s="27" t="s">
        <v>122</v>
      </c>
    </row>
    <row r="102" spans="1:7" hidden="1" x14ac:dyDescent="0.35">
      <c r="A102" t="s">
        <v>73</v>
      </c>
      <c r="B102" t="s">
        <v>74</v>
      </c>
      <c r="C102" s="27">
        <f>IF(Table24[[#This Row],[Journal Description (Service Description)]]="","",1)</f>
        <v>1</v>
      </c>
      <c r="D102" s="28">
        <f>IF(Table24[[#This Row],[Journal Description (Service Description)]]="","",VLOOKUP(Table24[[#This Row],[Journal Description (Service Description)]],'[1]Lookup Values'!$A:$B,2,FALSE))</f>
        <v>70</v>
      </c>
      <c r="E102" s="27" t="s">
        <v>56</v>
      </c>
      <c r="F102" s="27" t="s">
        <v>33</v>
      </c>
      <c r="G102" s="27" t="s">
        <v>117</v>
      </c>
    </row>
    <row r="103" spans="1:7" hidden="1" x14ac:dyDescent="0.35">
      <c r="A103" t="s">
        <v>73</v>
      </c>
      <c r="B103" t="s">
        <v>74</v>
      </c>
      <c r="C103" s="27">
        <f>IF(Table24[[#This Row],[Journal Description (Service Description)]]="","",1)</f>
        <v>1</v>
      </c>
      <c r="D103" s="28">
        <f>IF(Table24[[#This Row],[Journal Description (Service Description)]]="","",VLOOKUP(Table24[[#This Row],[Journal Description (Service Description)]],'[1]Lookup Values'!$A:$B,2,FALSE))</f>
        <v>70</v>
      </c>
      <c r="E103" s="27" t="s">
        <v>56</v>
      </c>
      <c r="F103" s="27" t="s">
        <v>33</v>
      </c>
      <c r="G103" s="27" t="s">
        <v>109</v>
      </c>
    </row>
    <row r="104" spans="1:7" hidden="1" x14ac:dyDescent="0.35">
      <c r="A104" t="s">
        <v>73</v>
      </c>
      <c r="B104" s="27" t="s">
        <v>163</v>
      </c>
      <c r="C104" s="27">
        <f>IF(Table24[[#This Row],[Journal Description (Service Description)]]="","",1)</f>
        <v>1</v>
      </c>
      <c r="D104" s="28">
        <f>IF(Table24[[#This Row],[Journal Description (Service Description)]]="","",VLOOKUP(Table24[[#This Row],[Journal Description (Service Description)]],'[1]Lookup Values'!$A:$B,2,FALSE))</f>
        <v>70</v>
      </c>
      <c r="E104" s="27" t="s">
        <v>56</v>
      </c>
      <c r="F104" s="27" t="s">
        <v>33</v>
      </c>
      <c r="G104" s="27" t="s">
        <v>123</v>
      </c>
    </row>
    <row r="105" spans="1:7" hidden="1" x14ac:dyDescent="0.35">
      <c r="A105" t="s">
        <v>73</v>
      </c>
      <c r="B105" s="27" t="s">
        <v>161</v>
      </c>
      <c r="C105" s="27">
        <f>IF(Table24[[#This Row],[Journal Description (Service Description)]]="","",1)</f>
        <v>1</v>
      </c>
      <c r="D105" s="28">
        <f>IF(Table24[[#This Row],[Journal Description (Service Description)]]="","",VLOOKUP(Table24[[#This Row],[Journal Description (Service Description)]],'[1]Lookup Values'!$A:$B,2,FALSE))</f>
        <v>70</v>
      </c>
      <c r="E105" s="27" t="s">
        <v>56</v>
      </c>
      <c r="F105" s="27" t="s">
        <v>33</v>
      </c>
      <c r="G105" s="27" t="s">
        <v>111</v>
      </c>
    </row>
    <row r="106" spans="1:7" hidden="1" x14ac:dyDescent="0.35">
      <c r="A106" t="s">
        <v>73</v>
      </c>
      <c r="B106" s="27" t="s">
        <v>163</v>
      </c>
      <c r="C106" s="27">
        <f>IF(Table24[[#This Row],[Journal Description (Service Description)]]="","",1)</f>
        <v>1</v>
      </c>
      <c r="D106" s="28">
        <f>IF(Table24[[#This Row],[Journal Description (Service Description)]]="","",VLOOKUP(Table24[[#This Row],[Journal Description (Service Description)]],'[1]Lookup Values'!$A:$B,2,FALSE))</f>
        <v>70</v>
      </c>
      <c r="E106" s="27" t="s">
        <v>56</v>
      </c>
      <c r="F106" s="27" t="s">
        <v>33</v>
      </c>
      <c r="G106" s="27" t="s">
        <v>119</v>
      </c>
    </row>
    <row r="107" spans="1:7" hidden="1" x14ac:dyDescent="0.35">
      <c r="A107" t="s">
        <v>73</v>
      </c>
      <c r="B107" s="27" t="s">
        <v>161</v>
      </c>
      <c r="C107" s="27">
        <f>IF(Table24[[#This Row],[Journal Description (Service Description)]]="","",1)</f>
        <v>1</v>
      </c>
      <c r="D107" s="28">
        <f>IF(Table24[[#This Row],[Journal Description (Service Description)]]="","",VLOOKUP(Table24[[#This Row],[Journal Description (Service Description)]],'[1]Lookup Values'!$A:$B,2,FALSE))</f>
        <v>70</v>
      </c>
      <c r="E107" s="27" t="s">
        <v>56</v>
      </c>
      <c r="F107" s="27" t="s">
        <v>33</v>
      </c>
      <c r="G107" s="27" t="s">
        <v>107</v>
      </c>
    </row>
    <row r="108" spans="1:7" hidden="1" x14ac:dyDescent="0.35">
      <c r="A108" t="s">
        <v>73</v>
      </c>
      <c r="B108" s="27" t="s">
        <v>161</v>
      </c>
      <c r="C108" s="27">
        <f>IF(Table24[[#This Row],[Journal Description (Service Description)]]="","",1)</f>
        <v>1</v>
      </c>
      <c r="D108" s="28">
        <f>IF(Table24[[#This Row],[Journal Description (Service Description)]]="","",VLOOKUP(Table24[[#This Row],[Journal Description (Service Description)]],'[1]Lookup Values'!$A:$B,2,FALSE))</f>
        <v>70</v>
      </c>
      <c r="E108" s="27" t="s">
        <v>56</v>
      </c>
      <c r="F108" s="27" t="s">
        <v>33</v>
      </c>
      <c r="G108" s="27" t="s">
        <v>116</v>
      </c>
    </row>
    <row r="109" spans="1:7" hidden="1" x14ac:dyDescent="0.35">
      <c r="A109" t="s">
        <v>73</v>
      </c>
      <c r="B109" t="s">
        <v>164</v>
      </c>
      <c r="C109" s="27">
        <f>IF(Table24[[#This Row],[Journal Description (Service Description)]]="","",1)</f>
        <v>1</v>
      </c>
      <c r="D109" s="28">
        <f>IF(Table24[[#This Row],[Journal Description (Service Description)]]="","",VLOOKUP(Table24[[#This Row],[Journal Description (Service Description)]],'[1]Lookup Values'!$A:$B,2,FALSE))</f>
        <v>70</v>
      </c>
      <c r="E109" s="27" t="s">
        <v>56</v>
      </c>
      <c r="F109" s="27" t="s">
        <v>33</v>
      </c>
      <c r="G109" s="27" t="s">
        <v>114</v>
      </c>
    </row>
    <row r="110" spans="1:7" hidden="1" x14ac:dyDescent="0.35">
      <c r="A110" t="s">
        <v>73</v>
      </c>
      <c r="B110" s="27" t="s">
        <v>162</v>
      </c>
      <c r="C110" s="27">
        <f>IF(Table24[[#This Row],[Journal Description (Service Description)]]="","",1)</f>
        <v>1</v>
      </c>
      <c r="D110" s="28">
        <f>IF(Table24[[#This Row],[Journal Description (Service Description)]]="","",VLOOKUP(Table24[[#This Row],[Journal Description (Service Description)]],'[1]Lookup Values'!$A:$B,2,FALSE))</f>
        <v>70</v>
      </c>
      <c r="E110" s="27" t="s">
        <v>56</v>
      </c>
      <c r="F110" s="27" t="s">
        <v>33</v>
      </c>
      <c r="G110" s="27" t="s">
        <v>115</v>
      </c>
    </row>
    <row r="111" spans="1:7" hidden="1" x14ac:dyDescent="0.35">
      <c r="A111" t="s">
        <v>73</v>
      </c>
      <c r="B111" s="27" t="s">
        <v>163</v>
      </c>
      <c r="C111" s="27">
        <f>IF(Table24[[#This Row],[Journal Description (Service Description)]]="","",1)</f>
        <v>1</v>
      </c>
      <c r="D111" s="28">
        <f>IF(Table24[[#This Row],[Journal Description (Service Description)]]="","",VLOOKUP(Table24[[#This Row],[Journal Description (Service Description)]],'[1]Lookup Values'!$A:$B,2,FALSE))</f>
        <v>70</v>
      </c>
      <c r="E111" s="27" t="s">
        <v>56</v>
      </c>
      <c r="F111" s="27" t="s">
        <v>33</v>
      </c>
      <c r="G111" s="27" t="s">
        <v>124</v>
      </c>
    </row>
    <row r="112" spans="1:7" hidden="1" x14ac:dyDescent="0.35">
      <c r="A112" t="s">
        <v>73</v>
      </c>
      <c r="B112" t="s">
        <v>164</v>
      </c>
      <c r="C112" s="27">
        <f>IF(Table24[[#This Row],[Journal Description (Service Description)]]="","",1)</f>
        <v>1</v>
      </c>
      <c r="D112" s="28">
        <f>IF(Table24[[#This Row],[Journal Description (Service Description)]]="","",VLOOKUP(Table24[[#This Row],[Journal Description (Service Description)]],'[1]Lookup Values'!$A:$B,2,FALSE))</f>
        <v>70</v>
      </c>
      <c r="E112" s="27" t="s">
        <v>56</v>
      </c>
      <c r="F112" s="27" t="s">
        <v>33</v>
      </c>
      <c r="G112" s="27" t="s">
        <v>125</v>
      </c>
    </row>
    <row r="113" spans="1:7" hidden="1" x14ac:dyDescent="0.35">
      <c r="A113" t="s">
        <v>73</v>
      </c>
      <c r="B113" t="s">
        <v>74</v>
      </c>
      <c r="C113" s="27">
        <f>IF(Table24[[#This Row],[Journal Description (Service Description)]]="","",1)</f>
        <v>1</v>
      </c>
      <c r="D113" s="28">
        <f>IF(Table24[[#This Row],[Journal Description (Service Description)]]="","",VLOOKUP(Table24[[#This Row],[Journal Description (Service Description)]],'[1]Lookup Values'!$A:$B,2,FALSE))</f>
        <v>70</v>
      </c>
      <c r="E113" s="27" t="s">
        <v>56</v>
      </c>
      <c r="F113" s="27" t="s">
        <v>33</v>
      </c>
      <c r="G113" s="27" t="s">
        <v>126</v>
      </c>
    </row>
    <row r="114" spans="1:7" hidden="1" x14ac:dyDescent="0.35">
      <c r="A114" t="s">
        <v>73</v>
      </c>
      <c r="B114" t="s">
        <v>74</v>
      </c>
      <c r="C114" s="27">
        <f>IF(Table24[[#This Row],[Journal Description (Service Description)]]="","",1)</f>
        <v>1</v>
      </c>
      <c r="D114" s="28">
        <f>IF(Table24[[#This Row],[Journal Description (Service Description)]]="","",VLOOKUP(Table24[[#This Row],[Journal Description (Service Description)]],'[1]Lookup Values'!$A:$B,2,FALSE))</f>
        <v>70</v>
      </c>
      <c r="E114" s="27" t="s">
        <v>56</v>
      </c>
      <c r="F114" s="27" t="s">
        <v>33</v>
      </c>
      <c r="G114" s="27" t="s">
        <v>103</v>
      </c>
    </row>
    <row r="115" spans="1:7" hidden="1" x14ac:dyDescent="0.35">
      <c r="A115" t="s">
        <v>73</v>
      </c>
      <c r="B115" t="s">
        <v>74</v>
      </c>
      <c r="C115" s="27">
        <f>IF(Table24[[#This Row],[Journal Description (Service Description)]]="","",1)</f>
        <v>1</v>
      </c>
      <c r="D115" s="28">
        <f>IF(Table24[[#This Row],[Journal Description (Service Description)]]="","",VLOOKUP(Table24[[#This Row],[Journal Description (Service Description)]],'[1]Lookup Values'!$A:$B,2,FALSE))</f>
        <v>70</v>
      </c>
      <c r="E115" s="27" t="s">
        <v>56</v>
      </c>
      <c r="F115" s="27" t="s">
        <v>33</v>
      </c>
      <c r="G115" s="27" t="s">
        <v>100</v>
      </c>
    </row>
    <row r="116" spans="1:7" hidden="1" x14ac:dyDescent="0.35">
      <c r="A116" s="27" t="s">
        <v>73</v>
      </c>
      <c r="B116" s="27" t="s">
        <v>164</v>
      </c>
      <c r="C116" s="27">
        <f>IF(Table24[[#This Row],[Journal Description (Service Description)]]="","",1)</f>
        <v>1</v>
      </c>
      <c r="D116" s="28">
        <f>IF(Table24[[#This Row],[Journal Description (Service Description)]]="","",VLOOKUP(Table24[[#This Row],[Journal Description (Service Description)]],'[1]Lookup Values'!$A:$B,2,FALSE))</f>
        <v>70</v>
      </c>
      <c r="E116" s="27" t="s">
        <v>56</v>
      </c>
      <c r="F116" s="27" t="s">
        <v>33</v>
      </c>
      <c r="G116" s="27" t="s">
        <v>129</v>
      </c>
    </row>
    <row r="117" spans="1:7" hidden="1" x14ac:dyDescent="0.35">
      <c r="A117" t="s">
        <v>73</v>
      </c>
      <c r="B117" s="27" t="s">
        <v>163</v>
      </c>
      <c r="C117" s="27">
        <f>IF(Table24[[#This Row],[Journal Description (Service Description)]]="","",1)</f>
        <v>1</v>
      </c>
      <c r="D117" s="28">
        <f>IF(Table24[[#This Row],[Journal Description (Service Description)]]="","",VLOOKUP(Table24[[#This Row],[Journal Description (Service Description)]],'[1]Lookup Values'!$A:$B,2,FALSE))</f>
        <v>70</v>
      </c>
      <c r="E117" s="27" t="s">
        <v>56</v>
      </c>
      <c r="F117" s="27" t="s">
        <v>33</v>
      </c>
      <c r="G117" s="27" t="s">
        <v>127</v>
      </c>
    </row>
    <row r="118" spans="1:7" hidden="1" x14ac:dyDescent="0.35">
      <c r="A118" t="s">
        <v>73</v>
      </c>
      <c r="B118" t="s">
        <v>74</v>
      </c>
      <c r="C118" s="27">
        <f>IF(Table24[[#This Row],[Journal Description (Service Description)]]="","",1)</f>
        <v>1</v>
      </c>
      <c r="D118" s="28">
        <v>70</v>
      </c>
      <c r="E118" s="27" t="s">
        <v>56</v>
      </c>
      <c r="F118" s="27" t="s">
        <v>33</v>
      </c>
      <c r="G118" s="27" t="s">
        <v>105</v>
      </c>
    </row>
    <row r="119" spans="1:7" hidden="1" x14ac:dyDescent="0.35">
      <c r="A119" s="27" t="s">
        <v>73</v>
      </c>
      <c r="B119" t="s">
        <v>164</v>
      </c>
      <c r="C119" s="27">
        <f>IF(Table24[[#This Row],[Journal Description (Service Description)]]="","",1)</f>
        <v>1</v>
      </c>
      <c r="D119" s="28">
        <f>IF(Table24[[#This Row],[Journal Description (Service Description)]]="","",VLOOKUP(Table24[[#This Row],[Journal Description (Service Description)]],'[1]Lookup Values'!$A:$B,2,FALSE))</f>
        <v>70</v>
      </c>
      <c r="E119" s="27" t="s">
        <v>56</v>
      </c>
      <c r="F119" s="27" t="s">
        <v>33</v>
      </c>
      <c r="G119" s="27" t="s">
        <v>106</v>
      </c>
    </row>
    <row r="120" spans="1:7" hidden="1" x14ac:dyDescent="0.35">
      <c r="A120" s="27" t="s">
        <v>73</v>
      </c>
      <c r="B120" t="s">
        <v>164</v>
      </c>
      <c r="C120" s="27">
        <f>IF(Table24[[#This Row],[Journal Description (Service Description)]]="","",1)</f>
        <v>1</v>
      </c>
      <c r="D120" s="28">
        <f>IF(Table24[[#This Row],[Journal Description (Service Description)]]="","",VLOOKUP(Table24[[#This Row],[Journal Description (Service Description)]],'[1]Lookup Values'!$A:$B,2,FALSE))</f>
        <v>70</v>
      </c>
      <c r="E120" s="27" t="s">
        <v>56</v>
      </c>
      <c r="F120" s="27" t="s">
        <v>33</v>
      </c>
      <c r="G120" s="27" t="s">
        <v>128</v>
      </c>
    </row>
    <row r="121" spans="1:7" hidden="1" x14ac:dyDescent="0.35">
      <c r="A121" t="s">
        <v>73</v>
      </c>
      <c r="B121" t="s">
        <v>74</v>
      </c>
      <c r="C121" s="27">
        <f>IF(Table24[[#This Row],[Journal Description (Service Description)]]="","",1)</f>
        <v>1</v>
      </c>
      <c r="D121" s="28">
        <f>IF(Table24[[#This Row],[Journal Description (Service Description)]]="","",VLOOKUP(Table24[[#This Row],[Journal Description (Service Description)]],'[1]Lookup Values'!$A:$B,2,FALSE))</f>
        <v>70</v>
      </c>
      <c r="E121" s="27" t="s">
        <v>56</v>
      </c>
      <c r="F121" s="27" t="s">
        <v>33</v>
      </c>
      <c r="G121" s="27" t="s">
        <v>96</v>
      </c>
    </row>
    <row r="122" spans="1:7" hidden="1" x14ac:dyDescent="0.35">
      <c r="A122" t="s">
        <v>73</v>
      </c>
      <c r="B122" t="s">
        <v>74</v>
      </c>
      <c r="C122" s="27">
        <f>IF(Table24[[#This Row],[Journal Description (Service Description)]]="","",1)</f>
        <v>1</v>
      </c>
      <c r="D122" s="28">
        <f>IF(Table24[[#This Row],[Journal Description (Service Description)]]="","",VLOOKUP(Table24[[#This Row],[Journal Description (Service Description)]],'[1]Lookup Values'!$A:$B,2,FALSE))</f>
        <v>70</v>
      </c>
      <c r="E122" s="27" t="s">
        <v>56</v>
      </c>
      <c r="F122" s="27" t="s">
        <v>33</v>
      </c>
      <c r="G122" s="27" t="s">
        <v>101</v>
      </c>
    </row>
    <row r="123" spans="1:7" hidden="1" x14ac:dyDescent="0.35">
      <c r="A123" t="s">
        <v>73</v>
      </c>
      <c r="B123" t="s">
        <v>74</v>
      </c>
      <c r="C123" s="27">
        <f>IF(Table24[[#This Row],[Journal Description (Service Description)]]="","",1)</f>
        <v>1</v>
      </c>
      <c r="D123" s="28">
        <f>IF(Table24[[#This Row],[Journal Description (Service Description)]]="","",VLOOKUP(Table24[[#This Row],[Journal Description (Service Description)]],'[1]Lookup Values'!$A:$B,2,FALSE))</f>
        <v>70</v>
      </c>
      <c r="E123" s="27" t="s">
        <v>56</v>
      </c>
      <c r="F123" s="27" t="s">
        <v>33</v>
      </c>
      <c r="G123" s="27" t="s">
        <v>94</v>
      </c>
    </row>
    <row r="124" spans="1:7" hidden="1" x14ac:dyDescent="0.35">
      <c r="A124" t="s">
        <v>73</v>
      </c>
      <c r="B124" s="27" t="s">
        <v>162</v>
      </c>
      <c r="C124" s="27">
        <f>IF(Table24[[#This Row],[Journal Description (Service Description)]]="","",1)</f>
        <v>1</v>
      </c>
      <c r="D124" s="28">
        <f>IF(Table24[[#This Row],[Journal Description (Service Description)]]="","",VLOOKUP(Table24[[#This Row],[Journal Description (Service Description)]],'[1]Lookup Values'!$A:$B,2,FALSE))</f>
        <v>70</v>
      </c>
      <c r="E124" s="27" t="s">
        <v>56</v>
      </c>
      <c r="F124" s="27" t="s">
        <v>33</v>
      </c>
      <c r="G124" s="27" t="s">
        <v>98</v>
      </c>
    </row>
    <row r="125" spans="1:7" hidden="1" x14ac:dyDescent="0.35">
      <c r="A125" t="s">
        <v>73</v>
      </c>
      <c r="B125" t="s">
        <v>74</v>
      </c>
      <c r="C125" s="27">
        <f>IF(Table24[[#This Row],[Journal Description (Service Description)]]="","",1)</f>
        <v>1</v>
      </c>
      <c r="D125" s="28">
        <f>IF(Table24[[#This Row],[Journal Description (Service Description)]]="","",VLOOKUP(Table24[[#This Row],[Journal Description (Service Description)]],'[1]Lookup Values'!$A:$B,2,FALSE))</f>
        <v>70</v>
      </c>
      <c r="E125" s="27" t="s">
        <v>56</v>
      </c>
      <c r="F125" s="27" t="s">
        <v>33</v>
      </c>
      <c r="G125" s="27" t="s">
        <v>95</v>
      </c>
    </row>
    <row r="126" spans="1:7" hidden="1" x14ac:dyDescent="0.35">
      <c r="A126" s="27" t="s">
        <v>73</v>
      </c>
      <c r="B126" t="s">
        <v>164</v>
      </c>
      <c r="C126" s="27">
        <f>IF(Table24[[#This Row],[Journal Description (Service Description)]]="","",1)</f>
        <v>1</v>
      </c>
      <c r="D126" s="28">
        <f>IF(Table24[[#This Row],[Journal Description (Service Description)]]="","",VLOOKUP(Table24[[#This Row],[Journal Description (Service Description)]],'[1]Lookup Values'!$A:$B,2,FALSE))</f>
        <v>70</v>
      </c>
      <c r="E126" s="27" t="s">
        <v>56</v>
      </c>
      <c r="F126" s="27" t="s">
        <v>33</v>
      </c>
      <c r="G126" s="27" t="s">
        <v>104</v>
      </c>
    </row>
    <row r="127" spans="1:7" hidden="1" x14ac:dyDescent="0.35">
      <c r="A127" s="27" t="s">
        <v>73</v>
      </c>
      <c r="B127" s="27" t="s">
        <v>165</v>
      </c>
      <c r="C127" s="27">
        <f>IF(Table24[[#This Row],[Journal Description (Service Description)]]="","",1)</f>
        <v>1</v>
      </c>
      <c r="D127" s="28">
        <f>IF(Table24[[#This Row],[Journal Description (Service Description)]]="","",VLOOKUP(Table24[[#This Row],[Journal Description (Service Description)]],'[1]Lookup Values'!$A:$B,2,FALSE))</f>
        <v>112.5</v>
      </c>
      <c r="E127" s="27" t="s">
        <v>56</v>
      </c>
      <c r="F127" s="27" t="s">
        <v>133</v>
      </c>
      <c r="G127" s="27" t="s">
        <v>135</v>
      </c>
    </row>
    <row r="128" spans="1:7" hidden="1" x14ac:dyDescent="0.35">
      <c r="A128" s="27" t="s">
        <v>73</v>
      </c>
      <c r="B128" s="27" t="s">
        <v>165</v>
      </c>
      <c r="C128" s="27">
        <f>IF(Table24[[#This Row],[Journal Description (Service Description)]]="","",1)</f>
        <v>1</v>
      </c>
      <c r="D128" s="28">
        <f>IF(Table24[[#This Row],[Journal Description (Service Description)]]="","",VLOOKUP(Table24[[#This Row],[Journal Description (Service Description)]],'[1]Lookup Values'!$A:$B,2,FALSE))</f>
        <v>133</v>
      </c>
      <c r="E128" s="27" t="s">
        <v>56</v>
      </c>
      <c r="F128" s="27" t="s">
        <v>134</v>
      </c>
      <c r="G128" s="27" t="s">
        <v>135</v>
      </c>
    </row>
    <row r="129" spans="1:7" hidden="1" x14ac:dyDescent="0.35">
      <c r="A129" t="str">
        <f>IF(Table24[[#This Row],[Branch Name]]="","",(_xlfn.XLOOKUP(Table24[[#This Row],[Branch Name]],'[1]Lookup Values'!G:G,'[1]Lookup Values'!H:H,0)))</f>
        <v>SL</v>
      </c>
      <c r="B129" t="str">
        <f>IF(Table24[[#This Row],[Branch Name]]="","",(_xlfn.XLOOKUP(Table24[[#This Row],[Branch Name]],'[1]Lookup Values'!G:G,'[1]Lookup Values'!I:I,0)))</f>
        <v>1-30612-7B213</v>
      </c>
      <c r="C129">
        <v>3</v>
      </c>
      <c r="D129" s="2">
        <v>210</v>
      </c>
      <c r="E129" t="s">
        <v>82</v>
      </c>
      <c r="F129" t="s">
        <v>33</v>
      </c>
      <c r="G129" s="25" t="s">
        <v>166</v>
      </c>
    </row>
    <row r="130" spans="1:7" hidden="1" x14ac:dyDescent="0.35">
      <c r="A130" t="str">
        <f>IF(Table24[[#This Row],[Branch Name]]="","",(_xlfn.XLOOKUP(Table24[[#This Row],[Branch Name]],'[1]Lookup Values'!G:G,'[1]Lookup Values'!H:H,0)))</f>
        <v>SL</v>
      </c>
      <c r="B130" t="str">
        <f>IF(Table24[[#This Row],[Branch Name]]="","",(_xlfn.XLOOKUP(Table24[[#This Row],[Branch Name]],'[1]Lookup Values'!G:G,'[1]Lookup Values'!I:I,0)))</f>
        <v>1-14501-7B213</v>
      </c>
      <c r="C130">
        <f>IF(Table24[[#This Row],[Journal Description (Service Description)]]="","",1)</f>
        <v>1</v>
      </c>
      <c r="D130" s="2">
        <f>IF(Table24[[#This Row],[Journal Description (Service Description)]]="","",VLOOKUP(Table24[[#This Row],[Journal Description (Service Description)]],'[1]Lookup Values'!$A:$B,2,FALSE))</f>
        <v>70</v>
      </c>
      <c r="E130" t="s">
        <v>47</v>
      </c>
      <c r="F130" t="s">
        <v>33</v>
      </c>
      <c r="G130" t="s">
        <v>136</v>
      </c>
    </row>
    <row r="131" spans="1:7" ht="29" x14ac:dyDescent="0.35">
      <c r="A131" s="27" t="s">
        <v>23</v>
      </c>
      <c r="B131" s="27" t="s">
        <v>24</v>
      </c>
      <c r="C131" s="27">
        <v>2</v>
      </c>
      <c r="D131" s="28">
        <v>140</v>
      </c>
      <c r="E131" s="27" t="s">
        <v>64</v>
      </c>
      <c r="F131" s="27" t="s">
        <v>33</v>
      </c>
      <c r="G131" s="29" t="s">
        <v>167</v>
      </c>
    </row>
    <row r="132" spans="1:7" hidden="1" x14ac:dyDescent="0.35">
      <c r="A132" s="27" t="s">
        <v>6</v>
      </c>
      <c r="B132" s="27" t="s">
        <v>205</v>
      </c>
      <c r="C132" s="27">
        <f>IF(Table24[[#This Row],[Journal Description (Service Description)]]="","",1)</f>
        <v>1</v>
      </c>
      <c r="D132" s="28">
        <f>IF(Table24[[#This Row],[Journal Description (Service Description)]]="","",VLOOKUP(Table24[[#This Row],[Journal Description (Service Description)]],'[1]Lookup Values'!$A:$B,2,FALSE))</f>
        <v>54</v>
      </c>
      <c r="E132" s="27" t="s">
        <v>52</v>
      </c>
      <c r="F132" s="27" t="s">
        <v>20</v>
      </c>
      <c r="G132" s="27" t="s">
        <v>137</v>
      </c>
    </row>
    <row r="133" spans="1:7" x14ac:dyDescent="0.35">
      <c r="A133" s="27" t="s">
        <v>23</v>
      </c>
      <c r="B133" s="27" t="s">
        <v>24</v>
      </c>
      <c r="C133" s="27">
        <f>IF(Table24[[#This Row],[Journal Description (Service Description)]]="","",1)</f>
        <v>1</v>
      </c>
      <c r="D133" s="28">
        <f>IF(Table24[[#This Row],[Journal Description (Service Description)]]="","",VLOOKUP(Table24[[#This Row],[Journal Description (Service Description)]],'[1]Lookup Values'!$A:$B,2,FALSE))</f>
        <v>54</v>
      </c>
      <c r="E133" s="27" t="s">
        <v>64</v>
      </c>
      <c r="F133" s="27" t="s">
        <v>20</v>
      </c>
      <c r="G133" s="27" t="s">
        <v>138</v>
      </c>
    </row>
    <row r="134" spans="1:7" hidden="1" x14ac:dyDescent="0.35">
      <c r="A134" t="str">
        <f>IF(Table24[[#This Row],[Branch Name]]="","",(_xlfn.XLOOKUP(Table24[[#This Row],[Branch Name]],'[1]Lookup Values'!G:G,'[1]Lookup Values'!H:H,0)))</f>
        <v>SL</v>
      </c>
      <c r="B134" t="str">
        <f>IF(Table24[[#This Row],[Branch Name]]="","",(_xlfn.XLOOKUP(Table24[[#This Row],[Branch Name]],'[1]Lookup Values'!G:G,'[1]Lookup Values'!I:I,0)))</f>
        <v>1-30612-7B213</v>
      </c>
      <c r="C134">
        <f>IF(Table24[[#This Row],[Journal Description (Service Description)]]="","",1)</f>
        <v>1</v>
      </c>
      <c r="D134" s="2">
        <f>IF(Table24[[#This Row],[Journal Description (Service Description)]]="","",VLOOKUP(Table24[[#This Row],[Journal Description (Service Description)]],'[1]Lookup Values'!$A:$B,2,FALSE))</f>
        <v>14</v>
      </c>
      <c r="E134" t="s">
        <v>82</v>
      </c>
      <c r="F134" t="s">
        <v>35</v>
      </c>
      <c r="G134" t="s">
        <v>139</v>
      </c>
    </row>
    <row r="135" spans="1:7" x14ac:dyDescent="0.35">
      <c r="A135" s="27" t="s">
        <v>23</v>
      </c>
      <c r="B135" s="27" t="s">
        <v>24</v>
      </c>
      <c r="C135" s="27">
        <f>IF(Table24[[#This Row],[Journal Description (Service Description)]]="","",1)</f>
        <v>1</v>
      </c>
      <c r="D135" s="28">
        <f>IF(Table24[[#This Row],[Journal Description (Service Description)]]="","",VLOOKUP(Table24[[#This Row],[Journal Description (Service Description)]],'[1]Lookup Values'!$A:$B,2,FALSE))</f>
        <v>54</v>
      </c>
      <c r="E135" s="27" t="s">
        <v>64</v>
      </c>
      <c r="F135" s="27" t="s">
        <v>20</v>
      </c>
      <c r="G135" s="27" t="s">
        <v>140</v>
      </c>
    </row>
    <row r="136" spans="1:7" x14ac:dyDescent="0.35">
      <c r="A136" t="str">
        <f>IF(Table24[[#This Row],[Branch Name]]="","",(_xlfn.XLOOKUP(Table24[[#This Row],[Branch Name]],'[1]Lookup Values'!G:G,'[1]Lookup Values'!H:H,0)))</f>
        <v>PS</v>
      </c>
      <c r="B136" t="str">
        <f>IF(Table24[[#This Row],[Branch Name]]="","",(_xlfn.XLOOKUP(Table24[[#This Row],[Branch Name]],'[1]Lookup Values'!G:G,'[1]Lookup Values'!I:I,0)))</f>
        <v>100009-200-7B213</v>
      </c>
      <c r="C136">
        <f>IF(Table24[[#This Row],[Journal Description (Service Description)]]="","",1)</f>
        <v>1</v>
      </c>
      <c r="D136" s="2">
        <f>IF(Table24[[#This Row],[Journal Description (Service Description)]]="","",VLOOKUP(Table24[[#This Row],[Journal Description (Service Description)]],'[1]Lookup Values'!$A:$B,2,FALSE))</f>
        <v>14</v>
      </c>
      <c r="E136" t="s">
        <v>62</v>
      </c>
      <c r="F136" t="s">
        <v>35</v>
      </c>
      <c r="G136" t="s">
        <v>141</v>
      </c>
    </row>
    <row r="137" spans="1:7" hidden="1" x14ac:dyDescent="0.35">
      <c r="A137" t="str">
        <f>IF(Table24[[#This Row],[Branch Name]]="","",(_xlfn.XLOOKUP(Table24[[#This Row],[Branch Name]],'[1]Lookup Values'!G:G,'[1]Lookup Values'!H:H,0)))</f>
        <v/>
      </c>
      <c r="B137" t="str">
        <f>IF(Table24[[#This Row],[Branch Name]]="","",(_xlfn.XLOOKUP(Table24[[#This Row],[Branch Name]],'[1]Lookup Values'!G:G,'[1]Lookup Values'!I:I,0)))</f>
        <v/>
      </c>
      <c r="C137" t="str">
        <f>IF(Table24[[#This Row],[Journal Description (Service Description)]]="","",1)</f>
        <v/>
      </c>
    </row>
    <row r="138" spans="1:7" hidden="1" x14ac:dyDescent="0.35">
      <c r="A138" t="str">
        <f>IF(Table24[[#This Row],[Branch Name]]="","",(_xlfn.XLOOKUP(Table24[[#This Row],[Branch Name]],'[1]Lookup Values'!G:G,'[1]Lookup Values'!H:H,0)))</f>
        <v/>
      </c>
      <c r="B138" t="str">
        <f>IF(Table24[[#This Row],[Branch Name]]="","",(_xlfn.XLOOKUP(Table24[[#This Row],[Branch Name]],'[1]Lookup Values'!G:G,'[1]Lookup Values'!I:I,0)))</f>
        <v/>
      </c>
      <c r="C138" t="str">
        <f>IF(Table24[[#This Row],[Journal Description (Service Description)]]="","",1)</f>
        <v/>
      </c>
      <c r="D138" s="2" t="str">
        <f>IF(Table24[[#This Row],[Journal Description (Service Description)]]="","",VLOOKUP(Table24[[#This Row],[Journal Description (Service Description)]],[2]!'!Lookup Values!C1:C2',2,FALSE))</f>
        <v/>
      </c>
    </row>
    <row r="139" spans="1:7" hidden="1" x14ac:dyDescent="0.35">
      <c r="A139" t="str">
        <f>IF(Table24[[#This Row],[Branch Name]]="","",(_xlfn.XLOOKUP(Table24[[#This Row],[Branch Name]],'[1]Lookup Values'!G:G,'[1]Lookup Values'!H:H,0)))</f>
        <v/>
      </c>
      <c r="B139" t="str">
        <f>IF(Table24[[#This Row],[Branch Name]]="","",(_xlfn.XLOOKUP(Table24[[#This Row],[Branch Name]],'[1]Lookup Values'!G:G,'[1]Lookup Values'!I:I,0)))</f>
        <v/>
      </c>
      <c r="C139" t="str">
        <f>IF(Table24[[#This Row],[Journal Description (Service Description)]]="","",1)</f>
        <v/>
      </c>
      <c r="D139" s="2" t="str">
        <f>IF(Table24[[#This Row],[Journal Description (Service Description)]]="","",VLOOKUP(Table24[[#This Row],[Journal Description (Service Description)]],'[1]Lookup Values'!$A:$B,2,FALSE))</f>
        <v/>
      </c>
    </row>
    <row r="140" spans="1:7" hidden="1" x14ac:dyDescent="0.35">
      <c r="A140" t="str">
        <f>IF(Table24[[#This Row],[Branch Name]]="","",(_xlfn.XLOOKUP(Table24[[#This Row],[Branch Name]],'[1]Lookup Values'!G:G,'[1]Lookup Values'!H:H,0)))</f>
        <v/>
      </c>
      <c r="B140" t="str">
        <f>IF(Table24[[#This Row],[Branch Name]]="","",(_xlfn.XLOOKUP(Table24[[#This Row],[Branch Name]],'[1]Lookup Values'!G:G,'[1]Lookup Values'!I:I,0)))</f>
        <v/>
      </c>
      <c r="C140" t="str">
        <f>IF(Table24[[#This Row],[Journal Description (Service Description)]]="","",1)</f>
        <v/>
      </c>
      <c r="D140" s="2" t="str">
        <f>IF(Table24[[#This Row],[Journal Description (Service Description)]]="","",VLOOKUP(Table24[[#This Row],[Journal Description (Service Description)]],[2]!'!Lookup Values!C1:C2',2,FALSE))</f>
        <v/>
      </c>
    </row>
    <row r="141" spans="1:7" hidden="1" x14ac:dyDescent="0.35">
      <c r="A141" t="str">
        <f>IF(Table24[[#This Row],[Branch Name]]="","",(_xlfn.XLOOKUP(Table24[[#This Row],[Branch Name]],'[1]Lookup Values'!G:G,'[1]Lookup Values'!H:H,0)))</f>
        <v/>
      </c>
      <c r="B141" t="str">
        <f>IF(Table24[[#This Row],[Branch Name]]="","",(_xlfn.XLOOKUP(Table24[[#This Row],[Branch Name]],'[1]Lookup Values'!G:G,'[1]Lookup Values'!I:I,0)))</f>
        <v/>
      </c>
      <c r="C141" t="str">
        <f>IF(Table24[[#This Row],[Journal Description (Service Description)]]="","",1)</f>
        <v/>
      </c>
      <c r="D141" s="2" t="str">
        <f>IF(Table24[[#This Row],[Journal Description (Service Description)]]="","",VLOOKUP(Table24[[#This Row],[Journal Description (Service Description)]],[2]!'!Lookup Values!C1:C2',2,FALSE))</f>
        <v/>
      </c>
    </row>
    <row r="142" spans="1:7" hidden="1" x14ac:dyDescent="0.35">
      <c r="A142" t="str">
        <f>IF(Table24[[#This Row],[Branch Name]]="","",(_xlfn.XLOOKUP(Table24[[#This Row],[Branch Name]],'[1]Lookup Values'!G:G,'[1]Lookup Values'!H:H,0)))</f>
        <v/>
      </c>
      <c r="B142" t="str">
        <f>IF(Table24[[#This Row],[Branch Name]]="","",(_xlfn.XLOOKUP(Table24[[#This Row],[Branch Name]],'[1]Lookup Values'!G:G,'[1]Lookup Values'!I:I,0)))</f>
        <v/>
      </c>
      <c r="C142" t="str">
        <f>IF(Table24[[#This Row],[Journal Description (Service Description)]]="","",1)</f>
        <v/>
      </c>
      <c r="D142" s="2" t="str">
        <f>IF(Table24[[#This Row],[Journal Description (Service Description)]]="","",VLOOKUP(Table24[[#This Row],[Journal Description (Service Description)]],'[1]Lookup Values'!$A:$B,2,FALSE))</f>
        <v/>
      </c>
    </row>
    <row r="143" spans="1:7" hidden="1" x14ac:dyDescent="0.35">
      <c r="A143" t="str">
        <f>IF(Table24[[#This Row],[Branch Name]]="","",(_xlfn.XLOOKUP(Table24[[#This Row],[Branch Name]],'[1]Lookup Values'!G:G,'[1]Lookup Values'!H:H,0)))</f>
        <v/>
      </c>
      <c r="B143" t="str">
        <f>IF(Table24[[#This Row],[Branch Name]]="","",(_xlfn.XLOOKUP(Table24[[#This Row],[Branch Name]],'[1]Lookup Values'!G:G,'[1]Lookup Values'!I:I,0)))</f>
        <v/>
      </c>
      <c r="C143" t="str">
        <f>IF(Table24[[#This Row],[Journal Description (Service Description)]]="","",1)</f>
        <v/>
      </c>
      <c r="D143" s="2" t="str">
        <f>IF(Table24[[#This Row],[Journal Description (Service Description)]]="","",VLOOKUP(Table24[[#This Row],[Journal Description (Service Description)]],'[1]Lookup Values'!$A:$B,2,FALSE))</f>
        <v/>
      </c>
    </row>
    <row r="144" spans="1:7" hidden="1" x14ac:dyDescent="0.35">
      <c r="A144" t="str">
        <f>IF(Table24[[#This Row],[Branch Name]]="","",(_xlfn.XLOOKUP(Table24[[#This Row],[Branch Name]],'[1]Lookup Values'!G:G,'[1]Lookup Values'!H:H,0)))</f>
        <v/>
      </c>
      <c r="B144" t="str">
        <f>IF(Table24[[#This Row],[Branch Name]]="","",(_xlfn.XLOOKUP(Table24[[#This Row],[Branch Name]],'[1]Lookup Values'!G:G,'[1]Lookup Values'!I:I,0)))</f>
        <v/>
      </c>
      <c r="C144" t="str">
        <f>IF(Table24[[#This Row],[Journal Description (Service Description)]]="","",1)</f>
        <v/>
      </c>
      <c r="D144" s="2" t="str">
        <f>IF(Table24[[#This Row],[Journal Description (Service Description)]]="","",VLOOKUP(Table24[[#This Row],[Journal Description (Service Description)]],'[1]Lookup Values'!$A:$B,2,FALSE))</f>
        <v/>
      </c>
    </row>
    <row r="145" spans="1:4" hidden="1" x14ac:dyDescent="0.35">
      <c r="A145" t="str">
        <f>IF(Table24[[#This Row],[Branch Name]]="","",(_xlfn.XLOOKUP(Table24[[#This Row],[Branch Name]],'[1]Lookup Values'!G:G,'[1]Lookup Values'!H:H,0)))</f>
        <v/>
      </c>
      <c r="B145" t="str">
        <f>IF(Table24[[#This Row],[Branch Name]]="","",(_xlfn.XLOOKUP(Table24[[#This Row],[Branch Name]],'[1]Lookup Values'!G:G,'[1]Lookup Values'!I:I,0)))</f>
        <v/>
      </c>
      <c r="C145" t="str">
        <f>IF(Table24[[#This Row],[Journal Description (Service Description)]]="","",1)</f>
        <v/>
      </c>
      <c r="D145" s="2" t="str">
        <f>IF(Table24[[#This Row],[Journal Description (Service Description)]]="","",VLOOKUP(Table24[[#This Row],[Journal Description (Service Description)]],'[1]Lookup Values'!$A:$B,2,FALSE))</f>
        <v/>
      </c>
    </row>
    <row r="146" spans="1:4" hidden="1" x14ac:dyDescent="0.35">
      <c r="A146" t="str">
        <f>IF(Table24[[#This Row],[Branch Name]]="","",(_xlfn.XLOOKUP(Table24[[#This Row],[Branch Name]],'[1]Lookup Values'!G:G,'[1]Lookup Values'!H:H,0)))</f>
        <v/>
      </c>
      <c r="B146" t="str">
        <f>IF(Table24[[#This Row],[Branch Name]]="","",(_xlfn.XLOOKUP(Table24[[#This Row],[Branch Name]],'[1]Lookup Values'!G:G,'[1]Lookup Values'!I:I,0)))</f>
        <v/>
      </c>
      <c r="C146" t="str">
        <f>IF(Table24[[#This Row],[Journal Description (Service Description)]]="","",1)</f>
        <v/>
      </c>
      <c r="D146" s="2" t="str">
        <f>IF(Table24[[#This Row],[Journal Description (Service Description)]]="","",VLOOKUP(Table24[[#This Row],[Journal Description (Service Description)]],'[1]Lookup Values'!$A:$B,2,FALSE))</f>
        <v/>
      </c>
    </row>
    <row r="147" spans="1:4" hidden="1" x14ac:dyDescent="0.35">
      <c r="A147" t="str">
        <f>IF(Table24[[#This Row],[Branch Name]]="","",(_xlfn.XLOOKUP(Table24[[#This Row],[Branch Name]],'[1]Lookup Values'!G:G,'[1]Lookup Values'!H:H,0)))</f>
        <v/>
      </c>
      <c r="B147" t="str">
        <f>IF(Table24[[#This Row],[Branch Name]]="","",(_xlfn.XLOOKUP(Table24[[#This Row],[Branch Name]],'[1]Lookup Values'!G:G,'[1]Lookup Values'!I:I,0)))</f>
        <v/>
      </c>
      <c r="C147" t="str">
        <f>IF(Table24[[#This Row],[Journal Description (Service Description)]]="","",1)</f>
        <v/>
      </c>
      <c r="D147" s="2" t="str">
        <f>IF(Table24[[#This Row],[Journal Description (Service Description)]]="","",VLOOKUP(Table24[[#This Row],[Journal Description (Service Description)]],'[1]Lookup Values'!$A:$B,2,FALSE))</f>
        <v/>
      </c>
    </row>
    <row r="148" spans="1:4" hidden="1" x14ac:dyDescent="0.35">
      <c r="A148" t="str">
        <f>IF(Table24[[#This Row],[Branch Name]]="","",(_xlfn.XLOOKUP(Table24[[#This Row],[Branch Name]],'[1]Lookup Values'!G:G,'[1]Lookup Values'!H:H,0)))</f>
        <v/>
      </c>
      <c r="B148" t="str">
        <f>IF(Table24[[#This Row],[Branch Name]]="","",(_xlfn.XLOOKUP(Table24[[#This Row],[Branch Name]],'[1]Lookup Values'!G:G,'[1]Lookup Values'!I:I,0)))</f>
        <v/>
      </c>
      <c r="C148" t="str">
        <f>IF(Table24[[#This Row],[Journal Description (Service Description)]]="","",1)</f>
        <v/>
      </c>
      <c r="D148" s="2" t="str">
        <f>IF(Table24[[#This Row],[Journal Description (Service Description)]]="","",VLOOKUP(Table24[[#This Row],[Journal Description (Service Description)]],'[1]Lookup Values'!$A:$B,2,FALSE))</f>
        <v/>
      </c>
    </row>
    <row r="149" spans="1:4" hidden="1" x14ac:dyDescent="0.35">
      <c r="A149" t="str">
        <f>IF(Table24[[#This Row],[Branch Name]]="","",(_xlfn.XLOOKUP(Table24[[#This Row],[Branch Name]],'[1]Lookup Values'!G:G,'[1]Lookup Values'!H:H,0)))</f>
        <v/>
      </c>
      <c r="B149" t="str">
        <f>IF(Table24[[#This Row],[Branch Name]]="","",(_xlfn.XLOOKUP(Table24[[#This Row],[Branch Name]],'[1]Lookup Values'!G:G,'[1]Lookup Values'!I:I,0)))</f>
        <v/>
      </c>
      <c r="C149" t="str">
        <f>IF(Table24[[#This Row],[Journal Description (Service Description)]]="","",1)</f>
        <v/>
      </c>
      <c r="D149" s="2" t="str">
        <f>IF(Table24[[#This Row],[Journal Description (Service Description)]]="","",VLOOKUP(Table24[[#This Row],[Journal Description (Service Description)]],'[1]Lookup Values'!$A:$B,2,FALSE))</f>
        <v/>
      </c>
    </row>
    <row r="150" spans="1:4" hidden="1" x14ac:dyDescent="0.35">
      <c r="A150" t="str">
        <f>IF(Table24[[#This Row],[Branch Name]]="","",(_xlfn.XLOOKUP(Table24[[#This Row],[Branch Name]],'[1]Lookup Values'!G:G,'[1]Lookup Values'!H:H,0)))</f>
        <v/>
      </c>
      <c r="B150" t="str">
        <f>IF(Table24[[#This Row],[Branch Name]]="","",(_xlfn.XLOOKUP(Table24[[#This Row],[Branch Name]],'[1]Lookup Values'!G:G,'[1]Lookup Values'!I:I,0)))</f>
        <v/>
      </c>
      <c r="C150" t="str">
        <f>IF(Table24[[#This Row],[Journal Description (Service Description)]]="","",1)</f>
        <v/>
      </c>
      <c r="D150" s="2" t="str">
        <f>IF(Table24[[#This Row],[Journal Description (Service Description)]]="","",VLOOKUP(Table24[[#This Row],[Journal Description (Service Description)]],'[1]Lookup Values'!$A:$B,2,FALSE))</f>
        <v/>
      </c>
    </row>
    <row r="151" spans="1:4" hidden="1" x14ac:dyDescent="0.35">
      <c r="A151" t="str">
        <f>IF(Table24[[#This Row],[Branch Name]]="","",(_xlfn.XLOOKUP(Table24[[#This Row],[Branch Name]],'[1]Lookup Values'!G:G,'[1]Lookup Values'!H:H,0)))</f>
        <v/>
      </c>
      <c r="B151" t="str">
        <f>IF(Table24[[#This Row],[Branch Name]]="","",(_xlfn.XLOOKUP(Table24[[#This Row],[Branch Name]],'[1]Lookup Values'!G:G,'[1]Lookup Values'!I:I,0)))</f>
        <v/>
      </c>
      <c r="C151" t="str">
        <f>IF(Table24[[#This Row],[Journal Description (Service Description)]]="","",1)</f>
        <v/>
      </c>
      <c r="D151" s="2" t="str">
        <f>IF(Table24[[#This Row],[Journal Description (Service Description)]]="","",VLOOKUP(Table24[[#This Row],[Journal Description (Service Description)]],'[1]Lookup Values'!$A:$B,2,FALSE))</f>
        <v/>
      </c>
    </row>
    <row r="152" spans="1:4" hidden="1" x14ac:dyDescent="0.35">
      <c r="A152" t="str">
        <f>IF(Table24[[#This Row],[Branch Name]]="","",(_xlfn.XLOOKUP(Table24[[#This Row],[Branch Name]],'[1]Lookup Values'!G:G,'[1]Lookup Values'!H:H,0)))</f>
        <v/>
      </c>
      <c r="B152" t="str">
        <f>IF(Table24[[#This Row],[Branch Name]]="","",(_xlfn.XLOOKUP(Table24[[#This Row],[Branch Name]],'[1]Lookup Values'!G:G,'[1]Lookup Values'!I:I,0)))</f>
        <v/>
      </c>
      <c r="C152" t="str">
        <f>IF(Table24[[#This Row],[Journal Description (Service Description)]]="","",1)</f>
        <v/>
      </c>
      <c r="D152" s="2" t="str">
        <f>IF(Table24[[#This Row],[Journal Description (Service Description)]]="","",VLOOKUP(Table24[[#This Row],[Journal Description (Service Description)]],'[1]Lookup Values'!$A:$B,2,FALSE))</f>
        <v/>
      </c>
    </row>
    <row r="153" spans="1:4" hidden="1" x14ac:dyDescent="0.35">
      <c r="A153" t="str">
        <f>IF(Table24[[#This Row],[Branch Name]]="","",(_xlfn.XLOOKUP(Table24[[#This Row],[Branch Name]],'[1]Lookup Values'!G:G,'[1]Lookup Values'!H:H,0)))</f>
        <v/>
      </c>
      <c r="B153" t="str">
        <f>IF(Table24[[#This Row],[Branch Name]]="","",(_xlfn.XLOOKUP(Table24[[#This Row],[Branch Name]],'[1]Lookup Values'!G:G,'[1]Lookup Values'!I:I,0)))</f>
        <v/>
      </c>
      <c r="C153" t="str">
        <f>IF(Table24[[#This Row],[Journal Description (Service Description)]]="","",1)</f>
        <v/>
      </c>
      <c r="D153" s="2" t="str">
        <f>IF(Table24[[#This Row],[Journal Description (Service Description)]]="","",VLOOKUP(Table24[[#This Row],[Journal Description (Service Description)]],'[1]Lookup Values'!$A:$B,2,FALSE))</f>
        <v/>
      </c>
    </row>
    <row r="154" spans="1:4" hidden="1" x14ac:dyDescent="0.35">
      <c r="A154" t="str">
        <f>IF(Table24[[#This Row],[Branch Name]]="","",(_xlfn.XLOOKUP(Table24[[#This Row],[Branch Name]],'[1]Lookup Values'!G:G,'[1]Lookup Values'!H:H,0)))</f>
        <v/>
      </c>
      <c r="B154" t="str">
        <f>IF(Table24[[#This Row],[Branch Name]]="","",(_xlfn.XLOOKUP(Table24[[#This Row],[Branch Name]],'[1]Lookup Values'!G:G,'[1]Lookup Values'!I:I,0)))</f>
        <v/>
      </c>
      <c r="C154" t="str">
        <f>IF(Table24[[#This Row],[Journal Description (Service Description)]]="","",1)</f>
        <v/>
      </c>
      <c r="D154" s="2" t="str">
        <f>IF(Table24[[#This Row],[Journal Description (Service Description)]]="","",VLOOKUP(Table24[[#This Row],[Journal Description (Service Description)]],'[1]Lookup Values'!$A:$B,2,FALSE))</f>
        <v/>
      </c>
    </row>
    <row r="155" spans="1:4" hidden="1" x14ac:dyDescent="0.35">
      <c r="A155" t="str">
        <f>IF(Table24[[#This Row],[Branch Name]]="","",(_xlfn.XLOOKUP(Table24[[#This Row],[Branch Name]],'[1]Lookup Values'!G:G,'[1]Lookup Values'!H:H,0)))</f>
        <v/>
      </c>
      <c r="B155" t="str">
        <f>IF(Table24[[#This Row],[Branch Name]]="","",(_xlfn.XLOOKUP(Table24[[#This Row],[Branch Name]],'[1]Lookup Values'!G:G,'[1]Lookup Values'!I:I,0)))</f>
        <v/>
      </c>
      <c r="C155" t="str">
        <f>IF(Table24[[#This Row],[Journal Description (Service Description)]]="","",1)</f>
        <v/>
      </c>
      <c r="D155" s="2" t="str">
        <f>IF(Table24[[#This Row],[Journal Description (Service Description)]]="","",VLOOKUP(Table24[[#This Row],[Journal Description (Service Description)]],'[1]Lookup Values'!$A:$B,2,FALSE))</f>
        <v/>
      </c>
    </row>
    <row r="156" spans="1:4" hidden="1" x14ac:dyDescent="0.35">
      <c r="A156" t="str">
        <f>IF(Table24[[#This Row],[Branch Name]]="","",(_xlfn.XLOOKUP(Table24[[#This Row],[Branch Name]],'[1]Lookup Values'!G:G,'[1]Lookup Values'!H:H,0)))</f>
        <v/>
      </c>
      <c r="B156" t="str">
        <f>IF(Table24[[#This Row],[Branch Name]]="","",(_xlfn.XLOOKUP(Table24[[#This Row],[Branch Name]],'[1]Lookup Values'!G:G,'[1]Lookup Values'!I:I,0)))</f>
        <v/>
      </c>
      <c r="C156" t="str">
        <f>IF(Table24[[#This Row],[Journal Description (Service Description)]]="","",1)</f>
        <v/>
      </c>
      <c r="D156" s="2" t="str">
        <f>IF(Table24[[#This Row],[Journal Description (Service Description)]]="","",VLOOKUP(Table24[[#This Row],[Journal Description (Service Description)]],'[1]Lookup Values'!$A:$B,2,FALSE))</f>
        <v/>
      </c>
    </row>
    <row r="157" spans="1:4" hidden="1" x14ac:dyDescent="0.35">
      <c r="A157" t="str">
        <f>IF(Table24[[#This Row],[Branch Name]]="","",(_xlfn.XLOOKUP(Table24[[#This Row],[Branch Name]],'[1]Lookup Values'!G:G,'[1]Lookup Values'!H:H,0)))</f>
        <v/>
      </c>
      <c r="B157" t="str">
        <f>IF(Table24[[#This Row],[Branch Name]]="","",(_xlfn.XLOOKUP(Table24[[#This Row],[Branch Name]],'[1]Lookup Values'!G:G,'[1]Lookup Values'!I:I,0)))</f>
        <v/>
      </c>
      <c r="C157" t="str">
        <f>IF(Table24[[#This Row],[Journal Description (Service Description)]]="","",1)</f>
        <v/>
      </c>
      <c r="D157" s="2" t="str">
        <f>IF(Table24[[#This Row],[Journal Description (Service Description)]]="","",VLOOKUP(Table24[[#This Row],[Journal Description (Service Description)]],'[1]Lookup Values'!$A:$B,2,FALSE))</f>
        <v/>
      </c>
    </row>
    <row r="158" spans="1:4" hidden="1" x14ac:dyDescent="0.35">
      <c r="A158" t="str">
        <f>IF(Table24[[#This Row],[Branch Name]]="","",(_xlfn.XLOOKUP(Table24[[#This Row],[Branch Name]],'[1]Lookup Values'!G:G,'[1]Lookup Values'!H:H,0)))</f>
        <v/>
      </c>
      <c r="B158" t="str">
        <f>IF(Table24[[#This Row],[Branch Name]]="","",(_xlfn.XLOOKUP(Table24[[#This Row],[Branch Name]],'[1]Lookup Values'!G:G,'[1]Lookup Values'!I:I,0)))</f>
        <v/>
      </c>
      <c r="C158" t="str">
        <f>IF(Table24[[#This Row],[Journal Description (Service Description)]]="","",1)</f>
        <v/>
      </c>
      <c r="D158" s="2" t="str">
        <f>IF(Table24[[#This Row],[Journal Description (Service Description)]]="","",VLOOKUP(Table24[[#This Row],[Journal Description (Service Description)]],'[1]Lookup Values'!$A:$B,2,FALSE))</f>
        <v/>
      </c>
    </row>
    <row r="159" spans="1:4" hidden="1" x14ac:dyDescent="0.35">
      <c r="A159" t="str">
        <f>IF(Table24[[#This Row],[Branch Name]]="","",(_xlfn.XLOOKUP(Table24[[#This Row],[Branch Name]],'[1]Lookup Values'!G:G,'[1]Lookup Values'!H:H,0)))</f>
        <v/>
      </c>
      <c r="B159" t="str">
        <f>IF(Table24[[#This Row],[Branch Name]]="","",(_xlfn.XLOOKUP(Table24[[#This Row],[Branch Name]],'[1]Lookup Values'!G:G,'[1]Lookup Values'!I:I,0)))</f>
        <v/>
      </c>
      <c r="C159" t="str">
        <f>IF(Table24[[#This Row],[Journal Description (Service Description)]]="","",1)</f>
        <v/>
      </c>
      <c r="D159" s="2" t="str">
        <f>IF(Table24[[#This Row],[Journal Description (Service Description)]]="","",VLOOKUP(Table24[[#This Row],[Journal Description (Service Description)]],'[1]Lookup Values'!$A:$B,2,FALSE))</f>
        <v/>
      </c>
    </row>
    <row r="160" spans="1:4" hidden="1" x14ac:dyDescent="0.35">
      <c r="A160" t="str">
        <f>IF(Table24[[#This Row],[Branch Name]]="","",(_xlfn.XLOOKUP(Table24[[#This Row],[Branch Name]],'[1]Lookup Values'!G:G,'[1]Lookup Values'!H:H,0)))</f>
        <v/>
      </c>
      <c r="B160" t="str">
        <f>IF(Table24[[#This Row],[Branch Name]]="","",(_xlfn.XLOOKUP(Table24[[#This Row],[Branch Name]],'[1]Lookup Values'!G:G,'[1]Lookup Values'!I:I,0)))</f>
        <v/>
      </c>
      <c r="C160" t="str">
        <f>IF(Table24[[#This Row],[Journal Description (Service Description)]]="","",1)</f>
        <v/>
      </c>
      <c r="D160" s="2" t="str">
        <f>IF(Table24[[#This Row],[Journal Description (Service Description)]]="","",VLOOKUP(Table24[[#This Row],[Journal Description (Service Description)]],'[1]Lookup Values'!$A:$B,2,FALSE))</f>
        <v/>
      </c>
    </row>
    <row r="161" spans="1:4" hidden="1" x14ac:dyDescent="0.35">
      <c r="A161" t="str">
        <f>IF(Table24[[#This Row],[Branch Name]]="","",(_xlfn.XLOOKUP(Table24[[#This Row],[Branch Name]],'[1]Lookup Values'!G:G,'[1]Lookup Values'!H:H,0)))</f>
        <v/>
      </c>
      <c r="B161" t="str">
        <f>IF(Table24[[#This Row],[Branch Name]]="","",(_xlfn.XLOOKUP(Table24[[#This Row],[Branch Name]],'[1]Lookup Values'!G:G,'[1]Lookup Values'!I:I,0)))</f>
        <v/>
      </c>
      <c r="C161" t="str">
        <f>IF(Table24[[#This Row],[Journal Description (Service Description)]]="","",1)</f>
        <v/>
      </c>
      <c r="D161" s="2" t="str">
        <f>IF(Table24[[#This Row],[Journal Description (Service Description)]]="","",VLOOKUP(Table24[[#This Row],[Journal Description (Service Description)]],'[1]Lookup Values'!$A:$B,2,FALSE))</f>
        <v/>
      </c>
    </row>
    <row r="162" spans="1:4" hidden="1" x14ac:dyDescent="0.35">
      <c r="A162" t="str">
        <f>IF(Table24[[#This Row],[Branch Name]]="","",(_xlfn.XLOOKUP(Table24[[#This Row],[Branch Name]],'[1]Lookup Values'!G:G,'[1]Lookup Values'!H:H,0)))</f>
        <v/>
      </c>
      <c r="B162" t="str">
        <f>IF(Table24[[#This Row],[Branch Name]]="","",(_xlfn.XLOOKUP(Table24[[#This Row],[Branch Name]],'[1]Lookup Values'!G:G,'[1]Lookup Values'!I:I,0)))</f>
        <v/>
      </c>
      <c r="C162" t="str">
        <f>IF(Table24[[#This Row],[Journal Description (Service Description)]]="","",1)</f>
        <v/>
      </c>
      <c r="D162" s="2" t="str">
        <f>IF(Table24[[#This Row],[Journal Description (Service Description)]]="","",VLOOKUP(Table24[[#This Row],[Journal Description (Service Description)]],'[1]Lookup Values'!$A:$B,2,FALSE))</f>
        <v/>
      </c>
    </row>
    <row r="163" spans="1:4" hidden="1" x14ac:dyDescent="0.35">
      <c r="A163" t="str">
        <f>IF(Table24[[#This Row],[Branch Name]]="","",(_xlfn.XLOOKUP(Table24[[#This Row],[Branch Name]],'[1]Lookup Values'!G:G,'[1]Lookup Values'!H:H,0)))</f>
        <v/>
      </c>
      <c r="B163" t="str">
        <f>IF(Table24[[#This Row],[Branch Name]]="","",(_xlfn.XLOOKUP(Table24[[#This Row],[Branch Name]],'[1]Lookup Values'!G:G,'[1]Lookup Values'!I:I,0)))</f>
        <v/>
      </c>
      <c r="C163" t="str">
        <f>IF(Table24[[#This Row],[Journal Description (Service Description)]]="","",1)</f>
        <v/>
      </c>
      <c r="D163" s="2" t="str">
        <f>IF(Table24[[#This Row],[Journal Description (Service Description)]]="","",VLOOKUP(Table24[[#This Row],[Journal Description (Service Description)]],'[1]Lookup Values'!$A:$B,2,FALSE))</f>
        <v/>
      </c>
    </row>
    <row r="164" spans="1:4" hidden="1" x14ac:dyDescent="0.35">
      <c r="A164" t="str">
        <f>IF(Table24[[#This Row],[Branch Name]]="","",(_xlfn.XLOOKUP(Table24[[#This Row],[Branch Name]],'[1]Lookup Values'!G:G,'[1]Lookup Values'!H:H,0)))</f>
        <v/>
      </c>
      <c r="B164" t="str">
        <f>IF(Table24[[#This Row],[Branch Name]]="","",(_xlfn.XLOOKUP(Table24[[#This Row],[Branch Name]],'[1]Lookup Values'!G:G,'[1]Lookup Values'!I:I,0)))</f>
        <v/>
      </c>
      <c r="C164" t="str">
        <f>IF(Table24[[#This Row],[Journal Description (Service Description)]]="","",1)</f>
        <v/>
      </c>
      <c r="D164" s="2" t="str">
        <f>IF(Table24[[#This Row],[Journal Description (Service Description)]]="","",VLOOKUP(Table24[[#This Row],[Journal Description (Service Description)]],'[1]Lookup Values'!$A:$B,2,FALSE))</f>
        <v/>
      </c>
    </row>
    <row r="165" spans="1:4" hidden="1" x14ac:dyDescent="0.35">
      <c r="A165" t="str">
        <f>IF(Table24[[#This Row],[Branch Name]]="","",(_xlfn.XLOOKUP(Table24[[#This Row],[Branch Name]],'[1]Lookup Values'!G:G,'[1]Lookup Values'!H:H,0)))</f>
        <v/>
      </c>
      <c r="B165" t="str">
        <f>IF(Table24[[#This Row],[Branch Name]]="","",(_xlfn.XLOOKUP(Table24[[#This Row],[Branch Name]],'[1]Lookup Values'!G:G,'[1]Lookup Values'!I:I,0)))</f>
        <v/>
      </c>
      <c r="C165" t="str">
        <f>IF(Table24[[#This Row],[Journal Description (Service Description)]]="","",1)</f>
        <v/>
      </c>
      <c r="D165" s="2" t="str">
        <f>IF(Table24[[#This Row],[Journal Description (Service Description)]]="","",VLOOKUP(Table24[[#This Row],[Journal Description (Service Description)]],'[1]Lookup Values'!$A:$B,2,FALSE))</f>
        <v/>
      </c>
    </row>
    <row r="166" spans="1:4" hidden="1" x14ac:dyDescent="0.35">
      <c r="A166" t="str">
        <f>IF(Table24[[#This Row],[Branch Name]]="","",(_xlfn.XLOOKUP(Table24[[#This Row],[Branch Name]],'[1]Lookup Values'!G:G,'[1]Lookup Values'!H:H,0)))</f>
        <v/>
      </c>
      <c r="B166" t="str">
        <f>IF(Table24[[#This Row],[Branch Name]]="","",(_xlfn.XLOOKUP(Table24[[#This Row],[Branch Name]],'[1]Lookup Values'!G:G,'[1]Lookup Values'!I:I,0)))</f>
        <v/>
      </c>
      <c r="C166" t="str">
        <f>IF(Table24[[#This Row],[Journal Description (Service Description)]]="","",1)</f>
        <v/>
      </c>
      <c r="D166" s="2" t="str">
        <f>IF(Table24[[#This Row],[Journal Description (Service Description)]]="","",VLOOKUP(Table24[[#This Row],[Journal Description (Service Description)]],'[1]Lookup Values'!$A:$B,2,FALSE))</f>
        <v/>
      </c>
    </row>
    <row r="167" spans="1:4" hidden="1" x14ac:dyDescent="0.35">
      <c r="A167" t="str">
        <f>IF(Table24[[#This Row],[Branch Name]]="","",(_xlfn.XLOOKUP(Table24[[#This Row],[Branch Name]],'[1]Lookup Values'!G:G,'[1]Lookup Values'!H:H,0)))</f>
        <v/>
      </c>
      <c r="B167" t="str">
        <f>IF(Table24[[#This Row],[Branch Name]]="","",(_xlfn.XLOOKUP(Table24[[#This Row],[Branch Name]],'[1]Lookup Values'!G:G,'[1]Lookup Values'!I:I,0)))</f>
        <v/>
      </c>
      <c r="C167" t="str">
        <f>IF(Table24[[#This Row],[Journal Description (Service Description)]]="","",1)</f>
        <v/>
      </c>
      <c r="D167" s="2" t="str">
        <f>IF(Table24[[#This Row],[Journal Description (Service Description)]]="","",VLOOKUP(Table24[[#This Row],[Journal Description (Service Description)]],'[1]Lookup Values'!$A:$B,2,FALSE))</f>
        <v/>
      </c>
    </row>
    <row r="168" spans="1:4" hidden="1" x14ac:dyDescent="0.35">
      <c r="A168" t="str">
        <f>IF(Table24[[#This Row],[Branch Name]]="","",(_xlfn.XLOOKUP(Table24[[#This Row],[Branch Name]],'[1]Lookup Values'!G:G,'[1]Lookup Values'!H:H,0)))</f>
        <v/>
      </c>
      <c r="B168" t="str">
        <f>IF(Table24[[#This Row],[Branch Name]]="","",(_xlfn.XLOOKUP(Table24[[#This Row],[Branch Name]],'[1]Lookup Values'!G:G,'[1]Lookup Values'!I:I,0)))</f>
        <v/>
      </c>
      <c r="C168" t="str">
        <f>IF(Table24[[#This Row],[Journal Description (Service Description)]]="","",1)</f>
        <v/>
      </c>
      <c r="D168" s="2" t="str">
        <f>IF(Table24[[#This Row],[Journal Description (Service Description)]]="","",VLOOKUP(Table24[[#This Row],[Journal Description (Service Description)]],'[1]Lookup Values'!$A:$B,2,FALSE))</f>
        <v/>
      </c>
    </row>
    <row r="169" spans="1:4" hidden="1" x14ac:dyDescent="0.35">
      <c r="A169" t="str">
        <f>IF(Table24[[#This Row],[Branch Name]]="","",(_xlfn.XLOOKUP(Table24[[#This Row],[Branch Name]],'[1]Lookup Values'!G:G,'[1]Lookup Values'!H:H,0)))</f>
        <v/>
      </c>
      <c r="B169" t="str">
        <f>IF(Table24[[#This Row],[Branch Name]]="","",(_xlfn.XLOOKUP(Table24[[#This Row],[Branch Name]],'[1]Lookup Values'!G:G,'[1]Lookup Values'!I:I,0)))</f>
        <v/>
      </c>
      <c r="C169" t="str">
        <f>IF(Table24[[#This Row],[Journal Description (Service Description)]]="","",1)</f>
        <v/>
      </c>
      <c r="D169" s="2" t="str">
        <f>IF(Table24[[#This Row],[Journal Description (Service Description)]]="","",VLOOKUP(Table24[[#This Row],[Journal Description (Service Description)]],'[1]Lookup Values'!$A:$B,2,FALSE))</f>
        <v/>
      </c>
    </row>
    <row r="170" spans="1:4" hidden="1" x14ac:dyDescent="0.35">
      <c r="A170" t="str">
        <f>IF(Table24[[#This Row],[Branch Name]]="","",(_xlfn.XLOOKUP(Table24[[#This Row],[Branch Name]],'[1]Lookup Values'!G:G,'[1]Lookup Values'!H:H,0)))</f>
        <v/>
      </c>
      <c r="B170" t="str">
        <f>IF(Table24[[#This Row],[Branch Name]]="","",(_xlfn.XLOOKUP(Table24[[#This Row],[Branch Name]],'[1]Lookup Values'!G:G,'[1]Lookup Values'!I:I,0)))</f>
        <v/>
      </c>
      <c r="C170" t="str">
        <f>IF(Table24[[#This Row],[Journal Description (Service Description)]]="","",1)</f>
        <v/>
      </c>
      <c r="D170" s="2" t="str">
        <f>IF(Table24[[#This Row],[Journal Description (Service Description)]]="","",VLOOKUP(Table24[[#This Row],[Journal Description (Service Description)]],'[1]Lookup Values'!$A:$B,2,FALSE))</f>
        <v/>
      </c>
    </row>
    <row r="171" spans="1:4" hidden="1" x14ac:dyDescent="0.35">
      <c r="A171" t="str">
        <f>IF(Table24[[#This Row],[Branch Name]]="","",(_xlfn.XLOOKUP(Table24[[#This Row],[Branch Name]],'[1]Lookup Values'!G:G,'[1]Lookup Values'!H:H,0)))</f>
        <v/>
      </c>
      <c r="B171" t="str">
        <f>IF(Table24[[#This Row],[Branch Name]]="","",(_xlfn.XLOOKUP(Table24[[#This Row],[Branch Name]],'[1]Lookup Values'!G:G,'[1]Lookup Values'!I:I,0)))</f>
        <v/>
      </c>
      <c r="C171" t="str">
        <f>IF(Table24[[#This Row],[Journal Description (Service Description)]]="","",1)</f>
        <v/>
      </c>
      <c r="D171" s="2" t="str">
        <f>IF(Table24[[#This Row],[Journal Description (Service Description)]]="","",VLOOKUP(Table24[[#This Row],[Journal Description (Service Description)]],'[1]Lookup Values'!$A:$B,2,FALSE))</f>
        <v/>
      </c>
    </row>
    <row r="172" spans="1:4" hidden="1" x14ac:dyDescent="0.35">
      <c r="A172" t="str">
        <f>IF(Table24[[#This Row],[Branch Name]]="","",(_xlfn.XLOOKUP(Table24[[#This Row],[Branch Name]],'[1]Lookup Values'!G:G,'[1]Lookup Values'!H:H,0)))</f>
        <v/>
      </c>
      <c r="B172" t="str">
        <f>IF(Table24[[#This Row],[Branch Name]]="","",(_xlfn.XLOOKUP(Table24[[#This Row],[Branch Name]],'[1]Lookup Values'!G:G,'[1]Lookup Values'!I:I,0)))</f>
        <v/>
      </c>
      <c r="C172" t="str">
        <f>IF(Table24[[#This Row],[Journal Description (Service Description)]]="","",1)</f>
        <v/>
      </c>
      <c r="D172" s="2" t="str">
        <f>IF(Table24[[#This Row],[Journal Description (Service Description)]]="","",VLOOKUP(Table24[[#This Row],[Journal Description (Service Description)]],'[1]Lookup Values'!$A:$B,2,FALSE))</f>
        <v/>
      </c>
    </row>
    <row r="173" spans="1:4" hidden="1" x14ac:dyDescent="0.35">
      <c r="A173" t="str">
        <f>IF(Table24[[#This Row],[Branch Name]]="","",(_xlfn.XLOOKUP(Table24[[#This Row],[Branch Name]],'[1]Lookup Values'!G:G,'[1]Lookup Values'!H:H,0)))</f>
        <v/>
      </c>
      <c r="B173" t="str">
        <f>IF(Table24[[#This Row],[Branch Name]]="","",(_xlfn.XLOOKUP(Table24[[#This Row],[Branch Name]],'[1]Lookup Values'!G:G,'[1]Lookup Values'!I:I,0)))</f>
        <v/>
      </c>
      <c r="C173" t="str">
        <f>IF(Table24[[#This Row],[Journal Description (Service Description)]]="","",1)</f>
        <v/>
      </c>
      <c r="D173" s="2" t="str">
        <f>IF(Table24[[#This Row],[Journal Description (Service Description)]]="","",VLOOKUP(Table24[[#This Row],[Journal Description (Service Description)]],'[1]Lookup Values'!$A:$B,2,FALSE))</f>
        <v/>
      </c>
    </row>
    <row r="174" spans="1:4" hidden="1" x14ac:dyDescent="0.35">
      <c r="A174" t="str">
        <f>IF(Table24[[#This Row],[Branch Name]]="","",(_xlfn.XLOOKUP(Table24[[#This Row],[Branch Name]],'[1]Lookup Values'!G:G,'[1]Lookup Values'!H:H,0)))</f>
        <v/>
      </c>
      <c r="B174" t="str">
        <f>IF(Table24[[#This Row],[Branch Name]]="","",(_xlfn.XLOOKUP(Table24[[#This Row],[Branch Name]],'[1]Lookup Values'!G:G,'[1]Lookup Values'!I:I,0)))</f>
        <v/>
      </c>
      <c r="C174" t="str">
        <f>IF(Table24[[#This Row],[Journal Description (Service Description)]]="","",1)</f>
        <v/>
      </c>
      <c r="D174" s="2" t="str">
        <f>IF(Table24[[#This Row],[Journal Description (Service Description)]]="","",VLOOKUP(Table24[[#This Row],[Journal Description (Service Description)]],'[1]Lookup Values'!$A:$B,2,FALSE))</f>
        <v/>
      </c>
    </row>
    <row r="175" spans="1:4" hidden="1" x14ac:dyDescent="0.35">
      <c r="A175" t="str">
        <f>IF(Table24[[#This Row],[Branch Name]]="","",(_xlfn.XLOOKUP(Table24[[#This Row],[Branch Name]],'[1]Lookup Values'!G:G,'[1]Lookup Values'!H:H,0)))</f>
        <v/>
      </c>
      <c r="B175" t="str">
        <f>IF(Table24[[#This Row],[Branch Name]]="","",(_xlfn.XLOOKUP(Table24[[#This Row],[Branch Name]],'[1]Lookup Values'!G:G,'[1]Lookup Values'!I:I,0)))</f>
        <v/>
      </c>
      <c r="C175" t="str">
        <f>IF(Table24[[#This Row],[Journal Description (Service Description)]]="","",1)</f>
        <v/>
      </c>
      <c r="D175" s="2" t="str">
        <f>IF(Table24[[#This Row],[Journal Description (Service Description)]]="","",VLOOKUP(Table24[[#This Row],[Journal Description (Service Description)]],'[1]Lookup Values'!$A:$B,2,FALSE))</f>
        <v/>
      </c>
    </row>
    <row r="176" spans="1:4" hidden="1" x14ac:dyDescent="0.35">
      <c r="A176" t="str">
        <f>IF(Table24[[#This Row],[Branch Name]]="","",(_xlfn.XLOOKUP(Table24[[#This Row],[Branch Name]],'[1]Lookup Values'!G:G,'[1]Lookup Values'!H:H,0)))</f>
        <v/>
      </c>
      <c r="B176" t="str">
        <f>IF(Table24[[#This Row],[Branch Name]]="","",(_xlfn.XLOOKUP(Table24[[#This Row],[Branch Name]],'[1]Lookup Values'!G:G,'[1]Lookup Values'!I:I,0)))</f>
        <v/>
      </c>
      <c r="C176" t="str">
        <f>IF(Table24[[#This Row],[Journal Description (Service Description)]]="","",1)</f>
        <v/>
      </c>
      <c r="D176" s="2" t="str">
        <f>IF(Table24[[#This Row],[Journal Description (Service Description)]]="","",VLOOKUP(Table24[[#This Row],[Journal Description (Service Description)]],'[1]Lookup Values'!$A:$B,2,FALSE))</f>
        <v/>
      </c>
    </row>
    <row r="177" spans="1:4" hidden="1" x14ac:dyDescent="0.35">
      <c r="A177" t="str">
        <f>IF(Table24[[#This Row],[Branch Name]]="","",(_xlfn.XLOOKUP(Table24[[#This Row],[Branch Name]],'[1]Lookup Values'!G:G,'[1]Lookup Values'!H:H,0)))</f>
        <v/>
      </c>
      <c r="B177" t="str">
        <f>IF(Table24[[#This Row],[Branch Name]]="","",(_xlfn.XLOOKUP(Table24[[#This Row],[Branch Name]],'[1]Lookup Values'!G:G,'[1]Lookup Values'!I:I,0)))</f>
        <v/>
      </c>
      <c r="C177" t="str">
        <f>IF(Table24[[#This Row],[Journal Description (Service Description)]]="","",1)</f>
        <v/>
      </c>
      <c r="D177" s="2" t="str">
        <f>IF(Table24[[#This Row],[Journal Description (Service Description)]]="","",VLOOKUP(Table24[[#This Row],[Journal Description (Service Description)]],'[1]Lookup Values'!$A:$B,2,FALSE))</f>
        <v/>
      </c>
    </row>
    <row r="178" spans="1:4" hidden="1" x14ac:dyDescent="0.35">
      <c r="A178" t="str">
        <f>IF(Table24[[#This Row],[Branch Name]]="","",(_xlfn.XLOOKUP(Table24[[#This Row],[Branch Name]],'[1]Lookup Values'!G:G,'[1]Lookup Values'!H:H,0)))</f>
        <v/>
      </c>
      <c r="B178" t="str">
        <f>IF(Table24[[#This Row],[Branch Name]]="","",(_xlfn.XLOOKUP(Table24[[#This Row],[Branch Name]],'[1]Lookup Values'!G:G,'[1]Lookup Values'!I:I,0)))</f>
        <v/>
      </c>
      <c r="C178" t="str">
        <f>IF(Table24[[#This Row],[Journal Description (Service Description)]]="","",1)</f>
        <v/>
      </c>
      <c r="D178" s="2" t="str">
        <f>IF(Table24[[#This Row],[Journal Description (Service Description)]]="","",VLOOKUP(Table24[[#This Row],[Journal Description (Service Description)]],'[1]Lookup Values'!$A:$B,2,FALSE))</f>
        <v/>
      </c>
    </row>
    <row r="179" spans="1:4" hidden="1" x14ac:dyDescent="0.35">
      <c r="A179" t="str">
        <f>IF(Table24[[#This Row],[Branch Name]]="","",(_xlfn.XLOOKUP(Table24[[#This Row],[Branch Name]],'[1]Lookup Values'!G:G,'[1]Lookup Values'!H:H,0)))</f>
        <v/>
      </c>
      <c r="B179" t="str">
        <f>IF(Table24[[#This Row],[Branch Name]]="","",(_xlfn.XLOOKUP(Table24[[#This Row],[Branch Name]],'[1]Lookup Values'!G:G,'[1]Lookup Values'!I:I,0)))</f>
        <v/>
      </c>
      <c r="C179" t="str">
        <f>IF(Table24[[#This Row],[Journal Description (Service Description)]]="","",1)</f>
        <v/>
      </c>
      <c r="D179" s="2" t="str">
        <f>IF(Table24[[#This Row],[Journal Description (Service Description)]]="","",VLOOKUP(Table24[[#This Row],[Journal Description (Service Description)]],'[1]Lookup Values'!$A:$B,2,FALSE))</f>
        <v/>
      </c>
    </row>
    <row r="180" spans="1:4" hidden="1" x14ac:dyDescent="0.35">
      <c r="A180" t="str">
        <f>IF(Table24[[#This Row],[Branch Name]]="","",(_xlfn.XLOOKUP(Table24[[#This Row],[Branch Name]],'[1]Lookup Values'!G:G,'[1]Lookup Values'!H:H,0)))</f>
        <v/>
      </c>
      <c r="B180" t="str">
        <f>IF(Table24[[#This Row],[Branch Name]]="","",(_xlfn.XLOOKUP(Table24[[#This Row],[Branch Name]],'[1]Lookup Values'!G:G,'[1]Lookup Values'!I:I,0)))</f>
        <v/>
      </c>
      <c r="C180" t="str">
        <f>IF(Table24[[#This Row],[Journal Description (Service Description)]]="","",1)</f>
        <v/>
      </c>
      <c r="D180" s="2" t="str">
        <f>IF(Table24[[#This Row],[Journal Description (Service Description)]]="","",VLOOKUP(Table24[[#This Row],[Journal Description (Service Description)]],'[1]Lookup Values'!$A:$B,2,FALSE))</f>
        <v/>
      </c>
    </row>
    <row r="181" spans="1:4" hidden="1" x14ac:dyDescent="0.35">
      <c r="A181" t="str">
        <f>IF(Table24[[#This Row],[Branch Name]]="","",(_xlfn.XLOOKUP(Table24[[#This Row],[Branch Name]],'[1]Lookup Values'!G:G,'[1]Lookup Values'!H:H,0)))</f>
        <v/>
      </c>
      <c r="B181" t="str">
        <f>IF(Table24[[#This Row],[Branch Name]]="","",(_xlfn.XLOOKUP(Table24[[#This Row],[Branch Name]],'[1]Lookup Values'!G:G,'[1]Lookup Values'!I:I,0)))</f>
        <v/>
      </c>
      <c r="C181" t="str">
        <f>IF(Table24[[#This Row],[Journal Description (Service Description)]]="","",1)</f>
        <v/>
      </c>
      <c r="D181" s="2" t="str">
        <f>IF(Table24[[#This Row],[Journal Description (Service Description)]]="","",VLOOKUP(Table24[[#This Row],[Journal Description (Service Description)]],'[1]Lookup Values'!$A:$B,2,FALSE))</f>
        <v/>
      </c>
    </row>
    <row r="182" spans="1:4" hidden="1" x14ac:dyDescent="0.35">
      <c r="A182" t="str">
        <f>IF(Table24[[#This Row],[Branch Name]]="","",(_xlfn.XLOOKUP(Table24[[#This Row],[Branch Name]],'[1]Lookup Values'!G:G,'[1]Lookup Values'!H:H,0)))</f>
        <v/>
      </c>
      <c r="B182" t="str">
        <f>IF(Table24[[#This Row],[Branch Name]]="","",(_xlfn.XLOOKUP(Table24[[#This Row],[Branch Name]],'[1]Lookup Values'!G:G,'[1]Lookup Values'!I:I,0)))</f>
        <v/>
      </c>
      <c r="C182" t="str">
        <f>IF(Table24[[#This Row],[Journal Description (Service Description)]]="","",1)</f>
        <v/>
      </c>
      <c r="D182" s="2" t="str">
        <f>IF(Table24[[#This Row],[Journal Description (Service Description)]]="","",VLOOKUP(Table24[[#This Row],[Journal Description (Service Description)]],'[1]Lookup Values'!$A:$B,2,FALSE))</f>
        <v/>
      </c>
    </row>
    <row r="183" spans="1:4" hidden="1" x14ac:dyDescent="0.35">
      <c r="A183" t="str">
        <f>IF(Table24[[#This Row],[Branch Name]]="","",(_xlfn.XLOOKUP(Table24[[#This Row],[Branch Name]],'[1]Lookup Values'!G:G,'[1]Lookup Values'!H:H,0)))</f>
        <v/>
      </c>
      <c r="B183" t="str">
        <f>IF(Table24[[#This Row],[Branch Name]]="","",(_xlfn.XLOOKUP(Table24[[#This Row],[Branch Name]],'[1]Lookup Values'!G:G,'[1]Lookup Values'!I:I,0)))</f>
        <v/>
      </c>
      <c r="C183" t="str">
        <f>IF(Table24[[#This Row],[Journal Description (Service Description)]]="","",1)</f>
        <v/>
      </c>
      <c r="D183" s="2" t="str">
        <f>IF(Table24[[#This Row],[Journal Description (Service Description)]]="","",VLOOKUP(Table24[[#This Row],[Journal Description (Service Description)]],'[1]Lookup Values'!$A:$B,2,FALSE))</f>
        <v/>
      </c>
    </row>
    <row r="184" spans="1:4" hidden="1" x14ac:dyDescent="0.35">
      <c r="A184" t="str">
        <f>IF(Table24[[#This Row],[Branch Name]]="","",(_xlfn.XLOOKUP(Table24[[#This Row],[Branch Name]],'[1]Lookup Values'!G:G,'[1]Lookup Values'!H:H,0)))</f>
        <v/>
      </c>
      <c r="B184" t="str">
        <f>IF(Table24[[#This Row],[Branch Name]]="","",(_xlfn.XLOOKUP(Table24[[#This Row],[Branch Name]],'[1]Lookup Values'!G:G,'[1]Lookup Values'!I:I,0)))</f>
        <v/>
      </c>
      <c r="C184" t="str">
        <f>IF(Table24[[#This Row],[Journal Description (Service Description)]]="","",1)</f>
        <v/>
      </c>
      <c r="D184" s="2" t="str">
        <f>IF(Table24[[#This Row],[Journal Description (Service Description)]]="","",VLOOKUP(Table24[[#This Row],[Journal Description (Service Description)]],'[1]Lookup Values'!$A:$B,2,FALSE))</f>
        <v/>
      </c>
    </row>
    <row r="185" spans="1:4" hidden="1" x14ac:dyDescent="0.35">
      <c r="A185" t="str">
        <f>IF(Table24[[#This Row],[Branch Name]]="","",(_xlfn.XLOOKUP(Table24[[#This Row],[Branch Name]],'[1]Lookup Values'!G:G,'[1]Lookup Values'!H:H,0)))</f>
        <v/>
      </c>
      <c r="B185" t="str">
        <f>IF(Table24[[#This Row],[Branch Name]]="","",(_xlfn.XLOOKUP(Table24[[#This Row],[Branch Name]],'[1]Lookup Values'!G:G,'[1]Lookup Values'!I:I,0)))</f>
        <v/>
      </c>
      <c r="C185" t="str">
        <f>IF(Table24[[#This Row],[Journal Description (Service Description)]]="","",1)</f>
        <v/>
      </c>
      <c r="D185" s="2" t="str">
        <f>IF(Table24[[#This Row],[Journal Description (Service Description)]]="","",VLOOKUP(Table24[[#This Row],[Journal Description (Service Description)]],'[1]Lookup Values'!$A:$B,2,FALSE))</f>
        <v/>
      </c>
    </row>
    <row r="186" spans="1:4" hidden="1" x14ac:dyDescent="0.35">
      <c r="A186" t="str">
        <f>IF(Table24[[#This Row],[Branch Name]]="","",(_xlfn.XLOOKUP(Table24[[#This Row],[Branch Name]],'[1]Lookup Values'!G:G,'[1]Lookup Values'!H:H,0)))</f>
        <v/>
      </c>
      <c r="B186" t="str">
        <f>IF(Table24[[#This Row],[Branch Name]]="","",(_xlfn.XLOOKUP(Table24[[#This Row],[Branch Name]],'[1]Lookup Values'!G:G,'[1]Lookup Values'!I:I,0)))</f>
        <v/>
      </c>
      <c r="C186" t="str">
        <f>IF(Table24[[#This Row],[Journal Description (Service Description)]]="","",1)</f>
        <v/>
      </c>
      <c r="D186" s="2" t="str">
        <f>IF(Table24[[#This Row],[Journal Description (Service Description)]]="","",VLOOKUP(Table24[[#This Row],[Journal Description (Service Description)]],'[1]Lookup Values'!$A:$B,2,FALSE))</f>
        <v/>
      </c>
    </row>
    <row r="187" spans="1:4" hidden="1" x14ac:dyDescent="0.35">
      <c r="A187" t="str">
        <f>IF(Table24[[#This Row],[Branch Name]]="","",(_xlfn.XLOOKUP(Table24[[#This Row],[Branch Name]],'[1]Lookup Values'!G:G,'[1]Lookup Values'!H:H,0)))</f>
        <v/>
      </c>
      <c r="B187" t="str">
        <f>IF(Table24[[#This Row],[Branch Name]]="","",(_xlfn.XLOOKUP(Table24[[#This Row],[Branch Name]],'[1]Lookup Values'!G:G,'[1]Lookup Values'!I:I,0)))</f>
        <v/>
      </c>
      <c r="C187" t="str">
        <f>IF(Table24[[#This Row],[Journal Description (Service Description)]]="","",1)</f>
        <v/>
      </c>
      <c r="D187" s="2" t="str">
        <f>IF(Table24[[#This Row],[Journal Description (Service Description)]]="","",VLOOKUP(Table24[[#This Row],[Journal Description (Service Description)]],'[1]Lookup Values'!$A:$B,2,FALSE))</f>
        <v/>
      </c>
    </row>
    <row r="188" spans="1:4" hidden="1" x14ac:dyDescent="0.35">
      <c r="A188" t="str">
        <f>IF(Table24[[#This Row],[Branch Name]]="","",(_xlfn.XLOOKUP(Table24[[#This Row],[Branch Name]],'[1]Lookup Values'!G:G,'[1]Lookup Values'!H:H,0)))</f>
        <v/>
      </c>
      <c r="B188" t="str">
        <f>IF(Table24[[#This Row],[Branch Name]]="","",(_xlfn.XLOOKUP(Table24[[#This Row],[Branch Name]],'[1]Lookup Values'!G:G,'[1]Lookup Values'!I:I,0)))</f>
        <v/>
      </c>
      <c r="C188" t="str">
        <f>IF(Table24[[#This Row],[Journal Description (Service Description)]]="","",1)</f>
        <v/>
      </c>
      <c r="D188" s="2" t="str">
        <f>IF(Table24[[#This Row],[Journal Description (Service Description)]]="","",VLOOKUP(Table24[[#This Row],[Journal Description (Service Description)]],'[1]Lookup Values'!$A:$B,2,FALSE))</f>
        <v/>
      </c>
    </row>
    <row r="189" spans="1:4" hidden="1" x14ac:dyDescent="0.35">
      <c r="A189" t="str">
        <f>IF(Table24[[#This Row],[Branch Name]]="","",(_xlfn.XLOOKUP(Table24[[#This Row],[Branch Name]],'[1]Lookup Values'!G:G,'[1]Lookup Values'!H:H,0)))</f>
        <v/>
      </c>
      <c r="B189" t="str">
        <f>IF(Table24[[#This Row],[Branch Name]]="","",(_xlfn.XLOOKUP(Table24[[#This Row],[Branch Name]],'[1]Lookup Values'!G:G,'[1]Lookup Values'!I:I,0)))</f>
        <v/>
      </c>
      <c r="C189" t="str">
        <f>IF(Table24[[#This Row],[Journal Description (Service Description)]]="","",1)</f>
        <v/>
      </c>
      <c r="D189" s="2" t="str">
        <f>IF(Table24[[#This Row],[Journal Description (Service Description)]]="","",VLOOKUP(Table24[[#This Row],[Journal Description (Service Description)]],'[1]Lookup Values'!$A:$B,2,FALSE))</f>
        <v/>
      </c>
    </row>
    <row r="190" spans="1:4" hidden="1" x14ac:dyDescent="0.35">
      <c r="A190" t="str">
        <f>IF(Table24[[#This Row],[Branch Name]]="","",(_xlfn.XLOOKUP(Table24[[#This Row],[Branch Name]],'[1]Lookup Values'!G:G,'[1]Lookup Values'!H:H,0)))</f>
        <v/>
      </c>
      <c r="B190" t="str">
        <f>IF(Table24[[#This Row],[Branch Name]]="","",(_xlfn.XLOOKUP(Table24[[#This Row],[Branch Name]],'[1]Lookup Values'!G:G,'[1]Lookup Values'!I:I,0)))</f>
        <v/>
      </c>
      <c r="C190" t="str">
        <f>IF(Table24[[#This Row],[Journal Description (Service Description)]]="","",1)</f>
        <v/>
      </c>
      <c r="D190" s="2" t="str">
        <f>IF(Table24[[#This Row],[Journal Description (Service Description)]]="","",VLOOKUP(Table24[[#This Row],[Journal Description (Service Description)]],'[1]Lookup Values'!$A:$B,2,FALSE))</f>
        <v/>
      </c>
    </row>
    <row r="191" spans="1:4" hidden="1" x14ac:dyDescent="0.35">
      <c r="A191" t="str">
        <f>IF(Table24[[#This Row],[Branch Name]]="","",(_xlfn.XLOOKUP(Table24[[#This Row],[Branch Name]],'[1]Lookup Values'!G:G,'[1]Lookup Values'!H:H,0)))</f>
        <v/>
      </c>
      <c r="B191" t="str">
        <f>IF(Table24[[#This Row],[Branch Name]]="","",(_xlfn.XLOOKUP(Table24[[#This Row],[Branch Name]],'[1]Lookup Values'!G:G,'[1]Lookup Values'!I:I,0)))</f>
        <v/>
      </c>
      <c r="C191" t="str">
        <f>IF(Table24[[#This Row],[Journal Description (Service Description)]]="","",1)</f>
        <v/>
      </c>
      <c r="D191" s="2" t="str">
        <f>IF(Table24[[#This Row],[Journal Description (Service Description)]]="","",VLOOKUP(Table24[[#This Row],[Journal Description (Service Description)]],'[1]Lookup Values'!$A:$B,2,FALSE))</f>
        <v/>
      </c>
    </row>
    <row r="192" spans="1:4" hidden="1" x14ac:dyDescent="0.35">
      <c r="A192" t="str">
        <f>IF(Table24[[#This Row],[Branch Name]]="","",(_xlfn.XLOOKUP(Table24[[#This Row],[Branch Name]],'[1]Lookup Values'!G:G,'[1]Lookup Values'!H:H,0)))</f>
        <v/>
      </c>
      <c r="B192" t="str">
        <f>IF(Table24[[#This Row],[Branch Name]]="","",(_xlfn.XLOOKUP(Table24[[#This Row],[Branch Name]],'[1]Lookup Values'!G:G,'[1]Lookup Values'!I:I,0)))</f>
        <v/>
      </c>
      <c r="C192" t="str">
        <f>IF(Table24[[#This Row],[Journal Description (Service Description)]]="","",1)</f>
        <v/>
      </c>
      <c r="D192" s="2" t="str">
        <f>IF(Table24[[#This Row],[Journal Description (Service Description)]]="","",VLOOKUP(Table24[[#This Row],[Journal Description (Service Description)]],'[1]Lookup Values'!$A:$B,2,FALSE))</f>
        <v/>
      </c>
    </row>
    <row r="193" spans="1:4" hidden="1" x14ac:dyDescent="0.35">
      <c r="A193" t="str">
        <f>IF(Table24[[#This Row],[Branch Name]]="","",(_xlfn.XLOOKUP(Table24[[#This Row],[Branch Name]],'[1]Lookup Values'!G:G,'[1]Lookup Values'!H:H,0)))</f>
        <v/>
      </c>
      <c r="B193" t="str">
        <f>IF(Table24[[#This Row],[Branch Name]]="","",(_xlfn.XLOOKUP(Table24[[#This Row],[Branch Name]],'[1]Lookup Values'!G:G,'[1]Lookup Values'!I:I,0)))</f>
        <v/>
      </c>
      <c r="C193" t="str">
        <f>IF(Table24[[#This Row],[Journal Description (Service Description)]]="","",1)</f>
        <v/>
      </c>
      <c r="D193" s="2" t="str">
        <f>IF(Table24[[#This Row],[Journal Description (Service Description)]]="","",VLOOKUP(Table24[[#This Row],[Journal Description (Service Description)]],'[1]Lookup Values'!$A:$B,2,FALSE))</f>
        <v/>
      </c>
    </row>
    <row r="194" spans="1:4" hidden="1" x14ac:dyDescent="0.35">
      <c r="A194" t="str">
        <f>IF(Table24[[#This Row],[Branch Name]]="","",(_xlfn.XLOOKUP(Table24[[#This Row],[Branch Name]],'[1]Lookup Values'!G:G,'[1]Lookup Values'!H:H,0)))</f>
        <v/>
      </c>
      <c r="B194" t="str">
        <f>IF(Table24[[#This Row],[Branch Name]]="","",(_xlfn.XLOOKUP(Table24[[#This Row],[Branch Name]],'[1]Lookup Values'!G:G,'[1]Lookup Values'!I:I,0)))</f>
        <v/>
      </c>
      <c r="C194" t="str">
        <f>IF(Table24[[#This Row],[Journal Description (Service Description)]]="","",1)</f>
        <v/>
      </c>
      <c r="D194" s="2" t="str">
        <f>IF(Table24[[#This Row],[Journal Description (Service Description)]]="","",VLOOKUP(Table24[[#This Row],[Journal Description (Service Description)]],'[1]Lookup Values'!$A:$B,2,FALSE))</f>
        <v/>
      </c>
    </row>
    <row r="195" spans="1:4" hidden="1" x14ac:dyDescent="0.35">
      <c r="A195" t="str">
        <f>IF(Table24[[#This Row],[Branch Name]]="","",(_xlfn.XLOOKUP(Table24[[#This Row],[Branch Name]],'[1]Lookup Values'!G:G,'[1]Lookup Values'!H:H,0)))</f>
        <v/>
      </c>
      <c r="B195" t="str">
        <f>IF(Table24[[#This Row],[Branch Name]]="","",(_xlfn.XLOOKUP(Table24[[#This Row],[Branch Name]],'[1]Lookup Values'!G:G,'[1]Lookup Values'!I:I,0)))</f>
        <v/>
      </c>
      <c r="C195" t="str">
        <f>IF(Table24[[#This Row],[Journal Description (Service Description)]]="","",1)</f>
        <v/>
      </c>
      <c r="D195" s="2" t="str">
        <f>IF(Table24[[#This Row],[Journal Description (Service Description)]]="","",VLOOKUP(Table24[[#This Row],[Journal Description (Service Description)]],'[1]Lookup Values'!$A:$B,2,FALSE))</f>
        <v/>
      </c>
    </row>
    <row r="196" spans="1:4" hidden="1" x14ac:dyDescent="0.35">
      <c r="A196" t="str">
        <f>IF(Table24[[#This Row],[Branch Name]]="","",(_xlfn.XLOOKUP(Table24[[#This Row],[Branch Name]],'[1]Lookup Values'!G:G,'[1]Lookup Values'!H:H,0)))</f>
        <v/>
      </c>
      <c r="B196" t="str">
        <f>IF(Table24[[#This Row],[Branch Name]]="","",(_xlfn.XLOOKUP(Table24[[#This Row],[Branch Name]],'[1]Lookup Values'!G:G,'[1]Lookup Values'!I:I,0)))</f>
        <v/>
      </c>
      <c r="C196" t="str">
        <f>IF(Table24[[#This Row],[Journal Description (Service Description)]]="","",1)</f>
        <v/>
      </c>
      <c r="D196" s="2" t="str">
        <f>IF(Table24[[#This Row],[Journal Description (Service Description)]]="","",VLOOKUP(Table24[[#This Row],[Journal Description (Service Description)]],'[1]Lookup Values'!$A:$B,2,FALSE))</f>
        <v/>
      </c>
    </row>
    <row r="197" spans="1:4" hidden="1" x14ac:dyDescent="0.35">
      <c r="A197" t="str">
        <f>IF(Table24[[#This Row],[Branch Name]]="","",(_xlfn.XLOOKUP(Table24[[#This Row],[Branch Name]],'[1]Lookup Values'!G:G,'[1]Lookup Values'!H:H,0)))</f>
        <v/>
      </c>
      <c r="B197" t="str">
        <f>IF(Table24[[#This Row],[Branch Name]]="","",(_xlfn.XLOOKUP(Table24[[#This Row],[Branch Name]],'[1]Lookup Values'!G:G,'[1]Lookup Values'!I:I,0)))</f>
        <v/>
      </c>
      <c r="C197" t="str">
        <f>IF(Table24[[#This Row],[Journal Description (Service Description)]]="","",1)</f>
        <v/>
      </c>
      <c r="D197" s="2" t="str">
        <f>IF(Table24[[#This Row],[Journal Description (Service Description)]]="","",VLOOKUP(Table24[[#This Row],[Journal Description (Service Description)]],'[1]Lookup Values'!$A:$B,2,FALSE))</f>
        <v/>
      </c>
    </row>
    <row r="198" spans="1:4" hidden="1" x14ac:dyDescent="0.35">
      <c r="A198" t="str">
        <f>IF(Table24[[#This Row],[Branch Name]]="","",(_xlfn.XLOOKUP(Table24[[#This Row],[Branch Name]],'[1]Lookup Values'!G:G,'[1]Lookup Values'!H:H,0)))</f>
        <v/>
      </c>
      <c r="B198" t="str">
        <f>IF(Table24[[#This Row],[Branch Name]]="","",(_xlfn.XLOOKUP(Table24[[#This Row],[Branch Name]],'[1]Lookup Values'!G:G,'[1]Lookup Values'!I:I,0)))</f>
        <v/>
      </c>
      <c r="C198" t="str">
        <f>IF(Table24[[#This Row],[Journal Description (Service Description)]]="","",1)</f>
        <v/>
      </c>
      <c r="D198" s="2" t="str">
        <f>IF(Table24[[#This Row],[Journal Description (Service Description)]]="","",VLOOKUP(Table24[[#This Row],[Journal Description (Service Description)]],'[1]Lookup Values'!$A:$B,2,FALSE))</f>
        <v/>
      </c>
    </row>
    <row r="199" spans="1:4" hidden="1" x14ac:dyDescent="0.35">
      <c r="A199" t="str">
        <f>IF(Table24[[#This Row],[Branch Name]]="","",(_xlfn.XLOOKUP(Table24[[#This Row],[Branch Name]],'[1]Lookup Values'!G:G,'[1]Lookup Values'!H:H,0)))</f>
        <v/>
      </c>
      <c r="B199" t="str">
        <f>IF(Table24[[#This Row],[Branch Name]]="","",(_xlfn.XLOOKUP(Table24[[#This Row],[Branch Name]],'[1]Lookup Values'!G:G,'[1]Lookup Values'!I:I,0)))</f>
        <v/>
      </c>
      <c r="C199" t="str">
        <f>IF(Table24[[#This Row],[Journal Description (Service Description)]]="","",1)</f>
        <v/>
      </c>
      <c r="D199" s="2" t="str">
        <f>IF(Table24[[#This Row],[Journal Description (Service Description)]]="","",VLOOKUP(Table24[[#This Row],[Journal Description (Service Description)]],'[1]Lookup Values'!$A:$B,2,FALSE))</f>
        <v/>
      </c>
    </row>
    <row r="200" spans="1:4" hidden="1" x14ac:dyDescent="0.35">
      <c r="A200" t="str">
        <f>IF(Table24[[#This Row],[Branch Name]]="","",(_xlfn.XLOOKUP(Table24[[#This Row],[Branch Name]],'[1]Lookup Values'!G:G,'[1]Lookup Values'!H:H,0)))</f>
        <v/>
      </c>
      <c r="B200" t="str">
        <f>IF(Table24[[#This Row],[Branch Name]]="","",(_xlfn.XLOOKUP(Table24[[#This Row],[Branch Name]],'[1]Lookup Values'!G:G,'[1]Lookup Values'!I:I,0)))</f>
        <v/>
      </c>
      <c r="C200" t="str">
        <f>IF(Table24[[#This Row],[Journal Description (Service Description)]]="","",1)</f>
        <v/>
      </c>
      <c r="D200" s="2" t="str">
        <f>IF(Table24[[#This Row],[Journal Description (Service Description)]]="","",VLOOKUP(Table24[[#This Row],[Journal Description (Service Description)]],'[1]Lookup Values'!$A:$B,2,FALSE))</f>
        <v/>
      </c>
    </row>
    <row r="201" spans="1:4" hidden="1" x14ac:dyDescent="0.35">
      <c r="A201" t="str">
        <f>IF(Table24[[#This Row],[Branch Name]]="","",(_xlfn.XLOOKUP(Table24[[#This Row],[Branch Name]],'[1]Lookup Values'!G:G,'[1]Lookup Values'!H:H,0)))</f>
        <v/>
      </c>
      <c r="B201" t="str">
        <f>IF(Table24[[#This Row],[Branch Name]]="","",(_xlfn.XLOOKUP(Table24[[#This Row],[Branch Name]],'[1]Lookup Values'!G:G,'[1]Lookup Values'!I:I,0)))</f>
        <v/>
      </c>
      <c r="C201" t="str">
        <f>IF(Table24[[#This Row],[Journal Description (Service Description)]]="","",1)</f>
        <v/>
      </c>
      <c r="D201" s="2" t="str">
        <f>IF(Table24[[#This Row],[Journal Description (Service Description)]]="","",VLOOKUP(Table24[[#This Row],[Journal Description (Service Description)]],'[1]Lookup Values'!$A:$B,2,FALSE))</f>
        <v/>
      </c>
    </row>
    <row r="202" spans="1:4" hidden="1" x14ac:dyDescent="0.35">
      <c r="A202" t="str">
        <f>IF(Table24[[#This Row],[Branch Name]]="","",(_xlfn.XLOOKUP(Table24[[#This Row],[Branch Name]],'[1]Lookup Values'!G:G,'[1]Lookup Values'!H:H,0)))</f>
        <v/>
      </c>
      <c r="B202" t="str">
        <f>IF(Table24[[#This Row],[Branch Name]]="","",(_xlfn.XLOOKUP(Table24[[#This Row],[Branch Name]],'[1]Lookup Values'!G:G,'[1]Lookup Values'!I:I,0)))</f>
        <v/>
      </c>
      <c r="C202" t="str">
        <f>IF(Table24[[#This Row],[Journal Description (Service Description)]]="","",1)</f>
        <v/>
      </c>
      <c r="D202" s="2" t="str">
        <f>IF(Table24[[#This Row],[Journal Description (Service Description)]]="","",VLOOKUP(Table24[[#This Row],[Journal Description (Service Description)]],'[1]Lookup Values'!$A:$B,2,FALSE))</f>
        <v/>
      </c>
    </row>
    <row r="203" spans="1:4" hidden="1" x14ac:dyDescent="0.35">
      <c r="A203" t="str">
        <f>IF(Table24[[#This Row],[Branch Name]]="","",(_xlfn.XLOOKUP(Table24[[#This Row],[Branch Name]],'[1]Lookup Values'!G:G,'[1]Lookup Values'!H:H,0)))</f>
        <v/>
      </c>
      <c r="B203" t="str">
        <f>IF(Table24[[#This Row],[Branch Name]]="","",(_xlfn.XLOOKUP(Table24[[#This Row],[Branch Name]],'[1]Lookup Values'!G:G,'[1]Lookup Values'!I:I,0)))</f>
        <v/>
      </c>
      <c r="C203" t="str">
        <f>IF(Table24[[#This Row],[Journal Description (Service Description)]]="","",1)</f>
        <v/>
      </c>
      <c r="D203" s="2" t="str">
        <f>IF(Table24[[#This Row],[Journal Description (Service Description)]]="","",VLOOKUP(Table24[[#This Row],[Journal Description (Service Description)]],'[1]Lookup Values'!$A:$B,2,FALSE))</f>
        <v/>
      </c>
    </row>
    <row r="204" spans="1:4" hidden="1" x14ac:dyDescent="0.35">
      <c r="A204" t="str">
        <f>IF(Table24[[#This Row],[Branch Name]]="","",(_xlfn.XLOOKUP(Table24[[#This Row],[Branch Name]],'[1]Lookup Values'!G:G,'[1]Lookup Values'!H:H,0)))</f>
        <v/>
      </c>
      <c r="B204" t="str">
        <f>IF(Table24[[#This Row],[Branch Name]]="","",(_xlfn.XLOOKUP(Table24[[#This Row],[Branch Name]],'[1]Lookup Values'!G:G,'[1]Lookup Values'!I:I,0)))</f>
        <v/>
      </c>
      <c r="C204" t="str">
        <f>IF(Table24[[#This Row],[Journal Description (Service Description)]]="","",1)</f>
        <v/>
      </c>
      <c r="D204" s="2" t="str">
        <f>IF(Table24[[#This Row],[Journal Description (Service Description)]]="","",VLOOKUP(Table24[[#This Row],[Journal Description (Service Description)]],'[1]Lookup Values'!$A:$B,2,FALSE))</f>
        <v/>
      </c>
    </row>
    <row r="205" spans="1:4" hidden="1" x14ac:dyDescent="0.35">
      <c r="A205" t="str">
        <f>IF(Table24[[#This Row],[Branch Name]]="","",(_xlfn.XLOOKUP(Table24[[#This Row],[Branch Name]],'[1]Lookup Values'!G:G,'[1]Lookup Values'!H:H,0)))</f>
        <v/>
      </c>
      <c r="B205" t="str">
        <f>IF(Table24[[#This Row],[Branch Name]]="","",(_xlfn.XLOOKUP(Table24[[#This Row],[Branch Name]],'[1]Lookup Values'!G:G,'[1]Lookup Values'!I:I,0)))</f>
        <v/>
      </c>
      <c r="C205" t="str">
        <f>IF(Table24[[#This Row],[Journal Description (Service Description)]]="","",1)</f>
        <v/>
      </c>
      <c r="D205" s="2" t="str">
        <f>IF(Table24[[#This Row],[Journal Description (Service Description)]]="","",VLOOKUP(Table24[[#This Row],[Journal Description (Service Description)]],'[1]Lookup Values'!$A:$B,2,FALSE))</f>
        <v/>
      </c>
    </row>
    <row r="206" spans="1:4" hidden="1" x14ac:dyDescent="0.35">
      <c r="A206" t="str">
        <f>IF(Table24[[#This Row],[Branch Name]]="","",(_xlfn.XLOOKUP(Table24[[#This Row],[Branch Name]],'[1]Lookup Values'!G:G,'[1]Lookup Values'!H:H,0)))</f>
        <v/>
      </c>
      <c r="B206" t="str">
        <f>IF(Table24[[#This Row],[Branch Name]]="","",(_xlfn.XLOOKUP(Table24[[#This Row],[Branch Name]],'[1]Lookup Values'!G:G,'[1]Lookup Values'!I:I,0)))</f>
        <v/>
      </c>
      <c r="C206" t="str">
        <f>IF(Table24[[#This Row],[Journal Description (Service Description)]]="","",1)</f>
        <v/>
      </c>
      <c r="D206" s="2" t="str">
        <f>IF(Table24[[#This Row],[Journal Description (Service Description)]]="","",VLOOKUP(Table24[[#This Row],[Journal Description (Service Description)]],'[1]Lookup Values'!$A:$B,2,FALSE))</f>
        <v/>
      </c>
    </row>
    <row r="207" spans="1:4" hidden="1" x14ac:dyDescent="0.35">
      <c r="A207" t="str">
        <f>IF(Table24[[#This Row],[Branch Name]]="","",(_xlfn.XLOOKUP(Table24[[#This Row],[Branch Name]],'[1]Lookup Values'!G:G,'[1]Lookup Values'!H:H,0)))</f>
        <v/>
      </c>
      <c r="B207" t="str">
        <f>IF(Table24[[#This Row],[Branch Name]]="","",(_xlfn.XLOOKUP(Table24[[#This Row],[Branch Name]],'[1]Lookup Values'!G:G,'[1]Lookup Values'!I:I,0)))</f>
        <v/>
      </c>
      <c r="C207" t="str">
        <f>IF(Table24[[#This Row],[Journal Description (Service Description)]]="","",1)</f>
        <v/>
      </c>
      <c r="D207" s="2" t="str">
        <f>IF(Table24[[#This Row],[Journal Description (Service Description)]]="","",VLOOKUP(Table24[[#This Row],[Journal Description (Service Description)]],'[1]Lookup Values'!$A:$B,2,FALSE))</f>
        <v/>
      </c>
    </row>
    <row r="208" spans="1:4" hidden="1" x14ac:dyDescent="0.35">
      <c r="A208" t="str">
        <f>IF(Table24[[#This Row],[Branch Name]]="","",(_xlfn.XLOOKUP(Table24[[#This Row],[Branch Name]],'[1]Lookup Values'!G:G,'[1]Lookup Values'!H:H,0)))</f>
        <v/>
      </c>
      <c r="B208" t="str">
        <f>IF(Table24[[#This Row],[Branch Name]]="","",(_xlfn.XLOOKUP(Table24[[#This Row],[Branch Name]],'[1]Lookup Values'!G:G,'[1]Lookup Values'!I:I,0)))</f>
        <v/>
      </c>
      <c r="C208" t="str">
        <f>IF(Table24[[#This Row],[Journal Description (Service Description)]]="","",1)</f>
        <v/>
      </c>
      <c r="D208" s="2" t="str">
        <f>IF(Table24[[#This Row],[Journal Description (Service Description)]]="","",VLOOKUP(Table24[[#This Row],[Journal Description (Service Description)]],'[1]Lookup Values'!$A:$B,2,FALSE))</f>
        <v/>
      </c>
    </row>
    <row r="209" spans="1:4" hidden="1" x14ac:dyDescent="0.35">
      <c r="A209" t="str">
        <f>IF(Table24[[#This Row],[Branch Name]]="","",(_xlfn.XLOOKUP(Table24[[#This Row],[Branch Name]],'[1]Lookup Values'!G:G,'[1]Lookup Values'!H:H,0)))</f>
        <v/>
      </c>
      <c r="B209" t="str">
        <f>IF(Table24[[#This Row],[Branch Name]]="","",(_xlfn.XLOOKUP(Table24[[#This Row],[Branch Name]],'[1]Lookup Values'!G:G,'[1]Lookup Values'!I:I,0)))</f>
        <v/>
      </c>
      <c r="C209" t="str">
        <f>IF(Table24[[#This Row],[Journal Description (Service Description)]]="","",1)</f>
        <v/>
      </c>
      <c r="D209" s="2" t="str">
        <f>IF(Table24[[#This Row],[Journal Description (Service Description)]]="","",VLOOKUP(Table24[[#This Row],[Journal Description (Service Description)]],'[1]Lookup Values'!$A:$B,2,FALSE))</f>
        <v/>
      </c>
    </row>
    <row r="210" spans="1:4" hidden="1" x14ac:dyDescent="0.35">
      <c r="A210" t="str">
        <f>IF(Table24[[#This Row],[Branch Name]]="","",(_xlfn.XLOOKUP(Table24[[#This Row],[Branch Name]],'[1]Lookup Values'!G:G,'[1]Lookup Values'!H:H,0)))</f>
        <v/>
      </c>
      <c r="B210" t="str">
        <f>IF(Table24[[#This Row],[Branch Name]]="","",(_xlfn.XLOOKUP(Table24[[#This Row],[Branch Name]],'[1]Lookup Values'!G:G,'[1]Lookup Values'!I:I,0)))</f>
        <v/>
      </c>
      <c r="C210" t="str">
        <f>IF(Table24[[#This Row],[Journal Description (Service Description)]]="","",1)</f>
        <v/>
      </c>
      <c r="D210" s="2" t="str">
        <f>IF(Table24[[#This Row],[Journal Description (Service Description)]]="","",VLOOKUP(Table24[[#This Row],[Journal Description (Service Description)]],'[1]Lookup Values'!$A:$B,2,FALSE))</f>
        <v/>
      </c>
    </row>
    <row r="211" spans="1:4" hidden="1" x14ac:dyDescent="0.35">
      <c r="A211" t="str">
        <f>IF(Table24[[#This Row],[Branch Name]]="","",(_xlfn.XLOOKUP(Table24[[#This Row],[Branch Name]],'[1]Lookup Values'!G:G,'[1]Lookup Values'!H:H,0)))</f>
        <v/>
      </c>
      <c r="B211" t="str">
        <f>IF(Table24[[#This Row],[Branch Name]]="","",(_xlfn.XLOOKUP(Table24[[#This Row],[Branch Name]],'[1]Lookup Values'!G:G,'[1]Lookup Values'!I:I,0)))</f>
        <v/>
      </c>
      <c r="C211" t="str">
        <f>IF(Table24[[#This Row],[Journal Description (Service Description)]]="","",1)</f>
        <v/>
      </c>
      <c r="D211" s="2" t="str">
        <f>IF(Table24[[#This Row],[Journal Description (Service Description)]]="","",VLOOKUP(Table24[[#This Row],[Journal Description (Service Description)]],'[1]Lookup Values'!$A:$B,2,FALSE))</f>
        <v/>
      </c>
    </row>
    <row r="212" spans="1:4" hidden="1" x14ac:dyDescent="0.35">
      <c r="A212" t="str">
        <f>IF(Table24[[#This Row],[Branch Name]]="","",(_xlfn.XLOOKUP(Table24[[#This Row],[Branch Name]],'[1]Lookup Values'!G:G,'[1]Lookup Values'!H:H,0)))</f>
        <v/>
      </c>
      <c r="B212" t="str">
        <f>IF(Table24[[#This Row],[Branch Name]]="","",(_xlfn.XLOOKUP(Table24[[#This Row],[Branch Name]],'[1]Lookup Values'!G:G,'[1]Lookup Values'!I:I,0)))</f>
        <v/>
      </c>
      <c r="C212" t="str">
        <f>IF(Table24[[#This Row],[Journal Description (Service Description)]]="","",1)</f>
        <v/>
      </c>
      <c r="D212" s="2" t="str">
        <f>IF(Table24[[#This Row],[Journal Description (Service Description)]]="","",VLOOKUP(Table24[[#This Row],[Journal Description (Service Description)]],'[1]Lookup Values'!$A:$B,2,FALSE))</f>
        <v/>
      </c>
    </row>
    <row r="213" spans="1:4" hidden="1" x14ac:dyDescent="0.35">
      <c r="A213" t="str">
        <f>IF(Table24[[#This Row],[Branch Name]]="","",(_xlfn.XLOOKUP(Table24[[#This Row],[Branch Name]],'[1]Lookup Values'!G:G,'[1]Lookup Values'!H:H,0)))</f>
        <v/>
      </c>
      <c r="B213" t="str">
        <f>IF(Table24[[#This Row],[Branch Name]]="","",(_xlfn.XLOOKUP(Table24[[#This Row],[Branch Name]],'[1]Lookup Values'!G:G,'[1]Lookup Values'!I:I,0)))</f>
        <v/>
      </c>
      <c r="C213" t="str">
        <f>IF(Table24[[#This Row],[Journal Description (Service Description)]]="","",1)</f>
        <v/>
      </c>
      <c r="D213" s="2" t="str">
        <f>IF(Table24[[#This Row],[Journal Description (Service Description)]]="","",VLOOKUP(Table24[[#This Row],[Journal Description (Service Description)]],'[1]Lookup Values'!$A:$B,2,FALSE))</f>
        <v/>
      </c>
    </row>
    <row r="214" spans="1:4" hidden="1" x14ac:dyDescent="0.35">
      <c r="A214" t="str">
        <f>IF(Table24[[#This Row],[Branch Name]]="","",(_xlfn.XLOOKUP(Table24[[#This Row],[Branch Name]],'[1]Lookup Values'!G:G,'[1]Lookup Values'!H:H,0)))</f>
        <v/>
      </c>
      <c r="B214" t="str">
        <f>IF(Table24[[#This Row],[Branch Name]]="","",(_xlfn.XLOOKUP(Table24[[#This Row],[Branch Name]],'[1]Lookup Values'!G:G,'[1]Lookup Values'!I:I,0)))</f>
        <v/>
      </c>
      <c r="C214" t="str">
        <f>IF(Table24[[#This Row],[Journal Description (Service Description)]]="","",1)</f>
        <v/>
      </c>
      <c r="D214" s="2" t="str">
        <f>IF(Table24[[#This Row],[Journal Description (Service Description)]]="","",VLOOKUP(Table24[[#This Row],[Journal Description (Service Description)]],'[1]Lookup Values'!$A:$B,2,FALSE))</f>
        <v/>
      </c>
    </row>
    <row r="215" spans="1:4" hidden="1" x14ac:dyDescent="0.35">
      <c r="A215" t="str">
        <f>IF(Table24[[#This Row],[Branch Name]]="","",(_xlfn.XLOOKUP(Table24[[#This Row],[Branch Name]],'[1]Lookup Values'!G:G,'[1]Lookup Values'!H:H,0)))</f>
        <v/>
      </c>
      <c r="B215" t="str">
        <f>IF(Table24[[#This Row],[Branch Name]]="","",(_xlfn.XLOOKUP(Table24[[#This Row],[Branch Name]],'[1]Lookup Values'!G:G,'[1]Lookup Values'!I:I,0)))</f>
        <v/>
      </c>
      <c r="C215" t="str">
        <f>IF(Table24[[#This Row],[Journal Description (Service Description)]]="","",1)</f>
        <v/>
      </c>
      <c r="D215" s="2" t="str">
        <f>IF(Table24[[#This Row],[Journal Description (Service Description)]]="","",VLOOKUP(Table24[[#This Row],[Journal Description (Service Description)]],'[1]Lookup Values'!$A:$B,2,FALSE))</f>
        <v/>
      </c>
    </row>
    <row r="216" spans="1:4" hidden="1" x14ac:dyDescent="0.35">
      <c r="A216" t="str">
        <f>IF(Table24[[#This Row],[Branch Name]]="","",(_xlfn.XLOOKUP(Table24[[#This Row],[Branch Name]],'[1]Lookup Values'!G:G,'[1]Lookup Values'!H:H,0)))</f>
        <v/>
      </c>
      <c r="B216" t="str">
        <f>IF(Table24[[#This Row],[Branch Name]]="","",(_xlfn.XLOOKUP(Table24[[#This Row],[Branch Name]],'[1]Lookup Values'!G:G,'[1]Lookup Values'!I:I,0)))</f>
        <v/>
      </c>
      <c r="C216" t="str">
        <f>IF(Table24[[#This Row],[Journal Description (Service Description)]]="","",1)</f>
        <v/>
      </c>
      <c r="D216" s="2" t="str">
        <f>IF(Table24[[#This Row],[Journal Description (Service Description)]]="","",VLOOKUP(Table24[[#This Row],[Journal Description (Service Description)]],'[1]Lookup Values'!$A:$B,2,FALSE))</f>
        <v/>
      </c>
    </row>
    <row r="217" spans="1:4" hidden="1" x14ac:dyDescent="0.35">
      <c r="A217" t="str">
        <f>IF(Table24[[#This Row],[Branch Name]]="","",(_xlfn.XLOOKUP(Table24[[#This Row],[Branch Name]],'[1]Lookup Values'!G:G,'[1]Lookup Values'!H:H,0)))</f>
        <v/>
      </c>
      <c r="B217" t="str">
        <f>IF(Table24[[#This Row],[Branch Name]]="","",(_xlfn.XLOOKUP(Table24[[#This Row],[Branch Name]],'[1]Lookup Values'!G:G,'[1]Lookup Values'!I:I,0)))</f>
        <v/>
      </c>
      <c r="C217" t="str">
        <f>IF(Table24[[#This Row],[Journal Description (Service Description)]]="","",1)</f>
        <v/>
      </c>
      <c r="D217" s="2" t="str">
        <f>IF(Table24[[#This Row],[Journal Description (Service Description)]]="","",VLOOKUP(Table24[[#This Row],[Journal Description (Service Description)]],'[1]Lookup Values'!$A:$B,2,FALSE))</f>
        <v/>
      </c>
    </row>
    <row r="218" spans="1:4" hidden="1" x14ac:dyDescent="0.35">
      <c r="A218" t="str">
        <f>IF(Table24[[#This Row],[Branch Name]]="","",(_xlfn.XLOOKUP(Table24[[#This Row],[Branch Name]],'[1]Lookup Values'!G:G,'[1]Lookup Values'!H:H,0)))</f>
        <v/>
      </c>
      <c r="B218" t="str">
        <f>IF(Table24[[#This Row],[Branch Name]]="","",(_xlfn.XLOOKUP(Table24[[#This Row],[Branch Name]],'[1]Lookup Values'!G:G,'[1]Lookup Values'!I:I,0)))</f>
        <v/>
      </c>
      <c r="C218" t="str">
        <f>IF(Table24[[#This Row],[Journal Description (Service Description)]]="","",1)</f>
        <v/>
      </c>
      <c r="D218" s="2" t="str">
        <f>IF(Table24[[#This Row],[Journal Description (Service Description)]]="","",VLOOKUP(Table24[[#This Row],[Journal Description (Service Description)]],'[1]Lookup Values'!$A:$B,2,FALSE))</f>
        <v/>
      </c>
    </row>
    <row r="219" spans="1:4" hidden="1" x14ac:dyDescent="0.35">
      <c r="A219" t="str">
        <f>IF(Table24[[#This Row],[Branch Name]]="","",(_xlfn.XLOOKUP(Table24[[#This Row],[Branch Name]],'[1]Lookup Values'!G:G,'[1]Lookup Values'!H:H,0)))</f>
        <v/>
      </c>
      <c r="B219" t="str">
        <f>IF(Table24[[#This Row],[Branch Name]]="","",(_xlfn.XLOOKUP(Table24[[#This Row],[Branch Name]],'[1]Lookup Values'!G:G,'[1]Lookup Values'!I:I,0)))</f>
        <v/>
      </c>
      <c r="C219" t="str">
        <f>IF(Table24[[#This Row],[Journal Description (Service Description)]]="","",1)</f>
        <v/>
      </c>
      <c r="D219" s="2" t="str">
        <f>IF(Table24[[#This Row],[Journal Description (Service Description)]]="","",VLOOKUP(Table24[[#This Row],[Journal Description (Service Description)]],'[1]Lookup Values'!$A:$B,2,FALSE))</f>
        <v/>
      </c>
    </row>
    <row r="220" spans="1:4" hidden="1" x14ac:dyDescent="0.35">
      <c r="A220" t="str">
        <f>IF(Table24[[#This Row],[Branch Name]]="","",(_xlfn.XLOOKUP(Table24[[#This Row],[Branch Name]],'[1]Lookup Values'!G:G,'[1]Lookup Values'!H:H,0)))</f>
        <v/>
      </c>
      <c r="B220" t="str">
        <f>IF(Table24[[#This Row],[Branch Name]]="","",(_xlfn.XLOOKUP(Table24[[#This Row],[Branch Name]],'[1]Lookup Values'!G:G,'[1]Lookup Values'!I:I,0)))</f>
        <v/>
      </c>
      <c r="C220" t="str">
        <f>IF(Table24[[#This Row],[Journal Description (Service Description)]]="","",1)</f>
        <v/>
      </c>
      <c r="D220" s="2" t="str">
        <f>IF(Table24[[#This Row],[Journal Description (Service Description)]]="","",VLOOKUP(Table24[[#This Row],[Journal Description (Service Description)]],'[1]Lookup Values'!$A:$B,2,FALSE))</f>
        <v/>
      </c>
    </row>
    <row r="221" spans="1:4" hidden="1" x14ac:dyDescent="0.35">
      <c r="A221" t="str">
        <f>IF(Table24[[#This Row],[Branch Name]]="","",(_xlfn.XLOOKUP(Table24[[#This Row],[Branch Name]],'[1]Lookup Values'!G:G,'[1]Lookup Values'!H:H,0)))</f>
        <v/>
      </c>
      <c r="B221" t="str">
        <f>IF(Table24[[#This Row],[Branch Name]]="","",(_xlfn.XLOOKUP(Table24[[#This Row],[Branch Name]],'[1]Lookup Values'!G:G,'[1]Lookup Values'!I:I,0)))</f>
        <v/>
      </c>
      <c r="C221" t="str">
        <f>IF(Table24[[#This Row],[Journal Description (Service Description)]]="","",1)</f>
        <v/>
      </c>
      <c r="D221" s="2" t="str">
        <f>IF(Table24[[#This Row],[Journal Description (Service Description)]]="","",VLOOKUP(Table24[[#This Row],[Journal Description (Service Description)]],'[1]Lookup Values'!$A:$B,2,FALSE))</f>
        <v/>
      </c>
    </row>
    <row r="222" spans="1:4" hidden="1" x14ac:dyDescent="0.35">
      <c r="A222" t="str">
        <f>IF(Table24[[#This Row],[Branch Name]]="","",(_xlfn.XLOOKUP(Table24[[#This Row],[Branch Name]],'[1]Lookup Values'!G:G,'[1]Lookup Values'!H:H,0)))</f>
        <v/>
      </c>
      <c r="B222" t="str">
        <f>IF(Table24[[#This Row],[Branch Name]]="","",(_xlfn.XLOOKUP(Table24[[#This Row],[Branch Name]],'[1]Lookup Values'!G:G,'[1]Lookup Values'!I:I,0)))</f>
        <v/>
      </c>
      <c r="C222" t="str">
        <f>IF(Table24[[#This Row],[Journal Description (Service Description)]]="","",1)</f>
        <v/>
      </c>
      <c r="D222" s="2" t="str">
        <f>IF(Table24[[#This Row],[Journal Description (Service Description)]]="","",VLOOKUP(Table24[[#This Row],[Journal Description (Service Description)]],'[1]Lookup Values'!$A:$B,2,FALSE))</f>
        <v/>
      </c>
    </row>
    <row r="223" spans="1:4" hidden="1" x14ac:dyDescent="0.35">
      <c r="A223" t="str">
        <f>IF(Table24[[#This Row],[Branch Name]]="","",(_xlfn.XLOOKUP(Table24[[#This Row],[Branch Name]],'[1]Lookup Values'!G:G,'[1]Lookup Values'!H:H,0)))</f>
        <v/>
      </c>
      <c r="B223" t="str">
        <f>IF(Table24[[#This Row],[Branch Name]]="","",(_xlfn.XLOOKUP(Table24[[#This Row],[Branch Name]],'[1]Lookup Values'!G:G,'[1]Lookup Values'!I:I,0)))</f>
        <v/>
      </c>
      <c r="C223" t="str">
        <f>IF(Table24[[#This Row],[Journal Description (Service Description)]]="","",1)</f>
        <v/>
      </c>
      <c r="D223" s="2" t="str">
        <f>IF(Table24[[#This Row],[Journal Description (Service Description)]]="","",VLOOKUP(Table24[[#This Row],[Journal Description (Service Description)]],'[1]Lookup Values'!$A:$B,2,FALSE))</f>
        <v/>
      </c>
    </row>
    <row r="224" spans="1:4" hidden="1" x14ac:dyDescent="0.35">
      <c r="A224" t="str">
        <f>IF(Table24[[#This Row],[Branch Name]]="","",(_xlfn.XLOOKUP(Table24[[#This Row],[Branch Name]],'[1]Lookup Values'!G:G,'[1]Lookup Values'!H:H,0)))</f>
        <v/>
      </c>
      <c r="B224" t="str">
        <f>IF(Table24[[#This Row],[Branch Name]]="","",(_xlfn.XLOOKUP(Table24[[#This Row],[Branch Name]],'[1]Lookup Values'!G:G,'[1]Lookup Values'!I:I,0)))</f>
        <v/>
      </c>
      <c r="C224" t="str">
        <f>IF(Table24[[#This Row],[Journal Description (Service Description)]]="","",1)</f>
        <v/>
      </c>
      <c r="D224" s="2" t="str">
        <f>IF(Table24[[#This Row],[Journal Description (Service Description)]]="","",VLOOKUP(Table24[[#This Row],[Journal Description (Service Description)]],'[1]Lookup Values'!$A:$B,2,FALSE))</f>
        <v/>
      </c>
    </row>
    <row r="225" spans="1:4" hidden="1" x14ac:dyDescent="0.35">
      <c r="A225" t="str">
        <f>IF(Table24[[#This Row],[Branch Name]]="","",(_xlfn.XLOOKUP(Table24[[#This Row],[Branch Name]],'[1]Lookup Values'!G:G,'[1]Lookup Values'!H:H,0)))</f>
        <v/>
      </c>
      <c r="B225" t="str">
        <f>IF(Table24[[#This Row],[Branch Name]]="","",(_xlfn.XLOOKUP(Table24[[#This Row],[Branch Name]],'[1]Lookup Values'!G:G,'[1]Lookup Values'!I:I,0)))</f>
        <v/>
      </c>
      <c r="C225" t="str">
        <f>IF(Table24[[#This Row],[Journal Description (Service Description)]]="","",1)</f>
        <v/>
      </c>
      <c r="D225" s="2" t="str">
        <f>IF(Table24[[#This Row],[Journal Description (Service Description)]]="","",VLOOKUP(Table24[[#This Row],[Journal Description (Service Description)]],'[1]Lookup Values'!$A:$B,2,FALSE))</f>
        <v/>
      </c>
    </row>
    <row r="226" spans="1:4" hidden="1" x14ac:dyDescent="0.35">
      <c r="A226" t="str">
        <f>IF(Table24[[#This Row],[Branch Name]]="","",(_xlfn.XLOOKUP(Table24[[#This Row],[Branch Name]],'[1]Lookup Values'!G:G,'[1]Lookup Values'!H:H,0)))</f>
        <v/>
      </c>
      <c r="B226" t="str">
        <f>IF(Table24[[#This Row],[Branch Name]]="","",(_xlfn.XLOOKUP(Table24[[#This Row],[Branch Name]],'[1]Lookup Values'!G:G,'[1]Lookup Values'!I:I,0)))</f>
        <v/>
      </c>
      <c r="C226" t="str">
        <f>IF(Table24[[#This Row],[Journal Description (Service Description)]]="","",1)</f>
        <v/>
      </c>
      <c r="D226" s="2" t="str">
        <f>IF(Table24[[#This Row],[Journal Description (Service Description)]]="","",VLOOKUP(Table24[[#This Row],[Journal Description (Service Description)]],'[1]Lookup Values'!$A:$B,2,FALSE))</f>
        <v/>
      </c>
    </row>
    <row r="227" spans="1:4" hidden="1" x14ac:dyDescent="0.35">
      <c r="A227" t="str">
        <f>IF(Table24[[#This Row],[Branch Name]]="","",(_xlfn.XLOOKUP(Table24[[#This Row],[Branch Name]],'[1]Lookup Values'!G:G,'[1]Lookup Values'!H:H,0)))</f>
        <v/>
      </c>
      <c r="B227" t="str">
        <f>IF(Table24[[#This Row],[Branch Name]]="","",(_xlfn.XLOOKUP(Table24[[#This Row],[Branch Name]],'[1]Lookup Values'!G:G,'[1]Lookup Values'!I:I,0)))</f>
        <v/>
      </c>
      <c r="C227" t="str">
        <f>IF(Table24[[#This Row],[Journal Description (Service Description)]]="","",1)</f>
        <v/>
      </c>
      <c r="D227" s="2" t="str">
        <f>IF(Table24[[#This Row],[Journal Description (Service Description)]]="","",VLOOKUP(Table24[[#This Row],[Journal Description (Service Description)]],'[1]Lookup Values'!$A:$B,2,FALSE))</f>
        <v/>
      </c>
    </row>
    <row r="228" spans="1:4" hidden="1" x14ac:dyDescent="0.35">
      <c r="A228" t="str">
        <f>IF(Table24[[#This Row],[Branch Name]]="","",(_xlfn.XLOOKUP(Table24[[#This Row],[Branch Name]],'[1]Lookup Values'!G:G,'[1]Lookup Values'!H:H,0)))</f>
        <v/>
      </c>
      <c r="B228" t="str">
        <f>IF(Table24[[#This Row],[Branch Name]]="","",(_xlfn.XLOOKUP(Table24[[#This Row],[Branch Name]],'[1]Lookup Values'!G:G,'[1]Lookup Values'!I:I,0)))</f>
        <v/>
      </c>
      <c r="C228" t="str">
        <f>IF(Table24[[#This Row],[Journal Description (Service Description)]]="","",1)</f>
        <v/>
      </c>
      <c r="D228" s="2" t="str">
        <f>IF(Table24[[#This Row],[Journal Description (Service Description)]]="","",VLOOKUP(Table24[[#This Row],[Journal Description (Service Description)]],'[1]Lookup Values'!$A:$B,2,FALSE))</f>
        <v/>
      </c>
    </row>
    <row r="229" spans="1:4" hidden="1" x14ac:dyDescent="0.35">
      <c r="A229" t="str">
        <f>IF(Table24[[#This Row],[Branch Name]]="","",(_xlfn.XLOOKUP(Table24[[#This Row],[Branch Name]],'[1]Lookup Values'!G:G,'[1]Lookup Values'!H:H,0)))</f>
        <v/>
      </c>
      <c r="B229" t="str">
        <f>IF(Table24[[#This Row],[Branch Name]]="","",(_xlfn.XLOOKUP(Table24[[#This Row],[Branch Name]],'[1]Lookup Values'!G:G,'[1]Lookup Values'!I:I,0)))</f>
        <v/>
      </c>
      <c r="C229" t="str">
        <f>IF(Table24[[#This Row],[Journal Description (Service Description)]]="","",1)</f>
        <v/>
      </c>
      <c r="D229" s="2" t="str">
        <f>IF(Table24[[#This Row],[Journal Description (Service Description)]]="","",VLOOKUP(Table24[[#This Row],[Journal Description (Service Description)]],'[1]Lookup Values'!$A:$B,2,FALSE))</f>
        <v/>
      </c>
    </row>
    <row r="230" spans="1:4" hidden="1" x14ac:dyDescent="0.35">
      <c r="A230" t="str">
        <f>IF(Table24[[#This Row],[Branch Name]]="","",(_xlfn.XLOOKUP(Table24[[#This Row],[Branch Name]],'[1]Lookup Values'!G:G,'[1]Lookup Values'!H:H,0)))</f>
        <v/>
      </c>
      <c r="B230" t="str">
        <f>IF(Table24[[#This Row],[Branch Name]]="","",(_xlfn.XLOOKUP(Table24[[#This Row],[Branch Name]],'[1]Lookup Values'!G:G,'[1]Lookup Values'!I:I,0)))</f>
        <v/>
      </c>
      <c r="C230" t="str">
        <f>IF(Table24[[#This Row],[Journal Description (Service Description)]]="","",1)</f>
        <v/>
      </c>
      <c r="D230" s="2" t="str">
        <f>IF(Table24[[#This Row],[Journal Description (Service Description)]]="","",VLOOKUP(Table24[[#This Row],[Journal Description (Service Description)]],'[1]Lookup Values'!$A:$B,2,FALSE))</f>
        <v/>
      </c>
    </row>
    <row r="231" spans="1:4" hidden="1" x14ac:dyDescent="0.35">
      <c r="A231" t="str">
        <f>IF(Table24[[#This Row],[Branch Name]]="","",(_xlfn.XLOOKUP(Table24[[#This Row],[Branch Name]],'[1]Lookup Values'!G:G,'[1]Lookup Values'!H:H,0)))</f>
        <v/>
      </c>
      <c r="B231" t="str">
        <f>IF(Table24[[#This Row],[Branch Name]]="","",(_xlfn.XLOOKUP(Table24[[#This Row],[Branch Name]],'[1]Lookup Values'!G:G,'[1]Lookup Values'!I:I,0)))</f>
        <v/>
      </c>
      <c r="C231" t="str">
        <f>IF(Table24[[#This Row],[Journal Description (Service Description)]]="","",1)</f>
        <v/>
      </c>
      <c r="D231" s="2" t="str">
        <f>IF(Table24[[#This Row],[Journal Description (Service Description)]]="","",VLOOKUP(Table24[[#This Row],[Journal Description (Service Description)]],'[1]Lookup Values'!$A:$B,2,FALSE))</f>
        <v/>
      </c>
    </row>
    <row r="232" spans="1:4" hidden="1" x14ac:dyDescent="0.35">
      <c r="A232" t="str">
        <f>IF(Table24[[#This Row],[Branch Name]]="","",(_xlfn.XLOOKUP(Table24[[#This Row],[Branch Name]],'[1]Lookup Values'!G:G,'[1]Lookup Values'!H:H,0)))</f>
        <v/>
      </c>
      <c r="B232" t="str">
        <f>IF(Table24[[#This Row],[Branch Name]]="","",(_xlfn.XLOOKUP(Table24[[#This Row],[Branch Name]],'[1]Lookup Values'!G:G,'[1]Lookup Values'!I:I,0)))</f>
        <v/>
      </c>
      <c r="C232" t="str">
        <f>IF(Table24[[#This Row],[Journal Description (Service Description)]]="","",1)</f>
        <v/>
      </c>
      <c r="D232" s="2" t="str">
        <f>IF(Table24[[#This Row],[Journal Description (Service Description)]]="","",VLOOKUP(Table24[[#This Row],[Journal Description (Service Description)]],'[1]Lookup Values'!$A:$B,2,FALSE))</f>
        <v/>
      </c>
    </row>
    <row r="233" spans="1:4" hidden="1" x14ac:dyDescent="0.35">
      <c r="A233" t="str">
        <f>IF(Table24[[#This Row],[Branch Name]]="","",(_xlfn.XLOOKUP(Table24[[#This Row],[Branch Name]],'[1]Lookup Values'!G:G,'[1]Lookup Values'!H:H,0)))</f>
        <v/>
      </c>
      <c r="B233" t="str">
        <f>IF(Table24[[#This Row],[Branch Name]]="","",(_xlfn.XLOOKUP(Table24[[#This Row],[Branch Name]],'[1]Lookup Values'!G:G,'[1]Lookup Values'!I:I,0)))</f>
        <v/>
      </c>
      <c r="C233" t="str">
        <f>IF(Table24[[#This Row],[Journal Description (Service Description)]]="","",1)</f>
        <v/>
      </c>
      <c r="D233" s="2" t="str">
        <f>IF(Table24[[#This Row],[Journal Description (Service Description)]]="","",VLOOKUP(Table24[[#This Row],[Journal Description (Service Description)]],'[1]Lookup Values'!$A:$B,2,FALSE))</f>
        <v/>
      </c>
    </row>
    <row r="234" spans="1:4" hidden="1" x14ac:dyDescent="0.35">
      <c r="A234" t="str">
        <f>IF(Table24[[#This Row],[Branch Name]]="","",(_xlfn.XLOOKUP(Table24[[#This Row],[Branch Name]],'[1]Lookup Values'!G:G,'[1]Lookup Values'!H:H,0)))</f>
        <v/>
      </c>
      <c r="B234" t="str">
        <f>IF(Table24[[#This Row],[Branch Name]]="","",(_xlfn.XLOOKUP(Table24[[#This Row],[Branch Name]],'[1]Lookup Values'!G:G,'[1]Lookup Values'!I:I,0)))</f>
        <v/>
      </c>
      <c r="C234" t="str">
        <f>IF(Table24[[#This Row],[Journal Description (Service Description)]]="","",1)</f>
        <v/>
      </c>
      <c r="D234" s="2" t="str">
        <f>IF(Table24[[#This Row],[Journal Description (Service Description)]]="","",VLOOKUP(Table24[[#This Row],[Journal Description (Service Description)]],'[1]Lookup Values'!$A:$B,2,FALSE))</f>
        <v/>
      </c>
    </row>
    <row r="235" spans="1:4" hidden="1" x14ac:dyDescent="0.35">
      <c r="A235" t="str">
        <f>IF(Table24[[#This Row],[Branch Name]]="","",(_xlfn.XLOOKUP(Table24[[#This Row],[Branch Name]],'[1]Lookup Values'!G:G,'[1]Lookup Values'!H:H,0)))</f>
        <v/>
      </c>
      <c r="B235" t="str">
        <f>IF(Table24[[#This Row],[Branch Name]]="","",(_xlfn.XLOOKUP(Table24[[#This Row],[Branch Name]],'[1]Lookup Values'!G:G,'[1]Lookup Values'!I:I,0)))</f>
        <v/>
      </c>
      <c r="C235" t="str">
        <f>IF(Table24[[#This Row],[Journal Description (Service Description)]]="","",1)</f>
        <v/>
      </c>
      <c r="D235" s="2" t="str">
        <f>IF(Table24[[#This Row],[Journal Description (Service Description)]]="","",VLOOKUP(Table24[[#This Row],[Journal Description (Service Description)]],'[1]Lookup Values'!$A:$B,2,FALSE))</f>
        <v/>
      </c>
    </row>
    <row r="236" spans="1:4" hidden="1" x14ac:dyDescent="0.35">
      <c r="A236" t="str">
        <f>IF(Table24[[#This Row],[Branch Name]]="","",(_xlfn.XLOOKUP(Table24[[#This Row],[Branch Name]],'[1]Lookup Values'!G:G,'[1]Lookup Values'!H:H,0)))</f>
        <v/>
      </c>
      <c r="B236" t="str">
        <f>IF(Table24[[#This Row],[Branch Name]]="","",(_xlfn.XLOOKUP(Table24[[#This Row],[Branch Name]],'[1]Lookup Values'!G:G,'[1]Lookup Values'!I:I,0)))</f>
        <v/>
      </c>
      <c r="C236" t="str">
        <f>IF(Table24[[#This Row],[Journal Description (Service Description)]]="","",1)</f>
        <v/>
      </c>
      <c r="D236" s="2" t="str">
        <f>IF(Table24[[#This Row],[Journal Description (Service Description)]]="","",VLOOKUP(Table24[[#This Row],[Journal Description (Service Description)]],'[1]Lookup Values'!$A:$B,2,FALSE))</f>
        <v/>
      </c>
    </row>
    <row r="237" spans="1:4" hidden="1" x14ac:dyDescent="0.35">
      <c r="A237" t="str">
        <f>IF(Table24[[#This Row],[Branch Name]]="","",(_xlfn.XLOOKUP(Table24[[#This Row],[Branch Name]],'[1]Lookup Values'!G:G,'[1]Lookup Values'!H:H,0)))</f>
        <v/>
      </c>
      <c r="B237" t="str">
        <f>IF(Table24[[#This Row],[Branch Name]]="","",(_xlfn.XLOOKUP(Table24[[#This Row],[Branch Name]],'[1]Lookup Values'!G:G,'[1]Lookup Values'!I:I,0)))</f>
        <v/>
      </c>
      <c r="C237" t="str">
        <f>IF(Table24[[#This Row],[Journal Description (Service Description)]]="","",1)</f>
        <v/>
      </c>
      <c r="D237" s="2" t="str">
        <f>IF(Table24[[#This Row],[Journal Description (Service Description)]]="","",VLOOKUP(Table24[[#This Row],[Journal Description (Service Description)]],'[1]Lookup Values'!$A:$B,2,FALSE))</f>
        <v/>
      </c>
    </row>
    <row r="238" spans="1:4" hidden="1" x14ac:dyDescent="0.35">
      <c r="A238" t="str">
        <f>IF(Table24[[#This Row],[Branch Name]]="","",(_xlfn.XLOOKUP(Table24[[#This Row],[Branch Name]],'[1]Lookup Values'!G:G,'[1]Lookup Values'!H:H,0)))</f>
        <v/>
      </c>
      <c r="B238" t="str">
        <f>IF(Table24[[#This Row],[Branch Name]]="","",(_xlfn.XLOOKUP(Table24[[#This Row],[Branch Name]],'[1]Lookup Values'!G:G,'[1]Lookup Values'!I:I,0)))</f>
        <v/>
      </c>
      <c r="C238" t="str">
        <f>IF(Table24[[#This Row],[Journal Description (Service Description)]]="","",1)</f>
        <v/>
      </c>
      <c r="D238" s="2" t="str">
        <f>IF(Table24[[#This Row],[Journal Description (Service Description)]]="","",VLOOKUP(Table24[[#This Row],[Journal Description (Service Description)]],'[1]Lookup Values'!$A:$B,2,FALSE))</f>
        <v/>
      </c>
    </row>
    <row r="239" spans="1:4" hidden="1" x14ac:dyDescent="0.35">
      <c r="A239" t="str">
        <f>IF(Table24[[#This Row],[Branch Name]]="","",(_xlfn.XLOOKUP(Table24[[#This Row],[Branch Name]],'[1]Lookup Values'!G:G,'[1]Lookup Values'!H:H,0)))</f>
        <v/>
      </c>
      <c r="B239" t="str">
        <f>IF(Table24[[#This Row],[Branch Name]]="","",(_xlfn.XLOOKUP(Table24[[#This Row],[Branch Name]],'[1]Lookup Values'!G:G,'[1]Lookup Values'!I:I,0)))</f>
        <v/>
      </c>
      <c r="C239" t="str">
        <f>IF(Table24[[#This Row],[Journal Description (Service Description)]]="","",1)</f>
        <v/>
      </c>
      <c r="D239" s="2" t="str">
        <f>IF(Table24[[#This Row],[Journal Description (Service Description)]]="","",VLOOKUP(Table24[[#This Row],[Journal Description (Service Description)]],'[1]Lookup Values'!$A:$B,2,FALSE))</f>
        <v/>
      </c>
    </row>
    <row r="240" spans="1:4" hidden="1" x14ac:dyDescent="0.35">
      <c r="A240" t="str">
        <f>IF(Table24[[#This Row],[Branch Name]]="","",(_xlfn.XLOOKUP(Table24[[#This Row],[Branch Name]],'[1]Lookup Values'!G:G,'[1]Lookup Values'!H:H,0)))</f>
        <v/>
      </c>
      <c r="B240" t="str">
        <f>IF(Table24[[#This Row],[Branch Name]]="","",(_xlfn.XLOOKUP(Table24[[#This Row],[Branch Name]],'[1]Lookup Values'!G:G,'[1]Lookup Values'!I:I,0)))</f>
        <v/>
      </c>
      <c r="C240" t="str">
        <f>IF(Table24[[#This Row],[Journal Description (Service Description)]]="","",1)</f>
        <v/>
      </c>
      <c r="D240" s="2" t="str">
        <f>IF(Table24[[#This Row],[Journal Description (Service Description)]]="","",VLOOKUP(Table24[[#This Row],[Journal Description (Service Description)]],'[1]Lookup Values'!$A:$B,2,FALSE))</f>
        <v/>
      </c>
    </row>
    <row r="241" spans="1:4" hidden="1" x14ac:dyDescent="0.35">
      <c r="A241" t="str">
        <f>IF(Table24[[#This Row],[Branch Name]]="","",(_xlfn.XLOOKUP(Table24[[#This Row],[Branch Name]],'[1]Lookup Values'!G:G,'[1]Lookup Values'!H:H,0)))</f>
        <v/>
      </c>
      <c r="B241" t="str">
        <f>IF(Table24[[#This Row],[Branch Name]]="","",(_xlfn.XLOOKUP(Table24[[#This Row],[Branch Name]],'[1]Lookup Values'!G:G,'[1]Lookup Values'!I:I,0)))</f>
        <v/>
      </c>
      <c r="C241" t="str">
        <f>IF(Table24[[#This Row],[Journal Description (Service Description)]]="","",1)</f>
        <v/>
      </c>
      <c r="D241" s="2" t="str">
        <f>IF(Table24[[#This Row],[Journal Description (Service Description)]]="","",VLOOKUP(Table24[[#This Row],[Journal Description (Service Description)]],'[1]Lookup Values'!$A:$B,2,FALSE))</f>
        <v/>
      </c>
    </row>
    <row r="242" spans="1:4" hidden="1" x14ac:dyDescent="0.35">
      <c r="A242" t="str">
        <f>IF(Table24[[#This Row],[Branch Name]]="","",(_xlfn.XLOOKUP(Table24[[#This Row],[Branch Name]],'[1]Lookup Values'!G:G,'[1]Lookup Values'!H:H,0)))</f>
        <v/>
      </c>
      <c r="B242" t="str">
        <f>IF(Table24[[#This Row],[Branch Name]]="","",(_xlfn.XLOOKUP(Table24[[#This Row],[Branch Name]],'[1]Lookup Values'!G:G,'[1]Lookup Values'!I:I,0)))</f>
        <v/>
      </c>
      <c r="C242" t="str">
        <f>IF(Table24[[#This Row],[Journal Description (Service Description)]]="","",1)</f>
        <v/>
      </c>
      <c r="D242" s="2" t="str">
        <f>IF(Table24[[#This Row],[Journal Description (Service Description)]]="","",VLOOKUP(Table24[[#This Row],[Journal Description (Service Description)]],'[1]Lookup Values'!$A:$B,2,FALSE))</f>
        <v/>
      </c>
    </row>
    <row r="243" spans="1:4" hidden="1" x14ac:dyDescent="0.35">
      <c r="A243" t="str">
        <f>IF(Table24[[#This Row],[Branch Name]]="","",(_xlfn.XLOOKUP(Table24[[#This Row],[Branch Name]],'[1]Lookup Values'!G:G,'[1]Lookup Values'!H:H,0)))</f>
        <v/>
      </c>
      <c r="B243" t="str">
        <f>IF(Table24[[#This Row],[Branch Name]]="","",(_xlfn.XLOOKUP(Table24[[#This Row],[Branch Name]],'[1]Lookup Values'!G:G,'[1]Lookup Values'!I:I,0)))</f>
        <v/>
      </c>
      <c r="C243" t="str">
        <f>IF(Table24[[#This Row],[Journal Description (Service Description)]]="","",1)</f>
        <v/>
      </c>
      <c r="D243" s="2" t="str">
        <f>IF(Table24[[#This Row],[Journal Description (Service Description)]]="","",VLOOKUP(Table24[[#This Row],[Journal Description (Service Description)]],'[1]Lookup Values'!$A:$B,2,FALSE))</f>
        <v/>
      </c>
    </row>
    <row r="244" spans="1:4" hidden="1" x14ac:dyDescent="0.35">
      <c r="A244" t="str">
        <f>IF(Table24[[#This Row],[Branch Name]]="","",(_xlfn.XLOOKUP(Table24[[#This Row],[Branch Name]],'[1]Lookup Values'!G:G,'[1]Lookup Values'!H:H,0)))</f>
        <v/>
      </c>
      <c r="B244" t="str">
        <f>IF(Table24[[#This Row],[Branch Name]]="","",(_xlfn.XLOOKUP(Table24[[#This Row],[Branch Name]],'[1]Lookup Values'!G:G,'[1]Lookup Values'!I:I,0)))</f>
        <v/>
      </c>
      <c r="C244" t="str">
        <f>IF(Table24[[#This Row],[Journal Description (Service Description)]]="","",1)</f>
        <v/>
      </c>
      <c r="D244" s="2" t="str">
        <f>IF(Table24[[#This Row],[Journal Description (Service Description)]]="","",VLOOKUP(Table24[[#This Row],[Journal Description (Service Description)]],'[1]Lookup Values'!$A:$B,2,FALSE))</f>
        <v/>
      </c>
    </row>
    <row r="245" spans="1:4" hidden="1" x14ac:dyDescent="0.35">
      <c r="A245" t="str">
        <f>IF(Table24[[#This Row],[Branch Name]]="","",(_xlfn.XLOOKUP(Table24[[#This Row],[Branch Name]],'[1]Lookup Values'!G:G,'[1]Lookup Values'!H:H,0)))</f>
        <v/>
      </c>
      <c r="B245" t="str">
        <f>IF(Table24[[#This Row],[Branch Name]]="","",(_xlfn.XLOOKUP(Table24[[#This Row],[Branch Name]],'[1]Lookup Values'!G:G,'[1]Lookup Values'!I:I,0)))</f>
        <v/>
      </c>
      <c r="C245" t="str">
        <f>IF(Table24[[#This Row],[Journal Description (Service Description)]]="","",1)</f>
        <v/>
      </c>
      <c r="D245" s="2" t="str">
        <f>IF(Table24[[#This Row],[Journal Description (Service Description)]]="","",VLOOKUP(Table24[[#This Row],[Journal Description (Service Description)]],'[1]Lookup Values'!$A:$B,2,FALSE))</f>
        <v/>
      </c>
    </row>
    <row r="246" spans="1:4" hidden="1" x14ac:dyDescent="0.35">
      <c r="A246" t="str">
        <f>IF(Table24[[#This Row],[Branch Name]]="","",(_xlfn.XLOOKUP(Table24[[#This Row],[Branch Name]],'[1]Lookup Values'!G:G,'[1]Lookup Values'!H:H,0)))</f>
        <v/>
      </c>
      <c r="B246" t="str">
        <f>IF(Table24[[#This Row],[Branch Name]]="","",(_xlfn.XLOOKUP(Table24[[#This Row],[Branch Name]],'[1]Lookup Values'!G:G,'[1]Lookup Values'!I:I,0)))</f>
        <v/>
      </c>
      <c r="C246" t="str">
        <f>IF(Table24[[#This Row],[Journal Description (Service Description)]]="","",1)</f>
        <v/>
      </c>
      <c r="D246" s="2" t="str">
        <f>IF(Table24[[#This Row],[Journal Description (Service Description)]]="","",VLOOKUP(Table24[[#This Row],[Journal Description (Service Description)]],'[1]Lookup Values'!$A:$B,2,FALSE))</f>
        <v/>
      </c>
    </row>
    <row r="247" spans="1:4" hidden="1" x14ac:dyDescent="0.35">
      <c r="A247" t="str">
        <f>IF(Table24[[#This Row],[Branch Name]]="","",(_xlfn.XLOOKUP(Table24[[#This Row],[Branch Name]],'[1]Lookup Values'!G:G,'[1]Lookup Values'!H:H,0)))</f>
        <v/>
      </c>
      <c r="B247" t="str">
        <f>IF(Table24[[#This Row],[Branch Name]]="","",(_xlfn.XLOOKUP(Table24[[#This Row],[Branch Name]],'[1]Lookup Values'!G:G,'[1]Lookup Values'!I:I,0)))</f>
        <v/>
      </c>
      <c r="C247" t="str">
        <f>IF(Table24[[#This Row],[Journal Description (Service Description)]]="","",1)</f>
        <v/>
      </c>
      <c r="D247" s="2" t="str">
        <f>IF(Table24[[#This Row],[Journal Description (Service Description)]]="","",VLOOKUP(Table24[[#This Row],[Journal Description (Service Description)]],'[1]Lookup Values'!$A:$B,2,FALSE))</f>
        <v/>
      </c>
    </row>
    <row r="248" spans="1:4" hidden="1" x14ac:dyDescent="0.35">
      <c r="A248" t="str">
        <f>IF(Table24[[#This Row],[Branch Name]]="","",(_xlfn.XLOOKUP(Table24[[#This Row],[Branch Name]],'[1]Lookup Values'!G:G,'[1]Lookup Values'!H:H,0)))</f>
        <v/>
      </c>
      <c r="B248" t="str">
        <f>IF(Table24[[#This Row],[Branch Name]]="","",(_xlfn.XLOOKUP(Table24[[#This Row],[Branch Name]],'[1]Lookup Values'!G:G,'[1]Lookup Values'!I:I,0)))</f>
        <v/>
      </c>
      <c r="C248" t="str">
        <f>IF(Table24[[#This Row],[Journal Description (Service Description)]]="","",1)</f>
        <v/>
      </c>
      <c r="D248" s="2" t="str">
        <f>IF(Table24[[#This Row],[Journal Description (Service Description)]]="","",VLOOKUP(Table24[[#This Row],[Journal Description (Service Description)]],'[1]Lookup Values'!$A:$B,2,FALSE))</f>
        <v/>
      </c>
    </row>
    <row r="249" spans="1:4" hidden="1" x14ac:dyDescent="0.35">
      <c r="A249" t="str">
        <f>IF(Table24[[#This Row],[Branch Name]]="","",(_xlfn.XLOOKUP(Table24[[#This Row],[Branch Name]],'[1]Lookup Values'!G:G,'[1]Lookup Values'!H:H,0)))</f>
        <v/>
      </c>
      <c r="B249" t="str">
        <f>IF(Table24[[#This Row],[Branch Name]]="","",(_xlfn.XLOOKUP(Table24[[#This Row],[Branch Name]],'[1]Lookup Values'!G:G,'[1]Lookup Values'!I:I,0)))</f>
        <v/>
      </c>
      <c r="C249" t="str">
        <f>IF(Table24[[#This Row],[Journal Description (Service Description)]]="","",1)</f>
        <v/>
      </c>
      <c r="D249" s="2" t="str">
        <f>IF(Table24[[#This Row],[Journal Description (Service Description)]]="","",VLOOKUP(Table24[[#This Row],[Journal Description (Service Description)]],'[1]Lookup Values'!$A:$B,2,FALSE))</f>
        <v/>
      </c>
    </row>
    <row r="250" spans="1:4" hidden="1" x14ac:dyDescent="0.35">
      <c r="A250" t="str">
        <f>IF(Table24[[#This Row],[Branch Name]]="","",(_xlfn.XLOOKUP(Table24[[#This Row],[Branch Name]],'[1]Lookup Values'!G:G,'[1]Lookup Values'!H:H,0)))</f>
        <v/>
      </c>
      <c r="B250" t="str">
        <f>IF(Table24[[#This Row],[Branch Name]]="","",(_xlfn.XLOOKUP(Table24[[#This Row],[Branch Name]],'[1]Lookup Values'!G:G,'[1]Lookup Values'!I:I,0)))</f>
        <v/>
      </c>
      <c r="C250" t="str">
        <f>IF(Table24[[#This Row],[Journal Description (Service Description)]]="","",1)</f>
        <v/>
      </c>
      <c r="D250" s="2" t="str">
        <f>IF(Table24[[#This Row],[Journal Description (Service Description)]]="","",VLOOKUP(Table24[[#This Row],[Journal Description (Service Description)]],'[1]Lookup Values'!$A:$B,2,FALSE))</f>
        <v/>
      </c>
    </row>
    <row r="251" spans="1:4" hidden="1" x14ac:dyDescent="0.35">
      <c r="A251" t="str">
        <f>IF(Table24[[#This Row],[Branch Name]]="","",(_xlfn.XLOOKUP(Table24[[#This Row],[Branch Name]],'[1]Lookup Values'!G:G,'[1]Lookup Values'!H:H,0)))</f>
        <v/>
      </c>
      <c r="B251" t="str">
        <f>IF(Table24[[#This Row],[Branch Name]]="","",(_xlfn.XLOOKUP(Table24[[#This Row],[Branch Name]],'[1]Lookup Values'!G:G,'[1]Lookup Values'!I:I,0)))</f>
        <v/>
      </c>
      <c r="C251" t="str">
        <f>IF(Table24[[#This Row],[Journal Description (Service Description)]]="","",1)</f>
        <v/>
      </c>
      <c r="D251" s="2" t="str">
        <f>IF(Table24[[#This Row],[Journal Description (Service Description)]]="","",VLOOKUP(Table24[[#This Row],[Journal Description (Service Description)]],'[1]Lookup Values'!$A:$B,2,FALSE))</f>
        <v/>
      </c>
    </row>
    <row r="252" spans="1:4" hidden="1" x14ac:dyDescent="0.35">
      <c r="A252" t="str">
        <f>IF(Table24[[#This Row],[Branch Name]]="","",(_xlfn.XLOOKUP(Table24[[#This Row],[Branch Name]],'[1]Lookup Values'!G:G,'[1]Lookup Values'!H:H,0)))</f>
        <v/>
      </c>
      <c r="B252" t="str">
        <f>IF(Table24[[#This Row],[Branch Name]]="","",(_xlfn.XLOOKUP(Table24[[#This Row],[Branch Name]],'[1]Lookup Values'!G:G,'[1]Lookup Values'!I:I,0)))</f>
        <v/>
      </c>
      <c r="C252" t="str">
        <f>IF(Table24[[#This Row],[Journal Description (Service Description)]]="","",1)</f>
        <v/>
      </c>
      <c r="D252" s="2" t="str">
        <f>IF(Table24[[#This Row],[Journal Description (Service Description)]]="","",VLOOKUP(Table24[[#This Row],[Journal Description (Service Description)]],'[1]Lookup Values'!$A:$B,2,FALSE))</f>
        <v/>
      </c>
    </row>
    <row r="253" spans="1:4" hidden="1" x14ac:dyDescent="0.35">
      <c r="A253" t="str">
        <f>IF(Table24[[#This Row],[Branch Name]]="","",(_xlfn.XLOOKUP(Table24[[#This Row],[Branch Name]],'[1]Lookup Values'!G:G,'[1]Lookup Values'!H:H,0)))</f>
        <v/>
      </c>
      <c r="B253" t="str">
        <f>IF(Table24[[#This Row],[Branch Name]]="","",(_xlfn.XLOOKUP(Table24[[#This Row],[Branch Name]],'[1]Lookup Values'!G:G,'[1]Lookup Values'!I:I,0)))</f>
        <v/>
      </c>
      <c r="C253" t="str">
        <f>IF(Table24[[#This Row],[Journal Description (Service Description)]]="","",1)</f>
        <v/>
      </c>
      <c r="D253" s="2" t="str">
        <f>IF(Table24[[#This Row],[Journal Description (Service Description)]]="","",VLOOKUP(Table24[[#This Row],[Journal Description (Service Description)]],'[1]Lookup Values'!$A:$B,2,FALSE))</f>
        <v/>
      </c>
    </row>
    <row r="254" spans="1:4" hidden="1" x14ac:dyDescent="0.35">
      <c r="A254" t="str">
        <f>IF(Table24[[#This Row],[Branch Name]]="","",(_xlfn.XLOOKUP(Table24[[#This Row],[Branch Name]],'[1]Lookup Values'!G:G,'[1]Lookup Values'!H:H,0)))</f>
        <v/>
      </c>
      <c r="B254" t="str">
        <f>IF(Table24[[#This Row],[Branch Name]]="","",(_xlfn.XLOOKUP(Table24[[#This Row],[Branch Name]],'[1]Lookup Values'!G:G,'[1]Lookup Values'!I:I,0)))</f>
        <v/>
      </c>
      <c r="C254" t="str">
        <f>IF(Table24[[#This Row],[Journal Description (Service Description)]]="","",1)</f>
        <v/>
      </c>
      <c r="D254" s="2" t="str">
        <f>IF(Table24[[#This Row],[Journal Description (Service Description)]]="","",VLOOKUP(Table24[[#This Row],[Journal Description (Service Description)]],'[1]Lookup Values'!$A:$B,2,FALSE))</f>
        <v/>
      </c>
    </row>
    <row r="255" spans="1:4" hidden="1" x14ac:dyDescent="0.35">
      <c r="A255" t="str">
        <f>IF(Table24[[#This Row],[Branch Name]]="","",(_xlfn.XLOOKUP(Table24[[#This Row],[Branch Name]],'[1]Lookup Values'!G:G,'[1]Lookup Values'!H:H,0)))</f>
        <v/>
      </c>
      <c r="B255" t="str">
        <f>IF(Table24[[#This Row],[Branch Name]]="","",(_xlfn.XLOOKUP(Table24[[#This Row],[Branch Name]],'[1]Lookup Values'!G:G,'[1]Lookup Values'!I:I,0)))</f>
        <v/>
      </c>
      <c r="C255" t="str">
        <f>IF(Table24[[#This Row],[Journal Description (Service Description)]]="","",1)</f>
        <v/>
      </c>
      <c r="D255" s="2" t="str">
        <f>IF(Table24[[#This Row],[Journal Description (Service Description)]]="","",VLOOKUP(Table24[[#This Row],[Journal Description (Service Description)]],'[1]Lookup Values'!$A:$B,2,FALSE))</f>
        <v/>
      </c>
    </row>
    <row r="256" spans="1:4" hidden="1" x14ac:dyDescent="0.35">
      <c r="A256" t="str">
        <f>IF(Table24[[#This Row],[Branch Name]]="","",(_xlfn.XLOOKUP(Table24[[#This Row],[Branch Name]],'[1]Lookup Values'!G:G,'[1]Lookup Values'!H:H,0)))</f>
        <v/>
      </c>
      <c r="B256" t="str">
        <f>IF(Table24[[#This Row],[Branch Name]]="","",(_xlfn.XLOOKUP(Table24[[#This Row],[Branch Name]],'[1]Lookup Values'!G:G,'[1]Lookup Values'!I:I,0)))</f>
        <v/>
      </c>
      <c r="C256" t="str">
        <f>IF(Table24[[#This Row],[Journal Description (Service Description)]]="","",1)</f>
        <v/>
      </c>
      <c r="D256" s="2" t="str">
        <f>IF(Table24[[#This Row],[Journal Description (Service Description)]]="","",VLOOKUP(Table24[[#This Row],[Journal Description (Service Description)]],'[1]Lookup Values'!$A:$B,2,FALSE))</f>
        <v/>
      </c>
    </row>
    <row r="257" spans="1:4" hidden="1" x14ac:dyDescent="0.35">
      <c r="A257" t="str">
        <f>IF(Table24[[#This Row],[Branch Name]]="","",(_xlfn.XLOOKUP(Table24[[#This Row],[Branch Name]],'[1]Lookup Values'!G:G,'[1]Lookup Values'!H:H,0)))</f>
        <v/>
      </c>
      <c r="B257" t="str">
        <f>IF(Table24[[#This Row],[Branch Name]]="","",(_xlfn.XLOOKUP(Table24[[#This Row],[Branch Name]],'[1]Lookup Values'!G:G,'[1]Lookup Values'!I:I,0)))</f>
        <v/>
      </c>
      <c r="C257" t="str">
        <f>IF(Table24[[#This Row],[Journal Description (Service Description)]]="","",1)</f>
        <v/>
      </c>
      <c r="D257" s="2" t="str">
        <f>IF(Table24[[#This Row],[Journal Description (Service Description)]]="","",VLOOKUP(Table24[[#This Row],[Journal Description (Service Description)]],'[1]Lookup Values'!$A:$B,2,FALSE))</f>
        <v/>
      </c>
    </row>
    <row r="258" spans="1:4" hidden="1" x14ac:dyDescent="0.35">
      <c r="A258" t="str">
        <f>IF(Table24[[#This Row],[Branch Name]]="","",(_xlfn.XLOOKUP(Table24[[#This Row],[Branch Name]],'[1]Lookup Values'!G:G,'[1]Lookup Values'!H:H,0)))</f>
        <v/>
      </c>
      <c r="B258" t="str">
        <f>IF(Table24[[#This Row],[Branch Name]]="","",(_xlfn.XLOOKUP(Table24[[#This Row],[Branch Name]],'[1]Lookup Values'!G:G,'[1]Lookup Values'!I:I,0)))</f>
        <v/>
      </c>
      <c r="C258" t="str">
        <f>IF(Table24[[#This Row],[Journal Description (Service Description)]]="","",1)</f>
        <v/>
      </c>
      <c r="D258" s="2" t="str">
        <f>IF(Table24[[#This Row],[Journal Description (Service Description)]]="","",VLOOKUP(Table24[[#This Row],[Journal Description (Service Description)]],'[1]Lookup Values'!$A:$B,2,FALSE))</f>
        <v/>
      </c>
    </row>
    <row r="259" spans="1:4" hidden="1" x14ac:dyDescent="0.35">
      <c r="A259" t="str">
        <f>IF(Table24[[#This Row],[Branch Name]]="","",(_xlfn.XLOOKUP(Table24[[#This Row],[Branch Name]],'[1]Lookup Values'!G:G,'[1]Lookup Values'!H:H,0)))</f>
        <v/>
      </c>
      <c r="B259" t="str">
        <f>IF(Table24[[#This Row],[Branch Name]]="","",(_xlfn.XLOOKUP(Table24[[#This Row],[Branch Name]],'[1]Lookup Values'!G:G,'[1]Lookup Values'!I:I,0)))</f>
        <v/>
      </c>
      <c r="C259" t="str">
        <f>IF(Table24[[#This Row],[Journal Description (Service Description)]]="","",1)</f>
        <v/>
      </c>
      <c r="D259" s="2" t="str">
        <f>IF(Table24[[#This Row],[Journal Description (Service Description)]]="","",VLOOKUP(Table24[[#This Row],[Journal Description (Service Description)]],'[1]Lookup Values'!$A:$B,2,FALSE))</f>
        <v/>
      </c>
    </row>
    <row r="260" spans="1:4" hidden="1" x14ac:dyDescent="0.35">
      <c r="A260" t="str">
        <f>IF(Table24[[#This Row],[Branch Name]]="","",(_xlfn.XLOOKUP(Table24[[#This Row],[Branch Name]],'[1]Lookup Values'!G:G,'[1]Lookup Values'!H:H,0)))</f>
        <v/>
      </c>
      <c r="B260" t="str">
        <f>IF(Table24[[#This Row],[Branch Name]]="","",(_xlfn.XLOOKUP(Table24[[#This Row],[Branch Name]],'[1]Lookup Values'!G:G,'[1]Lookup Values'!I:I,0)))</f>
        <v/>
      </c>
      <c r="C260" t="str">
        <f>IF(Table24[[#This Row],[Journal Description (Service Description)]]="","",1)</f>
        <v/>
      </c>
      <c r="D260" s="2" t="str">
        <f>IF(Table24[[#This Row],[Journal Description (Service Description)]]="","",VLOOKUP(Table24[[#This Row],[Journal Description (Service Description)]],'[1]Lookup Values'!$A:$B,2,FALSE))</f>
        <v/>
      </c>
    </row>
    <row r="261" spans="1:4" hidden="1" x14ac:dyDescent="0.35">
      <c r="A261" t="str">
        <f>IF(Table24[[#This Row],[Branch Name]]="","",(_xlfn.XLOOKUP(Table24[[#This Row],[Branch Name]],'[1]Lookup Values'!G:G,'[1]Lookup Values'!H:H,0)))</f>
        <v/>
      </c>
      <c r="B261" t="str">
        <f>IF(Table24[[#This Row],[Branch Name]]="","",(_xlfn.XLOOKUP(Table24[[#This Row],[Branch Name]],'[1]Lookup Values'!G:G,'[1]Lookup Values'!I:I,0)))</f>
        <v/>
      </c>
      <c r="C261" t="str">
        <f>IF(Table24[[#This Row],[Journal Description (Service Description)]]="","",1)</f>
        <v/>
      </c>
      <c r="D261" s="2" t="str">
        <f>IF(Table24[[#This Row],[Journal Description (Service Description)]]="","",VLOOKUP(Table24[[#This Row],[Journal Description (Service Description)]],'[1]Lookup Values'!$A:$B,2,FALSE))</f>
        <v/>
      </c>
    </row>
    <row r="262" spans="1:4" hidden="1" x14ac:dyDescent="0.35">
      <c r="A262" t="str">
        <f>IF(Table24[[#This Row],[Branch Name]]="","",(_xlfn.XLOOKUP(Table24[[#This Row],[Branch Name]],'[1]Lookup Values'!G:G,'[1]Lookup Values'!H:H,0)))</f>
        <v/>
      </c>
      <c r="B262" t="str">
        <f>IF(Table24[[#This Row],[Branch Name]]="","",(_xlfn.XLOOKUP(Table24[[#This Row],[Branch Name]],'[1]Lookup Values'!G:G,'[1]Lookup Values'!I:I,0)))</f>
        <v/>
      </c>
      <c r="C262" t="str">
        <f>IF(Table24[[#This Row],[Journal Description (Service Description)]]="","",1)</f>
        <v/>
      </c>
      <c r="D262" s="2" t="str">
        <f>IF(Table24[[#This Row],[Journal Description (Service Description)]]="","",VLOOKUP(Table24[[#This Row],[Journal Description (Service Description)]],'[1]Lookup Values'!$A:$B,2,FALSE))</f>
        <v/>
      </c>
    </row>
    <row r="263" spans="1:4" hidden="1" x14ac:dyDescent="0.35">
      <c r="A263" t="str">
        <f>IF(Table24[[#This Row],[Branch Name]]="","",(_xlfn.XLOOKUP(Table24[[#This Row],[Branch Name]],'[1]Lookup Values'!G:G,'[1]Lookup Values'!H:H,0)))</f>
        <v/>
      </c>
      <c r="B263" t="str">
        <f>IF(Table24[[#This Row],[Branch Name]]="","",(_xlfn.XLOOKUP(Table24[[#This Row],[Branch Name]],'[1]Lookup Values'!G:G,'[1]Lookup Values'!I:I,0)))</f>
        <v/>
      </c>
      <c r="C263" t="str">
        <f>IF(Table24[[#This Row],[Journal Description (Service Description)]]="","",1)</f>
        <v/>
      </c>
      <c r="D263" s="2" t="str">
        <f>IF(Table24[[#This Row],[Journal Description (Service Description)]]="","",VLOOKUP(Table24[[#This Row],[Journal Description (Service Description)]],'[1]Lookup Values'!$A:$B,2,FALSE))</f>
        <v/>
      </c>
    </row>
    <row r="264" spans="1:4" hidden="1" x14ac:dyDescent="0.35">
      <c r="A264" t="str">
        <f>IF(Table24[[#This Row],[Branch Name]]="","",(_xlfn.XLOOKUP(Table24[[#This Row],[Branch Name]],'[1]Lookup Values'!G:G,'[1]Lookup Values'!H:H,0)))</f>
        <v/>
      </c>
      <c r="B264" t="str">
        <f>IF(Table24[[#This Row],[Branch Name]]="","",(_xlfn.XLOOKUP(Table24[[#This Row],[Branch Name]],'[1]Lookup Values'!G:G,'[1]Lookup Values'!I:I,0)))</f>
        <v/>
      </c>
      <c r="C264" t="str">
        <f>IF(Table24[[#This Row],[Journal Description (Service Description)]]="","",1)</f>
        <v/>
      </c>
      <c r="D264" s="2" t="str">
        <f>IF(Table24[[#This Row],[Journal Description (Service Description)]]="","",VLOOKUP(Table24[[#This Row],[Journal Description (Service Description)]],'[1]Lookup Values'!$A:$B,2,FALSE))</f>
        <v/>
      </c>
    </row>
    <row r="265" spans="1:4" hidden="1" x14ac:dyDescent="0.35">
      <c r="A265" t="str">
        <f>IF(Table24[[#This Row],[Branch Name]]="","",(_xlfn.XLOOKUP(Table24[[#This Row],[Branch Name]],'[1]Lookup Values'!G:G,'[1]Lookup Values'!H:H,0)))</f>
        <v/>
      </c>
      <c r="B265" t="str">
        <f>IF(Table24[[#This Row],[Branch Name]]="","",(_xlfn.XLOOKUP(Table24[[#This Row],[Branch Name]],'[1]Lookup Values'!G:G,'[1]Lookup Values'!I:I,0)))</f>
        <v/>
      </c>
      <c r="C265" t="str">
        <f>IF(Table24[[#This Row],[Journal Description (Service Description)]]="","",1)</f>
        <v/>
      </c>
      <c r="D265" s="2" t="str">
        <f>IF(Table24[[#This Row],[Journal Description (Service Description)]]="","",VLOOKUP(Table24[[#This Row],[Journal Description (Service Description)]],'[1]Lookup Values'!$A:$B,2,FALSE))</f>
        <v/>
      </c>
    </row>
    <row r="266" spans="1:4" hidden="1" x14ac:dyDescent="0.35">
      <c r="A266" t="str">
        <f>IF(Table24[[#This Row],[Branch Name]]="","",(_xlfn.XLOOKUP(Table24[[#This Row],[Branch Name]],'[1]Lookup Values'!G:G,'[1]Lookup Values'!H:H,0)))</f>
        <v/>
      </c>
      <c r="B266" t="str">
        <f>IF(Table24[[#This Row],[Branch Name]]="","",(_xlfn.XLOOKUP(Table24[[#This Row],[Branch Name]],'[1]Lookup Values'!G:G,'[1]Lookup Values'!I:I,0)))</f>
        <v/>
      </c>
      <c r="C266" t="str">
        <f>IF(Table24[[#This Row],[Journal Description (Service Description)]]="","",1)</f>
        <v/>
      </c>
      <c r="D266" s="2" t="str">
        <f>IF(Table24[[#This Row],[Journal Description (Service Description)]]="","",VLOOKUP(Table24[[#This Row],[Journal Description (Service Description)]],'[1]Lookup Values'!$A:$B,2,FALSE))</f>
        <v/>
      </c>
    </row>
    <row r="267" spans="1:4" hidden="1" x14ac:dyDescent="0.35">
      <c r="A267" t="str">
        <f>IF(Table24[[#This Row],[Branch Name]]="","",(_xlfn.XLOOKUP(Table24[[#This Row],[Branch Name]],'[1]Lookup Values'!G:G,'[1]Lookup Values'!H:H,0)))</f>
        <v/>
      </c>
      <c r="B267" t="str">
        <f>IF(Table24[[#This Row],[Branch Name]]="","",(_xlfn.XLOOKUP(Table24[[#This Row],[Branch Name]],'[1]Lookup Values'!G:G,'[1]Lookup Values'!I:I,0)))</f>
        <v/>
      </c>
      <c r="C267" t="str">
        <f>IF(Table24[[#This Row],[Journal Description (Service Description)]]="","",1)</f>
        <v/>
      </c>
      <c r="D267" s="2" t="str">
        <f>IF(Table24[[#This Row],[Journal Description (Service Description)]]="","",VLOOKUP(Table24[[#This Row],[Journal Description (Service Description)]],'[1]Lookup Values'!$A:$B,2,FALSE))</f>
        <v/>
      </c>
    </row>
    <row r="268" spans="1:4" hidden="1" x14ac:dyDescent="0.35">
      <c r="A268" t="str">
        <f>IF(Table24[[#This Row],[Branch Name]]="","",(_xlfn.XLOOKUP(Table24[[#This Row],[Branch Name]],'[1]Lookup Values'!G:G,'[1]Lookup Values'!H:H,0)))</f>
        <v/>
      </c>
      <c r="B268" t="str">
        <f>IF(Table24[[#This Row],[Branch Name]]="","",(_xlfn.XLOOKUP(Table24[[#This Row],[Branch Name]],'[1]Lookup Values'!G:G,'[1]Lookup Values'!I:I,0)))</f>
        <v/>
      </c>
      <c r="C268" t="str">
        <f>IF(Table24[[#This Row],[Journal Description (Service Description)]]="","",1)</f>
        <v/>
      </c>
      <c r="D268" s="2" t="str">
        <f>IF(Table24[[#This Row],[Journal Description (Service Description)]]="","",VLOOKUP(Table24[[#This Row],[Journal Description (Service Description)]],'[1]Lookup Values'!$A:$B,2,FALSE))</f>
        <v/>
      </c>
    </row>
    <row r="269" spans="1:4" hidden="1" x14ac:dyDescent="0.35">
      <c r="A269" t="str">
        <f>IF(Table24[[#This Row],[Branch Name]]="","",(_xlfn.XLOOKUP(Table24[[#This Row],[Branch Name]],'[1]Lookup Values'!G:G,'[1]Lookup Values'!H:H,0)))</f>
        <v/>
      </c>
      <c r="B269" t="str">
        <f>IF(Table24[[#This Row],[Branch Name]]="","",(_xlfn.XLOOKUP(Table24[[#This Row],[Branch Name]],'[1]Lookup Values'!G:G,'[1]Lookup Values'!I:I,0)))</f>
        <v/>
      </c>
      <c r="C269" t="str">
        <f>IF(Table24[[#This Row],[Journal Description (Service Description)]]="","",1)</f>
        <v/>
      </c>
      <c r="D269" s="2" t="str">
        <f>IF(Table24[[#This Row],[Journal Description (Service Description)]]="","",VLOOKUP(Table24[[#This Row],[Journal Description (Service Description)]],'[1]Lookup Values'!$A:$B,2,FALSE))</f>
        <v/>
      </c>
    </row>
    <row r="270" spans="1:4" hidden="1" x14ac:dyDescent="0.35">
      <c r="A270" t="str">
        <f>IF(Table24[[#This Row],[Branch Name]]="","",(_xlfn.XLOOKUP(Table24[[#This Row],[Branch Name]],'[1]Lookup Values'!G:G,'[1]Lookup Values'!H:H,0)))</f>
        <v/>
      </c>
      <c r="B270" t="str">
        <f>IF(Table24[[#This Row],[Branch Name]]="","",(_xlfn.XLOOKUP(Table24[[#This Row],[Branch Name]],'[1]Lookup Values'!G:G,'[1]Lookup Values'!I:I,0)))</f>
        <v/>
      </c>
      <c r="C270" t="str">
        <f>IF(Table24[[#This Row],[Journal Description (Service Description)]]="","",1)</f>
        <v/>
      </c>
      <c r="D270" s="2" t="str">
        <f>IF(Table24[[#This Row],[Journal Description (Service Description)]]="","",VLOOKUP(Table24[[#This Row],[Journal Description (Service Description)]],'[1]Lookup Values'!$A:$B,2,FALSE))</f>
        <v/>
      </c>
    </row>
    <row r="271" spans="1:4" hidden="1" x14ac:dyDescent="0.35">
      <c r="A271" t="str">
        <f>IF(Table24[[#This Row],[Branch Name]]="","",(_xlfn.XLOOKUP(Table24[[#This Row],[Branch Name]],'[1]Lookup Values'!G:G,'[1]Lookup Values'!H:H,0)))</f>
        <v/>
      </c>
      <c r="B271" t="str">
        <f>IF(Table24[[#This Row],[Branch Name]]="","",(_xlfn.XLOOKUP(Table24[[#This Row],[Branch Name]],'[1]Lookup Values'!G:G,'[1]Lookup Values'!I:I,0)))</f>
        <v/>
      </c>
      <c r="C271" t="str">
        <f>IF(Table24[[#This Row],[Journal Description (Service Description)]]="","",1)</f>
        <v/>
      </c>
      <c r="D271" s="2" t="str">
        <f>IF(Table24[[#This Row],[Journal Description (Service Description)]]="","",VLOOKUP(Table24[[#This Row],[Journal Description (Service Description)]],'[1]Lookup Values'!$A:$B,2,FALSE))</f>
        <v/>
      </c>
    </row>
    <row r="272" spans="1:4" hidden="1" x14ac:dyDescent="0.35">
      <c r="A272" t="str">
        <f>IF(Table24[[#This Row],[Branch Name]]="","",(_xlfn.XLOOKUP(Table24[[#This Row],[Branch Name]],'[1]Lookup Values'!G:G,'[1]Lookup Values'!H:H,0)))</f>
        <v/>
      </c>
      <c r="B272" t="str">
        <f>IF(Table24[[#This Row],[Branch Name]]="","",(_xlfn.XLOOKUP(Table24[[#This Row],[Branch Name]],'[1]Lookup Values'!G:G,'[1]Lookup Values'!I:I,0)))</f>
        <v/>
      </c>
      <c r="C272" t="str">
        <f>IF(Table24[[#This Row],[Journal Description (Service Description)]]="","",1)</f>
        <v/>
      </c>
      <c r="D272" s="2" t="str">
        <f>IF(Table24[[#This Row],[Journal Description (Service Description)]]="","",VLOOKUP(Table24[[#This Row],[Journal Description (Service Description)]],'[1]Lookup Values'!$A:$B,2,FALSE))</f>
        <v/>
      </c>
    </row>
    <row r="273" spans="1:4" hidden="1" x14ac:dyDescent="0.35">
      <c r="A273" t="str">
        <f>IF(Table24[[#This Row],[Branch Name]]="","",(_xlfn.XLOOKUP(Table24[[#This Row],[Branch Name]],'[1]Lookup Values'!G:G,'[1]Lookup Values'!H:H,0)))</f>
        <v/>
      </c>
      <c r="B273" t="str">
        <f>IF(Table24[[#This Row],[Branch Name]]="","",(_xlfn.XLOOKUP(Table24[[#This Row],[Branch Name]],'[1]Lookup Values'!G:G,'[1]Lookup Values'!I:I,0)))</f>
        <v/>
      </c>
      <c r="C273" t="str">
        <f>IF(Table24[[#This Row],[Journal Description (Service Description)]]="","",1)</f>
        <v/>
      </c>
      <c r="D273" s="2" t="str">
        <f>IF(Table24[[#This Row],[Journal Description (Service Description)]]="","",VLOOKUP(Table24[[#This Row],[Journal Description (Service Description)]],'[1]Lookup Values'!$A:$B,2,FALSE))</f>
        <v/>
      </c>
    </row>
    <row r="274" spans="1:4" hidden="1" x14ac:dyDescent="0.35">
      <c r="A274" t="str">
        <f>IF(Table24[[#This Row],[Branch Name]]="","",(_xlfn.XLOOKUP(Table24[[#This Row],[Branch Name]],'[1]Lookup Values'!G:G,'[1]Lookup Values'!H:H,0)))</f>
        <v/>
      </c>
      <c r="B274" t="str">
        <f>IF(Table24[[#This Row],[Branch Name]]="","",(_xlfn.XLOOKUP(Table24[[#This Row],[Branch Name]],'[1]Lookup Values'!G:G,'[1]Lookup Values'!I:I,0)))</f>
        <v/>
      </c>
      <c r="C274" t="str">
        <f>IF(Table24[[#This Row],[Journal Description (Service Description)]]="","",1)</f>
        <v/>
      </c>
      <c r="D274" s="2" t="str">
        <f>IF(Table24[[#This Row],[Journal Description (Service Description)]]="","",VLOOKUP(Table24[[#This Row],[Journal Description (Service Description)]],'[1]Lookup Values'!$A:$B,2,FALSE))</f>
        <v/>
      </c>
    </row>
    <row r="275" spans="1:4" hidden="1" x14ac:dyDescent="0.35">
      <c r="A275" t="str">
        <f>IF(Table24[[#This Row],[Branch Name]]="","",(_xlfn.XLOOKUP(Table24[[#This Row],[Branch Name]],'[1]Lookup Values'!G:G,'[1]Lookup Values'!H:H,0)))</f>
        <v/>
      </c>
      <c r="B275" t="str">
        <f>IF(Table24[[#This Row],[Branch Name]]="","",(_xlfn.XLOOKUP(Table24[[#This Row],[Branch Name]],'[1]Lookup Values'!G:G,'[1]Lookup Values'!I:I,0)))</f>
        <v/>
      </c>
      <c r="C275" t="str">
        <f>IF(Table24[[#This Row],[Journal Description (Service Description)]]="","",1)</f>
        <v/>
      </c>
      <c r="D275" s="2" t="str">
        <f>IF(Table24[[#This Row],[Journal Description (Service Description)]]="","",VLOOKUP(Table24[[#This Row],[Journal Description (Service Description)]],'[1]Lookup Values'!$A:$B,2,FALSE))</f>
        <v/>
      </c>
    </row>
    <row r="276" spans="1:4" hidden="1" x14ac:dyDescent="0.35">
      <c r="A276" t="str">
        <f>IF(Table24[[#This Row],[Branch Name]]="","",(_xlfn.XLOOKUP(Table24[[#This Row],[Branch Name]],'[1]Lookup Values'!G:G,'[1]Lookup Values'!H:H,0)))</f>
        <v/>
      </c>
      <c r="B276" t="str">
        <f>IF(Table24[[#This Row],[Branch Name]]="","",(_xlfn.XLOOKUP(Table24[[#This Row],[Branch Name]],'[1]Lookup Values'!G:G,'[1]Lookup Values'!I:I,0)))</f>
        <v/>
      </c>
      <c r="C276" t="str">
        <f>IF(Table24[[#This Row],[Journal Description (Service Description)]]="","",1)</f>
        <v/>
      </c>
      <c r="D276" s="2" t="str">
        <f>IF(Table24[[#This Row],[Journal Description (Service Description)]]="","",VLOOKUP(Table24[[#This Row],[Journal Description (Service Description)]],'[1]Lookup Values'!$A:$B,2,FALSE))</f>
        <v/>
      </c>
    </row>
    <row r="277" spans="1:4" hidden="1" x14ac:dyDescent="0.35">
      <c r="A277" t="str">
        <f>IF(Table24[[#This Row],[Branch Name]]="","",(_xlfn.XLOOKUP(Table24[[#This Row],[Branch Name]],'[1]Lookup Values'!G:G,'[1]Lookup Values'!H:H,0)))</f>
        <v/>
      </c>
      <c r="B277" t="str">
        <f>IF(Table24[[#This Row],[Branch Name]]="","",(_xlfn.XLOOKUP(Table24[[#This Row],[Branch Name]],'[1]Lookup Values'!G:G,'[1]Lookup Values'!I:I,0)))</f>
        <v/>
      </c>
      <c r="C277" t="str">
        <f>IF(Table24[[#This Row],[Journal Description (Service Description)]]="","",1)</f>
        <v/>
      </c>
      <c r="D277" s="2" t="str">
        <f>IF(Table24[[#This Row],[Journal Description (Service Description)]]="","",VLOOKUP(Table24[[#This Row],[Journal Description (Service Description)]],'[1]Lookup Values'!$A:$B,2,FALSE))</f>
        <v/>
      </c>
    </row>
    <row r="278" spans="1:4" hidden="1" x14ac:dyDescent="0.35">
      <c r="A278" t="str">
        <f>IF(Table24[[#This Row],[Branch Name]]="","",(_xlfn.XLOOKUP(Table24[[#This Row],[Branch Name]],'[1]Lookup Values'!G:G,'[1]Lookup Values'!H:H,0)))</f>
        <v/>
      </c>
      <c r="B278" t="str">
        <f>IF(Table24[[#This Row],[Branch Name]]="","",(_xlfn.XLOOKUP(Table24[[#This Row],[Branch Name]],'[1]Lookup Values'!G:G,'[1]Lookup Values'!I:I,0)))</f>
        <v/>
      </c>
      <c r="C278" t="str">
        <f>IF(Table24[[#This Row],[Journal Description (Service Description)]]="","",1)</f>
        <v/>
      </c>
      <c r="D278" s="2" t="str">
        <f>IF(Table24[[#This Row],[Journal Description (Service Description)]]="","",VLOOKUP(Table24[[#This Row],[Journal Description (Service Description)]],'[1]Lookup Values'!$A:$B,2,FALSE))</f>
        <v/>
      </c>
    </row>
    <row r="279" spans="1:4" hidden="1" x14ac:dyDescent="0.35">
      <c r="A279" t="str">
        <f>IF(Table24[[#This Row],[Branch Name]]="","",(_xlfn.XLOOKUP(Table24[[#This Row],[Branch Name]],'[1]Lookup Values'!G:G,'[1]Lookup Values'!H:H,0)))</f>
        <v/>
      </c>
      <c r="B279" t="str">
        <f>IF(Table24[[#This Row],[Branch Name]]="","",(_xlfn.XLOOKUP(Table24[[#This Row],[Branch Name]],'[1]Lookup Values'!G:G,'[1]Lookup Values'!I:I,0)))</f>
        <v/>
      </c>
      <c r="C279" t="str">
        <f>IF(Table24[[#This Row],[Journal Description (Service Description)]]="","",1)</f>
        <v/>
      </c>
      <c r="D279" s="2" t="str">
        <f>IF(Table24[[#This Row],[Journal Description (Service Description)]]="","",VLOOKUP(Table24[[#This Row],[Journal Description (Service Description)]],'[1]Lookup Values'!$A:$B,2,FALSE))</f>
        <v/>
      </c>
    </row>
    <row r="280" spans="1:4" hidden="1" x14ac:dyDescent="0.35">
      <c r="A280" t="str">
        <f>IF(Table24[[#This Row],[Branch Name]]="","",(_xlfn.XLOOKUP(Table24[[#This Row],[Branch Name]],'[1]Lookup Values'!G:G,'[1]Lookup Values'!H:H,0)))</f>
        <v/>
      </c>
      <c r="B280" t="str">
        <f>IF(Table24[[#This Row],[Branch Name]]="","",(_xlfn.XLOOKUP(Table24[[#This Row],[Branch Name]],'[1]Lookup Values'!G:G,'[1]Lookup Values'!I:I,0)))</f>
        <v/>
      </c>
      <c r="C280" t="str">
        <f>IF(Table24[[#This Row],[Journal Description (Service Description)]]="","",1)</f>
        <v/>
      </c>
      <c r="D280" s="2" t="str">
        <f>IF(Table24[[#This Row],[Journal Description (Service Description)]]="","",VLOOKUP(Table24[[#This Row],[Journal Description (Service Description)]],'[1]Lookup Values'!$A:$B,2,FALSE))</f>
        <v/>
      </c>
    </row>
    <row r="281" spans="1:4" hidden="1" x14ac:dyDescent="0.35">
      <c r="A281" t="str">
        <f>IF(Table24[[#This Row],[Branch Name]]="","",(_xlfn.XLOOKUP(Table24[[#This Row],[Branch Name]],'[1]Lookup Values'!G:G,'[1]Lookup Values'!H:H,0)))</f>
        <v/>
      </c>
      <c r="B281" t="str">
        <f>IF(Table24[[#This Row],[Branch Name]]="","",(_xlfn.XLOOKUP(Table24[[#This Row],[Branch Name]],'[1]Lookup Values'!G:G,'[1]Lookup Values'!I:I,0)))</f>
        <v/>
      </c>
      <c r="C281" t="str">
        <f>IF(Table24[[#This Row],[Journal Description (Service Description)]]="","",1)</f>
        <v/>
      </c>
      <c r="D281" s="2" t="str">
        <f>IF(Table24[[#This Row],[Journal Description (Service Description)]]="","",VLOOKUP(Table24[[#This Row],[Journal Description (Service Description)]],'[1]Lookup Values'!$A:$B,2,FALSE))</f>
        <v/>
      </c>
    </row>
    <row r="282" spans="1:4" hidden="1" x14ac:dyDescent="0.35">
      <c r="A282" t="str">
        <f>IF(Table24[[#This Row],[Branch Name]]="","",(_xlfn.XLOOKUP(Table24[[#This Row],[Branch Name]],'[1]Lookup Values'!G:G,'[1]Lookup Values'!H:H,0)))</f>
        <v/>
      </c>
      <c r="B282" t="str">
        <f>IF(Table24[[#This Row],[Branch Name]]="","",(_xlfn.XLOOKUP(Table24[[#This Row],[Branch Name]],'[1]Lookup Values'!G:G,'[1]Lookup Values'!I:I,0)))</f>
        <v/>
      </c>
      <c r="C282" t="str">
        <f>IF(Table24[[#This Row],[Journal Description (Service Description)]]="","",1)</f>
        <v/>
      </c>
      <c r="D282" s="2" t="str">
        <f>IF(Table24[[#This Row],[Journal Description (Service Description)]]="","",VLOOKUP(Table24[[#This Row],[Journal Description (Service Description)]],'[1]Lookup Values'!$A:$B,2,FALSE))</f>
        <v/>
      </c>
    </row>
    <row r="283" spans="1:4" hidden="1" x14ac:dyDescent="0.35">
      <c r="A283" t="str">
        <f>IF(Table24[[#This Row],[Branch Name]]="","",(_xlfn.XLOOKUP(Table24[[#This Row],[Branch Name]],'[1]Lookup Values'!G:G,'[1]Lookup Values'!H:H,0)))</f>
        <v/>
      </c>
      <c r="B283" t="str">
        <f>IF(Table24[[#This Row],[Branch Name]]="","",(_xlfn.XLOOKUP(Table24[[#This Row],[Branch Name]],'[1]Lookup Values'!G:G,'[1]Lookup Values'!I:I,0)))</f>
        <v/>
      </c>
      <c r="C283" t="str">
        <f>IF(Table24[[#This Row],[Journal Description (Service Description)]]="","",1)</f>
        <v/>
      </c>
      <c r="D283" s="2" t="str">
        <f>IF(Table24[[#This Row],[Journal Description (Service Description)]]="","",VLOOKUP(Table24[[#This Row],[Journal Description (Service Description)]],'[1]Lookup Values'!$A:$B,2,FALSE))</f>
        <v/>
      </c>
    </row>
    <row r="284" spans="1:4" hidden="1" x14ac:dyDescent="0.35">
      <c r="A284" t="str">
        <f>IF(Table24[[#This Row],[Branch Name]]="","",(_xlfn.XLOOKUP(Table24[[#This Row],[Branch Name]],'[1]Lookup Values'!G:G,'[1]Lookup Values'!H:H,0)))</f>
        <v/>
      </c>
      <c r="B284" t="str">
        <f>IF(Table24[[#This Row],[Branch Name]]="","",(_xlfn.XLOOKUP(Table24[[#This Row],[Branch Name]],'[1]Lookup Values'!G:G,'[1]Lookup Values'!I:I,0)))</f>
        <v/>
      </c>
      <c r="C284" t="str">
        <f>IF(Table24[[#This Row],[Journal Description (Service Description)]]="","",1)</f>
        <v/>
      </c>
      <c r="D284" s="2" t="str">
        <f>IF(Table24[[#This Row],[Journal Description (Service Description)]]="","",VLOOKUP(Table24[[#This Row],[Journal Description (Service Description)]],'[1]Lookup Values'!$A:$B,2,FALSE))</f>
        <v/>
      </c>
    </row>
    <row r="285" spans="1:4" hidden="1" x14ac:dyDescent="0.35">
      <c r="A285" t="str">
        <f>IF(Table24[[#This Row],[Branch Name]]="","",(_xlfn.XLOOKUP(Table24[[#This Row],[Branch Name]],'[1]Lookup Values'!G:G,'[1]Lookup Values'!H:H,0)))</f>
        <v/>
      </c>
      <c r="B285" t="str">
        <f>IF(Table24[[#This Row],[Branch Name]]="","",(_xlfn.XLOOKUP(Table24[[#This Row],[Branch Name]],'[1]Lookup Values'!G:G,'[1]Lookup Values'!I:I,0)))</f>
        <v/>
      </c>
      <c r="C285" t="str">
        <f>IF(Table24[[#This Row],[Journal Description (Service Description)]]="","",1)</f>
        <v/>
      </c>
      <c r="D285" s="2" t="str">
        <f>IF(Table24[[#This Row],[Journal Description (Service Description)]]="","",VLOOKUP(Table24[[#This Row],[Journal Description (Service Description)]],'[1]Lookup Values'!$A:$B,2,FALSE))</f>
        <v/>
      </c>
    </row>
    <row r="286" spans="1:4" hidden="1" x14ac:dyDescent="0.35">
      <c r="A286" t="str">
        <f>IF(Table24[[#This Row],[Branch Name]]="","",(_xlfn.XLOOKUP(Table24[[#This Row],[Branch Name]],'[1]Lookup Values'!G:G,'[1]Lookup Values'!H:H,0)))</f>
        <v/>
      </c>
      <c r="B286" t="str">
        <f>IF(Table24[[#This Row],[Branch Name]]="","",(_xlfn.XLOOKUP(Table24[[#This Row],[Branch Name]],'[1]Lookup Values'!G:G,'[1]Lookup Values'!I:I,0)))</f>
        <v/>
      </c>
      <c r="C286" t="str">
        <f>IF(Table24[[#This Row],[Journal Description (Service Description)]]="","",1)</f>
        <v/>
      </c>
      <c r="D286" s="2" t="str">
        <f>IF(Table24[[#This Row],[Journal Description (Service Description)]]="","",VLOOKUP(Table24[[#This Row],[Journal Description (Service Description)]],'[1]Lookup Values'!$A:$B,2,FALSE))</f>
        <v/>
      </c>
    </row>
    <row r="287" spans="1:4" hidden="1" x14ac:dyDescent="0.35">
      <c r="A287" t="str">
        <f>IF(Table24[[#This Row],[Branch Name]]="","",(_xlfn.XLOOKUP(Table24[[#This Row],[Branch Name]],'[1]Lookup Values'!G:G,'[1]Lookup Values'!H:H,0)))</f>
        <v/>
      </c>
      <c r="B287" t="str">
        <f>IF(Table24[[#This Row],[Branch Name]]="","",(_xlfn.XLOOKUP(Table24[[#This Row],[Branch Name]],'[1]Lookup Values'!G:G,'[1]Lookup Values'!I:I,0)))</f>
        <v/>
      </c>
      <c r="C287" t="str">
        <f>IF(Table24[[#This Row],[Journal Description (Service Description)]]="","",1)</f>
        <v/>
      </c>
      <c r="D287" s="2" t="str">
        <f>IF(Table24[[#This Row],[Journal Description (Service Description)]]="","",VLOOKUP(Table24[[#This Row],[Journal Description (Service Description)]],'[1]Lookup Values'!$A:$B,2,FALSE))</f>
        <v/>
      </c>
    </row>
    <row r="288" spans="1:4" hidden="1" x14ac:dyDescent="0.35">
      <c r="A288" t="str">
        <f>IF(Table24[[#This Row],[Branch Name]]="","",(_xlfn.XLOOKUP(Table24[[#This Row],[Branch Name]],'[1]Lookup Values'!G:G,'[1]Lookup Values'!H:H,0)))</f>
        <v/>
      </c>
      <c r="B288" t="str">
        <f>IF(Table24[[#This Row],[Branch Name]]="","",(_xlfn.XLOOKUP(Table24[[#This Row],[Branch Name]],'[1]Lookup Values'!G:G,'[1]Lookup Values'!I:I,0)))</f>
        <v/>
      </c>
      <c r="C288" t="str">
        <f>IF(Table24[[#This Row],[Journal Description (Service Description)]]="","",1)</f>
        <v/>
      </c>
      <c r="D288" s="2" t="str">
        <f>IF(Table24[[#This Row],[Journal Description (Service Description)]]="","",VLOOKUP(Table24[[#This Row],[Journal Description (Service Description)]],'[1]Lookup Values'!$A:$B,2,FALSE))</f>
        <v/>
      </c>
    </row>
    <row r="289" spans="1:4" hidden="1" x14ac:dyDescent="0.35">
      <c r="A289" t="str">
        <f>IF(Table24[[#This Row],[Branch Name]]="","",(_xlfn.XLOOKUP(Table24[[#This Row],[Branch Name]],'[1]Lookup Values'!G:G,'[1]Lookup Values'!H:H,0)))</f>
        <v/>
      </c>
      <c r="B289" t="str">
        <f>IF(Table24[[#This Row],[Branch Name]]="","",(_xlfn.XLOOKUP(Table24[[#This Row],[Branch Name]],'[1]Lookup Values'!G:G,'[1]Lookup Values'!I:I,0)))</f>
        <v/>
      </c>
      <c r="C289" t="str">
        <f>IF(Table24[[#This Row],[Journal Description (Service Description)]]="","",1)</f>
        <v/>
      </c>
      <c r="D289" s="2" t="str">
        <f>IF(Table24[[#This Row],[Journal Description (Service Description)]]="","",VLOOKUP(Table24[[#This Row],[Journal Description (Service Description)]],'[1]Lookup Values'!$A:$B,2,FALSE))</f>
        <v/>
      </c>
    </row>
    <row r="290" spans="1:4" hidden="1" x14ac:dyDescent="0.35">
      <c r="A290" t="str">
        <f>IF(Table24[[#This Row],[Branch Name]]="","",(_xlfn.XLOOKUP(Table24[[#This Row],[Branch Name]],'[1]Lookup Values'!G:G,'[1]Lookup Values'!H:H,0)))</f>
        <v/>
      </c>
      <c r="B290" t="str">
        <f>IF(Table24[[#This Row],[Branch Name]]="","",(_xlfn.XLOOKUP(Table24[[#This Row],[Branch Name]],'[1]Lookup Values'!G:G,'[1]Lookup Values'!I:I,0)))</f>
        <v/>
      </c>
      <c r="C290" t="str">
        <f>IF(Table24[[#This Row],[Journal Description (Service Description)]]="","",1)</f>
        <v/>
      </c>
      <c r="D290" s="2" t="str">
        <f>IF(Table24[[#This Row],[Journal Description (Service Description)]]="","",VLOOKUP(Table24[[#This Row],[Journal Description (Service Description)]],'[1]Lookup Values'!$A:$B,2,FALSE))</f>
        <v/>
      </c>
    </row>
    <row r="291" spans="1:4" hidden="1" x14ac:dyDescent="0.35">
      <c r="A291" t="str">
        <f>IF(Table24[[#This Row],[Branch Name]]="","",(_xlfn.XLOOKUP(Table24[[#This Row],[Branch Name]],'[1]Lookup Values'!G:G,'[1]Lookup Values'!H:H,0)))</f>
        <v/>
      </c>
      <c r="B291" t="str">
        <f>IF(Table24[[#This Row],[Branch Name]]="","",(_xlfn.XLOOKUP(Table24[[#This Row],[Branch Name]],'[1]Lookup Values'!G:G,'[1]Lookup Values'!I:I,0)))</f>
        <v/>
      </c>
      <c r="C291" t="str">
        <f>IF(Table24[[#This Row],[Journal Description (Service Description)]]="","",1)</f>
        <v/>
      </c>
      <c r="D291" s="2" t="str">
        <f>IF(Table24[[#This Row],[Journal Description (Service Description)]]="","",VLOOKUP(Table24[[#This Row],[Journal Description (Service Description)]],'[1]Lookup Values'!$A:$B,2,FALSE))</f>
        <v/>
      </c>
    </row>
    <row r="292" spans="1:4" hidden="1" x14ac:dyDescent="0.35">
      <c r="A292" t="str">
        <f>IF(Table24[[#This Row],[Branch Name]]="","",(_xlfn.XLOOKUP(Table24[[#This Row],[Branch Name]],'[1]Lookup Values'!G:G,'[1]Lookup Values'!H:H,0)))</f>
        <v/>
      </c>
      <c r="B292" t="str">
        <f>IF(Table24[[#This Row],[Branch Name]]="","",(_xlfn.XLOOKUP(Table24[[#This Row],[Branch Name]],'[1]Lookup Values'!G:G,'[1]Lookup Values'!I:I,0)))</f>
        <v/>
      </c>
      <c r="C292" t="str">
        <f>IF(Table24[[#This Row],[Journal Description (Service Description)]]="","",1)</f>
        <v/>
      </c>
      <c r="D292" s="2" t="str">
        <f>IF(Table24[[#This Row],[Journal Description (Service Description)]]="","",VLOOKUP(Table24[[#This Row],[Journal Description (Service Description)]],'[1]Lookup Values'!$A:$B,2,FALSE))</f>
        <v/>
      </c>
    </row>
    <row r="293" spans="1:4" hidden="1" x14ac:dyDescent="0.35">
      <c r="A293" t="str">
        <f>IF(Table24[[#This Row],[Branch Name]]="","",(_xlfn.XLOOKUP(Table24[[#This Row],[Branch Name]],'[1]Lookup Values'!G:G,'[1]Lookup Values'!H:H,0)))</f>
        <v/>
      </c>
      <c r="B293" t="str">
        <f>IF(Table24[[#This Row],[Branch Name]]="","",(_xlfn.XLOOKUP(Table24[[#This Row],[Branch Name]],'[1]Lookup Values'!G:G,'[1]Lookup Values'!I:I,0)))</f>
        <v/>
      </c>
      <c r="C293" t="str">
        <f>IF(Table24[[#This Row],[Journal Description (Service Description)]]="","",1)</f>
        <v/>
      </c>
      <c r="D293" s="2" t="str">
        <f>IF(Table24[[#This Row],[Journal Description (Service Description)]]="","",VLOOKUP(Table24[[#This Row],[Journal Description (Service Description)]],'[1]Lookup Values'!$A:$B,2,FALSE))</f>
        <v/>
      </c>
    </row>
    <row r="294" spans="1:4" hidden="1" x14ac:dyDescent="0.35">
      <c r="A294" t="str">
        <f>IF(Table24[[#This Row],[Branch Name]]="","",(_xlfn.XLOOKUP(Table24[[#This Row],[Branch Name]],'[1]Lookup Values'!G:G,'[1]Lookup Values'!H:H,0)))</f>
        <v/>
      </c>
      <c r="B294" t="str">
        <f>IF(Table24[[#This Row],[Branch Name]]="","",(_xlfn.XLOOKUP(Table24[[#This Row],[Branch Name]],'[1]Lookup Values'!G:G,'[1]Lookup Values'!I:I,0)))</f>
        <v/>
      </c>
      <c r="C294" t="str">
        <f>IF(Table24[[#This Row],[Journal Description (Service Description)]]="","",1)</f>
        <v/>
      </c>
      <c r="D294" s="2" t="str">
        <f>IF(Table24[[#This Row],[Journal Description (Service Description)]]="","",VLOOKUP(Table24[[#This Row],[Journal Description (Service Description)]],'[1]Lookup Values'!$A:$B,2,FALSE))</f>
        <v/>
      </c>
    </row>
    <row r="295" spans="1:4" hidden="1" x14ac:dyDescent="0.35">
      <c r="A295" t="str">
        <f>IF(Table24[[#This Row],[Branch Name]]="","",(_xlfn.XLOOKUP(Table24[[#This Row],[Branch Name]],'[1]Lookup Values'!G:G,'[1]Lookup Values'!H:H,0)))</f>
        <v/>
      </c>
      <c r="B295" t="str">
        <f>IF(Table24[[#This Row],[Branch Name]]="","",(_xlfn.XLOOKUP(Table24[[#This Row],[Branch Name]],'[1]Lookup Values'!G:G,'[1]Lookup Values'!I:I,0)))</f>
        <v/>
      </c>
      <c r="C295" t="str">
        <f>IF(Table24[[#This Row],[Journal Description (Service Description)]]="","",1)</f>
        <v/>
      </c>
      <c r="D295" s="2" t="str">
        <f>IF(Table24[[#This Row],[Journal Description (Service Description)]]="","",VLOOKUP(Table24[[#This Row],[Journal Description (Service Description)]],'[1]Lookup Values'!$A:$B,2,FALSE))</f>
        <v/>
      </c>
    </row>
    <row r="296" spans="1:4" hidden="1" x14ac:dyDescent="0.35">
      <c r="A296" t="str">
        <f>IF(Table24[[#This Row],[Branch Name]]="","",(_xlfn.XLOOKUP(Table24[[#This Row],[Branch Name]],'[1]Lookup Values'!G:G,'[1]Lookup Values'!H:H,0)))</f>
        <v/>
      </c>
      <c r="B296" t="str">
        <f>IF(Table24[[#This Row],[Branch Name]]="","",(_xlfn.XLOOKUP(Table24[[#This Row],[Branch Name]],'[1]Lookup Values'!G:G,'[1]Lookup Values'!I:I,0)))</f>
        <v/>
      </c>
      <c r="C296" t="str">
        <f>IF(Table24[[#This Row],[Journal Description (Service Description)]]="","",1)</f>
        <v/>
      </c>
      <c r="D296" s="2" t="str">
        <f>IF(Table24[[#This Row],[Journal Description (Service Description)]]="","",VLOOKUP(Table24[[#This Row],[Journal Description (Service Description)]],'[1]Lookup Values'!$A:$B,2,FALSE))</f>
        <v/>
      </c>
    </row>
    <row r="297" spans="1:4" hidden="1" x14ac:dyDescent="0.35">
      <c r="A297" t="str">
        <f>IF(Table24[[#This Row],[Branch Name]]="","",(_xlfn.XLOOKUP(Table24[[#This Row],[Branch Name]],'[1]Lookup Values'!G:G,'[1]Lookup Values'!H:H,0)))</f>
        <v/>
      </c>
      <c r="B297" t="str">
        <f>IF(Table24[[#This Row],[Branch Name]]="","",(_xlfn.XLOOKUP(Table24[[#This Row],[Branch Name]],'[1]Lookup Values'!G:G,'[1]Lookup Values'!I:I,0)))</f>
        <v/>
      </c>
      <c r="C297" t="str">
        <f>IF(Table24[[#This Row],[Journal Description (Service Description)]]="","",1)</f>
        <v/>
      </c>
      <c r="D297" s="2" t="str">
        <f>IF(Table24[[#This Row],[Journal Description (Service Description)]]="","",VLOOKUP(Table24[[#This Row],[Journal Description (Service Description)]],'[1]Lookup Values'!$A:$B,2,FALSE))</f>
        <v/>
      </c>
    </row>
    <row r="298" spans="1:4" hidden="1" x14ac:dyDescent="0.35">
      <c r="A298" t="str">
        <f>IF(Table24[[#This Row],[Branch Name]]="","",(_xlfn.XLOOKUP(Table24[[#This Row],[Branch Name]],'[1]Lookup Values'!G:G,'[1]Lookup Values'!H:H,0)))</f>
        <v/>
      </c>
      <c r="B298" t="str">
        <f>IF(Table24[[#This Row],[Branch Name]]="","",(_xlfn.XLOOKUP(Table24[[#This Row],[Branch Name]],'[1]Lookup Values'!G:G,'[1]Lookup Values'!I:I,0)))</f>
        <v/>
      </c>
      <c r="C298" t="str">
        <f>IF(Table24[[#This Row],[Journal Description (Service Description)]]="","",1)</f>
        <v/>
      </c>
      <c r="D298" s="2" t="str">
        <f>IF(Table24[[#This Row],[Journal Description (Service Description)]]="","",VLOOKUP(Table24[[#This Row],[Journal Description (Service Description)]],'[1]Lookup Values'!$A:$B,2,FALSE))</f>
        <v/>
      </c>
    </row>
    <row r="299" spans="1:4" hidden="1" x14ac:dyDescent="0.35">
      <c r="A299" t="str">
        <f>IF(Table24[[#This Row],[Branch Name]]="","",(_xlfn.XLOOKUP(Table24[[#This Row],[Branch Name]],'[1]Lookup Values'!G:G,'[1]Lookup Values'!H:H,0)))</f>
        <v/>
      </c>
      <c r="B299" t="str">
        <f>IF(Table24[[#This Row],[Branch Name]]="","",(_xlfn.XLOOKUP(Table24[[#This Row],[Branch Name]],'[1]Lookup Values'!G:G,'[1]Lookup Values'!I:I,0)))</f>
        <v/>
      </c>
      <c r="C299" t="str">
        <f>IF(Table24[[#This Row],[Journal Description (Service Description)]]="","",1)</f>
        <v/>
      </c>
      <c r="D299" s="2" t="str">
        <f>IF(Table24[[#This Row],[Journal Description (Service Description)]]="","",VLOOKUP(Table24[[#This Row],[Journal Description (Service Description)]],'[1]Lookup Values'!$A:$B,2,FALSE))</f>
        <v/>
      </c>
    </row>
    <row r="300" spans="1:4" hidden="1" x14ac:dyDescent="0.35">
      <c r="A300" t="str">
        <f>IF(Table24[[#This Row],[Branch Name]]="","",(_xlfn.XLOOKUP(Table24[[#This Row],[Branch Name]],'[1]Lookup Values'!G:G,'[1]Lookup Values'!H:H,0)))</f>
        <v/>
      </c>
      <c r="B300" t="str">
        <f>IF(Table24[[#This Row],[Branch Name]]="","",(_xlfn.XLOOKUP(Table24[[#This Row],[Branch Name]],'[1]Lookup Values'!G:G,'[1]Lookup Values'!I:I,0)))</f>
        <v/>
      </c>
      <c r="C300" t="str">
        <f>IF(Table24[[#This Row],[Journal Description (Service Description)]]="","",1)</f>
        <v/>
      </c>
      <c r="D300" s="2" t="str">
        <f>IF(Table24[[#This Row],[Journal Description (Service Description)]]="","",VLOOKUP(Table24[[#This Row],[Journal Description (Service Description)]],'[1]Lookup Values'!$A:$B,2,FALSE))</f>
        <v/>
      </c>
    </row>
    <row r="301" spans="1:4" hidden="1" x14ac:dyDescent="0.35">
      <c r="A301" t="str">
        <f>IF(Table24[[#This Row],[Branch Name]]="","",(_xlfn.XLOOKUP(Table24[[#This Row],[Branch Name]],'[1]Lookup Values'!G:G,'[1]Lookup Values'!H:H,0)))</f>
        <v/>
      </c>
      <c r="B301" t="str">
        <f>IF(Table24[[#This Row],[Branch Name]]="","",(_xlfn.XLOOKUP(Table24[[#This Row],[Branch Name]],'[1]Lookup Values'!G:G,'[1]Lookup Values'!I:I,0)))</f>
        <v/>
      </c>
      <c r="C301" t="str">
        <f>IF(Table24[[#This Row],[Journal Description (Service Description)]]="","",1)</f>
        <v/>
      </c>
      <c r="D301" s="2" t="str">
        <f>IF(Table24[[#This Row],[Journal Description (Service Description)]]="","",VLOOKUP(Table24[[#This Row],[Journal Description (Service Description)]],'[1]Lookup Values'!$A:$B,2,FALSE))</f>
        <v/>
      </c>
    </row>
    <row r="302" spans="1:4" hidden="1" x14ac:dyDescent="0.35">
      <c r="A302" t="str">
        <f>IF(Table24[[#This Row],[Branch Name]]="","",(_xlfn.XLOOKUP(Table24[[#This Row],[Branch Name]],'[1]Lookup Values'!G:G,'[1]Lookup Values'!H:H,0)))</f>
        <v/>
      </c>
      <c r="B302" t="str">
        <f>IF(Table24[[#This Row],[Branch Name]]="","",(_xlfn.XLOOKUP(Table24[[#This Row],[Branch Name]],'[1]Lookup Values'!G:G,'[1]Lookup Values'!I:I,0)))</f>
        <v/>
      </c>
      <c r="C302" t="str">
        <f>IF(Table24[[#This Row],[Journal Description (Service Description)]]="","",1)</f>
        <v/>
      </c>
      <c r="D302" s="2" t="str">
        <f>IF(Table24[[#This Row],[Journal Description (Service Description)]]="","",VLOOKUP(Table24[[#This Row],[Journal Description (Service Description)]],'[1]Lookup Values'!$A:$B,2,FALSE))</f>
        <v/>
      </c>
    </row>
    <row r="303" spans="1:4" hidden="1" x14ac:dyDescent="0.35">
      <c r="A303" t="str">
        <f>IF(Table24[[#This Row],[Branch Name]]="","",(_xlfn.XLOOKUP(Table24[[#This Row],[Branch Name]],'[1]Lookup Values'!G:G,'[1]Lookup Values'!H:H,0)))</f>
        <v/>
      </c>
      <c r="B303" t="str">
        <f>IF(Table24[[#This Row],[Branch Name]]="","",(_xlfn.XLOOKUP(Table24[[#This Row],[Branch Name]],'[1]Lookup Values'!G:G,'[1]Lookup Values'!I:I,0)))</f>
        <v/>
      </c>
      <c r="C303" t="str">
        <f>IF(Table24[[#This Row],[Journal Description (Service Description)]]="","",1)</f>
        <v/>
      </c>
      <c r="D303" s="2" t="str">
        <f>IF(Table24[[#This Row],[Journal Description (Service Description)]]="","",VLOOKUP(Table24[[#This Row],[Journal Description (Service Description)]],'[1]Lookup Values'!$A:$B,2,FALSE))</f>
        <v/>
      </c>
    </row>
    <row r="304" spans="1:4" hidden="1" x14ac:dyDescent="0.35">
      <c r="A304" t="str">
        <f>IF(Table24[[#This Row],[Branch Name]]="","",(_xlfn.XLOOKUP(Table24[[#This Row],[Branch Name]],'[1]Lookup Values'!G:G,'[1]Lookup Values'!H:H,0)))</f>
        <v/>
      </c>
      <c r="B304" t="str">
        <f>IF(Table24[[#This Row],[Branch Name]]="","",(_xlfn.XLOOKUP(Table24[[#This Row],[Branch Name]],'[1]Lookup Values'!G:G,'[1]Lookup Values'!I:I,0)))</f>
        <v/>
      </c>
      <c r="C304" t="str">
        <f>IF(Table24[[#This Row],[Journal Description (Service Description)]]="","",1)</f>
        <v/>
      </c>
      <c r="D304" s="2" t="str">
        <f>IF(Table24[[#This Row],[Journal Description (Service Description)]]="","",VLOOKUP(Table24[[#This Row],[Journal Description (Service Description)]],'[1]Lookup Values'!$A:$B,2,FALSE))</f>
        <v/>
      </c>
    </row>
    <row r="305" spans="1:4" hidden="1" x14ac:dyDescent="0.35">
      <c r="A305" t="str">
        <f>IF(Table24[[#This Row],[Branch Name]]="","",(_xlfn.XLOOKUP(Table24[[#This Row],[Branch Name]],'[1]Lookup Values'!G:G,'[1]Lookup Values'!H:H,0)))</f>
        <v/>
      </c>
      <c r="B305" t="str">
        <f>IF(Table24[[#This Row],[Branch Name]]="","",(_xlfn.XLOOKUP(Table24[[#This Row],[Branch Name]],'[1]Lookup Values'!G:G,'[1]Lookup Values'!I:I,0)))</f>
        <v/>
      </c>
      <c r="C305" t="str">
        <f>IF(Table24[[#This Row],[Journal Description (Service Description)]]="","",1)</f>
        <v/>
      </c>
      <c r="D305" s="2" t="str">
        <f>IF(Table24[[#This Row],[Journal Description (Service Description)]]="","",VLOOKUP(Table24[[#This Row],[Journal Description (Service Description)]],'[1]Lookup Values'!$A:$B,2,FALSE))</f>
        <v/>
      </c>
    </row>
    <row r="306" spans="1:4" hidden="1" x14ac:dyDescent="0.35">
      <c r="A306" t="str">
        <f>IF(Table24[[#This Row],[Branch Name]]="","",(_xlfn.XLOOKUP(Table24[[#This Row],[Branch Name]],'[1]Lookup Values'!G:G,'[1]Lookup Values'!H:H,0)))</f>
        <v/>
      </c>
      <c r="B306" t="str">
        <f>IF(Table24[[#This Row],[Branch Name]]="","",(_xlfn.XLOOKUP(Table24[[#This Row],[Branch Name]],'[1]Lookup Values'!G:G,'[1]Lookup Values'!I:I,0)))</f>
        <v/>
      </c>
      <c r="C306" t="str">
        <f>IF(Table24[[#This Row],[Journal Description (Service Description)]]="","",1)</f>
        <v/>
      </c>
      <c r="D306" s="2" t="str">
        <f>IF(Table24[[#This Row],[Journal Description (Service Description)]]="","",VLOOKUP(Table24[[#This Row],[Journal Description (Service Description)]],'[1]Lookup Values'!$A:$B,2,FALSE))</f>
        <v/>
      </c>
    </row>
    <row r="307" spans="1:4" hidden="1" x14ac:dyDescent="0.35">
      <c r="A307" t="str">
        <f>IF(Table24[[#This Row],[Branch Name]]="","",(_xlfn.XLOOKUP(Table24[[#This Row],[Branch Name]],'[1]Lookup Values'!G:G,'[1]Lookup Values'!H:H,0)))</f>
        <v/>
      </c>
      <c r="B307" t="str">
        <f>IF(Table24[[#This Row],[Branch Name]]="","",(_xlfn.XLOOKUP(Table24[[#This Row],[Branch Name]],'[1]Lookup Values'!G:G,'[1]Lookup Values'!I:I,0)))</f>
        <v/>
      </c>
      <c r="C307" t="str">
        <f>IF(Table24[[#This Row],[Journal Description (Service Description)]]="","",1)</f>
        <v/>
      </c>
      <c r="D307" s="2" t="str">
        <f>IF(Table24[[#This Row],[Journal Description (Service Description)]]="","",VLOOKUP(Table24[[#This Row],[Journal Description (Service Description)]],'[1]Lookup Values'!$A:$B,2,FALSE))</f>
        <v/>
      </c>
    </row>
    <row r="308" spans="1:4" hidden="1" x14ac:dyDescent="0.35">
      <c r="A308" t="str">
        <f>IF(Table24[[#This Row],[Branch Name]]="","",(_xlfn.XLOOKUP(Table24[[#This Row],[Branch Name]],'[1]Lookup Values'!G:G,'[1]Lookup Values'!H:H,0)))</f>
        <v/>
      </c>
      <c r="B308" t="str">
        <f>IF(Table24[[#This Row],[Branch Name]]="","",(_xlfn.XLOOKUP(Table24[[#This Row],[Branch Name]],'[1]Lookup Values'!G:G,'[1]Lookup Values'!I:I,0)))</f>
        <v/>
      </c>
      <c r="C308" t="str">
        <f>IF(Table24[[#This Row],[Journal Description (Service Description)]]="","",1)</f>
        <v/>
      </c>
      <c r="D308" s="2" t="str">
        <f>IF(Table24[[#This Row],[Journal Description (Service Description)]]="","",VLOOKUP(Table24[[#This Row],[Journal Description (Service Description)]],'[1]Lookup Values'!$A:$B,2,FALSE))</f>
        <v/>
      </c>
    </row>
    <row r="309" spans="1:4" hidden="1" x14ac:dyDescent="0.35">
      <c r="A309" t="str">
        <f>IF(Table24[[#This Row],[Branch Name]]="","",(_xlfn.XLOOKUP(Table24[[#This Row],[Branch Name]],'[1]Lookup Values'!G:G,'[1]Lookup Values'!H:H,0)))</f>
        <v/>
      </c>
      <c r="B309" t="str">
        <f>IF(Table24[[#This Row],[Branch Name]]="","",(_xlfn.XLOOKUP(Table24[[#This Row],[Branch Name]],'[1]Lookup Values'!G:G,'[1]Lookup Values'!I:I,0)))</f>
        <v/>
      </c>
      <c r="C309" t="str">
        <f>IF(Table24[[#This Row],[Journal Description (Service Description)]]="","",1)</f>
        <v/>
      </c>
      <c r="D309" s="2" t="str">
        <f>IF(Table24[[#This Row],[Journal Description (Service Description)]]="","",VLOOKUP(Table24[[#This Row],[Journal Description (Service Description)]],'[1]Lookup Values'!$A:$B,2,FALSE))</f>
        <v/>
      </c>
    </row>
    <row r="310" spans="1:4" hidden="1" x14ac:dyDescent="0.35">
      <c r="A310" t="str">
        <f>IF(Table24[[#This Row],[Branch Name]]="","",(_xlfn.XLOOKUP(Table24[[#This Row],[Branch Name]],'[1]Lookup Values'!G:G,'[1]Lookup Values'!H:H,0)))</f>
        <v/>
      </c>
      <c r="B310" t="str">
        <f>IF(Table24[[#This Row],[Branch Name]]="","",(_xlfn.XLOOKUP(Table24[[#This Row],[Branch Name]],'[1]Lookup Values'!G:G,'[1]Lookup Values'!I:I,0)))</f>
        <v/>
      </c>
      <c r="C310" t="str">
        <f>IF(Table24[[#This Row],[Journal Description (Service Description)]]="","",1)</f>
        <v/>
      </c>
      <c r="D310" s="2" t="str">
        <f>IF(Table24[[#This Row],[Journal Description (Service Description)]]="","",VLOOKUP(Table24[[#This Row],[Journal Description (Service Description)]],'[1]Lookup Values'!$A:$B,2,FALSE))</f>
        <v/>
      </c>
    </row>
    <row r="311" spans="1:4" hidden="1" x14ac:dyDescent="0.35">
      <c r="A311" t="str">
        <f>IF(Table24[[#This Row],[Branch Name]]="","",(_xlfn.XLOOKUP(Table24[[#This Row],[Branch Name]],'[1]Lookup Values'!G:G,'[1]Lookup Values'!H:H,0)))</f>
        <v/>
      </c>
      <c r="B311" t="str">
        <f>IF(Table24[[#This Row],[Branch Name]]="","",(_xlfn.XLOOKUP(Table24[[#This Row],[Branch Name]],'[1]Lookup Values'!G:G,'[1]Lookup Values'!I:I,0)))</f>
        <v/>
      </c>
      <c r="C311" t="str">
        <f>IF(Table24[[#This Row],[Journal Description (Service Description)]]="","",1)</f>
        <v/>
      </c>
      <c r="D311" s="2" t="str">
        <f>IF(Table24[[#This Row],[Journal Description (Service Description)]]="","",VLOOKUP(Table24[[#This Row],[Journal Description (Service Description)]],'[1]Lookup Values'!$A:$B,2,FALSE))</f>
        <v/>
      </c>
    </row>
    <row r="312" spans="1:4" hidden="1" x14ac:dyDescent="0.35">
      <c r="A312" t="str">
        <f>IF(Table24[[#This Row],[Branch Name]]="","",(_xlfn.XLOOKUP(Table24[[#This Row],[Branch Name]],'[1]Lookup Values'!G:G,'[1]Lookup Values'!H:H,0)))</f>
        <v/>
      </c>
      <c r="B312" t="str">
        <f>IF(Table24[[#This Row],[Branch Name]]="","",(_xlfn.XLOOKUP(Table24[[#This Row],[Branch Name]],'[1]Lookup Values'!G:G,'[1]Lookup Values'!I:I,0)))</f>
        <v/>
      </c>
      <c r="C312" t="str">
        <f>IF(Table24[[#This Row],[Journal Description (Service Description)]]="","",1)</f>
        <v/>
      </c>
      <c r="D312" s="2" t="str">
        <f>IF(Table24[[#This Row],[Journal Description (Service Description)]]="","",VLOOKUP(Table24[[#This Row],[Journal Description (Service Description)]],'[1]Lookup Values'!$A:$B,2,FALSE))</f>
        <v/>
      </c>
    </row>
    <row r="313" spans="1:4" hidden="1" x14ac:dyDescent="0.35">
      <c r="A313" t="str">
        <f>IF(Table24[[#This Row],[Branch Name]]="","",(_xlfn.XLOOKUP(Table24[[#This Row],[Branch Name]],'[1]Lookup Values'!G:G,'[1]Lookup Values'!H:H,0)))</f>
        <v/>
      </c>
      <c r="B313" t="str">
        <f>IF(Table24[[#This Row],[Branch Name]]="","",(_xlfn.XLOOKUP(Table24[[#This Row],[Branch Name]],'[1]Lookup Values'!G:G,'[1]Lookup Values'!I:I,0)))</f>
        <v/>
      </c>
      <c r="C313" t="str">
        <f>IF(Table24[[#This Row],[Journal Description (Service Description)]]="","",1)</f>
        <v/>
      </c>
      <c r="D313" s="2" t="str">
        <f>IF(Table24[[#This Row],[Journal Description (Service Description)]]="","",VLOOKUP(Table24[[#This Row],[Journal Description (Service Description)]],'[1]Lookup Values'!$A:$B,2,FALSE))</f>
        <v/>
      </c>
    </row>
    <row r="314" spans="1:4" hidden="1" x14ac:dyDescent="0.35">
      <c r="A314" t="str">
        <f>IF(Table24[[#This Row],[Branch Name]]="","",(_xlfn.XLOOKUP(Table24[[#This Row],[Branch Name]],'[1]Lookup Values'!G:G,'[1]Lookup Values'!H:H,0)))</f>
        <v/>
      </c>
      <c r="B314" t="str">
        <f>IF(Table24[[#This Row],[Branch Name]]="","",(_xlfn.XLOOKUP(Table24[[#This Row],[Branch Name]],'[1]Lookup Values'!G:G,'[1]Lookup Values'!I:I,0)))</f>
        <v/>
      </c>
      <c r="C314" t="str">
        <f>IF(Table24[[#This Row],[Journal Description (Service Description)]]="","",1)</f>
        <v/>
      </c>
      <c r="D314" s="2" t="str">
        <f>IF(Table24[[#This Row],[Journal Description (Service Description)]]="","",VLOOKUP(Table24[[#This Row],[Journal Description (Service Description)]],'[1]Lookup Values'!$A:$B,2,FALSE))</f>
        <v/>
      </c>
    </row>
    <row r="315" spans="1:4" hidden="1" x14ac:dyDescent="0.35">
      <c r="A315" t="str">
        <f>IF(Table24[[#This Row],[Branch Name]]="","",(_xlfn.XLOOKUP(Table24[[#This Row],[Branch Name]],'[1]Lookup Values'!G:G,'[1]Lookup Values'!H:H,0)))</f>
        <v/>
      </c>
      <c r="B315" t="str">
        <f>IF(Table24[[#This Row],[Branch Name]]="","",(_xlfn.XLOOKUP(Table24[[#This Row],[Branch Name]],'[1]Lookup Values'!G:G,'[1]Lookup Values'!I:I,0)))</f>
        <v/>
      </c>
      <c r="C315" t="str">
        <f>IF(Table24[[#This Row],[Journal Description (Service Description)]]="","",1)</f>
        <v/>
      </c>
      <c r="D315" s="2" t="str">
        <f>IF(Table24[[#This Row],[Journal Description (Service Description)]]="","",VLOOKUP(Table24[[#This Row],[Journal Description (Service Description)]],'[1]Lookup Values'!$A:$B,2,FALSE))</f>
        <v/>
      </c>
    </row>
    <row r="316" spans="1:4" hidden="1" x14ac:dyDescent="0.35">
      <c r="A316" t="str">
        <f>IF(Table24[[#This Row],[Branch Name]]="","",(_xlfn.XLOOKUP(Table24[[#This Row],[Branch Name]],'[1]Lookup Values'!G:G,'[1]Lookup Values'!H:H,0)))</f>
        <v/>
      </c>
      <c r="B316" t="str">
        <f>IF(Table24[[#This Row],[Branch Name]]="","",(_xlfn.XLOOKUP(Table24[[#This Row],[Branch Name]],'[1]Lookup Values'!G:G,'[1]Lookup Values'!I:I,0)))</f>
        <v/>
      </c>
      <c r="C316" t="str">
        <f>IF(Table24[[#This Row],[Journal Description (Service Description)]]="","",1)</f>
        <v/>
      </c>
      <c r="D316" s="2" t="str">
        <f>IF(Table24[[#This Row],[Journal Description (Service Description)]]="","",VLOOKUP(Table24[[#This Row],[Journal Description (Service Description)]],'[1]Lookup Values'!$A:$B,2,FALSE))</f>
        <v/>
      </c>
    </row>
    <row r="317" spans="1:4" hidden="1" x14ac:dyDescent="0.35">
      <c r="A317" t="str">
        <f>IF(Table24[[#This Row],[Branch Name]]="","",(_xlfn.XLOOKUP(Table24[[#This Row],[Branch Name]],'[1]Lookup Values'!G:G,'[1]Lookup Values'!H:H,0)))</f>
        <v/>
      </c>
      <c r="B317" t="str">
        <f>IF(Table24[[#This Row],[Branch Name]]="","",(_xlfn.XLOOKUP(Table24[[#This Row],[Branch Name]],'[1]Lookup Values'!G:G,'[1]Lookup Values'!I:I,0)))</f>
        <v/>
      </c>
      <c r="C317" t="str">
        <f>IF(Table24[[#This Row],[Journal Description (Service Description)]]="","",1)</f>
        <v/>
      </c>
      <c r="D317" s="2" t="str">
        <f>IF(Table24[[#This Row],[Journal Description (Service Description)]]="","",VLOOKUP(Table24[[#This Row],[Journal Description (Service Description)]],'[1]Lookup Values'!$A:$B,2,FALSE))</f>
        <v/>
      </c>
    </row>
    <row r="318" spans="1:4" hidden="1" x14ac:dyDescent="0.35">
      <c r="A318" t="str">
        <f>IF(Table24[[#This Row],[Branch Name]]="","",(_xlfn.XLOOKUP(Table24[[#This Row],[Branch Name]],'[1]Lookup Values'!G:G,'[1]Lookup Values'!H:H,0)))</f>
        <v/>
      </c>
      <c r="B318" t="str">
        <f>IF(Table24[[#This Row],[Branch Name]]="","",(_xlfn.XLOOKUP(Table24[[#This Row],[Branch Name]],'[1]Lookup Values'!G:G,'[1]Lookup Values'!I:I,0)))</f>
        <v/>
      </c>
      <c r="C318" t="str">
        <f>IF(Table24[[#This Row],[Journal Description (Service Description)]]="","",1)</f>
        <v/>
      </c>
      <c r="D318" s="2" t="str">
        <f>IF(Table24[[#This Row],[Journal Description (Service Description)]]="","",VLOOKUP(Table24[[#This Row],[Journal Description (Service Description)]],'[1]Lookup Values'!$A:$B,2,FALSE))</f>
        <v/>
      </c>
    </row>
    <row r="319" spans="1:4" hidden="1" x14ac:dyDescent="0.35">
      <c r="A319" t="str">
        <f>IF(Table24[[#This Row],[Branch Name]]="","",(_xlfn.XLOOKUP(Table24[[#This Row],[Branch Name]],'[1]Lookup Values'!G:G,'[1]Lookup Values'!H:H,0)))</f>
        <v/>
      </c>
      <c r="B319" t="str">
        <f>IF(Table24[[#This Row],[Branch Name]]="","",(_xlfn.XLOOKUP(Table24[[#This Row],[Branch Name]],'[1]Lookup Values'!G:G,'[1]Lookup Values'!I:I,0)))</f>
        <v/>
      </c>
      <c r="C319" t="str">
        <f>IF(Table24[[#This Row],[Journal Description (Service Description)]]="","",1)</f>
        <v/>
      </c>
      <c r="D319" s="2" t="str">
        <f>IF(Table24[[#This Row],[Journal Description (Service Description)]]="","",VLOOKUP(Table24[[#This Row],[Journal Description (Service Description)]],'[1]Lookup Values'!$A:$B,2,FALSE))</f>
        <v/>
      </c>
    </row>
    <row r="320" spans="1:4" hidden="1" x14ac:dyDescent="0.35">
      <c r="A320" t="str">
        <f>IF(Table24[[#This Row],[Branch Name]]="","",(_xlfn.XLOOKUP(Table24[[#This Row],[Branch Name]],'[1]Lookup Values'!G:G,'[1]Lookup Values'!H:H,0)))</f>
        <v/>
      </c>
      <c r="B320" t="str">
        <f>IF(Table24[[#This Row],[Branch Name]]="","",(_xlfn.XLOOKUP(Table24[[#This Row],[Branch Name]],'[1]Lookup Values'!G:G,'[1]Lookup Values'!I:I,0)))</f>
        <v/>
      </c>
      <c r="C320" t="str">
        <f>IF(Table24[[#This Row],[Journal Description (Service Description)]]="","",1)</f>
        <v/>
      </c>
      <c r="D320" s="2" t="str">
        <f>IF(Table24[[#This Row],[Journal Description (Service Description)]]="","",VLOOKUP(Table24[[#This Row],[Journal Description (Service Description)]],'[1]Lookup Values'!$A:$B,2,FALSE))</f>
        <v/>
      </c>
    </row>
    <row r="321" spans="1:4" hidden="1" x14ac:dyDescent="0.35">
      <c r="A321" t="str">
        <f>IF(Table24[[#This Row],[Branch Name]]="","",(_xlfn.XLOOKUP(Table24[[#This Row],[Branch Name]],'[1]Lookup Values'!G:G,'[1]Lookup Values'!H:H,0)))</f>
        <v/>
      </c>
      <c r="B321" t="str">
        <f>IF(Table24[[#This Row],[Branch Name]]="","",(_xlfn.XLOOKUP(Table24[[#This Row],[Branch Name]],'[1]Lookup Values'!G:G,'[1]Lookup Values'!I:I,0)))</f>
        <v/>
      </c>
      <c r="C321" t="str">
        <f>IF(Table24[[#This Row],[Journal Description (Service Description)]]="","",1)</f>
        <v/>
      </c>
      <c r="D321" s="2" t="str">
        <f>IF(Table24[[#This Row],[Journal Description (Service Description)]]="","",VLOOKUP(Table24[[#This Row],[Journal Description (Service Description)]],'[1]Lookup Values'!$A:$B,2,FALSE))</f>
        <v/>
      </c>
    </row>
    <row r="322" spans="1:4" hidden="1" x14ac:dyDescent="0.35">
      <c r="A322" t="str">
        <f>IF(Table24[[#This Row],[Branch Name]]="","",(_xlfn.XLOOKUP(Table24[[#This Row],[Branch Name]],'[1]Lookup Values'!G:G,'[1]Lookup Values'!H:H,0)))</f>
        <v/>
      </c>
      <c r="B322" t="str">
        <f>IF(Table24[[#This Row],[Branch Name]]="","",(_xlfn.XLOOKUP(Table24[[#This Row],[Branch Name]],'[1]Lookup Values'!G:G,'[1]Lookup Values'!I:I,0)))</f>
        <v/>
      </c>
      <c r="C322" t="str">
        <f>IF(Table24[[#This Row],[Journal Description (Service Description)]]="","",1)</f>
        <v/>
      </c>
      <c r="D322" s="2" t="str">
        <f>IF(Table24[[#This Row],[Journal Description (Service Description)]]="","",VLOOKUP(Table24[[#This Row],[Journal Description (Service Description)]],'[1]Lookup Values'!$A:$B,2,FALSE))</f>
        <v/>
      </c>
    </row>
    <row r="323" spans="1:4" hidden="1" x14ac:dyDescent="0.35">
      <c r="A323" t="str">
        <f>IF(Table24[[#This Row],[Branch Name]]="","",(_xlfn.XLOOKUP(Table24[[#This Row],[Branch Name]],'[1]Lookup Values'!G:G,'[1]Lookup Values'!H:H,0)))</f>
        <v/>
      </c>
      <c r="B323" t="str">
        <f>IF(Table24[[#This Row],[Branch Name]]="","",(_xlfn.XLOOKUP(Table24[[#This Row],[Branch Name]],'[1]Lookup Values'!G:G,'[1]Lookup Values'!I:I,0)))</f>
        <v/>
      </c>
      <c r="C323" t="str">
        <f>IF(Table24[[#This Row],[Journal Description (Service Description)]]="","",1)</f>
        <v/>
      </c>
      <c r="D323" s="2" t="str">
        <f>IF(Table24[[#This Row],[Journal Description (Service Description)]]="","",VLOOKUP(Table24[[#This Row],[Journal Description (Service Description)]],'[1]Lookup Values'!$A:$B,2,FALSE))</f>
        <v/>
      </c>
    </row>
    <row r="324" spans="1:4" hidden="1" x14ac:dyDescent="0.35">
      <c r="A324" t="str">
        <f>IF(Table24[[#This Row],[Branch Name]]="","",(_xlfn.XLOOKUP(Table24[[#This Row],[Branch Name]],'[1]Lookup Values'!G:G,'[1]Lookup Values'!H:H,0)))</f>
        <v/>
      </c>
      <c r="B324" t="str">
        <f>IF(Table24[[#This Row],[Branch Name]]="","",(_xlfn.XLOOKUP(Table24[[#This Row],[Branch Name]],'[1]Lookup Values'!G:G,'[1]Lookup Values'!I:I,0)))</f>
        <v/>
      </c>
      <c r="C324" t="str">
        <f>IF(Table24[[#This Row],[Journal Description (Service Description)]]="","",1)</f>
        <v/>
      </c>
      <c r="D324" s="2" t="str">
        <f>IF(Table24[[#This Row],[Journal Description (Service Description)]]="","",VLOOKUP(Table24[[#This Row],[Journal Description (Service Description)]],'[1]Lookup Values'!$A:$B,2,FALSE))</f>
        <v/>
      </c>
    </row>
    <row r="325" spans="1:4" hidden="1" x14ac:dyDescent="0.35">
      <c r="A325" t="str">
        <f>IF(Table24[[#This Row],[Branch Name]]="","",(_xlfn.XLOOKUP(Table24[[#This Row],[Branch Name]],'[1]Lookup Values'!G:G,'[1]Lookup Values'!H:H,0)))</f>
        <v/>
      </c>
      <c r="B325" t="str">
        <f>IF(Table24[[#This Row],[Branch Name]]="","",(_xlfn.XLOOKUP(Table24[[#This Row],[Branch Name]],'[1]Lookup Values'!G:G,'[1]Lookup Values'!I:I,0)))</f>
        <v/>
      </c>
      <c r="C325" t="str">
        <f>IF(Table24[[#This Row],[Journal Description (Service Description)]]="","",1)</f>
        <v/>
      </c>
      <c r="D325" s="2" t="str">
        <f>IF(Table24[[#This Row],[Journal Description (Service Description)]]="","",VLOOKUP(Table24[[#This Row],[Journal Description (Service Description)]],'[1]Lookup Values'!$A:$B,2,FALSE))</f>
        <v/>
      </c>
    </row>
    <row r="326" spans="1:4" hidden="1" x14ac:dyDescent="0.35">
      <c r="A326" t="str">
        <f>IF(Table24[[#This Row],[Branch Name]]="","",(_xlfn.XLOOKUP(Table24[[#This Row],[Branch Name]],'[1]Lookup Values'!G:G,'[1]Lookup Values'!H:H,0)))</f>
        <v/>
      </c>
      <c r="B326" t="str">
        <f>IF(Table24[[#This Row],[Branch Name]]="","",(_xlfn.XLOOKUP(Table24[[#This Row],[Branch Name]],'[1]Lookup Values'!G:G,'[1]Lookup Values'!I:I,0)))</f>
        <v/>
      </c>
      <c r="C326" t="str">
        <f>IF(Table24[[#This Row],[Journal Description (Service Description)]]="","",1)</f>
        <v/>
      </c>
      <c r="D326" s="2" t="str">
        <f>IF(Table24[[#This Row],[Journal Description (Service Description)]]="","",VLOOKUP(Table24[[#This Row],[Journal Description (Service Description)]],'[1]Lookup Values'!$A:$B,2,FALSE))</f>
        <v/>
      </c>
    </row>
    <row r="327" spans="1:4" hidden="1" x14ac:dyDescent="0.35">
      <c r="A327" t="str">
        <f>IF(Table24[[#This Row],[Branch Name]]="","",(_xlfn.XLOOKUP(Table24[[#This Row],[Branch Name]],'[1]Lookup Values'!G:G,'[1]Lookup Values'!H:H,0)))</f>
        <v/>
      </c>
      <c r="B327" t="str">
        <f>IF(Table24[[#This Row],[Branch Name]]="","",(_xlfn.XLOOKUP(Table24[[#This Row],[Branch Name]],'[1]Lookup Values'!G:G,'[1]Lookup Values'!I:I,0)))</f>
        <v/>
      </c>
      <c r="C327" t="str">
        <f>IF(Table24[[#This Row],[Journal Description (Service Description)]]="","",1)</f>
        <v/>
      </c>
      <c r="D327" s="2" t="str">
        <f>IF(Table24[[#This Row],[Journal Description (Service Description)]]="","",VLOOKUP(Table24[[#This Row],[Journal Description (Service Description)]],'[1]Lookup Values'!$A:$B,2,FALSE))</f>
        <v/>
      </c>
    </row>
    <row r="328" spans="1:4" hidden="1" x14ac:dyDescent="0.35">
      <c r="A328" t="str">
        <f>IF(Table24[[#This Row],[Branch Name]]="","",(_xlfn.XLOOKUP(Table24[[#This Row],[Branch Name]],'[1]Lookup Values'!G:G,'[1]Lookup Values'!H:H,0)))</f>
        <v/>
      </c>
      <c r="B328" t="str">
        <f>IF(Table24[[#This Row],[Branch Name]]="","",(_xlfn.XLOOKUP(Table24[[#This Row],[Branch Name]],'[1]Lookup Values'!G:G,'[1]Lookup Values'!I:I,0)))</f>
        <v/>
      </c>
      <c r="C328" t="str">
        <f>IF(Table24[[#This Row],[Journal Description (Service Description)]]="","",1)</f>
        <v/>
      </c>
      <c r="D328" s="2" t="str">
        <f>IF(Table24[[#This Row],[Journal Description (Service Description)]]="","",VLOOKUP(Table24[[#This Row],[Journal Description (Service Description)]],'[1]Lookup Values'!$A:$B,2,FALSE))</f>
        <v/>
      </c>
    </row>
    <row r="329" spans="1:4" hidden="1" x14ac:dyDescent="0.35">
      <c r="A329" t="str">
        <f>IF(Table24[[#This Row],[Branch Name]]="","",(_xlfn.XLOOKUP(Table24[[#This Row],[Branch Name]],'[1]Lookup Values'!G:G,'[1]Lookup Values'!H:H,0)))</f>
        <v/>
      </c>
      <c r="B329" t="str">
        <f>IF(Table24[[#This Row],[Branch Name]]="","",(_xlfn.XLOOKUP(Table24[[#This Row],[Branch Name]],'[1]Lookup Values'!G:G,'[1]Lookup Values'!I:I,0)))</f>
        <v/>
      </c>
      <c r="C329" t="str">
        <f>IF(Table24[[#This Row],[Journal Description (Service Description)]]="","",1)</f>
        <v/>
      </c>
      <c r="D329" s="2" t="str">
        <f>IF(Table24[[#This Row],[Journal Description (Service Description)]]="","",VLOOKUP(Table24[[#This Row],[Journal Description (Service Description)]],'[1]Lookup Values'!$A:$B,2,FALSE))</f>
        <v/>
      </c>
    </row>
    <row r="330" spans="1:4" hidden="1" x14ac:dyDescent="0.35">
      <c r="A330" t="str">
        <f>IF(Table24[[#This Row],[Branch Name]]="","",(_xlfn.XLOOKUP(Table24[[#This Row],[Branch Name]],'[1]Lookup Values'!G:G,'[1]Lookup Values'!H:H,0)))</f>
        <v/>
      </c>
      <c r="B330" t="str">
        <f>IF(Table24[[#This Row],[Branch Name]]="","",(_xlfn.XLOOKUP(Table24[[#This Row],[Branch Name]],'[1]Lookup Values'!G:G,'[1]Lookup Values'!I:I,0)))</f>
        <v/>
      </c>
      <c r="C330" t="str">
        <f>IF(Table24[[#This Row],[Journal Description (Service Description)]]="","",1)</f>
        <v/>
      </c>
      <c r="D330" s="2" t="str">
        <f>IF(Table24[[#This Row],[Journal Description (Service Description)]]="","",VLOOKUP(Table24[[#This Row],[Journal Description (Service Description)]],'[1]Lookup Values'!$A:$B,2,FALSE))</f>
        <v/>
      </c>
    </row>
    <row r="331" spans="1:4" hidden="1" x14ac:dyDescent="0.35">
      <c r="A331" t="str">
        <f>IF(Table24[[#This Row],[Branch Name]]="","",(_xlfn.XLOOKUP(Table24[[#This Row],[Branch Name]],'[1]Lookup Values'!G:G,'[1]Lookup Values'!H:H,0)))</f>
        <v/>
      </c>
      <c r="B331" t="str">
        <f>IF(Table24[[#This Row],[Branch Name]]="","",(_xlfn.XLOOKUP(Table24[[#This Row],[Branch Name]],'[1]Lookup Values'!G:G,'[1]Lookup Values'!I:I,0)))</f>
        <v/>
      </c>
      <c r="C331" t="str">
        <f>IF(Table24[[#This Row],[Journal Description (Service Description)]]="","",1)</f>
        <v/>
      </c>
      <c r="D331" s="2" t="str">
        <f>IF(Table24[[#This Row],[Journal Description (Service Description)]]="","",VLOOKUP(Table24[[#This Row],[Journal Description (Service Description)]],'[1]Lookup Values'!$A:$B,2,FALSE))</f>
        <v/>
      </c>
    </row>
    <row r="332" spans="1:4" hidden="1" x14ac:dyDescent="0.35">
      <c r="A332" t="str">
        <f>IF(Table24[[#This Row],[Branch Name]]="","",(_xlfn.XLOOKUP(Table24[[#This Row],[Branch Name]],'[1]Lookup Values'!G:G,'[1]Lookup Values'!H:H,0)))</f>
        <v/>
      </c>
      <c r="B332" t="str">
        <f>IF(Table24[[#This Row],[Branch Name]]="","",(_xlfn.XLOOKUP(Table24[[#This Row],[Branch Name]],'[1]Lookup Values'!G:G,'[1]Lookup Values'!I:I,0)))</f>
        <v/>
      </c>
      <c r="C332" t="str">
        <f>IF(Table24[[#This Row],[Journal Description (Service Description)]]="","",1)</f>
        <v/>
      </c>
      <c r="D332" s="2" t="str">
        <f>IF(Table24[[#This Row],[Journal Description (Service Description)]]="","",VLOOKUP(Table24[[#This Row],[Journal Description (Service Description)]],'[1]Lookup Values'!$A:$B,2,FALSE))</f>
        <v/>
      </c>
    </row>
    <row r="333" spans="1:4" hidden="1" x14ac:dyDescent="0.35">
      <c r="A333" t="str">
        <f>IF(Table24[[#This Row],[Branch Name]]="","",(_xlfn.XLOOKUP(Table24[[#This Row],[Branch Name]],'[1]Lookup Values'!G:G,'[1]Lookup Values'!H:H,0)))</f>
        <v/>
      </c>
      <c r="B333" t="str">
        <f>IF(Table24[[#This Row],[Branch Name]]="","",(_xlfn.XLOOKUP(Table24[[#This Row],[Branch Name]],'[1]Lookup Values'!G:G,'[1]Lookup Values'!I:I,0)))</f>
        <v/>
      </c>
      <c r="C333" t="str">
        <f>IF(Table24[[#This Row],[Journal Description (Service Description)]]="","",1)</f>
        <v/>
      </c>
      <c r="D333" s="2" t="str">
        <f>IF(Table24[[#This Row],[Journal Description (Service Description)]]="","",VLOOKUP(Table24[[#This Row],[Journal Description (Service Description)]],'[1]Lookup Values'!$A:$B,2,FALSE))</f>
        <v/>
      </c>
    </row>
    <row r="334" spans="1:4" hidden="1" x14ac:dyDescent="0.35">
      <c r="A334" t="str">
        <f>IF(Table24[[#This Row],[Branch Name]]="","",(_xlfn.XLOOKUP(Table24[[#This Row],[Branch Name]],'[1]Lookup Values'!G:G,'[1]Lookup Values'!H:H,0)))</f>
        <v/>
      </c>
      <c r="B334" t="str">
        <f>IF(Table24[[#This Row],[Branch Name]]="","",(_xlfn.XLOOKUP(Table24[[#This Row],[Branch Name]],'[1]Lookup Values'!G:G,'[1]Lookup Values'!I:I,0)))</f>
        <v/>
      </c>
      <c r="C334" t="str">
        <f>IF(Table24[[#This Row],[Journal Description (Service Description)]]="","",1)</f>
        <v/>
      </c>
      <c r="D334" s="2" t="str">
        <f>IF(Table24[[#This Row],[Journal Description (Service Description)]]="","",VLOOKUP(Table24[[#This Row],[Journal Description (Service Description)]],'[1]Lookup Values'!$A:$B,2,FALSE))</f>
        <v/>
      </c>
    </row>
    <row r="335" spans="1:4" hidden="1" x14ac:dyDescent="0.35">
      <c r="A335" t="str">
        <f>IF(Table24[[#This Row],[Branch Name]]="","",(_xlfn.XLOOKUP(Table24[[#This Row],[Branch Name]],'[1]Lookup Values'!G:G,'[1]Lookup Values'!H:H,0)))</f>
        <v/>
      </c>
      <c r="B335" t="str">
        <f>IF(Table24[[#This Row],[Branch Name]]="","",(_xlfn.XLOOKUP(Table24[[#This Row],[Branch Name]],'[1]Lookup Values'!G:G,'[1]Lookup Values'!I:I,0)))</f>
        <v/>
      </c>
      <c r="C335" t="str">
        <f>IF(Table24[[#This Row],[Journal Description (Service Description)]]="","",1)</f>
        <v/>
      </c>
      <c r="D335" s="2" t="str">
        <f>IF(Table24[[#This Row],[Journal Description (Service Description)]]="","",VLOOKUP(Table24[[#This Row],[Journal Description (Service Description)]],'[1]Lookup Values'!$A:$B,2,FALSE))</f>
        <v/>
      </c>
    </row>
    <row r="336" spans="1:4" hidden="1" x14ac:dyDescent="0.35">
      <c r="A336" t="str">
        <f>IF(Table24[[#This Row],[Branch Name]]="","",(_xlfn.XLOOKUP(Table24[[#This Row],[Branch Name]],'[1]Lookup Values'!G:G,'[1]Lookup Values'!H:H,0)))</f>
        <v/>
      </c>
      <c r="B336" t="str">
        <f>IF(Table24[[#This Row],[Branch Name]]="","",(_xlfn.XLOOKUP(Table24[[#This Row],[Branch Name]],'[1]Lookup Values'!G:G,'[1]Lookup Values'!I:I,0)))</f>
        <v/>
      </c>
      <c r="C336" t="str">
        <f>IF(Table24[[#This Row],[Journal Description (Service Description)]]="","",1)</f>
        <v/>
      </c>
      <c r="D336" s="2" t="str">
        <f>IF(Table24[[#This Row],[Journal Description (Service Description)]]="","",VLOOKUP(Table24[[#This Row],[Journal Description (Service Description)]],'[1]Lookup Values'!$A:$B,2,FALSE))</f>
        <v/>
      </c>
    </row>
    <row r="337" spans="1:4" hidden="1" x14ac:dyDescent="0.35">
      <c r="A337" t="str">
        <f>IF(Table24[[#This Row],[Branch Name]]="","",(_xlfn.XLOOKUP(Table24[[#This Row],[Branch Name]],'[1]Lookup Values'!G:G,'[1]Lookup Values'!H:H,0)))</f>
        <v/>
      </c>
      <c r="B337" t="str">
        <f>IF(Table24[[#This Row],[Branch Name]]="","",(_xlfn.XLOOKUP(Table24[[#This Row],[Branch Name]],'[1]Lookup Values'!G:G,'[1]Lookup Values'!I:I,0)))</f>
        <v/>
      </c>
      <c r="C337" t="str">
        <f>IF(Table24[[#This Row],[Journal Description (Service Description)]]="","",1)</f>
        <v/>
      </c>
      <c r="D337" s="2" t="str">
        <f>IF(Table24[[#This Row],[Journal Description (Service Description)]]="","",VLOOKUP(Table24[[#This Row],[Journal Description (Service Description)]],'[1]Lookup Values'!$A:$B,2,FALSE))</f>
        <v/>
      </c>
    </row>
    <row r="338" spans="1:4" hidden="1" x14ac:dyDescent="0.35">
      <c r="A338" t="str">
        <f>IF(Table24[[#This Row],[Branch Name]]="","",(_xlfn.XLOOKUP(Table24[[#This Row],[Branch Name]],'[1]Lookup Values'!G:G,'[1]Lookup Values'!H:H,0)))</f>
        <v/>
      </c>
      <c r="B338" t="str">
        <f>IF(Table24[[#This Row],[Branch Name]]="","",(_xlfn.XLOOKUP(Table24[[#This Row],[Branch Name]],'[1]Lookup Values'!G:G,'[1]Lookup Values'!I:I,0)))</f>
        <v/>
      </c>
      <c r="C338" t="str">
        <f>IF(Table24[[#This Row],[Journal Description (Service Description)]]="","",1)</f>
        <v/>
      </c>
      <c r="D338" s="2" t="str">
        <f>IF(Table24[[#This Row],[Journal Description (Service Description)]]="","",VLOOKUP(Table24[[#This Row],[Journal Description (Service Description)]],'[1]Lookup Values'!$A:$B,2,FALSE))</f>
        <v/>
      </c>
    </row>
    <row r="339" spans="1:4" hidden="1" x14ac:dyDescent="0.35">
      <c r="A339" t="str">
        <f>IF(Table24[[#This Row],[Branch Name]]="","",(_xlfn.XLOOKUP(Table24[[#This Row],[Branch Name]],'[1]Lookup Values'!G:G,'[1]Lookup Values'!H:H,0)))</f>
        <v/>
      </c>
      <c r="B339" t="str">
        <f>IF(Table24[[#This Row],[Branch Name]]="","",(_xlfn.XLOOKUP(Table24[[#This Row],[Branch Name]],'[1]Lookup Values'!G:G,'[1]Lookup Values'!I:I,0)))</f>
        <v/>
      </c>
      <c r="C339" t="str">
        <f>IF(Table24[[#This Row],[Journal Description (Service Description)]]="","",1)</f>
        <v/>
      </c>
      <c r="D339" s="2" t="str">
        <f>IF(Table24[[#This Row],[Journal Description (Service Description)]]="","",VLOOKUP(Table24[[#This Row],[Journal Description (Service Description)]],'[1]Lookup Values'!$A:$B,2,FALSE))</f>
        <v/>
      </c>
    </row>
    <row r="340" spans="1:4" hidden="1" x14ac:dyDescent="0.35">
      <c r="A340" t="str">
        <f>IF(Table24[[#This Row],[Branch Name]]="","",(_xlfn.XLOOKUP(Table24[[#This Row],[Branch Name]],'[1]Lookup Values'!G:G,'[1]Lookup Values'!H:H,0)))</f>
        <v/>
      </c>
      <c r="B340" t="str">
        <f>IF(Table24[[#This Row],[Branch Name]]="","",(_xlfn.XLOOKUP(Table24[[#This Row],[Branch Name]],'[1]Lookup Values'!G:G,'[1]Lookup Values'!I:I,0)))</f>
        <v/>
      </c>
      <c r="C340" t="str">
        <f>IF(Table24[[#This Row],[Journal Description (Service Description)]]="","",1)</f>
        <v/>
      </c>
      <c r="D340" s="2" t="str">
        <f>IF(Table24[[#This Row],[Journal Description (Service Description)]]="","",VLOOKUP(Table24[[#This Row],[Journal Description (Service Description)]],'[1]Lookup Values'!$A:$B,2,FALSE))</f>
        <v/>
      </c>
    </row>
    <row r="341" spans="1:4" hidden="1" x14ac:dyDescent="0.35">
      <c r="A341" t="str">
        <f>IF(Table24[[#This Row],[Branch Name]]="","",(_xlfn.XLOOKUP(Table24[[#This Row],[Branch Name]],'[1]Lookup Values'!G:G,'[1]Lookup Values'!H:H,0)))</f>
        <v/>
      </c>
      <c r="B341" t="str">
        <f>IF(Table24[[#This Row],[Branch Name]]="","",(_xlfn.XLOOKUP(Table24[[#This Row],[Branch Name]],'[1]Lookup Values'!G:G,'[1]Lookup Values'!I:I,0)))</f>
        <v/>
      </c>
      <c r="C341" t="str">
        <f>IF(Table24[[#This Row],[Journal Description (Service Description)]]="","",1)</f>
        <v/>
      </c>
      <c r="D341" s="2" t="str">
        <f>IF(Table24[[#This Row],[Journal Description (Service Description)]]="","",VLOOKUP(Table24[[#This Row],[Journal Description (Service Description)]],'[1]Lookup Values'!$A:$B,2,FALSE))</f>
        <v/>
      </c>
    </row>
    <row r="342" spans="1:4" hidden="1" x14ac:dyDescent="0.35">
      <c r="A342" t="str">
        <f>IF(Table24[[#This Row],[Branch Name]]="","",(_xlfn.XLOOKUP(Table24[[#This Row],[Branch Name]],'[1]Lookup Values'!G:G,'[1]Lookup Values'!H:H,0)))</f>
        <v/>
      </c>
      <c r="B342" t="str">
        <f>IF(Table24[[#This Row],[Branch Name]]="","",(_xlfn.XLOOKUP(Table24[[#This Row],[Branch Name]],'[1]Lookup Values'!G:G,'[1]Lookup Values'!I:I,0)))</f>
        <v/>
      </c>
      <c r="C342" t="str">
        <f>IF(Table24[[#This Row],[Journal Description (Service Description)]]="","",1)</f>
        <v/>
      </c>
      <c r="D342" s="2" t="str">
        <f>IF(Table24[[#This Row],[Journal Description (Service Description)]]="","",VLOOKUP(Table24[[#This Row],[Journal Description (Service Description)]],'[1]Lookup Values'!$A:$B,2,FALSE))</f>
        <v/>
      </c>
    </row>
    <row r="343" spans="1:4" hidden="1" x14ac:dyDescent="0.35">
      <c r="A343" t="str">
        <f>IF(Table24[[#This Row],[Branch Name]]="","",(_xlfn.XLOOKUP(Table24[[#This Row],[Branch Name]],'[1]Lookup Values'!G:G,'[1]Lookup Values'!H:H,0)))</f>
        <v/>
      </c>
      <c r="B343" t="str">
        <f>IF(Table24[[#This Row],[Branch Name]]="","",(_xlfn.XLOOKUP(Table24[[#This Row],[Branch Name]],'[1]Lookup Values'!G:G,'[1]Lookup Values'!I:I,0)))</f>
        <v/>
      </c>
      <c r="C343" t="str">
        <f>IF(Table24[[#This Row],[Journal Description (Service Description)]]="","",1)</f>
        <v/>
      </c>
      <c r="D343" s="2" t="str">
        <f>IF(Table24[[#This Row],[Journal Description (Service Description)]]="","",VLOOKUP(Table24[[#This Row],[Journal Description (Service Description)]],'[1]Lookup Values'!$A:$B,2,FALSE))</f>
        <v/>
      </c>
    </row>
    <row r="344" spans="1:4" hidden="1" x14ac:dyDescent="0.35">
      <c r="A344" t="str">
        <f>IF(Table24[[#This Row],[Branch Name]]="","",(_xlfn.XLOOKUP(Table24[[#This Row],[Branch Name]],'[1]Lookup Values'!G:G,'[1]Lookup Values'!H:H,0)))</f>
        <v/>
      </c>
      <c r="B344" t="str">
        <f>IF(Table24[[#This Row],[Branch Name]]="","",(_xlfn.XLOOKUP(Table24[[#This Row],[Branch Name]],'[1]Lookup Values'!G:G,'[1]Lookup Values'!I:I,0)))</f>
        <v/>
      </c>
      <c r="C344" t="str">
        <f>IF(Table24[[#This Row],[Journal Description (Service Description)]]="","",1)</f>
        <v/>
      </c>
      <c r="D344" s="2" t="str">
        <f>IF(Table24[[#This Row],[Journal Description (Service Description)]]="","",VLOOKUP(Table24[[#This Row],[Journal Description (Service Description)]],'[1]Lookup Values'!$A:$B,2,FALSE))</f>
        <v/>
      </c>
    </row>
    <row r="345" spans="1:4" hidden="1" x14ac:dyDescent="0.35">
      <c r="A345" t="str">
        <f>IF(Table24[[#This Row],[Branch Name]]="","",(_xlfn.XLOOKUP(Table24[[#This Row],[Branch Name]],'[1]Lookup Values'!G:G,'[1]Lookup Values'!H:H,0)))</f>
        <v/>
      </c>
      <c r="B345" t="str">
        <f>IF(Table24[[#This Row],[Branch Name]]="","",(_xlfn.XLOOKUP(Table24[[#This Row],[Branch Name]],'[1]Lookup Values'!G:G,'[1]Lookup Values'!I:I,0)))</f>
        <v/>
      </c>
      <c r="C345" t="str">
        <f>IF(Table24[[#This Row],[Journal Description (Service Description)]]="","",1)</f>
        <v/>
      </c>
      <c r="D345" s="2" t="str">
        <f>IF(Table24[[#This Row],[Journal Description (Service Description)]]="","",VLOOKUP(Table24[[#This Row],[Journal Description (Service Description)]],'[1]Lookup Values'!$A:$B,2,FALSE))</f>
        <v/>
      </c>
    </row>
    <row r="346" spans="1:4" hidden="1" x14ac:dyDescent="0.35">
      <c r="A346" t="str">
        <f>IF(Table24[[#This Row],[Branch Name]]="","",(_xlfn.XLOOKUP(Table24[[#This Row],[Branch Name]],'[1]Lookup Values'!G:G,'[1]Lookup Values'!H:H,0)))</f>
        <v/>
      </c>
      <c r="B346" t="str">
        <f>IF(Table24[[#This Row],[Branch Name]]="","",(_xlfn.XLOOKUP(Table24[[#This Row],[Branch Name]],'[1]Lookup Values'!G:G,'[1]Lookup Values'!I:I,0)))</f>
        <v/>
      </c>
      <c r="C346" t="str">
        <f>IF(Table24[[#This Row],[Journal Description (Service Description)]]="","",1)</f>
        <v/>
      </c>
      <c r="D346" s="2" t="str">
        <f>IF(Table24[[#This Row],[Journal Description (Service Description)]]="","",VLOOKUP(Table24[[#This Row],[Journal Description (Service Description)]],'[1]Lookup Values'!$A:$B,2,FALSE))</f>
        <v/>
      </c>
    </row>
    <row r="347" spans="1:4" hidden="1" x14ac:dyDescent="0.35">
      <c r="A347" t="str">
        <f>IF(Table24[[#This Row],[Branch Name]]="","",(_xlfn.XLOOKUP(Table24[[#This Row],[Branch Name]],'[1]Lookup Values'!G:G,'[1]Lookup Values'!H:H,0)))</f>
        <v/>
      </c>
      <c r="B347" t="str">
        <f>IF(Table24[[#This Row],[Branch Name]]="","",(_xlfn.XLOOKUP(Table24[[#This Row],[Branch Name]],'[1]Lookup Values'!G:G,'[1]Lookup Values'!I:I,0)))</f>
        <v/>
      </c>
      <c r="C347" t="str">
        <f>IF(Table24[[#This Row],[Journal Description (Service Description)]]="","",1)</f>
        <v/>
      </c>
      <c r="D347" s="2" t="str">
        <f>IF(Table24[[#This Row],[Journal Description (Service Description)]]="","",VLOOKUP(Table24[[#This Row],[Journal Description (Service Description)]],'[1]Lookup Values'!$A:$B,2,FALSE))</f>
        <v/>
      </c>
    </row>
    <row r="348" spans="1:4" hidden="1" x14ac:dyDescent="0.35">
      <c r="A348" t="str">
        <f>IF(Table24[[#This Row],[Branch Name]]="","",(_xlfn.XLOOKUP(Table24[[#This Row],[Branch Name]],'[1]Lookup Values'!G:G,'[1]Lookup Values'!H:H,0)))</f>
        <v/>
      </c>
      <c r="B348" t="str">
        <f>IF(Table24[[#This Row],[Branch Name]]="","",(_xlfn.XLOOKUP(Table24[[#This Row],[Branch Name]],'[1]Lookup Values'!G:G,'[1]Lookup Values'!I:I,0)))</f>
        <v/>
      </c>
      <c r="C348" t="str">
        <f>IF(Table24[[#This Row],[Journal Description (Service Description)]]="","",1)</f>
        <v/>
      </c>
      <c r="D348" s="2" t="str">
        <f>IF(Table24[[#This Row],[Journal Description (Service Description)]]="","",VLOOKUP(Table24[[#This Row],[Journal Description (Service Description)]],'[1]Lookup Values'!$A:$B,2,FALSE))</f>
        <v/>
      </c>
    </row>
    <row r="349" spans="1:4" hidden="1" x14ac:dyDescent="0.35">
      <c r="A349" t="str">
        <f>IF(Table24[[#This Row],[Branch Name]]="","",(_xlfn.XLOOKUP(Table24[[#This Row],[Branch Name]],'[1]Lookup Values'!G:G,'[1]Lookup Values'!H:H,0)))</f>
        <v/>
      </c>
      <c r="B349" t="str">
        <f>IF(Table24[[#This Row],[Branch Name]]="","",(_xlfn.XLOOKUP(Table24[[#This Row],[Branch Name]],'[1]Lookup Values'!G:G,'[1]Lookup Values'!I:I,0)))</f>
        <v/>
      </c>
      <c r="C349" t="str">
        <f>IF(Table24[[#This Row],[Journal Description (Service Description)]]="","",1)</f>
        <v/>
      </c>
      <c r="D349" s="2" t="str">
        <f>IF(Table24[[#This Row],[Journal Description (Service Description)]]="","",VLOOKUP(Table24[[#This Row],[Journal Description (Service Description)]],'[1]Lookup Values'!$A:$B,2,FALSE))</f>
        <v/>
      </c>
    </row>
    <row r="350" spans="1:4" hidden="1" x14ac:dyDescent="0.35">
      <c r="A350" t="str">
        <f>IF(Table24[[#This Row],[Branch Name]]="","",(_xlfn.XLOOKUP(Table24[[#This Row],[Branch Name]],'[1]Lookup Values'!G:G,'[1]Lookup Values'!H:H,0)))</f>
        <v/>
      </c>
      <c r="B350" t="str">
        <f>IF(Table24[[#This Row],[Branch Name]]="","",(_xlfn.XLOOKUP(Table24[[#This Row],[Branch Name]],'[1]Lookup Values'!G:G,'[1]Lookup Values'!I:I,0)))</f>
        <v/>
      </c>
      <c r="C350" t="str">
        <f>IF(Table24[[#This Row],[Journal Description (Service Description)]]="","",1)</f>
        <v/>
      </c>
      <c r="D350" s="2" t="str">
        <f>IF(Table24[[#This Row],[Journal Description (Service Description)]]="","",VLOOKUP(Table24[[#This Row],[Journal Description (Service Description)]],'[1]Lookup Values'!$A:$B,2,FALSE))</f>
        <v/>
      </c>
    </row>
    <row r="351" spans="1:4" hidden="1" x14ac:dyDescent="0.35">
      <c r="A351" t="str">
        <f>IF(Table24[[#This Row],[Branch Name]]="","",(_xlfn.XLOOKUP(Table24[[#This Row],[Branch Name]],'[1]Lookup Values'!G:G,'[1]Lookup Values'!H:H,0)))</f>
        <v/>
      </c>
      <c r="B351" t="str">
        <f>IF(Table24[[#This Row],[Branch Name]]="","",(_xlfn.XLOOKUP(Table24[[#This Row],[Branch Name]],'[1]Lookup Values'!G:G,'[1]Lookup Values'!I:I,0)))</f>
        <v/>
      </c>
      <c r="C351" t="str">
        <f>IF(Table24[[#This Row],[Journal Description (Service Description)]]="","",1)</f>
        <v/>
      </c>
      <c r="D351" s="2" t="str">
        <f>IF(Table24[[#This Row],[Journal Description (Service Description)]]="","",VLOOKUP(Table24[[#This Row],[Journal Description (Service Description)]],'[1]Lookup Values'!$A:$B,2,FALSE))</f>
        <v/>
      </c>
    </row>
    <row r="352" spans="1:4" hidden="1" x14ac:dyDescent="0.35">
      <c r="A352" t="str">
        <f>IF(Table24[[#This Row],[Branch Name]]="","",(_xlfn.XLOOKUP(Table24[[#This Row],[Branch Name]],'[1]Lookup Values'!G:G,'[1]Lookup Values'!H:H,0)))</f>
        <v/>
      </c>
      <c r="B352" t="str">
        <f>IF(Table24[[#This Row],[Branch Name]]="","",(_xlfn.XLOOKUP(Table24[[#This Row],[Branch Name]],'[1]Lookup Values'!G:G,'[1]Lookup Values'!I:I,0)))</f>
        <v/>
      </c>
      <c r="C352" t="str">
        <f>IF(Table24[[#This Row],[Journal Description (Service Description)]]="","",1)</f>
        <v/>
      </c>
      <c r="D352" s="2" t="str">
        <f>IF(Table24[[#This Row],[Journal Description (Service Description)]]="","",VLOOKUP(Table24[[#This Row],[Journal Description (Service Description)]],'[1]Lookup Values'!$A:$B,2,FALSE))</f>
        <v/>
      </c>
    </row>
    <row r="353" spans="1:4" hidden="1" x14ac:dyDescent="0.35">
      <c r="A353" t="str">
        <f>IF(Table24[[#This Row],[Branch Name]]="","",(_xlfn.XLOOKUP(Table24[[#This Row],[Branch Name]],'[1]Lookup Values'!G:G,'[1]Lookup Values'!H:H,0)))</f>
        <v/>
      </c>
      <c r="B353" t="str">
        <f>IF(Table24[[#This Row],[Branch Name]]="","",(_xlfn.XLOOKUP(Table24[[#This Row],[Branch Name]],'[1]Lookup Values'!G:G,'[1]Lookup Values'!I:I,0)))</f>
        <v/>
      </c>
      <c r="C353" t="str">
        <f>IF(Table24[[#This Row],[Journal Description (Service Description)]]="","",1)</f>
        <v/>
      </c>
      <c r="D353" s="2" t="str">
        <f>IF(Table24[[#This Row],[Journal Description (Service Description)]]="","",VLOOKUP(Table24[[#This Row],[Journal Description (Service Description)]],'[1]Lookup Values'!$A:$B,2,FALSE))</f>
        <v/>
      </c>
    </row>
    <row r="354" spans="1:4" hidden="1" x14ac:dyDescent="0.35">
      <c r="A354" t="str">
        <f>IF(Table24[[#This Row],[Branch Name]]="","",(_xlfn.XLOOKUP(Table24[[#This Row],[Branch Name]],'[1]Lookup Values'!G:G,'[1]Lookup Values'!H:H,0)))</f>
        <v/>
      </c>
      <c r="B354" t="str">
        <f>IF(Table24[[#This Row],[Branch Name]]="","",(_xlfn.XLOOKUP(Table24[[#This Row],[Branch Name]],'[1]Lookup Values'!G:G,'[1]Lookup Values'!I:I,0)))</f>
        <v/>
      </c>
      <c r="C354" t="str">
        <f>IF(Table24[[#This Row],[Journal Description (Service Description)]]="","",1)</f>
        <v/>
      </c>
      <c r="D354" s="2" t="str">
        <f>IF(Table24[[#This Row],[Journal Description (Service Description)]]="","",VLOOKUP(Table24[[#This Row],[Journal Description (Service Description)]],'[1]Lookup Values'!$A:$B,2,FALSE))</f>
        <v/>
      </c>
    </row>
    <row r="355" spans="1:4" hidden="1" x14ac:dyDescent="0.35">
      <c r="A355" t="str">
        <f>IF(Table24[[#This Row],[Branch Name]]="","",(_xlfn.XLOOKUP(Table24[[#This Row],[Branch Name]],'[1]Lookup Values'!G:G,'[1]Lookup Values'!H:H,0)))</f>
        <v/>
      </c>
      <c r="B355" t="str">
        <f>IF(Table24[[#This Row],[Branch Name]]="","",(_xlfn.XLOOKUP(Table24[[#This Row],[Branch Name]],'[1]Lookup Values'!G:G,'[1]Lookup Values'!I:I,0)))</f>
        <v/>
      </c>
      <c r="C355" t="str">
        <f>IF(Table24[[#This Row],[Journal Description (Service Description)]]="","",1)</f>
        <v/>
      </c>
      <c r="D355" s="2" t="str">
        <f>IF(Table24[[#This Row],[Journal Description (Service Description)]]="","",VLOOKUP(Table24[[#This Row],[Journal Description (Service Description)]],'[1]Lookup Values'!$A:$B,2,FALSE))</f>
        <v/>
      </c>
    </row>
    <row r="356" spans="1:4" hidden="1" x14ac:dyDescent="0.35">
      <c r="A356" t="str">
        <f>IF(Table24[[#This Row],[Branch Name]]="","",(_xlfn.XLOOKUP(Table24[[#This Row],[Branch Name]],'[1]Lookup Values'!G:G,'[1]Lookup Values'!H:H,0)))</f>
        <v/>
      </c>
      <c r="B356" t="str">
        <f>IF(Table24[[#This Row],[Branch Name]]="","",(_xlfn.XLOOKUP(Table24[[#This Row],[Branch Name]],'[1]Lookup Values'!G:G,'[1]Lookup Values'!I:I,0)))</f>
        <v/>
      </c>
      <c r="C356" t="str">
        <f>IF(Table24[[#This Row],[Journal Description (Service Description)]]="","",1)</f>
        <v/>
      </c>
      <c r="D356" s="2" t="str">
        <f>IF(Table24[[#This Row],[Journal Description (Service Description)]]="","",VLOOKUP(Table24[[#This Row],[Journal Description (Service Description)]],'[1]Lookup Values'!$A:$B,2,FALSE))</f>
        <v/>
      </c>
    </row>
    <row r="357" spans="1:4" hidden="1" x14ac:dyDescent="0.35">
      <c r="A357" t="str">
        <f>IF(Table24[[#This Row],[Branch Name]]="","",(_xlfn.XLOOKUP(Table24[[#This Row],[Branch Name]],'[1]Lookup Values'!G:G,'[1]Lookup Values'!H:H,0)))</f>
        <v/>
      </c>
      <c r="B357" t="str">
        <f>IF(Table24[[#This Row],[Branch Name]]="","",(_xlfn.XLOOKUP(Table24[[#This Row],[Branch Name]],'[1]Lookup Values'!G:G,'[1]Lookup Values'!I:I,0)))</f>
        <v/>
      </c>
      <c r="C357" t="str">
        <f>IF(Table24[[#This Row],[Journal Description (Service Description)]]="","",1)</f>
        <v/>
      </c>
      <c r="D357" s="2" t="str">
        <f>IF(Table24[[#This Row],[Journal Description (Service Description)]]="","",VLOOKUP(Table24[[#This Row],[Journal Description (Service Description)]],'[1]Lookup Values'!$A:$B,2,FALSE))</f>
        <v/>
      </c>
    </row>
    <row r="358" spans="1:4" hidden="1" x14ac:dyDescent="0.35">
      <c r="A358" t="str">
        <f>IF(Table24[[#This Row],[Branch Name]]="","",(_xlfn.XLOOKUP(Table24[[#This Row],[Branch Name]],'[1]Lookup Values'!G:G,'[1]Lookup Values'!H:H,0)))</f>
        <v/>
      </c>
      <c r="B358" t="str">
        <f>IF(Table24[[#This Row],[Branch Name]]="","",(_xlfn.XLOOKUP(Table24[[#This Row],[Branch Name]],'[1]Lookup Values'!G:G,'[1]Lookup Values'!I:I,0)))</f>
        <v/>
      </c>
      <c r="C358" t="str">
        <f>IF(Table24[[#This Row],[Journal Description (Service Description)]]="","",1)</f>
        <v/>
      </c>
      <c r="D358" s="2" t="str">
        <f>IF(Table24[[#This Row],[Journal Description (Service Description)]]="","",VLOOKUP(Table24[[#This Row],[Journal Description (Service Description)]],'[1]Lookup Values'!$A:$B,2,FALSE))</f>
        <v/>
      </c>
    </row>
    <row r="359" spans="1:4" hidden="1" x14ac:dyDescent="0.35">
      <c r="A359" t="str">
        <f>IF(Table24[[#This Row],[Branch Name]]="","",(_xlfn.XLOOKUP(Table24[[#This Row],[Branch Name]],'[1]Lookup Values'!G:G,'[1]Lookup Values'!H:H,0)))</f>
        <v/>
      </c>
      <c r="B359" t="str">
        <f>IF(Table24[[#This Row],[Branch Name]]="","",(_xlfn.XLOOKUP(Table24[[#This Row],[Branch Name]],'[1]Lookup Values'!G:G,'[1]Lookup Values'!I:I,0)))</f>
        <v/>
      </c>
      <c r="C359" t="str">
        <f>IF(Table24[[#This Row],[Journal Description (Service Description)]]="","",1)</f>
        <v/>
      </c>
      <c r="D359" s="2" t="str">
        <f>IF(Table24[[#This Row],[Journal Description (Service Description)]]="","",VLOOKUP(Table24[[#This Row],[Journal Description (Service Description)]],'[1]Lookup Values'!$A:$B,2,FALSE))</f>
        <v/>
      </c>
    </row>
    <row r="360" spans="1:4" hidden="1" x14ac:dyDescent="0.35">
      <c r="A360" t="str">
        <f>IF(Table24[[#This Row],[Branch Name]]="","",(_xlfn.XLOOKUP(Table24[[#This Row],[Branch Name]],'[1]Lookup Values'!G:G,'[1]Lookup Values'!H:H,0)))</f>
        <v/>
      </c>
      <c r="B360" t="str">
        <f>IF(Table24[[#This Row],[Branch Name]]="","",(_xlfn.XLOOKUP(Table24[[#This Row],[Branch Name]],'[1]Lookup Values'!G:G,'[1]Lookup Values'!I:I,0)))</f>
        <v/>
      </c>
      <c r="C360" t="str">
        <f>IF(Table24[[#This Row],[Journal Description (Service Description)]]="","",1)</f>
        <v/>
      </c>
      <c r="D360" s="2" t="str">
        <f>IF(Table24[[#This Row],[Journal Description (Service Description)]]="","",VLOOKUP(Table24[[#This Row],[Journal Description (Service Description)]],'[1]Lookup Values'!$A:$B,2,FALSE))</f>
        <v/>
      </c>
    </row>
    <row r="361" spans="1:4" hidden="1" x14ac:dyDescent="0.35">
      <c r="A361" t="str">
        <f>IF(Table24[[#This Row],[Branch Name]]="","",(_xlfn.XLOOKUP(Table24[[#This Row],[Branch Name]],'[1]Lookup Values'!G:G,'[1]Lookup Values'!H:H,0)))</f>
        <v/>
      </c>
      <c r="B361" t="str">
        <f>IF(Table24[[#This Row],[Branch Name]]="","",(_xlfn.XLOOKUP(Table24[[#This Row],[Branch Name]],'[1]Lookup Values'!G:G,'[1]Lookup Values'!I:I,0)))</f>
        <v/>
      </c>
      <c r="C361" t="str">
        <f>IF(Table24[[#This Row],[Journal Description (Service Description)]]="","",1)</f>
        <v/>
      </c>
      <c r="D361" s="2" t="str">
        <f>IF(Table24[[#This Row],[Journal Description (Service Description)]]="","",VLOOKUP(Table24[[#This Row],[Journal Description (Service Description)]],'[1]Lookup Values'!$A:$B,2,FALSE))</f>
        <v/>
      </c>
    </row>
    <row r="362" spans="1:4" hidden="1" x14ac:dyDescent="0.35">
      <c r="A362" t="str">
        <f>IF(Table24[[#This Row],[Branch Name]]="","",(_xlfn.XLOOKUP(Table24[[#This Row],[Branch Name]],'[1]Lookup Values'!G:G,'[1]Lookup Values'!H:H,0)))</f>
        <v/>
      </c>
      <c r="B362" t="str">
        <f>IF(Table24[[#This Row],[Branch Name]]="","",(_xlfn.XLOOKUP(Table24[[#This Row],[Branch Name]],'[1]Lookup Values'!G:G,'[1]Lookup Values'!I:I,0)))</f>
        <v/>
      </c>
      <c r="C362" t="str">
        <f>IF(Table24[[#This Row],[Journal Description (Service Description)]]="","",1)</f>
        <v/>
      </c>
      <c r="D362" s="2" t="str">
        <f>IF(Table24[[#This Row],[Journal Description (Service Description)]]="","",VLOOKUP(Table24[[#This Row],[Journal Description (Service Description)]],'[1]Lookup Values'!$A:$B,2,FALSE))</f>
        <v/>
      </c>
    </row>
    <row r="363" spans="1:4" hidden="1" x14ac:dyDescent="0.35">
      <c r="A363" t="str">
        <f>IF(Table24[[#This Row],[Branch Name]]="","",(_xlfn.XLOOKUP(Table24[[#This Row],[Branch Name]],'[1]Lookup Values'!G:G,'[1]Lookup Values'!H:H,0)))</f>
        <v/>
      </c>
      <c r="B363" t="str">
        <f>IF(Table24[[#This Row],[Branch Name]]="","",(_xlfn.XLOOKUP(Table24[[#This Row],[Branch Name]],'[1]Lookup Values'!G:G,'[1]Lookup Values'!I:I,0)))</f>
        <v/>
      </c>
      <c r="C363" t="str">
        <f>IF(Table24[[#This Row],[Journal Description (Service Description)]]="","",1)</f>
        <v/>
      </c>
      <c r="D363" s="2" t="str">
        <f>IF(Table24[[#This Row],[Journal Description (Service Description)]]="","",VLOOKUP(Table24[[#This Row],[Journal Description (Service Description)]],'[1]Lookup Values'!$A:$B,2,FALSE))</f>
        <v/>
      </c>
    </row>
    <row r="364" spans="1:4" hidden="1" x14ac:dyDescent="0.35">
      <c r="A364" t="str">
        <f>IF(Table24[[#This Row],[Branch Name]]="","",(_xlfn.XLOOKUP(Table24[[#This Row],[Branch Name]],'[1]Lookup Values'!G:G,'[1]Lookup Values'!H:H,0)))</f>
        <v/>
      </c>
      <c r="B364" t="str">
        <f>IF(Table24[[#This Row],[Branch Name]]="","",(_xlfn.XLOOKUP(Table24[[#This Row],[Branch Name]],'[1]Lookup Values'!G:G,'[1]Lookup Values'!I:I,0)))</f>
        <v/>
      </c>
      <c r="C364" t="str">
        <f>IF(Table24[[#This Row],[Journal Description (Service Description)]]="","",1)</f>
        <v/>
      </c>
      <c r="D364" s="2" t="str">
        <f>IF(Table24[[#This Row],[Journal Description (Service Description)]]="","",VLOOKUP(Table24[[#This Row],[Journal Description (Service Description)]],'[1]Lookup Values'!$A:$B,2,FALSE))</f>
        <v/>
      </c>
    </row>
    <row r="365" spans="1:4" hidden="1" x14ac:dyDescent="0.35">
      <c r="A365" t="str">
        <f>IF(Table24[[#This Row],[Branch Name]]="","",(_xlfn.XLOOKUP(Table24[[#This Row],[Branch Name]],'[1]Lookup Values'!G:G,'[1]Lookup Values'!H:H,0)))</f>
        <v/>
      </c>
      <c r="B365" t="str">
        <f>IF(Table24[[#This Row],[Branch Name]]="","",(_xlfn.XLOOKUP(Table24[[#This Row],[Branch Name]],'[1]Lookup Values'!G:G,'[1]Lookup Values'!I:I,0)))</f>
        <v/>
      </c>
      <c r="C365" t="str">
        <f>IF(Table24[[#This Row],[Journal Description (Service Description)]]="","",1)</f>
        <v/>
      </c>
      <c r="D365" s="2" t="str">
        <f>IF(Table24[[#This Row],[Journal Description (Service Description)]]="","",VLOOKUP(Table24[[#This Row],[Journal Description (Service Description)]],'[1]Lookup Values'!$A:$B,2,FALSE))</f>
        <v/>
      </c>
    </row>
    <row r="366" spans="1:4" hidden="1" x14ac:dyDescent="0.35">
      <c r="A366" t="str">
        <f>IF(Table24[[#This Row],[Branch Name]]="","",(_xlfn.XLOOKUP(Table24[[#This Row],[Branch Name]],'[1]Lookup Values'!G:G,'[1]Lookup Values'!H:H,0)))</f>
        <v/>
      </c>
      <c r="B366" t="str">
        <f>IF(Table24[[#This Row],[Branch Name]]="","",(_xlfn.XLOOKUP(Table24[[#This Row],[Branch Name]],'[1]Lookup Values'!G:G,'[1]Lookup Values'!I:I,0)))</f>
        <v/>
      </c>
      <c r="C366" t="str">
        <f>IF(Table24[[#This Row],[Journal Description (Service Description)]]="","",1)</f>
        <v/>
      </c>
      <c r="D366" s="2" t="str">
        <f>IF(Table24[[#This Row],[Journal Description (Service Description)]]="","",VLOOKUP(Table24[[#This Row],[Journal Description (Service Description)]],'[1]Lookup Values'!$A:$B,2,FALSE))</f>
        <v/>
      </c>
    </row>
    <row r="367" spans="1:4" hidden="1" x14ac:dyDescent="0.35">
      <c r="A367" t="str">
        <f>IF(Table24[[#This Row],[Branch Name]]="","",(_xlfn.XLOOKUP(Table24[[#This Row],[Branch Name]],'[1]Lookup Values'!G:G,'[1]Lookup Values'!H:H,0)))</f>
        <v/>
      </c>
      <c r="B367" t="str">
        <f>IF(Table24[[#This Row],[Branch Name]]="","",(_xlfn.XLOOKUP(Table24[[#This Row],[Branch Name]],'[1]Lookup Values'!G:G,'[1]Lookup Values'!I:I,0)))</f>
        <v/>
      </c>
      <c r="C367" t="str">
        <f>IF(Table24[[#This Row],[Journal Description (Service Description)]]="","",1)</f>
        <v/>
      </c>
      <c r="D367" s="2" t="str">
        <f>IF(Table24[[#This Row],[Journal Description (Service Description)]]="","",VLOOKUP(Table24[[#This Row],[Journal Description (Service Description)]],'[1]Lookup Values'!$A:$B,2,FALSE))</f>
        <v/>
      </c>
    </row>
    <row r="368" spans="1:4" hidden="1" x14ac:dyDescent="0.35">
      <c r="A368" t="str">
        <f>IF(Table24[[#This Row],[Branch Name]]="","",(_xlfn.XLOOKUP(Table24[[#This Row],[Branch Name]],'[1]Lookup Values'!G:G,'[1]Lookup Values'!H:H,0)))</f>
        <v/>
      </c>
      <c r="B368" t="str">
        <f>IF(Table24[[#This Row],[Branch Name]]="","",(_xlfn.XLOOKUP(Table24[[#This Row],[Branch Name]],'[1]Lookup Values'!G:G,'[1]Lookup Values'!I:I,0)))</f>
        <v/>
      </c>
      <c r="C368" t="str">
        <f>IF(Table24[[#This Row],[Journal Description (Service Description)]]="","",1)</f>
        <v/>
      </c>
      <c r="D368" s="2" t="str">
        <f>IF(Table24[[#This Row],[Journal Description (Service Description)]]="","",VLOOKUP(Table24[[#This Row],[Journal Description (Service Description)]],'[1]Lookup Values'!$A:$B,2,FALSE))</f>
        <v/>
      </c>
    </row>
    <row r="369" spans="1:4" hidden="1" x14ac:dyDescent="0.35">
      <c r="A369" t="str">
        <f>IF(Table24[[#This Row],[Branch Name]]="","",(_xlfn.XLOOKUP(Table24[[#This Row],[Branch Name]],'[1]Lookup Values'!G:G,'[1]Lookup Values'!H:H,0)))</f>
        <v/>
      </c>
      <c r="B369" t="str">
        <f>IF(Table24[[#This Row],[Branch Name]]="","",(_xlfn.XLOOKUP(Table24[[#This Row],[Branch Name]],'[1]Lookup Values'!G:G,'[1]Lookup Values'!I:I,0)))</f>
        <v/>
      </c>
      <c r="C369" t="str">
        <f>IF(Table24[[#This Row],[Journal Description (Service Description)]]="","",1)</f>
        <v/>
      </c>
      <c r="D369" s="2" t="str">
        <f>IF(Table24[[#This Row],[Journal Description (Service Description)]]="","",VLOOKUP(Table24[[#This Row],[Journal Description (Service Description)]],'[1]Lookup Values'!$A:$B,2,FALSE))</f>
        <v/>
      </c>
    </row>
    <row r="370" spans="1:4" hidden="1" x14ac:dyDescent="0.35">
      <c r="A370" t="str">
        <f>IF(Table24[[#This Row],[Branch Name]]="","",(_xlfn.XLOOKUP(Table24[[#This Row],[Branch Name]],'[1]Lookup Values'!G:G,'[1]Lookup Values'!H:H,0)))</f>
        <v/>
      </c>
      <c r="B370" t="str">
        <f>IF(Table24[[#This Row],[Branch Name]]="","",(_xlfn.XLOOKUP(Table24[[#This Row],[Branch Name]],'[1]Lookup Values'!G:G,'[1]Lookup Values'!I:I,0)))</f>
        <v/>
      </c>
      <c r="C370" t="str">
        <f>IF(Table24[[#This Row],[Journal Description (Service Description)]]="","",1)</f>
        <v/>
      </c>
      <c r="D370" s="2" t="str">
        <f>IF(Table24[[#This Row],[Journal Description (Service Description)]]="","",VLOOKUP(Table24[[#This Row],[Journal Description (Service Description)]],'[1]Lookup Values'!$A:$B,2,FALSE))</f>
        <v/>
      </c>
    </row>
    <row r="371" spans="1:4" hidden="1" x14ac:dyDescent="0.35">
      <c r="A371" t="str">
        <f>IF(Table24[[#This Row],[Branch Name]]="","",(_xlfn.XLOOKUP(Table24[[#This Row],[Branch Name]],'[1]Lookup Values'!G:G,'[1]Lookup Values'!H:H,0)))</f>
        <v/>
      </c>
      <c r="B371" t="str">
        <f>IF(Table24[[#This Row],[Branch Name]]="","",(_xlfn.XLOOKUP(Table24[[#This Row],[Branch Name]],'[1]Lookup Values'!G:G,'[1]Lookup Values'!I:I,0)))</f>
        <v/>
      </c>
      <c r="C371" t="str">
        <f>IF(Table24[[#This Row],[Journal Description (Service Description)]]="","",1)</f>
        <v/>
      </c>
      <c r="D371" s="2" t="str">
        <f>IF(Table24[[#This Row],[Journal Description (Service Description)]]="","",VLOOKUP(Table24[[#This Row],[Journal Description (Service Description)]],'[1]Lookup Values'!$A:$B,2,FALSE))</f>
        <v/>
      </c>
    </row>
    <row r="372" spans="1:4" hidden="1" x14ac:dyDescent="0.35">
      <c r="A372" t="str">
        <f>IF(Table24[[#This Row],[Branch Name]]="","",(_xlfn.XLOOKUP(Table24[[#This Row],[Branch Name]],'[1]Lookup Values'!G:G,'[1]Lookup Values'!H:H,0)))</f>
        <v/>
      </c>
      <c r="B372" t="str">
        <f>IF(Table24[[#This Row],[Branch Name]]="","",(_xlfn.XLOOKUP(Table24[[#This Row],[Branch Name]],'[1]Lookup Values'!G:G,'[1]Lookup Values'!I:I,0)))</f>
        <v/>
      </c>
      <c r="C372" t="str">
        <f>IF(Table24[[#This Row],[Journal Description (Service Description)]]="","",1)</f>
        <v/>
      </c>
      <c r="D372" s="2" t="str">
        <f>IF(Table24[[#This Row],[Journal Description (Service Description)]]="","",VLOOKUP(Table24[[#This Row],[Journal Description (Service Description)]],'[1]Lookup Values'!$A:$B,2,FALSE))</f>
        <v/>
      </c>
    </row>
    <row r="373" spans="1:4" hidden="1" x14ac:dyDescent="0.35">
      <c r="A373" t="str">
        <f>IF(Table24[[#This Row],[Branch Name]]="","",(_xlfn.XLOOKUP(Table24[[#This Row],[Branch Name]],'[1]Lookup Values'!G:G,'[1]Lookup Values'!H:H,0)))</f>
        <v/>
      </c>
      <c r="B373" t="str">
        <f>IF(Table24[[#This Row],[Branch Name]]="","",(_xlfn.XLOOKUP(Table24[[#This Row],[Branch Name]],'[1]Lookup Values'!G:G,'[1]Lookup Values'!I:I,0)))</f>
        <v/>
      </c>
      <c r="C373" t="str">
        <f>IF(Table24[[#This Row],[Journal Description (Service Description)]]="","",1)</f>
        <v/>
      </c>
      <c r="D373" s="2" t="str">
        <f>IF(Table24[[#This Row],[Journal Description (Service Description)]]="","",VLOOKUP(Table24[[#This Row],[Journal Description (Service Description)]],'[1]Lookup Values'!$A:$B,2,FALSE))</f>
        <v/>
      </c>
    </row>
    <row r="374" spans="1:4" hidden="1" x14ac:dyDescent="0.35">
      <c r="A374" t="str">
        <f>IF(Table24[[#This Row],[Branch Name]]="","",(_xlfn.XLOOKUP(Table24[[#This Row],[Branch Name]],'[1]Lookup Values'!G:G,'[1]Lookup Values'!H:H,0)))</f>
        <v/>
      </c>
      <c r="B374" t="str">
        <f>IF(Table24[[#This Row],[Branch Name]]="","",(_xlfn.XLOOKUP(Table24[[#This Row],[Branch Name]],'[1]Lookup Values'!G:G,'[1]Lookup Values'!I:I,0)))</f>
        <v/>
      </c>
      <c r="C374" t="str">
        <f>IF(Table24[[#This Row],[Journal Description (Service Description)]]="","",1)</f>
        <v/>
      </c>
      <c r="D374" s="2" t="str">
        <f>IF(Table24[[#This Row],[Journal Description (Service Description)]]="","",VLOOKUP(Table24[[#This Row],[Journal Description (Service Description)]],'[1]Lookup Values'!$A:$B,2,FALSE))</f>
        <v/>
      </c>
    </row>
    <row r="375" spans="1:4" hidden="1" x14ac:dyDescent="0.35">
      <c r="A375" t="str">
        <f>IF(Table24[[#This Row],[Branch Name]]="","",(_xlfn.XLOOKUP(Table24[[#This Row],[Branch Name]],'[1]Lookup Values'!G:G,'[1]Lookup Values'!H:H,0)))</f>
        <v/>
      </c>
      <c r="B375" t="str">
        <f>IF(Table24[[#This Row],[Branch Name]]="","",(_xlfn.XLOOKUP(Table24[[#This Row],[Branch Name]],'[1]Lookup Values'!G:G,'[1]Lookup Values'!I:I,0)))</f>
        <v/>
      </c>
      <c r="C375" t="str">
        <f>IF(Table24[[#This Row],[Journal Description (Service Description)]]="","",1)</f>
        <v/>
      </c>
      <c r="D375" s="2" t="str">
        <f>IF(Table24[[#This Row],[Journal Description (Service Description)]]="","",VLOOKUP(Table24[[#This Row],[Journal Description (Service Description)]],'[1]Lookup Values'!$A:$B,2,FALSE))</f>
        <v/>
      </c>
    </row>
    <row r="376" spans="1:4" hidden="1" x14ac:dyDescent="0.35">
      <c r="A376" t="str">
        <f>IF(Table24[[#This Row],[Branch Name]]="","",(_xlfn.XLOOKUP(Table24[[#This Row],[Branch Name]],'[1]Lookup Values'!G:G,'[1]Lookup Values'!H:H,0)))</f>
        <v/>
      </c>
      <c r="B376" t="str">
        <f>IF(Table24[[#This Row],[Branch Name]]="","",(_xlfn.XLOOKUP(Table24[[#This Row],[Branch Name]],'[1]Lookup Values'!G:G,'[1]Lookup Values'!I:I,0)))</f>
        <v/>
      </c>
      <c r="C376" t="str">
        <f>IF(Table24[[#This Row],[Journal Description (Service Description)]]="","",1)</f>
        <v/>
      </c>
      <c r="D376" s="2" t="str">
        <f>IF(Table24[[#This Row],[Journal Description (Service Description)]]="","",VLOOKUP(Table24[[#This Row],[Journal Description (Service Description)]],'[1]Lookup Values'!$A:$B,2,FALSE))</f>
        <v/>
      </c>
    </row>
    <row r="377" spans="1:4" hidden="1" x14ac:dyDescent="0.35">
      <c r="A377" t="str">
        <f>IF(Table24[[#This Row],[Branch Name]]="","",(_xlfn.XLOOKUP(Table24[[#This Row],[Branch Name]],'[1]Lookup Values'!G:G,'[1]Lookup Values'!H:H,0)))</f>
        <v/>
      </c>
      <c r="B377" t="str">
        <f>IF(Table24[[#This Row],[Branch Name]]="","",(_xlfn.XLOOKUP(Table24[[#This Row],[Branch Name]],'[1]Lookup Values'!G:G,'[1]Lookup Values'!I:I,0)))</f>
        <v/>
      </c>
      <c r="C377" t="str">
        <f>IF(Table24[[#This Row],[Journal Description (Service Description)]]="","",1)</f>
        <v/>
      </c>
      <c r="D377" s="2" t="str">
        <f>IF(Table24[[#This Row],[Journal Description (Service Description)]]="","",VLOOKUP(Table24[[#This Row],[Journal Description (Service Description)]],'[1]Lookup Values'!$A:$B,2,FALSE))</f>
        <v/>
      </c>
    </row>
    <row r="378" spans="1:4" hidden="1" x14ac:dyDescent="0.35">
      <c r="A378" t="str">
        <f>IF(Table24[[#This Row],[Branch Name]]="","",(_xlfn.XLOOKUP(Table24[[#This Row],[Branch Name]],'[1]Lookup Values'!G:G,'[1]Lookup Values'!H:H,0)))</f>
        <v/>
      </c>
      <c r="B378" t="str">
        <f>IF(Table24[[#This Row],[Branch Name]]="","",(_xlfn.XLOOKUP(Table24[[#This Row],[Branch Name]],'[1]Lookup Values'!G:G,'[1]Lookup Values'!I:I,0)))</f>
        <v/>
      </c>
      <c r="C378" t="str">
        <f>IF(Table24[[#This Row],[Journal Description (Service Description)]]="","",1)</f>
        <v/>
      </c>
      <c r="D378" s="2" t="str">
        <f>IF(Table24[[#This Row],[Journal Description (Service Description)]]="","",VLOOKUP(Table24[[#This Row],[Journal Description (Service Description)]],'[1]Lookup Values'!$A:$B,2,FALSE))</f>
        <v/>
      </c>
    </row>
    <row r="379" spans="1:4" hidden="1" x14ac:dyDescent="0.35">
      <c r="A379" t="str">
        <f>IF(Table24[[#This Row],[Branch Name]]="","",(_xlfn.XLOOKUP(Table24[[#This Row],[Branch Name]],'[1]Lookup Values'!G:G,'[1]Lookup Values'!H:H,0)))</f>
        <v/>
      </c>
      <c r="B379" t="str">
        <f>IF(Table24[[#This Row],[Branch Name]]="","",(_xlfn.XLOOKUP(Table24[[#This Row],[Branch Name]],'[1]Lookup Values'!G:G,'[1]Lookup Values'!I:I,0)))</f>
        <v/>
      </c>
      <c r="C379" t="str">
        <f>IF(Table24[[#This Row],[Journal Description (Service Description)]]="","",1)</f>
        <v/>
      </c>
      <c r="D379" s="2" t="str">
        <f>IF(Table24[[#This Row],[Journal Description (Service Description)]]="","",VLOOKUP(Table24[[#This Row],[Journal Description (Service Description)]],'[1]Lookup Values'!$A:$B,2,FALSE))</f>
        <v/>
      </c>
    </row>
    <row r="380" spans="1:4" hidden="1" x14ac:dyDescent="0.35">
      <c r="A380" t="str">
        <f>IF(Table24[[#This Row],[Branch Name]]="","",(_xlfn.XLOOKUP(Table24[[#This Row],[Branch Name]],'[1]Lookup Values'!G:G,'[1]Lookup Values'!H:H,0)))</f>
        <v/>
      </c>
      <c r="B380" t="str">
        <f>IF(Table24[[#This Row],[Branch Name]]="","",(_xlfn.XLOOKUP(Table24[[#This Row],[Branch Name]],'[1]Lookup Values'!G:G,'[1]Lookup Values'!I:I,0)))</f>
        <v/>
      </c>
      <c r="C380" t="str">
        <f>IF(Table24[[#This Row],[Journal Description (Service Description)]]="","",1)</f>
        <v/>
      </c>
      <c r="D380" s="2" t="str">
        <f>IF(Table24[[#This Row],[Journal Description (Service Description)]]="","",VLOOKUP(Table24[[#This Row],[Journal Description (Service Description)]],'[1]Lookup Values'!$A:$B,2,FALSE))</f>
        <v/>
      </c>
    </row>
    <row r="381" spans="1:4" hidden="1" x14ac:dyDescent="0.35">
      <c r="A381" t="str">
        <f>IF(Table24[[#This Row],[Branch Name]]="","",(_xlfn.XLOOKUP(Table24[[#This Row],[Branch Name]],'[1]Lookup Values'!G:G,'[1]Lookup Values'!H:H,0)))</f>
        <v/>
      </c>
      <c r="B381" t="str">
        <f>IF(Table24[[#This Row],[Branch Name]]="","",(_xlfn.XLOOKUP(Table24[[#This Row],[Branch Name]],'[1]Lookup Values'!G:G,'[1]Lookup Values'!I:I,0)))</f>
        <v/>
      </c>
      <c r="C381" t="str">
        <f>IF(Table24[[#This Row],[Journal Description (Service Description)]]="","",1)</f>
        <v/>
      </c>
      <c r="D381" s="2" t="str">
        <f>IF(Table24[[#This Row],[Journal Description (Service Description)]]="","",VLOOKUP(Table24[[#This Row],[Journal Description (Service Description)]],'[1]Lookup Values'!$A:$B,2,FALSE))</f>
        <v/>
      </c>
    </row>
    <row r="382" spans="1:4" hidden="1" x14ac:dyDescent="0.35">
      <c r="A382" t="str">
        <f>IF(Table24[[#This Row],[Branch Name]]="","",(_xlfn.XLOOKUP(Table24[[#This Row],[Branch Name]],'[1]Lookup Values'!G:G,'[1]Lookup Values'!H:H,0)))</f>
        <v/>
      </c>
      <c r="B382" t="str">
        <f>IF(Table24[[#This Row],[Branch Name]]="","",(_xlfn.XLOOKUP(Table24[[#This Row],[Branch Name]],'[1]Lookup Values'!G:G,'[1]Lookup Values'!I:I,0)))</f>
        <v/>
      </c>
      <c r="C382" t="str">
        <f>IF(Table24[[#This Row],[Journal Description (Service Description)]]="","",1)</f>
        <v/>
      </c>
      <c r="D382" s="2" t="str">
        <f>IF(Table24[[#This Row],[Journal Description (Service Description)]]="","",VLOOKUP(Table24[[#This Row],[Journal Description (Service Description)]],'[1]Lookup Values'!$A:$B,2,FALSE))</f>
        <v/>
      </c>
    </row>
    <row r="383" spans="1:4" hidden="1" x14ac:dyDescent="0.35">
      <c r="A383" t="str">
        <f>IF(Table24[[#This Row],[Branch Name]]="","",(_xlfn.XLOOKUP(Table24[[#This Row],[Branch Name]],'[1]Lookup Values'!G:G,'[1]Lookup Values'!H:H,0)))</f>
        <v/>
      </c>
      <c r="B383" t="str">
        <f>IF(Table24[[#This Row],[Branch Name]]="","",(_xlfn.XLOOKUP(Table24[[#This Row],[Branch Name]],'[1]Lookup Values'!G:G,'[1]Lookup Values'!I:I,0)))</f>
        <v/>
      </c>
      <c r="C383" t="str">
        <f>IF(Table24[[#This Row],[Journal Description (Service Description)]]="","",1)</f>
        <v/>
      </c>
      <c r="D383" s="2" t="str">
        <f>IF(Table24[[#This Row],[Journal Description (Service Description)]]="","",VLOOKUP(Table24[[#This Row],[Journal Description (Service Description)]],'[1]Lookup Values'!$A:$B,2,FALSE))</f>
        <v/>
      </c>
    </row>
    <row r="384" spans="1:4" hidden="1" x14ac:dyDescent="0.35">
      <c r="A384" t="str">
        <f>IF(Table24[[#This Row],[Branch Name]]="","",(_xlfn.XLOOKUP(Table24[[#This Row],[Branch Name]],'[1]Lookup Values'!G:G,'[1]Lookup Values'!H:H,0)))</f>
        <v/>
      </c>
      <c r="B384" t="str">
        <f>IF(Table24[[#This Row],[Branch Name]]="","",(_xlfn.XLOOKUP(Table24[[#This Row],[Branch Name]],'[1]Lookup Values'!G:G,'[1]Lookup Values'!I:I,0)))</f>
        <v/>
      </c>
      <c r="C384" t="str">
        <f>IF(Table24[[#This Row],[Journal Description (Service Description)]]="","",1)</f>
        <v/>
      </c>
      <c r="D384" s="2" t="str">
        <f>IF(Table24[[#This Row],[Journal Description (Service Description)]]="","",VLOOKUP(Table24[[#This Row],[Journal Description (Service Description)]],'[1]Lookup Values'!$A:$B,2,FALSE))</f>
        <v/>
      </c>
    </row>
    <row r="385" spans="1:4" hidden="1" x14ac:dyDescent="0.35">
      <c r="A385" t="str">
        <f>IF(Table24[[#This Row],[Branch Name]]="","",(_xlfn.XLOOKUP(Table24[[#This Row],[Branch Name]],'[1]Lookup Values'!G:G,'[1]Lookup Values'!H:H,0)))</f>
        <v/>
      </c>
      <c r="B385" t="str">
        <f>IF(Table24[[#This Row],[Branch Name]]="","",(_xlfn.XLOOKUP(Table24[[#This Row],[Branch Name]],'[1]Lookup Values'!G:G,'[1]Lookup Values'!I:I,0)))</f>
        <v/>
      </c>
      <c r="C385" t="str">
        <f>IF(Table24[[#This Row],[Journal Description (Service Description)]]="","",1)</f>
        <v/>
      </c>
      <c r="D385" s="2" t="str">
        <f>IF(Table24[[#This Row],[Journal Description (Service Description)]]="","",VLOOKUP(Table24[[#This Row],[Journal Description (Service Description)]],'[1]Lookup Values'!$A:$B,2,FALSE))</f>
        <v/>
      </c>
    </row>
    <row r="386" spans="1:4" hidden="1" x14ac:dyDescent="0.35">
      <c r="A386" t="str">
        <f>IF(Table24[[#This Row],[Branch Name]]="","",(_xlfn.XLOOKUP(Table24[[#This Row],[Branch Name]],'[1]Lookup Values'!G:G,'[1]Lookup Values'!H:H,0)))</f>
        <v/>
      </c>
      <c r="B386" t="str">
        <f>IF(Table24[[#This Row],[Branch Name]]="","",(_xlfn.XLOOKUP(Table24[[#This Row],[Branch Name]],'[1]Lookup Values'!G:G,'[1]Lookup Values'!I:I,0)))</f>
        <v/>
      </c>
      <c r="C386" t="str">
        <f>IF(Table24[[#This Row],[Journal Description (Service Description)]]="","",1)</f>
        <v/>
      </c>
      <c r="D386" s="2" t="str">
        <f>IF(Table24[[#This Row],[Journal Description (Service Description)]]="","",VLOOKUP(Table24[[#This Row],[Journal Description (Service Description)]],'[1]Lookup Values'!$A:$B,2,FALSE))</f>
        <v/>
      </c>
    </row>
    <row r="387" spans="1:4" hidden="1" x14ac:dyDescent="0.35">
      <c r="A387" t="str">
        <f>IF(Table24[[#This Row],[Branch Name]]="","",(_xlfn.XLOOKUP(Table24[[#This Row],[Branch Name]],'[1]Lookup Values'!G:G,'[1]Lookup Values'!H:H,0)))</f>
        <v/>
      </c>
      <c r="B387" t="str">
        <f>IF(Table24[[#This Row],[Branch Name]]="","",(_xlfn.XLOOKUP(Table24[[#This Row],[Branch Name]],'[1]Lookup Values'!G:G,'[1]Lookup Values'!I:I,0)))</f>
        <v/>
      </c>
      <c r="C387" t="str">
        <f>IF(Table24[[#This Row],[Journal Description (Service Description)]]="","",1)</f>
        <v/>
      </c>
      <c r="D387" s="2" t="str">
        <f>IF(Table24[[#This Row],[Journal Description (Service Description)]]="","",VLOOKUP(Table24[[#This Row],[Journal Description (Service Description)]],'[1]Lookup Values'!$A:$B,2,FALSE))</f>
        <v/>
      </c>
    </row>
    <row r="388" spans="1:4" hidden="1" x14ac:dyDescent="0.35">
      <c r="A388" t="str">
        <f>IF(Table24[[#This Row],[Branch Name]]="","",(_xlfn.XLOOKUP(Table24[[#This Row],[Branch Name]],'[1]Lookup Values'!G:G,'[1]Lookup Values'!H:H,0)))</f>
        <v/>
      </c>
      <c r="B388" t="str">
        <f>IF(Table24[[#This Row],[Branch Name]]="","",(_xlfn.XLOOKUP(Table24[[#This Row],[Branch Name]],'[1]Lookup Values'!G:G,'[1]Lookup Values'!I:I,0)))</f>
        <v/>
      </c>
      <c r="C388" t="str">
        <f>IF(Table24[[#This Row],[Journal Description (Service Description)]]="","",1)</f>
        <v/>
      </c>
      <c r="D388" s="2" t="str">
        <f>IF(Table24[[#This Row],[Journal Description (Service Description)]]="","",VLOOKUP(Table24[[#This Row],[Journal Description (Service Description)]],'[1]Lookup Values'!$A:$B,2,FALSE))</f>
        <v/>
      </c>
    </row>
    <row r="389" spans="1:4" hidden="1" x14ac:dyDescent="0.35">
      <c r="A389" t="str">
        <f>IF(Table24[[#This Row],[Branch Name]]="","",(_xlfn.XLOOKUP(Table24[[#This Row],[Branch Name]],'[1]Lookup Values'!G:G,'[1]Lookup Values'!H:H,0)))</f>
        <v/>
      </c>
      <c r="B389" t="str">
        <f>IF(Table24[[#This Row],[Branch Name]]="","",(_xlfn.XLOOKUP(Table24[[#This Row],[Branch Name]],'[1]Lookup Values'!G:G,'[1]Lookup Values'!I:I,0)))</f>
        <v/>
      </c>
      <c r="C389" t="str">
        <f>IF(Table24[[#This Row],[Journal Description (Service Description)]]="","",1)</f>
        <v/>
      </c>
      <c r="D389" s="2" t="str">
        <f>IF(Table24[[#This Row],[Journal Description (Service Description)]]="","",VLOOKUP(Table24[[#This Row],[Journal Description (Service Description)]],'[1]Lookup Values'!$A:$B,2,FALSE))</f>
        <v/>
      </c>
    </row>
    <row r="390" spans="1:4" hidden="1" x14ac:dyDescent="0.35">
      <c r="A390" t="str">
        <f>IF(Table24[[#This Row],[Branch Name]]="","",(_xlfn.XLOOKUP(Table24[[#This Row],[Branch Name]],'[1]Lookup Values'!G:G,'[1]Lookup Values'!H:H,0)))</f>
        <v/>
      </c>
      <c r="B390" t="str">
        <f>IF(Table24[[#This Row],[Branch Name]]="","",(_xlfn.XLOOKUP(Table24[[#This Row],[Branch Name]],'[1]Lookup Values'!G:G,'[1]Lookup Values'!I:I,0)))</f>
        <v/>
      </c>
      <c r="C390" t="str">
        <f>IF(Table24[[#This Row],[Journal Description (Service Description)]]="","",1)</f>
        <v/>
      </c>
      <c r="D390" s="2" t="str">
        <f>IF(Table24[[#This Row],[Journal Description (Service Description)]]="","",VLOOKUP(Table24[[#This Row],[Journal Description (Service Description)]],'[1]Lookup Values'!$A:$B,2,FALSE))</f>
        <v/>
      </c>
    </row>
    <row r="391" spans="1:4" hidden="1" x14ac:dyDescent="0.35">
      <c r="A391" t="str">
        <f>IF(Table24[[#This Row],[Branch Name]]="","",(_xlfn.XLOOKUP(Table24[[#This Row],[Branch Name]],'[1]Lookup Values'!G:G,'[1]Lookup Values'!H:H,0)))</f>
        <v/>
      </c>
      <c r="B391" t="str">
        <f>IF(Table24[[#This Row],[Branch Name]]="","",(_xlfn.XLOOKUP(Table24[[#This Row],[Branch Name]],'[1]Lookup Values'!G:G,'[1]Lookup Values'!I:I,0)))</f>
        <v/>
      </c>
      <c r="C391" t="str">
        <f>IF(Table24[[#This Row],[Journal Description (Service Description)]]="","",1)</f>
        <v/>
      </c>
      <c r="D391" s="2" t="str">
        <f>IF(Table24[[#This Row],[Journal Description (Service Description)]]="","",VLOOKUP(Table24[[#This Row],[Journal Description (Service Description)]],'[1]Lookup Values'!$A:$B,2,FALSE))</f>
        <v/>
      </c>
    </row>
    <row r="392" spans="1:4" hidden="1" x14ac:dyDescent="0.35">
      <c r="A392" t="str">
        <f>IF(Table24[[#This Row],[Branch Name]]="","",(_xlfn.XLOOKUP(Table24[[#This Row],[Branch Name]],'[1]Lookup Values'!G:G,'[1]Lookup Values'!H:H,0)))</f>
        <v/>
      </c>
      <c r="B392" t="str">
        <f>IF(Table24[[#This Row],[Branch Name]]="","",(_xlfn.XLOOKUP(Table24[[#This Row],[Branch Name]],'[1]Lookup Values'!G:G,'[1]Lookup Values'!I:I,0)))</f>
        <v/>
      </c>
      <c r="C392" t="str">
        <f>IF(Table24[[#This Row],[Journal Description (Service Description)]]="","",1)</f>
        <v/>
      </c>
      <c r="D392" s="2" t="str">
        <f>IF(Table24[[#This Row],[Journal Description (Service Description)]]="","",VLOOKUP(Table24[[#This Row],[Journal Description (Service Description)]],'[1]Lookup Values'!$A:$B,2,FALSE))</f>
        <v/>
      </c>
    </row>
    <row r="393" spans="1:4" hidden="1" x14ac:dyDescent="0.35">
      <c r="A393" t="str">
        <f>IF(Table24[[#This Row],[Branch Name]]="","",(_xlfn.XLOOKUP(Table24[[#This Row],[Branch Name]],'[1]Lookup Values'!G:G,'[1]Lookup Values'!H:H,0)))</f>
        <v/>
      </c>
      <c r="B393" t="str">
        <f>IF(Table24[[#This Row],[Branch Name]]="","",(_xlfn.XLOOKUP(Table24[[#This Row],[Branch Name]],'[1]Lookup Values'!G:G,'[1]Lookup Values'!I:I,0)))</f>
        <v/>
      </c>
      <c r="C393" t="str">
        <f>IF(Table24[[#This Row],[Journal Description (Service Description)]]="","",1)</f>
        <v/>
      </c>
      <c r="D393" s="2" t="str">
        <f>IF(Table24[[#This Row],[Journal Description (Service Description)]]="","",VLOOKUP(Table24[[#This Row],[Journal Description (Service Description)]],'[1]Lookup Values'!$A:$B,2,FALSE))</f>
        <v/>
      </c>
    </row>
    <row r="394" spans="1:4" hidden="1" x14ac:dyDescent="0.35">
      <c r="A394" t="str">
        <f>IF(Table24[[#This Row],[Branch Name]]="","",(_xlfn.XLOOKUP(Table24[[#This Row],[Branch Name]],'[1]Lookup Values'!G:G,'[1]Lookup Values'!H:H,0)))</f>
        <v/>
      </c>
      <c r="B394" t="str">
        <f>IF(Table24[[#This Row],[Branch Name]]="","",(_xlfn.XLOOKUP(Table24[[#This Row],[Branch Name]],'[1]Lookup Values'!G:G,'[1]Lookup Values'!I:I,0)))</f>
        <v/>
      </c>
      <c r="C394" t="str">
        <f>IF(Table24[[#This Row],[Journal Description (Service Description)]]="","",1)</f>
        <v/>
      </c>
      <c r="D394" s="2" t="str">
        <f>IF(Table24[[#This Row],[Journal Description (Service Description)]]="","",VLOOKUP(Table24[[#This Row],[Journal Description (Service Description)]],'[1]Lookup Values'!$A:$B,2,FALSE))</f>
        <v/>
      </c>
    </row>
    <row r="395" spans="1:4" hidden="1" x14ac:dyDescent="0.35">
      <c r="A395" t="str">
        <f>IF(Table24[[#This Row],[Branch Name]]="","",(_xlfn.XLOOKUP(Table24[[#This Row],[Branch Name]],'[1]Lookup Values'!G:G,'[1]Lookup Values'!H:H,0)))</f>
        <v/>
      </c>
      <c r="B395" t="str">
        <f>IF(Table24[[#This Row],[Branch Name]]="","",(_xlfn.XLOOKUP(Table24[[#This Row],[Branch Name]],'[1]Lookup Values'!G:G,'[1]Lookup Values'!I:I,0)))</f>
        <v/>
      </c>
      <c r="C395" t="str">
        <f>IF(Table24[[#This Row],[Journal Description (Service Description)]]="","",1)</f>
        <v/>
      </c>
      <c r="D395" s="2" t="str">
        <f>IF(Table24[[#This Row],[Journal Description (Service Description)]]="","",VLOOKUP(Table24[[#This Row],[Journal Description (Service Description)]],'[1]Lookup Values'!$A:$B,2,FALSE))</f>
        <v/>
      </c>
    </row>
    <row r="396" spans="1:4" hidden="1" x14ac:dyDescent="0.35">
      <c r="A396" t="str">
        <f>IF(Table24[[#This Row],[Branch Name]]="","",(_xlfn.XLOOKUP(Table24[[#This Row],[Branch Name]],'[1]Lookup Values'!G:G,'[1]Lookup Values'!H:H,0)))</f>
        <v/>
      </c>
      <c r="B396" t="str">
        <f>IF(Table24[[#This Row],[Branch Name]]="","",(_xlfn.XLOOKUP(Table24[[#This Row],[Branch Name]],'[1]Lookup Values'!G:G,'[1]Lookup Values'!I:I,0)))</f>
        <v/>
      </c>
      <c r="C396" t="str">
        <f>IF(Table24[[#This Row],[Journal Description (Service Description)]]="","",1)</f>
        <v/>
      </c>
      <c r="D396" s="2" t="str">
        <f>IF(Table24[[#This Row],[Journal Description (Service Description)]]="","",VLOOKUP(Table24[[#This Row],[Journal Description (Service Description)]],'[1]Lookup Values'!$A:$B,2,FALSE))</f>
        <v/>
      </c>
    </row>
    <row r="397" spans="1:4" hidden="1" x14ac:dyDescent="0.35">
      <c r="A397" t="str">
        <f>IF(Table24[[#This Row],[Branch Name]]="","",(_xlfn.XLOOKUP(Table24[[#This Row],[Branch Name]],'[1]Lookup Values'!G:G,'[1]Lookup Values'!H:H,0)))</f>
        <v/>
      </c>
      <c r="B397" t="str">
        <f>IF(Table24[[#This Row],[Branch Name]]="","",(_xlfn.XLOOKUP(Table24[[#This Row],[Branch Name]],'[1]Lookup Values'!G:G,'[1]Lookup Values'!I:I,0)))</f>
        <v/>
      </c>
      <c r="C397" t="str">
        <f>IF(Table24[[#This Row],[Journal Description (Service Description)]]="","",1)</f>
        <v/>
      </c>
      <c r="D397" s="2" t="str">
        <f>IF(Table24[[#This Row],[Journal Description (Service Description)]]="","",VLOOKUP(Table24[[#This Row],[Journal Description (Service Description)]],'[1]Lookup Values'!$A:$B,2,FALSE))</f>
        <v/>
      </c>
    </row>
    <row r="398" spans="1:4" hidden="1" x14ac:dyDescent="0.35">
      <c r="A398" t="str">
        <f>IF(Table24[[#This Row],[Branch Name]]="","",(_xlfn.XLOOKUP(Table24[[#This Row],[Branch Name]],'[1]Lookup Values'!G:G,'[1]Lookup Values'!H:H,0)))</f>
        <v/>
      </c>
      <c r="B398" t="str">
        <f>IF(Table24[[#This Row],[Branch Name]]="","",(_xlfn.XLOOKUP(Table24[[#This Row],[Branch Name]],'[1]Lookup Values'!G:G,'[1]Lookup Values'!I:I,0)))</f>
        <v/>
      </c>
      <c r="C398" t="str">
        <f>IF(Table24[[#This Row],[Journal Description (Service Description)]]="","",1)</f>
        <v/>
      </c>
      <c r="D398" s="2" t="str">
        <f>IF(Table24[[#This Row],[Journal Description (Service Description)]]="","",VLOOKUP(Table24[[#This Row],[Journal Description (Service Description)]],'[1]Lookup Values'!$A:$B,2,FALSE))</f>
        <v/>
      </c>
    </row>
    <row r="399" spans="1:4" hidden="1" x14ac:dyDescent="0.35">
      <c r="A399" t="str">
        <f>IF(Table24[[#This Row],[Branch Name]]="","",(_xlfn.XLOOKUP(Table24[[#This Row],[Branch Name]],'[1]Lookup Values'!G:G,'[1]Lookup Values'!H:H,0)))</f>
        <v/>
      </c>
      <c r="B399" t="str">
        <f>IF(Table24[[#This Row],[Branch Name]]="","",(_xlfn.XLOOKUP(Table24[[#This Row],[Branch Name]],'[1]Lookup Values'!G:G,'[1]Lookup Values'!I:I,0)))</f>
        <v/>
      </c>
      <c r="C399" t="str">
        <f>IF(Table24[[#This Row],[Journal Description (Service Description)]]="","",1)</f>
        <v/>
      </c>
      <c r="D399" s="2" t="str">
        <f>IF(Table24[[#This Row],[Journal Description (Service Description)]]="","",VLOOKUP(Table24[[#This Row],[Journal Description (Service Description)]],'[1]Lookup Values'!$A:$B,2,FALSE))</f>
        <v/>
      </c>
    </row>
    <row r="400" spans="1:4" hidden="1" x14ac:dyDescent="0.35">
      <c r="A400" t="str">
        <f>IF(Table24[[#This Row],[Branch Name]]="","",(_xlfn.XLOOKUP(Table24[[#This Row],[Branch Name]],'[1]Lookup Values'!G:G,'[1]Lookup Values'!H:H,0)))</f>
        <v/>
      </c>
      <c r="B400" t="str">
        <f>IF(Table24[[#This Row],[Branch Name]]="","",(_xlfn.XLOOKUP(Table24[[#This Row],[Branch Name]],'[1]Lookup Values'!G:G,'[1]Lookup Values'!I:I,0)))</f>
        <v/>
      </c>
      <c r="C400" t="str">
        <f>IF(Table24[[#This Row],[Journal Description (Service Description)]]="","",1)</f>
        <v/>
      </c>
      <c r="D400" s="2" t="str">
        <f>IF(Table24[[#This Row],[Journal Description (Service Description)]]="","",VLOOKUP(Table24[[#This Row],[Journal Description (Service Description)]],'[1]Lookup Values'!$A:$B,2,FALSE))</f>
        <v/>
      </c>
    </row>
    <row r="401" spans="1:4" hidden="1" x14ac:dyDescent="0.35">
      <c r="A401" t="str">
        <f>IF(Table24[[#This Row],[Branch Name]]="","",(_xlfn.XLOOKUP(Table24[[#This Row],[Branch Name]],'[1]Lookup Values'!G:G,'[1]Lookup Values'!H:H,0)))</f>
        <v/>
      </c>
      <c r="B401" t="str">
        <f>IF(Table24[[#This Row],[Branch Name]]="","",(_xlfn.XLOOKUP(Table24[[#This Row],[Branch Name]],'[1]Lookup Values'!G:G,'[1]Lookup Values'!I:I,0)))</f>
        <v/>
      </c>
      <c r="C401" t="str">
        <f>IF(Table24[[#This Row],[Journal Description (Service Description)]]="","",1)</f>
        <v/>
      </c>
      <c r="D401" s="2" t="str">
        <f>IF(Table24[[#This Row],[Journal Description (Service Description)]]="","",VLOOKUP(Table24[[#This Row],[Journal Description (Service Description)]],'[1]Lookup Values'!$A:$B,2,FALSE))</f>
        <v/>
      </c>
    </row>
    <row r="402" spans="1:4" hidden="1" x14ac:dyDescent="0.35">
      <c r="A402" t="str">
        <f>IF(Table24[[#This Row],[Branch Name]]="","",(_xlfn.XLOOKUP(Table24[[#This Row],[Branch Name]],'[1]Lookup Values'!G:G,'[1]Lookup Values'!H:H,0)))</f>
        <v/>
      </c>
      <c r="B402" t="str">
        <f>IF(Table24[[#This Row],[Branch Name]]="","",(_xlfn.XLOOKUP(Table24[[#This Row],[Branch Name]],'[1]Lookup Values'!G:G,'[1]Lookup Values'!I:I,0)))</f>
        <v/>
      </c>
      <c r="C402" t="str">
        <f>IF(Table24[[#This Row],[Journal Description (Service Description)]]="","",1)</f>
        <v/>
      </c>
      <c r="D402" s="2" t="str">
        <f>IF(Table24[[#This Row],[Journal Description (Service Description)]]="","",VLOOKUP(Table24[[#This Row],[Journal Description (Service Description)]],'[1]Lookup Values'!$A:$B,2,FALSE))</f>
        <v/>
      </c>
    </row>
    <row r="403" spans="1:4" hidden="1" x14ac:dyDescent="0.35">
      <c r="A403" t="str">
        <f>IF(Table24[[#This Row],[Branch Name]]="","",(_xlfn.XLOOKUP(Table24[[#This Row],[Branch Name]],'[1]Lookup Values'!G:G,'[1]Lookup Values'!H:H,0)))</f>
        <v/>
      </c>
      <c r="B403" t="str">
        <f>IF(Table24[[#This Row],[Branch Name]]="","",(_xlfn.XLOOKUP(Table24[[#This Row],[Branch Name]],'[1]Lookup Values'!G:G,'[1]Lookup Values'!I:I,0)))</f>
        <v/>
      </c>
      <c r="C403" t="str">
        <f>IF(Table24[[#This Row],[Journal Description (Service Description)]]="","",1)</f>
        <v/>
      </c>
      <c r="D403" s="2" t="str">
        <f>IF(Table24[[#This Row],[Journal Description (Service Description)]]="","",VLOOKUP(Table24[[#This Row],[Journal Description (Service Description)]],'[1]Lookup Values'!$A:$B,2,FALSE))</f>
        <v/>
      </c>
    </row>
    <row r="404" spans="1:4" hidden="1" x14ac:dyDescent="0.35">
      <c r="A404" t="str">
        <f>IF(Table24[[#This Row],[Branch Name]]="","",(_xlfn.XLOOKUP(Table24[[#This Row],[Branch Name]],'[1]Lookup Values'!G:G,'[1]Lookup Values'!H:H,0)))</f>
        <v/>
      </c>
      <c r="B404" t="str">
        <f>IF(Table24[[#This Row],[Branch Name]]="","",(_xlfn.XLOOKUP(Table24[[#This Row],[Branch Name]],'[1]Lookup Values'!G:G,'[1]Lookup Values'!I:I,0)))</f>
        <v/>
      </c>
      <c r="C404" t="str">
        <f>IF(Table24[[#This Row],[Journal Description (Service Description)]]="","",1)</f>
        <v/>
      </c>
      <c r="D404" s="2" t="str">
        <f>IF(Table24[[#This Row],[Journal Description (Service Description)]]="","",VLOOKUP(Table24[[#This Row],[Journal Description (Service Description)]],'[1]Lookup Values'!$A:$B,2,FALSE))</f>
        <v/>
      </c>
    </row>
    <row r="405" spans="1:4" hidden="1" x14ac:dyDescent="0.35">
      <c r="A405" t="str">
        <f>IF(Table24[[#This Row],[Branch Name]]="","",(_xlfn.XLOOKUP(Table24[[#This Row],[Branch Name]],'[1]Lookup Values'!G:G,'[1]Lookup Values'!H:H,0)))</f>
        <v/>
      </c>
      <c r="B405" t="str">
        <f>IF(Table24[[#This Row],[Branch Name]]="","",(_xlfn.XLOOKUP(Table24[[#This Row],[Branch Name]],'[1]Lookup Values'!G:G,'[1]Lookup Values'!I:I,0)))</f>
        <v/>
      </c>
      <c r="C405" t="str">
        <f>IF(Table24[[#This Row],[Journal Description (Service Description)]]="","",1)</f>
        <v/>
      </c>
      <c r="D405" s="2" t="str">
        <f>IF(Table24[[#This Row],[Journal Description (Service Description)]]="","",VLOOKUP(Table24[[#This Row],[Journal Description (Service Description)]],'[1]Lookup Values'!$A:$B,2,FALSE))</f>
        <v/>
      </c>
    </row>
    <row r="406" spans="1:4" hidden="1" x14ac:dyDescent="0.35">
      <c r="A406" t="str">
        <f>IF(Table24[[#This Row],[Branch Name]]="","",(_xlfn.XLOOKUP(Table24[[#This Row],[Branch Name]],'[1]Lookup Values'!G:G,'[1]Lookup Values'!H:H,0)))</f>
        <v/>
      </c>
      <c r="B406" t="str">
        <f>IF(Table24[[#This Row],[Branch Name]]="","",(_xlfn.XLOOKUP(Table24[[#This Row],[Branch Name]],'[1]Lookup Values'!G:G,'[1]Lookup Values'!I:I,0)))</f>
        <v/>
      </c>
      <c r="C406" t="str">
        <f>IF(Table24[[#This Row],[Journal Description (Service Description)]]="","",1)</f>
        <v/>
      </c>
      <c r="D406" s="2" t="str">
        <f>IF(Table24[[#This Row],[Journal Description (Service Description)]]="","",VLOOKUP(Table24[[#This Row],[Journal Description (Service Description)]],'[1]Lookup Values'!$A:$B,2,FALSE))</f>
        <v/>
      </c>
    </row>
    <row r="407" spans="1:4" hidden="1" x14ac:dyDescent="0.35">
      <c r="A407" t="str">
        <f>IF(Table24[[#This Row],[Branch Name]]="","",(_xlfn.XLOOKUP(Table24[[#This Row],[Branch Name]],'[1]Lookup Values'!G:G,'[1]Lookup Values'!H:H,0)))</f>
        <v/>
      </c>
      <c r="B407" t="str">
        <f>IF(Table24[[#This Row],[Branch Name]]="","",(_xlfn.XLOOKUP(Table24[[#This Row],[Branch Name]],'[1]Lookup Values'!G:G,'[1]Lookup Values'!I:I,0)))</f>
        <v/>
      </c>
      <c r="C407" t="str">
        <f>IF(Table24[[#This Row],[Journal Description (Service Description)]]="","",1)</f>
        <v/>
      </c>
      <c r="D407" s="2" t="str">
        <f>IF(Table24[[#This Row],[Journal Description (Service Description)]]="","",VLOOKUP(Table24[[#This Row],[Journal Description (Service Description)]],'[1]Lookup Values'!$A:$B,2,FALSE))</f>
        <v/>
      </c>
    </row>
    <row r="408" spans="1:4" hidden="1" x14ac:dyDescent="0.35">
      <c r="A408" t="str">
        <f>IF(Table24[[#This Row],[Branch Name]]="","",(_xlfn.XLOOKUP(Table24[[#This Row],[Branch Name]],'[1]Lookup Values'!G:G,'[1]Lookup Values'!H:H,0)))</f>
        <v/>
      </c>
      <c r="B408" t="str">
        <f>IF(Table24[[#This Row],[Branch Name]]="","",(_xlfn.XLOOKUP(Table24[[#This Row],[Branch Name]],'[1]Lookup Values'!G:G,'[1]Lookup Values'!I:I,0)))</f>
        <v/>
      </c>
      <c r="C408" t="str">
        <f>IF(Table24[[#This Row],[Journal Description (Service Description)]]="","",1)</f>
        <v/>
      </c>
      <c r="D408" s="2" t="str">
        <f>IF(Table24[[#This Row],[Journal Description (Service Description)]]="","",VLOOKUP(Table24[[#This Row],[Journal Description (Service Description)]],'[1]Lookup Values'!$A:$B,2,FALSE))</f>
        <v/>
      </c>
    </row>
    <row r="409" spans="1:4" hidden="1" x14ac:dyDescent="0.35">
      <c r="A409" t="str">
        <f>IF(Table24[[#This Row],[Branch Name]]="","",(_xlfn.XLOOKUP(Table24[[#This Row],[Branch Name]],'[1]Lookup Values'!G:G,'[1]Lookup Values'!H:H,0)))</f>
        <v/>
      </c>
      <c r="B409" t="str">
        <f>IF(Table24[[#This Row],[Branch Name]]="","",(_xlfn.XLOOKUP(Table24[[#This Row],[Branch Name]],'[1]Lookup Values'!G:G,'[1]Lookup Values'!I:I,0)))</f>
        <v/>
      </c>
      <c r="C409" t="str">
        <f>IF(Table24[[#This Row],[Journal Description (Service Description)]]="","",1)</f>
        <v/>
      </c>
      <c r="D409" s="2" t="str">
        <f>IF(Table24[[#This Row],[Journal Description (Service Description)]]="","",VLOOKUP(Table24[[#This Row],[Journal Description (Service Description)]],'[1]Lookup Values'!$A:$B,2,FALSE))</f>
        <v/>
      </c>
    </row>
    <row r="410" spans="1:4" hidden="1" x14ac:dyDescent="0.35">
      <c r="A410" t="str">
        <f>IF(Table24[[#This Row],[Branch Name]]="","",(_xlfn.XLOOKUP(Table24[[#This Row],[Branch Name]],'[1]Lookup Values'!G:G,'[1]Lookup Values'!H:H,0)))</f>
        <v/>
      </c>
      <c r="B410" t="str">
        <f>IF(Table24[[#This Row],[Branch Name]]="","",(_xlfn.XLOOKUP(Table24[[#This Row],[Branch Name]],'[1]Lookup Values'!G:G,'[1]Lookup Values'!I:I,0)))</f>
        <v/>
      </c>
      <c r="C410" t="str">
        <f>IF(Table24[[#This Row],[Journal Description (Service Description)]]="","",1)</f>
        <v/>
      </c>
      <c r="D410" s="2" t="str">
        <f>IF(Table24[[#This Row],[Journal Description (Service Description)]]="","",VLOOKUP(Table24[[#This Row],[Journal Description (Service Description)]],'[1]Lookup Values'!$A:$B,2,FALSE))</f>
        <v/>
      </c>
    </row>
    <row r="411" spans="1:4" hidden="1" x14ac:dyDescent="0.35">
      <c r="A411" t="str">
        <f>IF(Table24[[#This Row],[Branch Name]]="","",(_xlfn.XLOOKUP(Table24[[#This Row],[Branch Name]],'[1]Lookup Values'!G:G,'[1]Lookup Values'!H:H,0)))</f>
        <v/>
      </c>
      <c r="B411" t="str">
        <f>IF(Table24[[#This Row],[Branch Name]]="","",(_xlfn.XLOOKUP(Table24[[#This Row],[Branch Name]],'[1]Lookup Values'!G:G,'[1]Lookup Values'!I:I,0)))</f>
        <v/>
      </c>
      <c r="C411" t="str">
        <f>IF(Table24[[#This Row],[Journal Description (Service Description)]]="","",1)</f>
        <v/>
      </c>
      <c r="D411" s="2" t="str">
        <f>IF(Table24[[#This Row],[Journal Description (Service Description)]]="","",VLOOKUP(Table24[[#This Row],[Journal Description (Service Description)]],'[1]Lookup Values'!$A:$B,2,FALSE))</f>
        <v/>
      </c>
    </row>
    <row r="412" spans="1:4" hidden="1" x14ac:dyDescent="0.35">
      <c r="A412" t="str">
        <f>IF(Table24[[#This Row],[Branch Name]]="","",(_xlfn.XLOOKUP(Table24[[#This Row],[Branch Name]],'[1]Lookup Values'!G:G,'[1]Lookup Values'!H:H,0)))</f>
        <v/>
      </c>
      <c r="B412" t="str">
        <f>IF(Table24[[#This Row],[Branch Name]]="","",(_xlfn.XLOOKUP(Table24[[#This Row],[Branch Name]],'[1]Lookup Values'!G:G,'[1]Lookup Values'!I:I,0)))</f>
        <v/>
      </c>
      <c r="C412" t="str">
        <f>IF(Table24[[#This Row],[Journal Description (Service Description)]]="","",1)</f>
        <v/>
      </c>
      <c r="D412" s="2" t="str">
        <f>IF(Table24[[#This Row],[Journal Description (Service Description)]]="","",VLOOKUP(Table24[[#This Row],[Journal Description (Service Description)]],'[1]Lookup Values'!$A:$B,2,FALSE))</f>
        <v/>
      </c>
    </row>
    <row r="413" spans="1:4" hidden="1" x14ac:dyDescent="0.35">
      <c r="A413" t="str">
        <f>IF(Table24[[#This Row],[Branch Name]]="","",(_xlfn.XLOOKUP(Table24[[#This Row],[Branch Name]],'[1]Lookup Values'!G:G,'[1]Lookup Values'!H:H,0)))</f>
        <v/>
      </c>
      <c r="B413" t="str">
        <f>IF(Table24[[#This Row],[Branch Name]]="","",(_xlfn.XLOOKUP(Table24[[#This Row],[Branch Name]],'[1]Lookup Values'!G:G,'[1]Lookup Values'!I:I,0)))</f>
        <v/>
      </c>
      <c r="C413" t="str">
        <f>IF(Table24[[#This Row],[Journal Description (Service Description)]]="","",1)</f>
        <v/>
      </c>
      <c r="D413" s="2" t="str">
        <f>IF(Table24[[#This Row],[Journal Description (Service Description)]]="","",VLOOKUP(Table24[[#This Row],[Journal Description (Service Description)]],'[1]Lookup Values'!$A:$B,2,FALSE))</f>
        <v/>
      </c>
    </row>
    <row r="414" spans="1:4" hidden="1" x14ac:dyDescent="0.35">
      <c r="A414" t="str">
        <f>IF(Table24[[#This Row],[Branch Name]]="","",(_xlfn.XLOOKUP(Table24[[#This Row],[Branch Name]],'[1]Lookup Values'!G:G,'[1]Lookup Values'!H:H,0)))</f>
        <v/>
      </c>
      <c r="B414" t="str">
        <f>IF(Table24[[#This Row],[Branch Name]]="","",(_xlfn.XLOOKUP(Table24[[#This Row],[Branch Name]],'[1]Lookup Values'!G:G,'[1]Lookup Values'!I:I,0)))</f>
        <v/>
      </c>
      <c r="C414" t="str">
        <f>IF(Table24[[#This Row],[Journal Description (Service Description)]]="","",1)</f>
        <v/>
      </c>
      <c r="D414" s="2" t="str">
        <f>IF(Table24[[#This Row],[Journal Description (Service Description)]]="","",VLOOKUP(Table24[[#This Row],[Journal Description (Service Description)]],'[1]Lookup Values'!$A:$B,2,FALSE))</f>
        <v/>
      </c>
    </row>
    <row r="415" spans="1:4" hidden="1" x14ac:dyDescent="0.35">
      <c r="A415" t="str">
        <f>IF(Table24[[#This Row],[Branch Name]]="","",(_xlfn.XLOOKUP(Table24[[#This Row],[Branch Name]],'[1]Lookup Values'!G:G,'[1]Lookup Values'!H:H,0)))</f>
        <v/>
      </c>
      <c r="B415" t="str">
        <f>IF(Table24[[#This Row],[Branch Name]]="","",(_xlfn.XLOOKUP(Table24[[#This Row],[Branch Name]],'[1]Lookup Values'!G:G,'[1]Lookup Values'!I:I,0)))</f>
        <v/>
      </c>
      <c r="C415" t="str">
        <f>IF(Table24[[#This Row],[Journal Description (Service Description)]]="","",1)</f>
        <v/>
      </c>
      <c r="D415" s="2" t="str">
        <f>IF(Table24[[#This Row],[Journal Description (Service Description)]]="","",VLOOKUP(Table24[[#This Row],[Journal Description (Service Description)]],'[1]Lookup Values'!$A:$B,2,FALSE))</f>
        <v/>
      </c>
    </row>
    <row r="416" spans="1:4" hidden="1" x14ac:dyDescent="0.35">
      <c r="A416" t="str">
        <f>IF(Table24[[#This Row],[Branch Name]]="","",(_xlfn.XLOOKUP(Table24[[#This Row],[Branch Name]],'[1]Lookup Values'!G:G,'[1]Lookup Values'!H:H,0)))</f>
        <v/>
      </c>
      <c r="B416" t="str">
        <f>IF(Table24[[#This Row],[Branch Name]]="","",(_xlfn.XLOOKUP(Table24[[#This Row],[Branch Name]],'[1]Lookup Values'!G:G,'[1]Lookup Values'!I:I,0)))</f>
        <v/>
      </c>
      <c r="C416" t="str">
        <f>IF(Table24[[#This Row],[Journal Description (Service Description)]]="","",1)</f>
        <v/>
      </c>
      <c r="D416" s="2" t="str">
        <f>IF(Table24[[#This Row],[Journal Description (Service Description)]]="","",VLOOKUP(Table24[[#This Row],[Journal Description (Service Description)]],'[1]Lookup Values'!$A:$B,2,FALSE))</f>
        <v/>
      </c>
    </row>
    <row r="417" spans="1:4" hidden="1" x14ac:dyDescent="0.35">
      <c r="A417" t="str">
        <f>IF(Table24[[#This Row],[Branch Name]]="","",(_xlfn.XLOOKUP(Table24[[#This Row],[Branch Name]],'[1]Lookup Values'!G:G,'[1]Lookup Values'!H:H,0)))</f>
        <v/>
      </c>
      <c r="B417" t="str">
        <f>IF(Table24[[#This Row],[Branch Name]]="","",(_xlfn.XLOOKUP(Table24[[#This Row],[Branch Name]],'[1]Lookup Values'!G:G,'[1]Lookup Values'!I:I,0)))</f>
        <v/>
      </c>
      <c r="C417" t="str">
        <f>IF(Table24[[#This Row],[Journal Description (Service Description)]]="","",1)</f>
        <v/>
      </c>
      <c r="D417" s="2" t="str">
        <f>IF(Table24[[#This Row],[Journal Description (Service Description)]]="","",VLOOKUP(Table24[[#This Row],[Journal Description (Service Description)]],'[1]Lookup Values'!$A:$B,2,FALSE))</f>
        <v/>
      </c>
    </row>
    <row r="418" spans="1:4" hidden="1" x14ac:dyDescent="0.35">
      <c r="A418" t="str">
        <f>IF(Table24[[#This Row],[Branch Name]]="","",(_xlfn.XLOOKUP(Table24[[#This Row],[Branch Name]],'[1]Lookup Values'!G:G,'[1]Lookup Values'!H:H,0)))</f>
        <v/>
      </c>
      <c r="B418" t="str">
        <f>IF(Table24[[#This Row],[Branch Name]]="","",(_xlfn.XLOOKUP(Table24[[#This Row],[Branch Name]],'[1]Lookup Values'!G:G,'[1]Lookup Values'!I:I,0)))</f>
        <v/>
      </c>
      <c r="C418" t="str">
        <f>IF(Table24[[#This Row],[Journal Description (Service Description)]]="","",1)</f>
        <v/>
      </c>
      <c r="D418" s="2" t="str">
        <f>IF(Table24[[#This Row],[Journal Description (Service Description)]]="","",VLOOKUP(Table24[[#This Row],[Journal Description (Service Description)]],'[1]Lookup Values'!$A:$B,2,FALSE))</f>
        <v/>
      </c>
    </row>
    <row r="419" spans="1:4" hidden="1" x14ac:dyDescent="0.35">
      <c r="A419" t="str">
        <f>IF(Table24[[#This Row],[Branch Name]]="","",(_xlfn.XLOOKUP(Table24[[#This Row],[Branch Name]],'[1]Lookup Values'!G:G,'[1]Lookup Values'!H:H,0)))</f>
        <v/>
      </c>
      <c r="B419" t="str">
        <f>IF(Table24[[#This Row],[Branch Name]]="","",(_xlfn.XLOOKUP(Table24[[#This Row],[Branch Name]],'[1]Lookup Values'!G:G,'[1]Lookup Values'!I:I,0)))</f>
        <v/>
      </c>
      <c r="C419" t="str">
        <f>IF(Table24[[#This Row],[Journal Description (Service Description)]]="","",1)</f>
        <v/>
      </c>
      <c r="D419" s="2" t="str">
        <f>IF(Table24[[#This Row],[Journal Description (Service Description)]]="","",VLOOKUP(Table24[[#This Row],[Journal Description (Service Description)]],'[1]Lookup Values'!$A:$B,2,FALSE))</f>
        <v/>
      </c>
    </row>
    <row r="420" spans="1:4" hidden="1" x14ac:dyDescent="0.35">
      <c r="A420" t="str">
        <f>IF(Table24[[#This Row],[Branch Name]]="","",(_xlfn.XLOOKUP(Table24[[#This Row],[Branch Name]],'[1]Lookup Values'!G:G,'[1]Lookup Values'!H:H,0)))</f>
        <v/>
      </c>
      <c r="B420" t="str">
        <f>IF(Table24[[#This Row],[Branch Name]]="","",(_xlfn.XLOOKUP(Table24[[#This Row],[Branch Name]],'[1]Lookup Values'!G:G,'[1]Lookup Values'!I:I,0)))</f>
        <v/>
      </c>
      <c r="C420" t="str">
        <f>IF(Table24[[#This Row],[Journal Description (Service Description)]]="","",1)</f>
        <v/>
      </c>
      <c r="D420" s="2" t="str">
        <f>IF(Table24[[#This Row],[Journal Description (Service Description)]]="","",VLOOKUP(Table24[[#This Row],[Journal Description (Service Description)]],'[1]Lookup Values'!$A:$B,2,FALSE))</f>
        <v/>
      </c>
    </row>
    <row r="421" spans="1:4" hidden="1" x14ac:dyDescent="0.35">
      <c r="A421" t="str">
        <f>IF(Table24[[#This Row],[Branch Name]]="","",(_xlfn.XLOOKUP(Table24[[#This Row],[Branch Name]],'[1]Lookup Values'!G:G,'[1]Lookup Values'!H:H,0)))</f>
        <v/>
      </c>
      <c r="B421" t="str">
        <f>IF(Table24[[#This Row],[Branch Name]]="","",(_xlfn.XLOOKUP(Table24[[#This Row],[Branch Name]],'[1]Lookup Values'!G:G,'[1]Lookup Values'!I:I,0)))</f>
        <v/>
      </c>
      <c r="C421" t="str">
        <f>IF(Table24[[#This Row],[Journal Description (Service Description)]]="","",1)</f>
        <v/>
      </c>
      <c r="D421" s="2" t="str">
        <f>IF(Table24[[#This Row],[Journal Description (Service Description)]]="","",VLOOKUP(Table24[[#This Row],[Journal Description (Service Description)]],'[1]Lookup Values'!$A:$B,2,FALSE))</f>
        <v/>
      </c>
    </row>
    <row r="422" spans="1:4" hidden="1" x14ac:dyDescent="0.35">
      <c r="A422" t="str">
        <f>IF(Table24[[#This Row],[Branch Name]]="","",(_xlfn.XLOOKUP(Table24[[#This Row],[Branch Name]],'[1]Lookup Values'!G:G,'[1]Lookup Values'!H:H,0)))</f>
        <v/>
      </c>
      <c r="B422" t="str">
        <f>IF(Table24[[#This Row],[Branch Name]]="","",(_xlfn.XLOOKUP(Table24[[#This Row],[Branch Name]],'[1]Lookup Values'!G:G,'[1]Lookup Values'!I:I,0)))</f>
        <v/>
      </c>
      <c r="C422" t="str">
        <f>IF(Table24[[#This Row],[Journal Description (Service Description)]]="","",1)</f>
        <v/>
      </c>
      <c r="D422" s="2" t="str">
        <f>IF(Table24[[#This Row],[Journal Description (Service Description)]]="","",VLOOKUP(Table24[[#This Row],[Journal Description (Service Description)]],'[1]Lookup Values'!$A:$B,2,FALSE))</f>
        <v/>
      </c>
    </row>
    <row r="423" spans="1:4" hidden="1" x14ac:dyDescent="0.35">
      <c r="A423" t="str">
        <f>IF(Table24[[#This Row],[Branch Name]]="","",(_xlfn.XLOOKUP(Table24[[#This Row],[Branch Name]],'[1]Lookup Values'!G:G,'[1]Lookup Values'!H:H,0)))</f>
        <v/>
      </c>
      <c r="B423" t="str">
        <f>IF(Table24[[#This Row],[Branch Name]]="","",(_xlfn.XLOOKUP(Table24[[#This Row],[Branch Name]],'[1]Lookup Values'!G:G,'[1]Lookup Values'!I:I,0)))</f>
        <v/>
      </c>
      <c r="C423" t="str">
        <f>IF(Table24[[#This Row],[Journal Description (Service Description)]]="","",1)</f>
        <v/>
      </c>
      <c r="D423" s="2" t="str">
        <f>IF(Table24[[#This Row],[Journal Description (Service Description)]]="","",VLOOKUP(Table24[[#This Row],[Journal Description (Service Description)]],'[1]Lookup Values'!$A:$B,2,FALSE))</f>
        <v/>
      </c>
    </row>
    <row r="424" spans="1:4" hidden="1" x14ac:dyDescent="0.35">
      <c r="A424" t="str">
        <f>IF(Table24[[#This Row],[Branch Name]]="","",(_xlfn.XLOOKUP(Table24[[#This Row],[Branch Name]],'[1]Lookup Values'!G:G,'[1]Lookup Values'!H:H,0)))</f>
        <v/>
      </c>
      <c r="B424" t="str">
        <f>IF(Table24[[#This Row],[Branch Name]]="","",(_xlfn.XLOOKUP(Table24[[#This Row],[Branch Name]],'[1]Lookup Values'!G:G,'[1]Lookup Values'!I:I,0)))</f>
        <v/>
      </c>
      <c r="C424" t="str">
        <f>IF(Table24[[#This Row],[Journal Description (Service Description)]]="","",1)</f>
        <v/>
      </c>
      <c r="D424" s="2" t="str">
        <f>IF(Table24[[#This Row],[Journal Description (Service Description)]]="","",VLOOKUP(Table24[[#This Row],[Journal Description (Service Description)]],'[1]Lookup Values'!$A:$B,2,FALSE))</f>
        <v/>
      </c>
    </row>
    <row r="425" spans="1:4" hidden="1" x14ac:dyDescent="0.35">
      <c r="A425" t="str">
        <f>IF(Table24[[#This Row],[Branch Name]]="","",(_xlfn.XLOOKUP(Table24[[#This Row],[Branch Name]],'[1]Lookup Values'!G:G,'[1]Lookup Values'!H:H,0)))</f>
        <v/>
      </c>
      <c r="B425" t="str">
        <f>IF(Table24[[#This Row],[Branch Name]]="","",(_xlfn.XLOOKUP(Table24[[#This Row],[Branch Name]],'[1]Lookup Values'!G:G,'[1]Lookup Values'!I:I,0)))</f>
        <v/>
      </c>
      <c r="C425" t="str">
        <f>IF(Table24[[#This Row],[Journal Description (Service Description)]]="","",1)</f>
        <v/>
      </c>
      <c r="D425" s="2" t="str">
        <f>IF(Table24[[#This Row],[Journal Description (Service Description)]]="","",VLOOKUP(Table24[[#This Row],[Journal Description (Service Description)]],'[1]Lookup Values'!$A:$B,2,FALSE))</f>
        <v/>
      </c>
    </row>
    <row r="426" spans="1:4" hidden="1" x14ac:dyDescent="0.35">
      <c r="A426" t="str">
        <f>IF(Table24[[#This Row],[Branch Name]]="","",(_xlfn.XLOOKUP(Table24[[#This Row],[Branch Name]],'[1]Lookup Values'!G:G,'[1]Lookup Values'!H:H,0)))</f>
        <v/>
      </c>
      <c r="B426" t="str">
        <f>IF(Table24[[#This Row],[Branch Name]]="","",(_xlfn.XLOOKUP(Table24[[#This Row],[Branch Name]],'[1]Lookup Values'!G:G,'[1]Lookup Values'!I:I,0)))</f>
        <v/>
      </c>
      <c r="C426" t="str">
        <f>IF(Table24[[#This Row],[Journal Description (Service Description)]]="","",1)</f>
        <v/>
      </c>
      <c r="D426" s="2" t="str">
        <f>IF(Table24[[#This Row],[Journal Description (Service Description)]]="","",VLOOKUP(Table24[[#This Row],[Journal Description (Service Description)]],'[1]Lookup Values'!$A:$B,2,FALSE))</f>
        <v/>
      </c>
    </row>
    <row r="427" spans="1:4" hidden="1" x14ac:dyDescent="0.35">
      <c r="A427" t="str">
        <f>IF(Table24[[#This Row],[Branch Name]]="","",(_xlfn.XLOOKUP(Table24[[#This Row],[Branch Name]],'[1]Lookup Values'!G:G,'[1]Lookup Values'!H:H,0)))</f>
        <v/>
      </c>
      <c r="B427" t="str">
        <f>IF(Table24[[#This Row],[Branch Name]]="","",(_xlfn.XLOOKUP(Table24[[#This Row],[Branch Name]],'[1]Lookup Values'!G:G,'[1]Lookup Values'!I:I,0)))</f>
        <v/>
      </c>
      <c r="C427" t="str">
        <f>IF(Table24[[#This Row],[Journal Description (Service Description)]]="","",1)</f>
        <v/>
      </c>
      <c r="D427" s="2" t="str">
        <f>IF(Table24[[#This Row],[Journal Description (Service Description)]]="","",VLOOKUP(Table24[[#This Row],[Journal Description (Service Description)]],'[1]Lookup Values'!$A:$B,2,FALSE))</f>
        <v/>
      </c>
    </row>
    <row r="428" spans="1:4" hidden="1" x14ac:dyDescent="0.35">
      <c r="A428" t="str">
        <f>IF(Table24[[#This Row],[Branch Name]]="","",(_xlfn.XLOOKUP(Table24[[#This Row],[Branch Name]],'[1]Lookup Values'!G:G,'[1]Lookup Values'!H:H,0)))</f>
        <v/>
      </c>
      <c r="B428" t="str">
        <f>IF(Table24[[#This Row],[Branch Name]]="","",(_xlfn.XLOOKUP(Table24[[#This Row],[Branch Name]],'[1]Lookup Values'!G:G,'[1]Lookup Values'!I:I,0)))</f>
        <v/>
      </c>
      <c r="C428" t="str">
        <f>IF(Table24[[#This Row],[Journal Description (Service Description)]]="","",1)</f>
        <v/>
      </c>
      <c r="D428" s="2" t="str">
        <f>IF(Table24[[#This Row],[Journal Description (Service Description)]]="","",VLOOKUP(Table24[[#This Row],[Journal Description (Service Description)]],'[1]Lookup Values'!$A:$B,2,FALSE))</f>
        <v/>
      </c>
    </row>
    <row r="429" spans="1:4" hidden="1" x14ac:dyDescent="0.35">
      <c r="A429" t="str">
        <f>IF(Table24[[#This Row],[Branch Name]]="","",(_xlfn.XLOOKUP(Table24[[#This Row],[Branch Name]],'[1]Lookup Values'!G:G,'[1]Lookup Values'!H:H,0)))</f>
        <v/>
      </c>
      <c r="B429" t="str">
        <f>IF(Table24[[#This Row],[Branch Name]]="","",(_xlfn.XLOOKUP(Table24[[#This Row],[Branch Name]],'[1]Lookup Values'!G:G,'[1]Lookup Values'!I:I,0)))</f>
        <v/>
      </c>
      <c r="C429" t="str">
        <f>IF(Table24[[#This Row],[Journal Description (Service Description)]]="","",1)</f>
        <v/>
      </c>
      <c r="D429" s="2" t="str">
        <f>IF(Table24[[#This Row],[Journal Description (Service Description)]]="","",VLOOKUP(Table24[[#This Row],[Journal Description (Service Description)]],'[1]Lookup Values'!$A:$B,2,FALSE))</f>
        <v/>
      </c>
    </row>
    <row r="430" spans="1:4" hidden="1" x14ac:dyDescent="0.35">
      <c r="A430" t="str">
        <f>IF(Table24[[#This Row],[Branch Name]]="","",(_xlfn.XLOOKUP(Table24[[#This Row],[Branch Name]],'[1]Lookup Values'!G:G,'[1]Lookup Values'!H:H,0)))</f>
        <v/>
      </c>
      <c r="B430" t="str">
        <f>IF(Table24[[#This Row],[Branch Name]]="","",(_xlfn.XLOOKUP(Table24[[#This Row],[Branch Name]],'[1]Lookup Values'!G:G,'[1]Lookup Values'!I:I,0)))</f>
        <v/>
      </c>
      <c r="C430" t="str">
        <f>IF(Table24[[#This Row],[Journal Description (Service Description)]]="","",1)</f>
        <v/>
      </c>
      <c r="D430" s="2" t="str">
        <f>IF(Table24[[#This Row],[Journal Description (Service Description)]]="","",VLOOKUP(Table24[[#This Row],[Journal Description (Service Description)]],'[1]Lookup Values'!$A:$B,2,FALSE))</f>
        <v/>
      </c>
    </row>
    <row r="431" spans="1:4" hidden="1" x14ac:dyDescent="0.35">
      <c r="A431" t="str">
        <f>IF(Table24[[#This Row],[Branch Name]]="","",(_xlfn.XLOOKUP(Table24[[#This Row],[Branch Name]],'[1]Lookup Values'!G:G,'[1]Lookup Values'!H:H,0)))</f>
        <v/>
      </c>
      <c r="B431" t="str">
        <f>IF(Table24[[#This Row],[Branch Name]]="","",(_xlfn.XLOOKUP(Table24[[#This Row],[Branch Name]],'[1]Lookup Values'!G:G,'[1]Lookup Values'!I:I,0)))</f>
        <v/>
      </c>
      <c r="C431" t="str">
        <f>IF(Table24[[#This Row],[Journal Description (Service Description)]]="","",1)</f>
        <v/>
      </c>
      <c r="D431" s="2" t="str">
        <f>IF(Table24[[#This Row],[Journal Description (Service Description)]]="","",VLOOKUP(Table24[[#This Row],[Journal Description (Service Description)]],'[1]Lookup Values'!$A:$B,2,FALSE))</f>
        <v/>
      </c>
    </row>
    <row r="432" spans="1:4" hidden="1" x14ac:dyDescent="0.35">
      <c r="A432" t="str">
        <f>IF(Table24[[#This Row],[Branch Name]]="","",(_xlfn.XLOOKUP(Table24[[#This Row],[Branch Name]],'[1]Lookup Values'!G:G,'[1]Lookup Values'!H:H,0)))</f>
        <v/>
      </c>
      <c r="B432" t="str">
        <f>IF(Table24[[#This Row],[Branch Name]]="","",(_xlfn.XLOOKUP(Table24[[#This Row],[Branch Name]],'[1]Lookup Values'!G:G,'[1]Lookup Values'!I:I,0)))</f>
        <v/>
      </c>
      <c r="C432" t="str">
        <f>IF(Table24[[#This Row],[Journal Description (Service Description)]]="","",1)</f>
        <v/>
      </c>
      <c r="D432" s="2" t="str">
        <f>IF(Table24[[#This Row],[Journal Description (Service Description)]]="","",VLOOKUP(Table24[[#This Row],[Journal Description (Service Description)]],'[1]Lookup Values'!$A:$B,2,FALSE))</f>
        <v/>
      </c>
    </row>
    <row r="433" spans="1:4" hidden="1" x14ac:dyDescent="0.35">
      <c r="A433" t="str">
        <f>IF(Table24[[#This Row],[Branch Name]]="","",(_xlfn.XLOOKUP(Table24[[#This Row],[Branch Name]],'[1]Lookup Values'!G:G,'[1]Lookup Values'!H:H,0)))</f>
        <v/>
      </c>
      <c r="B433" t="str">
        <f>IF(Table24[[#This Row],[Branch Name]]="","",(_xlfn.XLOOKUP(Table24[[#This Row],[Branch Name]],'[1]Lookup Values'!G:G,'[1]Lookup Values'!I:I,0)))</f>
        <v/>
      </c>
      <c r="C433" t="str">
        <f>IF(Table24[[#This Row],[Journal Description (Service Description)]]="","",1)</f>
        <v/>
      </c>
      <c r="D433" s="2" t="str">
        <f>IF(Table24[[#This Row],[Journal Description (Service Description)]]="","",VLOOKUP(Table24[[#This Row],[Journal Description (Service Description)]],'[1]Lookup Values'!$A:$B,2,FALSE))</f>
        <v/>
      </c>
    </row>
    <row r="434" spans="1:4" hidden="1" x14ac:dyDescent="0.35">
      <c r="A434" t="str">
        <f>IF(Table24[[#This Row],[Branch Name]]="","",(_xlfn.XLOOKUP(Table24[[#This Row],[Branch Name]],'[1]Lookup Values'!G:G,'[1]Lookup Values'!H:H,0)))</f>
        <v/>
      </c>
      <c r="B434" t="str">
        <f>IF(Table24[[#This Row],[Branch Name]]="","",(_xlfn.XLOOKUP(Table24[[#This Row],[Branch Name]],'[1]Lookup Values'!G:G,'[1]Lookup Values'!I:I,0)))</f>
        <v/>
      </c>
      <c r="C434" t="str">
        <f>IF(Table24[[#This Row],[Journal Description (Service Description)]]="","",1)</f>
        <v/>
      </c>
      <c r="D434" s="2" t="str">
        <f>IF(Table24[[#This Row],[Journal Description (Service Description)]]="","",VLOOKUP(Table24[[#This Row],[Journal Description (Service Description)]],'[1]Lookup Values'!$A:$B,2,FALSE))</f>
        <v/>
      </c>
    </row>
    <row r="435" spans="1:4" hidden="1" x14ac:dyDescent="0.35">
      <c r="A435" t="str">
        <f>IF(Table24[[#This Row],[Branch Name]]="","",(_xlfn.XLOOKUP(Table24[[#This Row],[Branch Name]],'[1]Lookup Values'!G:G,'[1]Lookup Values'!H:H,0)))</f>
        <v/>
      </c>
      <c r="B435" t="str">
        <f>IF(Table24[[#This Row],[Branch Name]]="","",(_xlfn.XLOOKUP(Table24[[#This Row],[Branch Name]],'[1]Lookup Values'!G:G,'[1]Lookup Values'!I:I,0)))</f>
        <v/>
      </c>
      <c r="C435" t="str">
        <f>IF(Table24[[#This Row],[Journal Description (Service Description)]]="","",1)</f>
        <v/>
      </c>
      <c r="D435" s="2" t="str">
        <f>IF(Table24[[#This Row],[Journal Description (Service Description)]]="","",VLOOKUP(Table24[[#This Row],[Journal Description (Service Description)]],'[1]Lookup Values'!$A:$B,2,FALSE))</f>
        <v/>
      </c>
    </row>
    <row r="436" spans="1:4" hidden="1" x14ac:dyDescent="0.35">
      <c r="A436" t="str">
        <f>IF(Table24[[#This Row],[Branch Name]]="","",(_xlfn.XLOOKUP(Table24[[#This Row],[Branch Name]],'[1]Lookup Values'!G:G,'[1]Lookup Values'!H:H,0)))</f>
        <v/>
      </c>
      <c r="B436" t="str">
        <f>IF(Table24[[#This Row],[Branch Name]]="","",(_xlfn.XLOOKUP(Table24[[#This Row],[Branch Name]],'[1]Lookup Values'!G:G,'[1]Lookup Values'!I:I,0)))</f>
        <v/>
      </c>
      <c r="C436" t="str">
        <f>IF(Table24[[#This Row],[Journal Description (Service Description)]]="","",1)</f>
        <v/>
      </c>
      <c r="D436" s="2" t="str">
        <f>IF(Table24[[#This Row],[Journal Description (Service Description)]]="","",VLOOKUP(Table24[[#This Row],[Journal Description (Service Description)]],'[1]Lookup Values'!$A:$B,2,FALSE))</f>
        <v/>
      </c>
    </row>
    <row r="437" spans="1:4" hidden="1" x14ac:dyDescent="0.35">
      <c r="A437" t="str">
        <f>IF(Table24[[#This Row],[Branch Name]]="","",(_xlfn.XLOOKUP(Table24[[#This Row],[Branch Name]],'[1]Lookup Values'!G:G,'[1]Lookup Values'!H:H,0)))</f>
        <v/>
      </c>
      <c r="B437" t="str">
        <f>IF(Table24[[#This Row],[Branch Name]]="","",(_xlfn.XLOOKUP(Table24[[#This Row],[Branch Name]],'[1]Lookup Values'!G:G,'[1]Lookup Values'!I:I,0)))</f>
        <v/>
      </c>
      <c r="C437" t="str">
        <f>IF(Table24[[#This Row],[Journal Description (Service Description)]]="","",1)</f>
        <v/>
      </c>
      <c r="D437" s="2" t="str">
        <f>IF(Table24[[#This Row],[Journal Description (Service Description)]]="","",VLOOKUP(Table24[[#This Row],[Journal Description (Service Description)]],'[1]Lookup Values'!$A:$B,2,FALSE))</f>
        <v/>
      </c>
    </row>
    <row r="438" spans="1:4" hidden="1" x14ac:dyDescent="0.35">
      <c r="A438" t="str">
        <f>IF(Table24[[#This Row],[Branch Name]]="","",(_xlfn.XLOOKUP(Table24[[#This Row],[Branch Name]],'[1]Lookup Values'!G:G,'[1]Lookup Values'!H:H,0)))</f>
        <v/>
      </c>
      <c r="B438" t="str">
        <f>IF(Table24[[#This Row],[Branch Name]]="","",(_xlfn.XLOOKUP(Table24[[#This Row],[Branch Name]],'[1]Lookup Values'!G:G,'[1]Lookup Values'!I:I,0)))</f>
        <v/>
      </c>
      <c r="C438" t="str">
        <f>IF(Table24[[#This Row],[Journal Description (Service Description)]]="","",1)</f>
        <v/>
      </c>
      <c r="D438" s="2" t="str">
        <f>IF(Table24[[#This Row],[Journal Description (Service Description)]]="","",VLOOKUP(Table24[[#This Row],[Journal Description (Service Description)]],'[1]Lookup Values'!$A:$B,2,FALSE))</f>
        <v/>
      </c>
    </row>
    <row r="439" spans="1:4" hidden="1" x14ac:dyDescent="0.35">
      <c r="A439" t="str">
        <f>IF(Table24[[#This Row],[Branch Name]]="","",(_xlfn.XLOOKUP(Table24[[#This Row],[Branch Name]],'[1]Lookup Values'!G:G,'[1]Lookup Values'!H:H,0)))</f>
        <v/>
      </c>
      <c r="B439" t="str">
        <f>IF(Table24[[#This Row],[Branch Name]]="","",(_xlfn.XLOOKUP(Table24[[#This Row],[Branch Name]],'[1]Lookup Values'!G:G,'[1]Lookup Values'!I:I,0)))</f>
        <v/>
      </c>
      <c r="C439" t="str">
        <f>IF(Table24[[#This Row],[Journal Description (Service Description)]]="","",1)</f>
        <v/>
      </c>
      <c r="D439" s="2" t="str">
        <f>IF(Table24[[#This Row],[Journal Description (Service Description)]]="","",VLOOKUP(Table24[[#This Row],[Journal Description (Service Description)]],'[1]Lookup Values'!$A:$B,2,FALSE))</f>
        <v/>
      </c>
    </row>
    <row r="440" spans="1:4" hidden="1" x14ac:dyDescent="0.35">
      <c r="A440" t="str">
        <f>IF(Table24[[#This Row],[Branch Name]]="","",(_xlfn.XLOOKUP(Table24[[#This Row],[Branch Name]],'[1]Lookup Values'!G:G,'[1]Lookup Values'!H:H,0)))</f>
        <v/>
      </c>
      <c r="B440" t="str">
        <f>IF(Table24[[#This Row],[Branch Name]]="","",(_xlfn.XLOOKUP(Table24[[#This Row],[Branch Name]],'[1]Lookup Values'!G:G,'[1]Lookup Values'!I:I,0)))</f>
        <v/>
      </c>
      <c r="C440" t="str">
        <f>IF(Table24[[#This Row],[Journal Description (Service Description)]]="","",1)</f>
        <v/>
      </c>
      <c r="D440" s="2" t="str">
        <f>IF(Table24[[#This Row],[Journal Description (Service Description)]]="","",VLOOKUP(Table24[[#This Row],[Journal Description (Service Description)]],'[1]Lookup Values'!$A:$B,2,FALSE))</f>
        <v/>
      </c>
    </row>
    <row r="441" spans="1:4" hidden="1" x14ac:dyDescent="0.35">
      <c r="A441" t="str">
        <f>IF(Table24[[#This Row],[Branch Name]]="","",(_xlfn.XLOOKUP(Table24[[#This Row],[Branch Name]],'[1]Lookup Values'!G:G,'[1]Lookup Values'!H:H,0)))</f>
        <v/>
      </c>
      <c r="B441" t="str">
        <f>IF(Table24[[#This Row],[Branch Name]]="","",(_xlfn.XLOOKUP(Table24[[#This Row],[Branch Name]],'[1]Lookup Values'!G:G,'[1]Lookup Values'!I:I,0)))</f>
        <v/>
      </c>
      <c r="C441" t="str">
        <f>IF(Table24[[#This Row],[Journal Description (Service Description)]]="","",1)</f>
        <v/>
      </c>
      <c r="D441" s="2" t="str">
        <f>IF(Table24[[#This Row],[Journal Description (Service Description)]]="","",VLOOKUP(Table24[[#This Row],[Journal Description (Service Description)]],'[1]Lookup Values'!$A:$B,2,FALSE))</f>
        <v/>
      </c>
    </row>
    <row r="442" spans="1:4" hidden="1" x14ac:dyDescent="0.35">
      <c r="A442" t="str">
        <f>IF(Table24[[#This Row],[Branch Name]]="","",(_xlfn.XLOOKUP(Table24[[#This Row],[Branch Name]],'[1]Lookup Values'!G:G,'[1]Lookup Values'!H:H,0)))</f>
        <v/>
      </c>
      <c r="B442" t="str">
        <f>IF(Table24[[#This Row],[Branch Name]]="","",(_xlfn.XLOOKUP(Table24[[#This Row],[Branch Name]],'[1]Lookup Values'!G:G,'[1]Lookup Values'!I:I,0)))</f>
        <v/>
      </c>
      <c r="C442" t="str">
        <f>IF(Table24[[#This Row],[Journal Description (Service Description)]]="","",1)</f>
        <v/>
      </c>
      <c r="D442" s="2" t="str">
        <f>IF(Table24[[#This Row],[Journal Description (Service Description)]]="","",VLOOKUP(Table24[[#This Row],[Journal Description (Service Description)]],'[1]Lookup Values'!$A:$B,2,FALSE))</f>
        <v/>
      </c>
    </row>
    <row r="443" spans="1:4" hidden="1" x14ac:dyDescent="0.35">
      <c r="A443" t="str">
        <f>IF(Table24[[#This Row],[Branch Name]]="","",(_xlfn.XLOOKUP(Table24[[#This Row],[Branch Name]],'[1]Lookup Values'!G:G,'[1]Lookup Values'!H:H,0)))</f>
        <v/>
      </c>
      <c r="B443" t="str">
        <f>IF(Table24[[#This Row],[Branch Name]]="","",(_xlfn.XLOOKUP(Table24[[#This Row],[Branch Name]],'[1]Lookup Values'!G:G,'[1]Lookup Values'!I:I,0)))</f>
        <v/>
      </c>
      <c r="C443" t="str">
        <f>IF(Table24[[#This Row],[Journal Description (Service Description)]]="","",1)</f>
        <v/>
      </c>
      <c r="D443" s="2" t="str">
        <f>IF(Table24[[#This Row],[Journal Description (Service Description)]]="","",VLOOKUP(Table24[[#This Row],[Journal Description (Service Description)]],'[1]Lookup Values'!$A:$B,2,FALSE))</f>
        <v/>
      </c>
    </row>
    <row r="444" spans="1:4" hidden="1" x14ac:dyDescent="0.35">
      <c r="A444" t="str">
        <f>IF(Table24[[#This Row],[Branch Name]]="","",(_xlfn.XLOOKUP(Table24[[#This Row],[Branch Name]],'[1]Lookup Values'!G:G,'[1]Lookup Values'!H:H,0)))</f>
        <v/>
      </c>
      <c r="B444" t="str">
        <f>IF(Table24[[#This Row],[Branch Name]]="","",(_xlfn.XLOOKUP(Table24[[#This Row],[Branch Name]],'[1]Lookup Values'!G:G,'[1]Lookup Values'!I:I,0)))</f>
        <v/>
      </c>
      <c r="C444" t="str">
        <f>IF(Table24[[#This Row],[Journal Description (Service Description)]]="","",1)</f>
        <v/>
      </c>
      <c r="D444" s="2" t="str">
        <f>IF(Table24[[#This Row],[Journal Description (Service Description)]]="","",VLOOKUP(Table24[[#This Row],[Journal Description (Service Description)]],'[1]Lookup Values'!$A:$B,2,FALSE))</f>
        <v/>
      </c>
    </row>
    <row r="445" spans="1:4" hidden="1" x14ac:dyDescent="0.35">
      <c r="A445" t="str">
        <f>IF(Table24[[#This Row],[Branch Name]]="","",(_xlfn.XLOOKUP(Table24[[#This Row],[Branch Name]],'[1]Lookup Values'!G:G,'[1]Lookup Values'!H:H,0)))</f>
        <v/>
      </c>
      <c r="B445" t="str">
        <f>IF(Table24[[#This Row],[Branch Name]]="","",(_xlfn.XLOOKUP(Table24[[#This Row],[Branch Name]],'[1]Lookup Values'!G:G,'[1]Lookup Values'!I:I,0)))</f>
        <v/>
      </c>
      <c r="C445" t="str">
        <f>IF(Table24[[#This Row],[Journal Description (Service Description)]]="","",1)</f>
        <v/>
      </c>
      <c r="D445" s="2" t="str">
        <f>IF(Table24[[#This Row],[Journal Description (Service Description)]]="","",VLOOKUP(Table24[[#This Row],[Journal Description (Service Description)]],'[1]Lookup Values'!$A:$B,2,FALSE))</f>
        <v/>
      </c>
    </row>
    <row r="446" spans="1:4" hidden="1" x14ac:dyDescent="0.35">
      <c r="A446" t="str">
        <f>IF(Table24[[#This Row],[Branch Name]]="","",(_xlfn.XLOOKUP(Table24[[#This Row],[Branch Name]],'[1]Lookup Values'!G:G,'[1]Lookup Values'!H:H,0)))</f>
        <v/>
      </c>
      <c r="B446" t="str">
        <f>IF(Table24[[#This Row],[Branch Name]]="","",(_xlfn.XLOOKUP(Table24[[#This Row],[Branch Name]],'[1]Lookup Values'!G:G,'[1]Lookup Values'!I:I,0)))</f>
        <v/>
      </c>
      <c r="C446" t="str">
        <f>IF(Table24[[#This Row],[Journal Description (Service Description)]]="","",1)</f>
        <v/>
      </c>
      <c r="D446" s="2" t="str">
        <f>IF(Table24[[#This Row],[Journal Description (Service Description)]]="","",VLOOKUP(Table24[[#This Row],[Journal Description (Service Description)]],'[1]Lookup Values'!$A:$B,2,FALSE))</f>
        <v/>
      </c>
    </row>
    <row r="447" spans="1:4" hidden="1" x14ac:dyDescent="0.35">
      <c r="A447" t="str">
        <f>IF(Table24[[#This Row],[Branch Name]]="","",(_xlfn.XLOOKUP(Table24[[#This Row],[Branch Name]],'[1]Lookup Values'!G:G,'[1]Lookup Values'!H:H,0)))</f>
        <v/>
      </c>
      <c r="B447" t="str">
        <f>IF(Table24[[#This Row],[Branch Name]]="","",(_xlfn.XLOOKUP(Table24[[#This Row],[Branch Name]],'[1]Lookup Values'!G:G,'[1]Lookup Values'!I:I,0)))</f>
        <v/>
      </c>
      <c r="C447" t="str">
        <f>IF(Table24[[#This Row],[Journal Description (Service Description)]]="","",1)</f>
        <v/>
      </c>
      <c r="D447" s="2" t="str">
        <f>IF(Table24[[#This Row],[Journal Description (Service Description)]]="","",VLOOKUP(Table24[[#This Row],[Journal Description (Service Description)]],'[1]Lookup Values'!$A:$B,2,FALSE))</f>
        <v/>
      </c>
    </row>
    <row r="448" spans="1:4" hidden="1" x14ac:dyDescent="0.35">
      <c r="A448" t="str">
        <f>IF(Table24[[#This Row],[Branch Name]]="","",(_xlfn.XLOOKUP(Table24[[#This Row],[Branch Name]],'[1]Lookup Values'!G:G,'[1]Lookup Values'!H:H,0)))</f>
        <v/>
      </c>
      <c r="B448" t="str">
        <f>IF(Table24[[#This Row],[Branch Name]]="","",(_xlfn.XLOOKUP(Table24[[#This Row],[Branch Name]],'[1]Lookup Values'!G:G,'[1]Lookup Values'!I:I,0)))</f>
        <v/>
      </c>
      <c r="C448" t="str">
        <f>IF(Table24[[#This Row],[Journal Description (Service Description)]]="","",1)</f>
        <v/>
      </c>
      <c r="D448" s="2" t="str">
        <f>IF(Table24[[#This Row],[Journal Description (Service Description)]]="","",VLOOKUP(Table24[[#This Row],[Journal Description (Service Description)]],'[1]Lookup Values'!$A:$B,2,FALSE))</f>
        <v/>
      </c>
    </row>
    <row r="449" spans="1:4" hidden="1" x14ac:dyDescent="0.35">
      <c r="A449" t="str">
        <f>IF(Table24[[#This Row],[Branch Name]]="","",(_xlfn.XLOOKUP(Table24[[#This Row],[Branch Name]],'[1]Lookup Values'!G:G,'[1]Lookup Values'!H:H,0)))</f>
        <v/>
      </c>
      <c r="B449" t="str">
        <f>IF(Table24[[#This Row],[Branch Name]]="","",(_xlfn.XLOOKUP(Table24[[#This Row],[Branch Name]],'[1]Lookup Values'!G:G,'[1]Lookup Values'!I:I,0)))</f>
        <v/>
      </c>
      <c r="C449" t="str">
        <f>IF(Table24[[#This Row],[Journal Description (Service Description)]]="","",1)</f>
        <v/>
      </c>
      <c r="D449" s="2" t="str">
        <f>IF(Table24[[#This Row],[Journal Description (Service Description)]]="","",VLOOKUP(Table24[[#This Row],[Journal Description (Service Description)]],'[1]Lookup Values'!$A:$B,2,FALSE))</f>
        <v/>
      </c>
    </row>
    <row r="450" spans="1:4" hidden="1" x14ac:dyDescent="0.35">
      <c r="A450" t="str">
        <f>IF(Table24[[#This Row],[Branch Name]]="","",(_xlfn.XLOOKUP(Table24[[#This Row],[Branch Name]],'[1]Lookup Values'!G:G,'[1]Lookup Values'!H:H,0)))</f>
        <v/>
      </c>
      <c r="B450" t="str">
        <f>IF(Table24[[#This Row],[Branch Name]]="","",(_xlfn.XLOOKUP(Table24[[#This Row],[Branch Name]],'[1]Lookup Values'!G:G,'[1]Lookup Values'!I:I,0)))</f>
        <v/>
      </c>
      <c r="C450" t="str">
        <f>IF(Table24[[#This Row],[Journal Description (Service Description)]]="","",1)</f>
        <v/>
      </c>
      <c r="D450" s="2" t="str">
        <f>IF(Table24[[#This Row],[Journal Description (Service Description)]]="","",VLOOKUP(Table24[[#This Row],[Journal Description (Service Description)]],'[1]Lookup Values'!$A:$B,2,FALSE))</f>
        <v/>
      </c>
    </row>
    <row r="451" spans="1:4" hidden="1" x14ac:dyDescent="0.35">
      <c r="A451" t="str">
        <f>IF(Table24[[#This Row],[Branch Name]]="","",(_xlfn.XLOOKUP(Table24[[#This Row],[Branch Name]],'[1]Lookup Values'!G:G,'[1]Lookup Values'!H:H,0)))</f>
        <v/>
      </c>
      <c r="B451" t="str">
        <f>IF(Table24[[#This Row],[Branch Name]]="","",(_xlfn.XLOOKUP(Table24[[#This Row],[Branch Name]],'[1]Lookup Values'!G:G,'[1]Lookup Values'!I:I,0)))</f>
        <v/>
      </c>
      <c r="C451" t="str">
        <f>IF(Table24[[#This Row],[Journal Description (Service Description)]]="","",1)</f>
        <v/>
      </c>
      <c r="D451" s="2" t="str">
        <f>IF(Table24[[#This Row],[Journal Description (Service Description)]]="","",VLOOKUP(Table24[[#This Row],[Journal Description (Service Description)]],'[1]Lookup Values'!$A:$B,2,FALSE))</f>
        <v/>
      </c>
    </row>
    <row r="452" spans="1:4" hidden="1" x14ac:dyDescent="0.35">
      <c r="A452" t="str">
        <f>IF(Table24[[#This Row],[Branch Name]]="","",(_xlfn.XLOOKUP(Table24[[#This Row],[Branch Name]],'[1]Lookup Values'!G:G,'[1]Lookup Values'!H:H,0)))</f>
        <v/>
      </c>
      <c r="B452" t="str">
        <f>IF(Table24[[#This Row],[Branch Name]]="","",(_xlfn.XLOOKUP(Table24[[#This Row],[Branch Name]],'[1]Lookup Values'!G:G,'[1]Lookup Values'!I:I,0)))</f>
        <v/>
      </c>
      <c r="C452" t="str">
        <f>IF(Table24[[#This Row],[Journal Description (Service Description)]]="","",1)</f>
        <v/>
      </c>
      <c r="D452" s="2" t="str">
        <f>IF(Table24[[#This Row],[Journal Description (Service Description)]]="","",VLOOKUP(Table24[[#This Row],[Journal Description (Service Description)]],'[1]Lookup Values'!$A:$B,2,FALSE))</f>
        <v/>
      </c>
    </row>
    <row r="453" spans="1:4" hidden="1" x14ac:dyDescent="0.35">
      <c r="A453" t="str">
        <f>IF(Table24[[#This Row],[Branch Name]]="","",(_xlfn.XLOOKUP(Table24[[#This Row],[Branch Name]],'[1]Lookup Values'!G:G,'[1]Lookup Values'!H:H,0)))</f>
        <v/>
      </c>
      <c r="B453" t="str">
        <f>IF(Table24[[#This Row],[Branch Name]]="","",(_xlfn.XLOOKUP(Table24[[#This Row],[Branch Name]],'[1]Lookup Values'!G:G,'[1]Lookup Values'!I:I,0)))</f>
        <v/>
      </c>
      <c r="C453" t="str">
        <f>IF(Table24[[#This Row],[Journal Description (Service Description)]]="","",1)</f>
        <v/>
      </c>
      <c r="D453" s="2" t="str">
        <f>IF(Table24[[#This Row],[Journal Description (Service Description)]]="","",VLOOKUP(Table24[[#This Row],[Journal Description (Service Description)]],'[1]Lookup Values'!$A:$B,2,FALSE))</f>
        <v/>
      </c>
    </row>
    <row r="454" spans="1:4" hidden="1" x14ac:dyDescent="0.35">
      <c r="A454" t="str">
        <f>IF(Table24[[#This Row],[Branch Name]]="","",(_xlfn.XLOOKUP(Table24[[#This Row],[Branch Name]],'[1]Lookup Values'!G:G,'[1]Lookup Values'!H:H,0)))</f>
        <v/>
      </c>
      <c r="B454" t="str">
        <f>IF(Table24[[#This Row],[Branch Name]]="","",(_xlfn.XLOOKUP(Table24[[#This Row],[Branch Name]],'[1]Lookup Values'!G:G,'[1]Lookup Values'!I:I,0)))</f>
        <v/>
      </c>
      <c r="C454" t="str">
        <f>IF(Table24[[#This Row],[Journal Description (Service Description)]]="","",1)</f>
        <v/>
      </c>
      <c r="D454" s="2" t="str">
        <f>IF(Table24[[#This Row],[Journal Description (Service Description)]]="","",VLOOKUP(Table24[[#This Row],[Journal Description (Service Description)]],'[1]Lookup Values'!$A:$B,2,FALSE))</f>
        <v/>
      </c>
    </row>
    <row r="455" spans="1:4" hidden="1" x14ac:dyDescent="0.35">
      <c r="A455" t="str">
        <f>IF(Table24[[#This Row],[Branch Name]]="","",(_xlfn.XLOOKUP(Table24[[#This Row],[Branch Name]],'[1]Lookup Values'!G:G,'[1]Lookup Values'!H:H,0)))</f>
        <v/>
      </c>
      <c r="B455" t="str">
        <f>IF(Table24[[#This Row],[Branch Name]]="","",(_xlfn.XLOOKUP(Table24[[#This Row],[Branch Name]],'[1]Lookup Values'!G:G,'[1]Lookup Values'!I:I,0)))</f>
        <v/>
      </c>
      <c r="C455" t="str">
        <f>IF(Table24[[#This Row],[Journal Description (Service Description)]]="","",1)</f>
        <v/>
      </c>
      <c r="D455" s="2" t="str">
        <f>IF(Table24[[#This Row],[Journal Description (Service Description)]]="","",VLOOKUP(Table24[[#This Row],[Journal Description (Service Description)]],'[1]Lookup Values'!$A:$B,2,FALSE))</f>
        <v/>
      </c>
    </row>
    <row r="456" spans="1:4" hidden="1" x14ac:dyDescent="0.35">
      <c r="A456" t="str">
        <f>IF(Table24[[#This Row],[Branch Name]]="","",(_xlfn.XLOOKUP(Table24[[#This Row],[Branch Name]],'[1]Lookup Values'!G:G,'[1]Lookup Values'!H:H,0)))</f>
        <v/>
      </c>
      <c r="B456" t="str">
        <f>IF(Table24[[#This Row],[Branch Name]]="","",(_xlfn.XLOOKUP(Table24[[#This Row],[Branch Name]],'[1]Lookup Values'!G:G,'[1]Lookup Values'!I:I,0)))</f>
        <v/>
      </c>
      <c r="C456" t="str">
        <f>IF(Table24[[#This Row],[Journal Description (Service Description)]]="","",1)</f>
        <v/>
      </c>
      <c r="D456" s="2" t="str">
        <f>IF(Table24[[#This Row],[Journal Description (Service Description)]]="","",VLOOKUP(Table24[[#This Row],[Journal Description (Service Description)]],'[1]Lookup Values'!$A:$B,2,FALSE))</f>
        <v/>
      </c>
    </row>
    <row r="457" spans="1:4" hidden="1" x14ac:dyDescent="0.35">
      <c r="A457" t="str">
        <f>IF(Table24[[#This Row],[Branch Name]]="","",(_xlfn.XLOOKUP(Table24[[#This Row],[Branch Name]],'[1]Lookup Values'!G:G,'[1]Lookup Values'!H:H,0)))</f>
        <v/>
      </c>
      <c r="B457" t="str">
        <f>IF(Table24[[#This Row],[Branch Name]]="","",(_xlfn.XLOOKUP(Table24[[#This Row],[Branch Name]],'[1]Lookup Values'!G:G,'[1]Lookup Values'!I:I,0)))</f>
        <v/>
      </c>
      <c r="C457" t="str">
        <f>IF(Table24[[#This Row],[Journal Description (Service Description)]]="","",1)</f>
        <v/>
      </c>
      <c r="D457" s="2" t="str">
        <f>IF(Table24[[#This Row],[Journal Description (Service Description)]]="","",VLOOKUP(Table24[[#This Row],[Journal Description (Service Description)]],'[1]Lookup Values'!$A:$B,2,FALSE))</f>
        <v/>
      </c>
    </row>
    <row r="458" spans="1:4" hidden="1" x14ac:dyDescent="0.35">
      <c r="A458" t="str">
        <f>IF(Table24[[#This Row],[Branch Name]]="","",(_xlfn.XLOOKUP(Table24[[#This Row],[Branch Name]],'[1]Lookup Values'!G:G,'[1]Lookup Values'!H:H,0)))</f>
        <v/>
      </c>
      <c r="B458" t="str">
        <f>IF(Table24[[#This Row],[Branch Name]]="","",(_xlfn.XLOOKUP(Table24[[#This Row],[Branch Name]],'[1]Lookup Values'!G:G,'[1]Lookup Values'!I:I,0)))</f>
        <v/>
      </c>
      <c r="C458" t="str">
        <f>IF(Table24[[#This Row],[Journal Description (Service Description)]]="","",1)</f>
        <v/>
      </c>
      <c r="D458" s="2" t="str">
        <f>IF(Table24[[#This Row],[Journal Description (Service Description)]]="","",VLOOKUP(Table24[[#This Row],[Journal Description (Service Description)]],'[1]Lookup Values'!$A:$B,2,FALSE))</f>
        <v/>
      </c>
    </row>
    <row r="459" spans="1:4" hidden="1" x14ac:dyDescent="0.35">
      <c r="A459" t="str">
        <f>IF(Table24[[#This Row],[Branch Name]]="","",(_xlfn.XLOOKUP(Table24[[#This Row],[Branch Name]],'[1]Lookup Values'!G:G,'[1]Lookup Values'!H:H,0)))</f>
        <v/>
      </c>
      <c r="B459" t="str">
        <f>IF(Table24[[#This Row],[Branch Name]]="","",(_xlfn.XLOOKUP(Table24[[#This Row],[Branch Name]],'[1]Lookup Values'!G:G,'[1]Lookup Values'!I:I,0)))</f>
        <v/>
      </c>
      <c r="C459" t="str">
        <f>IF(Table24[[#This Row],[Journal Description (Service Description)]]="","",1)</f>
        <v/>
      </c>
      <c r="D459" s="2" t="str">
        <f>IF(Table24[[#This Row],[Journal Description (Service Description)]]="","",VLOOKUP(Table24[[#This Row],[Journal Description (Service Description)]],'[1]Lookup Values'!$A:$B,2,FALSE))</f>
        <v/>
      </c>
    </row>
    <row r="460" spans="1:4" hidden="1" x14ac:dyDescent="0.35">
      <c r="A460" t="str">
        <f>IF(Table24[[#This Row],[Branch Name]]="","",(_xlfn.XLOOKUP(Table24[[#This Row],[Branch Name]],'[1]Lookup Values'!G:G,'[1]Lookup Values'!H:H,0)))</f>
        <v/>
      </c>
      <c r="B460" t="str">
        <f>IF(Table24[[#This Row],[Branch Name]]="","",(_xlfn.XLOOKUP(Table24[[#This Row],[Branch Name]],'[1]Lookup Values'!G:G,'[1]Lookup Values'!I:I,0)))</f>
        <v/>
      </c>
      <c r="C460" t="str">
        <f>IF(Table24[[#This Row],[Journal Description (Service Description)]]="","",1)</f>
        <v/>
      </c>
      <c r="D460" s="2" t="str">
        <f>IF(Table24[[#This Row],[Journal Description (Service Description)]]="","",VLOOKUP(Table24[[#This Row],[Journal Description (Service Description)]],'[1]Lookup Values'!$A:$B,2,FALSE))</f>
        <v/>
      </c>
    </row>
    <row r="461" spans="1:4" hidden="1" x14ac:dyDescent="0.35">
      <c r="A461" t="str">
        <f>IF(Table24[[#This Row],[Branch Name]]="","",(_xlfn.XLOOKUP(Table24[[#This Row],[Branch Name]],'[1]Lookup Values'!G:G,'[1]Lookup Values'!H:H,0)))</f>
        <v/>
      </c>
      <c r="B461" t="str">
        <f>IF(Table24[[#This Row],[Branch Name]]="","",(_xlfn.XLOOKUP(Table24[[#This Row],[Branch Name]],'[1]Lookup Values'!G:G,'[1]Lookup Values'!I:I,0)))</f>
        <v/>
      </c>
      <c r="C461" t="str">
        <f>IF(Table24[[#This Row],[Journal Description (Service Description)]]="","",1)</f>
        <v/>
      </c>
      <c r="D461" s="2" t="str">
        <f>IF(Table24[[#This Row],[Journal Description (Service Description)]]="","",VLOOKUP(Table24[[#This Row],[Journal Description (Service Description)]],'[1]Lookup Values'!$A:$B,2,FALSE))</f>
        <v/>
      </c>
    </row>
    <row r="462" spans="1:4" hidden="1" x14ac:dyDescent="0.35">
      <c r="A462" t="str">
        <f>IF(Table24[[#This Row],[Branch Name]]="","",(_xlfn.XLOOKUP(Table24[[#This Row],[Branch Name]],'[1]Lookup Values'!G:G,'[1]Lookup Values'!H:H,0)))</f>
        <v/>
      </c>
      <c r="B462" t="str">
        <f>IF(Table24[[#This Row],[Branch Name]]="","",(_xlfn.XLOOKUP(Table24[[#This Row],[Branch Name]],'[1]Lookup Values'!G:G,'[1]Lookup Values'!I:I,0)))</f>
        <v/>
      </c>
      <c r="C462" t="str">
        <f>IF(Table24[[#This Row],[Journal Description (Service Description)]]="","",1)</f>
        <v/>
      </c>
      <c r="D462" s="2" t="str">
        <f>IF(Table24[[#This Row],[Journal Description (Service Description)]]="","",VLOOKUP(Table24[[#This Row],[Journal Description (Service Description)]],'[1]Lookup Values'!$A:$B,2,FALSE))</f>
        <v/>
      </c>
    </row>
    <row r="463" spans="1:4" hidden="1" x14ac:dyDescent="0.35">
      <c r="A463" t="str">
        <f>IF(Table24[[#This Row],[Branch Name]]="","",(_xlfn.XLOOKUP(Table24[[#This Row],[Branch Name]],'[1]Lookup Values'!G:G,'[1]Lookup Values'!H:H,0)))</f>
        <v/>
      </c>
      <c r="B463" t="str">
        <f>IF(Table24[[#This Row],[Branch Name]]="","",(_xlfn.XLOOKUP(Table24[[#This Row],[Branch Name]],'[1]Lookup Values'!G:G,'[1]Lookup Values'!I:I,0)))</f>
        <v/>
      </c>
      <c r="C463" t="str">
        <f>IF(Table24[[#This Row],[Journal Description (Service Description)]]="","",1)</f>
        <v/>
      </c>
      <c r="D463" s="2" t="str">
        <f>IF(Table24[[#This Row],[Journal Description (Service Description)]]="","",VLOOKUP(Table24[[#This Row],[Journal Description (Service Description)]],'[1]Lookup Values'!$A:$B,2,FALSE))</f>
        <v/>
      </c>
    </row>
    <row r="464" spans="1:4" hidden="1" x14ac:dyDescent="0.35">
      <c r="A464" t="str">
        <f>IF(Table24[[#This Row],[Branch Name]]="","",(_xlfn.XLOOKUP(Table24[[#This Row],[Branch Name]],'[1]Lookup Values'!G:G,'[1]Lookup Values'!H:H,0)))</f>
        <v/>
      </c>
      <c r="B464" t="str">
        <f>IF(Table24[[#This Row],[Branch Name]]="","",(_xlfn.XLOOKUP(Table24[[#This Row],[Branch Name]],'[1]Lookup Values'!G:G,'[1]Lookup Values'!I:I,0)))</f>
        <v/>
      </c>
      <c r="C464" t="str">
        <f>IF(Table24[[#This Row],[Journal Description (Service Description)]]="","",1)</f>
        <v/>
      </c>
      <c r="D464" s="2" t="str">
        <f>IF(Table24[[#This Row],[Journal Description (Service Description)]]="","",VLOOKUP(Table24[[#This Row],[Journal Description (Service Description)]],'[1]Lookup Values'!$A:$B,2,FALSE))</f>
        <v/>
      </c>
    </row>
    <row r="465" spans="1:4" hidden="1" x14ac:dyDescent="0.35">
      <c r="A465" t="str">
        <f>IF(Table24[[#This Row],[Branch Name]]="","",(_xlfn.XLOOKUP(Table24[[#This Row],[Branch Name]],'[1]Lookup Values'!G:G,'[1]Lookup Values'!H:H,0)))</f>
        <v/>
      </c>
      <c r="B465" t="str">
        <f>IF(Table24[[#This Row],[Branch Name]]="","",(_xlfn.XLOOKUP(Table24[[#This Row],[Branch Name]],'[1]Lookup Values'!G:G,'[1]Lookup Values'!I:I,0)))</f>
        <v/>
      </c>
      <c r="C465" t="str">
        <f>IF(Table24[[#This Row],[Journal Description (Service Description)]]="","",1)</f>
        <v/>
      </c>
      <c r="D465" s="2" t="str">
        <f>IF(Table24[[#This Row],[Journal Description (Service Description)]]="","",VLOOKUP(Table24[[#This Row],[Journal Description (Service Description)]],'[1]Lookup Values'!$A:$B,2,FALSE))</f>
        <v/>
      </c>
    </row>
    <row r="466" spans="1:4" hidden="1" x14ac:dyDescent="0.35">
      <c r="A466" t="str">
        <f>IF(Table24[[#This Row],[Branch Name]]="","",(_xlfn.XLOOKUP(Table24[[#This Row],[Branch Name]],'[1]Lookup Values'!G:G,'[1]Lookup Values'!H:H,0)))</f>
        <v/>
      </c>
      <c r="B466" t="str">
        <f>IF(Table24[[#This Row],[Branch Name]]="","",(_xlfn.XLOOKUP(Table24[[#This Row],[Branch Name]],'[1]Lookup Values'!G:G,'[1]Lookup Values'!I:I,0)))</f>
        <v/>
      </c>
      <c r="C466" t="str">
        <f>IF(Table24[[#This Row],[Journal Description (Service Description)]]="","",1)</f>
        <v/>
      </c>
      <c r="D466" s="2" t="str">
        <f>IF(Table24[[#This Row],[Journal Description (Service Description)]]="","",VLOOKUP(Table24[[#This Row],[Journal Description (Service Description)]],'[1]Lookup Values'!$A:$B,2,FALSE))</f>
        <v/>
      </c>
    </row>
    <row r="467" spans="1:4" hidden="1" x14ac:dyDescent="0.35">
      <c r="A467" t="str">
        <f>IF(Table24[[#This Row],[Branch Name]]="","",(_xlfn.XLOOKUP(Table24[[#This Row],[Branch Name]],'[1]Lookup Values'!G:G,'[1]Lookup Values'!H:H,0)))</f>
        <v/>
      </c>
      <c r="B467" t="str">
        <f>IF(Table24[[#This Row],[Branch Name]]="","",(_xlfn.XLOOKUP(Table24[[#This Row],[Branch Name]],'[1]Lookup Values'!G:G,'[1]Lookup Values'!I:I,0)))</f>
        <v/>
      </c>
      <c r="C467" t="str">
        <f>IF(Table24[[#This Row],[Journal Description (Service Description)]]="","",1)</f>
        <v/>
      </c>
      <c r="D467" s="2" t="str">
        <f>IF(Table24[[#This Row],[Journal Description (Service Description)]]="","",VLOOKUP(Table24[[#This Row],[Journal Description (Service Description)]],'[1]Lookup Values'!$A:$B,2,FALSE))</f>
        <v/>
      </c>
    </row>
    <row r="468" spans="1:4" hidden="1" x14ac:dyDescent="0.35">
      <c r="A468" t="str">
        <f>IF(Table24[[#This Row],[Branch Name]]="","",(_xlfn.XLOOKUP(Table24[[#This Row],[Branch Name]],'[1]Lookup Values'!G:G,'[1]Lookup Values'!H:H,0)))</f>
        <v/>
      </c>
      <c r="B468" t="str">
        <f>IF(Table24[[#This Row],[Branch Name]]="","",(_xlfn.XLOOKUP(Table24[[#This Row],[Branch Name]],'[1]Lookup Values'!G:G,'[1]Lookup Values'!I:I,0)))</f>
        <v/>
      </c>
      <c r="C468" t="str">
        <f>IF(Table24[[#This Row],[Journal Description (Service Description)]]="","",1)</f>
        <v/>
      </c>
      <c r="D468" s="2" t="str">
        <f>IF(Table24[[#This Row],[Journal Description (Service Description)]]="","",VLOOKUP(Table24[[#This Row],[Journal Description (Service Description)]],'[1]Lookup Values'!$A:$B,2,FALSE))</f>
        <v/>
      </c>
    </row>
    <row r="469" spans="1:4" hidden="1" x14ac:dyDescent="0.35">
      <c r="A469" t="str">
        <f>IF(Table24[[#This Row],[Branch Name]]="","",(_xlfn.XLOOKUP(Table24[[#This Row],[Branch Name]],'[1]Lookup Values'!G:G,'[1]Lookup Values'!H:H,0)))</f>
        <v/>
      </c>
      <c r="B469" t="str">
        <f>IF(Table24[[#This Row],[Branch Name]]="","",(_xlfn.XLOOKUP(Table24[[#This Row],[Branch Name]],'[1]Lookup Values'!G:G,'[1]Lookup Values'!I:I,0)))</f>
        <v/>
      </c>
      <c r="C469" t="str">
        <f>IF(Table24[[#This Row],[Journal Description (Service Description)]]="","",1)</f>
        <v/>
      </c>
      <c r="D469" s="2" t="str">
        <f>IF(Table24[[#This Row],[Journal Description (Service Description)]]="","",VLOOKUP(Table24[[#This Row],[Journal Description (Service Description)]],'[1]Lookup Values'!$A:$B,2,FALSE))</f>
        <v/>
      </c>
    </row>
    <row r="470" spans="1:4" hidden="1" x14ac:dyDescent="0.35">
      <c r="A470" t="str">
        <f>IF(Table24[[#This Row],[Branch Name]]="","",(_xlfn.XLOOKUP(Table24[[#This Row],[Branch Name]],'[1]Lookup Values'!G:G,'[1]Lookup Values'!H:H,0)))</f>
        <v/>
      </c>
      <c r="B470" t="str">
        <f>IF(Table24[[#This Row],[Branch Name]]="","",(_xlfn.XLOOKUP(Table24[[#This Row],[Branch Name]],'[1]Lookup Values'!G:G,'[1]Lookup Values'!I:I,0)))</f>
        <v/>
      </c>
      <c r="C470" t="str">
        <f>IF(Table24[[#This Row],[Journal Description (Service Description)]]="","",1)</f>
        <v/>
      </c>
      <c r="D470" s="2" t="str">
        <f>IF(Table24[[#This Row],[Journal Description (Service Description)]]="","",VLOOKUP(Table24[[#This Row],[Journal Description (Service Description)]],'[1]Lookup Values'!$A:$B,2,FALSE))</f>
        <v/>
      </c>
    </row>
    <row r="471" spans="1:4" hidden="1" x14ac:dyDescent="0.35">
      <c r="A471" t="str">
        <f>IF(Table24[[#This Row],[Branch Name]]="","",(_xlfn.XLOOKUP(Table24[[#This Row],[Branch Name]],'[1]Lookup Values'!G:G,'[1]Lookup Values'!H:H,0)))</f>
        <v/>
      </c>
      <c r="B471" t="str">
        <f>IF(Table24[[#This Row],[Branch Name]]="","",(_xlfn.XLOOKUP(Table24[[#This Row],[Branch Name]],'[1]Lookup Values'!G:G,'[1]Lookup Values'!I:I,0)))</f>
        <v/>
      </c>
      <c r="C471" t="str">
        <f>IF(Table24[[#This Row],[Journal Description (Service Description)]]="","",1)</f>
        <v/>
      </c>
      <c r="D471" s="2" t="str">
        <f>IF(Table24[[#This Row],[Journal Description (Service Description)]]="","",VLOOKUP(Table24[[#This Row],[Journal Description (Service Description)]],'[1]Lookup Values'!$A:$B,2,FALSE))</f>
        <v/>
      </c>
    </row>
    <row r="472" spans="1:4" hidden="1" x14ac:dyDescent="0.35">
      <c r="A472" t="str">
        <f>IF(Table24[[#This Row],[Branch Name]]="","",(_xlfn.XLOOKUP(Table24[[#This Row],[Branch Name]],'[1]Lookup Values'!G:G,'[1]Lookup Values'!H:H,0)))</f>
        <v/>
      </c>
      <c r="B472" t="str">
        <f>IF(Table24[[#This Row],[Branch Name]]="","",(_xlfn.XLOOKUP(Table24[[#This Row],[Branch Name]],'[1]Lookup Values'!G:G,'[1]Lookup Values'!I:I,0)))</f>
        <v/>
      </c>
      <c r="C472" t="str">
        <f>IF(Table24[[#This Row],[Journal Description (Service Description)]]="","",1)</f>
        <v/>
      </c>
      <c r="D472" s="2" t="str">
        <f>IF(Table24[[#This Row],[Journal Description (Service Description)]]="","",VLOOKUP(Table24[[#This Row],[Journal Description (Service Description)]],'[1]Lookup Values'!$A:$B,2,FALSE))</f>
        <v/>
      </c>
    </row>
    <row r="473" spans="1:4" hidden="1" x14ac:dyDescent="0.35">
      <c r="A473" t="str">
        <f>IF(Table24[[#This Row],[Branch Name]]="","",(_xlfn.XLOOKUP(Table24[[#This Row],[Branch Name]],'[1]Lookup Values'!G:G,'[1]Lookup Values'!H:H,0)))</f>
        <v/>
      </c>
      <c r="B473" t="str">
        <f>IF(Table24[[#This Row],[Branch Name]]="","",(_xlfn.XLOOKUP(Table24[[#This Row],[Branch Name]],'[1]Lookup Values'!G:G,'[1]Lookup Values'!I:I,0)))</f>
        <v/>
      </c>
      <c r="C473" t="str">
        <f>IF(Table24[[#This Row],[Journal Description (Service Description)]]="","",1)</f>
        <v/>
      </c>
      <c r="D473" s="2" t="str">
        <f>IF(Table24[[#This Row],[Journal Description (Service Description)]]="","",VLOOKUP(Table24[[#This Row],[Journal Description (Service Description)]],'[1]Lookup Values'!$A:$B,2,FALSE))</f>
        <v/>
      </c>
    </row>
    <row r="474" spans="1:4" hidden="1" x14ac:dyDescent="0.35">
      <c r="A474" t="str">
        <f>IF(Table24[[#This Row],[Branch Name]]="","",(_xlfn.XLOOKUP(Table24[[#This Row],[Branch Name]],'[1]Lookup Values'!G:G,'[1]Lookup Values'!H:H,0)))</f>
        <v/>
      </c>
      <c r="B474" t="str">
        <f>IF(Table24[[#This Row],[Branch Name]]="","",(_xlfn.XLOOKUP(Table24[[#This Row],[Branch Name]],'[1]Lookup Values'!G:G,'[1]Lookup Values'!I:I,0)))</f>
        <v/>
      </c>
      <c r="C474" t="str">
        <f>IF(Table24[[#This Row],[Journal Description (Service Description)]]="","",1)</f>
        <v/>
      </c>
      <c r="D474" s="2" t="str">
        <f>IF(Table24[[#This Row],[Journal Description (Service Description)]]="","",VLOOKUP(Table24[[#This Row],[Journal Description (Service Description)]],'[1]Lookup Values'!$A:$B,2,FALSE))</f>
        <v/>
      </c>
    </row>
    <row r="475" spans="1:4" hidden="1" x14ac:dyDescent="0.35">
      <c r="A475" t="str">
        <f>IF(Table24[[#This Row],[Branch Name]]="","",(_xlfn.XLOOKUP(Table24[[#This Row],[Branch Name]],'[1]Lookup Values'!G:G,'[1]Lookup Values'!H:H,0)))</f>
        <v/>
      </c>
      <c r="B475" t="str">
        <f>IF(Table24[[#This Row],[Branch Name]]="","",(_xlfn.XLOOKUP(Table24[[#This Row],[Branch Name]],'[1]Lookup Values'!G:G,'[1]Lookup Values'!I:I,0)))</f>
        <v/>
      </c>
      <c r="C475" t="str">
        <f>IF(Table24[[#This Row],[Journal Description (Service Description)]]="","",1)</f>
        <v/>
      </c>
      <c r="D475" s="2" t="str">
        <f>IF(Table24[[#This Row],[Journal Description (Service Description)]]="","",VLOOKUP(Table24[[#This Row],[Journal Description (Service Description)]],'[1]Lookup Values'!$A:$B,2,FALSE))</f>
        <v/>
      </c>
    </row>
    <row r="476" spans="1:4" hidden="1" x14ac:dyDescent="0.35">
      <c r="A476" t="str">
        <f>IF(Table24[[#This Row],[Branch Name]]="","",(_xlfn.XLOOKUP(Table24[[#This Row],[Branch Name]],'[1]Lookup Values'!G:G,'[1]Lookup Values'!H:H,0)))</f>
        <v/>
      </c>
      <c r="B476" t="str">
        <f>IF(Table24[[#This Row],[Branch Name]]="","",(_xlfn.XLOOKUP(Table24[[#This Row],[Branch Name]],'[1]Lookup Values'!G:G,'[1]Lookup Values'!I:I,0)))</f>
        <v/>
      </c>
      <c r="C476" t="str">
        <f>IF(Table24[[#This Row],[Journal Description (Service Description)]]="","",1)</f>
        <v/>
      </c>
      <c r="D476" s="2" t="str">
        <f>IF(Table24[[#This Row],[Journal Description (Service Description)]]="","",VLOOKUP(Table24[[#This Row],[Journal Description (Service Description)]],'[1]Lookup Values'!$A:$B,2,FALSE))</f>
        <v/>
      </c>
    </row>
    <row r="477" spans="1:4" hidden="1" x14ac:dyDescent="0.35">
      <c r="A477" t="str">
        <f>IF(Table24[[#This Row],[Branch Name]]="","",(_xlfn.XLOOKUP(Table24[[#This Row],[Branch Name]],'[1]Lookup Values'!G:G,'[1]Lookup Values'!H:H,0)))</f>
        <v/>
      </c>
      <c r="B477" t="str">
        <f>IF(Table24[[#This Row],[Branch Name]]="","",(_xlfn.XLOOKUP(Table24[[#This Row],[Branch Name]],'[1]Lookup Values'!G:G,'[1]Lookup Values'!I:I,0)))</f>
        <v/>
      </c>
      <c r="C477" t="str">
        <f>IF(Table24[[#This Row],[Journal Description (Service Description)]]="","",1)</f>
        <v/>
      </c>
      <c r="D477" s="2" t="str">
        <f>IF(Table24[[#This Row],[Journal Description (Service Description)]]="","",VLOOKUP(Table24[[#This Row],[Journal Description (Service Description)]],'[1]Lookup Values'!$A:$B,2,FALSE))</f>
        <v/>
      </c>
    </row>
    <row r="478" spans="1:4" hidden="1" x14ac:dyDescent="0.35">
      <c r="A478" t="str">
        <f>IF(Table24[[#This Row],[Branch Name]]="","",(_xlfn.XLOOKUP(Table24[[#This Row],[Branch Name]],'[1]Lookup Values'!G:G,'[1]Lookup Values'!H:H,0)))</f>
        <v/>
      </c>
      <c r="B478" t="str">
        <f>IF(Table24[[#This Row],[Branch Name]]="","",(_xlfn.XLOOKUP(Table24[[#This Row],[Branch Name]],'[1]Lookup Values'!G:G,'[1]Lookup Values'!I:I,0)))</f>
        <v/>
      </c>
      <c r="C478" t="str">
        <f>IF(Table24[[#This Row],[Journal Description (Service Description)]]="","",1)</f>
        <v/>
      </c>
      <c r="D478" s="2" t="str">
        <f>IF(Table24[[#This Row],[Journal Description (Service Description)]]="","",VLOOKUP(Table24[[#This Row],[Journal Description (Service Description)]],'[1]Lookup Values'!$A:$B,2,FALSE))</f>
        <v/>
      </c>
    </row>
    <row r="479" spans="1:4" hidden="1" x14ac:dyDescent="0.35">
      <c r="A479" t="str">
        <f>IF(Table24[[#This Row],[Branch Name]]="","",(_xlfn.XLOOKUP(Table24[[#This Row],[Branch Name]],'[1]Lookup Values'!G:G,'[1]Lookup Values'!H:H,0)))</f>
        <v/>
      </c>
      <c r="B479" t="str">
        <f>IF(Table24[[#This Row],[Branch Name]]="","",(_xlfn.XLOOKUP(Table24[[#This Row],[Branch Name]],'[1]Lookup Values'!G:G,'[1]Lookup Values'!I:I,0)))</f>
        <v/>
      </c>
      <c r="C479" t="str">
        <f>IF(Table24[[#This Row],[Journal Description (Service Description)]]="","",1)</f>
        <v/>
      </c>
      <c r="D479" s="2" t="str">
        <f>IF(Table24[[#This Row],[Journal Description (Service Description)]]="","",VLOOKUP(Table24[[#This Row],[Journal Description (Service Description)]],'[1]Lookup Values'!$A:$B,2,FALSE))</f>
        <v/>
      </c>
    </row>
    <row r="480" spans="1:4" hidden="1" x14ac:dyDescent="0.35">
      <c r="A480" t="str">
        <f>IF(Table24[[#This Row],[Branch Name]]="","",(_xlfn.XLOOKUP(Table24[[#This Row],[Branch Name]],'[1]Lookup Values'!G:G,'[1]Lookup Values'!H:H,0)))</f>
        <v/>
      </c>
      <c r="B480" t="str">
        <f>IF(Table24[[#This Row],[Branch Name]]="","",(_xlfn.XLOOKUP(Table24[[#This Row],[Branch Name]],'[1]Lookup Values'!G:G,'[1]Lookup Values'!I:I,0)))</f>
        <v/>
      </c>
      <c r="C480" t="str">
        <f>IF(Table24[[#This Row],[Journal Description (Service Description)]]="","",1)</f>
        <v/>
      </c>
      <c r="D480" s="2" t="str">
        <f>IF(Table24[[#This Row],[Journal Description (Service Description)]]="","",VLOOKUP(Table24[[#This Row],[Journal Description (Service Description)]],'[1]Lookup Values'!$A:$B,2,FALSE))</f>
        <v/>
      </c>
    </row>
    <row r="481" spans="1:4" hidden="1" x14ac:dyDescent="0.35">
      <c r="A481" t="str">
        <f>IF(Table24[[#This Row],[Branch Name]]="","",(_xlfn.XLOOKUP(Table24[[#This Row],[Branch Name]],'[1]Lookup Values'!G:G,'[1]Lookup Values'!H:H,0)))</f>
        <v/>
      </c>
      <c r="B481" t="str">
        <f>IF(Table24[[#This Row],[Branch Name]]="","",(_xlfn.XLOOKUP(Table24[[#This Row],[Branch Name]],'[1]Lookup Values'!G:G,'[1]Lookup Values'!I:I,0)))</f>
        <v/>
      </c>
      <c r="C481" t="str">
        <f>IF(Table24[[#This Row],[Journal Description (Service Description)]]="","",1)</f>
        <v/>
      </c>
      <c r="D481" s="2" t="str">
        <f>IF(Table24[[#This Row],[Journal Description (Service Description)]]="","",VLOOKUP(Table24[[#This Row],[Journal Description (Service Description)]],'[1]Lookup Values'!$A:$B,2,FALSE))</f>
        <v/>
      </c>
    </row>
    <row r="482" spans="1:4" hidden="1" x14ac:dyDescent="0.35">
      <c r="A482" t="str">
        <f>IF(Table24[[#This Row],[Branch Name]]="","",(_xlfn.XLOOKUP(Table24[[#This Row],[Branch Name]],'[1]Lookup Values'!G:G,'[1]Lookup Values'!H:H,0)))</f>
        <v/>
      </c>
      <c r="B482" t="str">
        <f>IF(Table24[[#This Row],[Branch Name]]="","",(_xlfn.XLOOKUP(Table24[[#This Row],[Branch Name]],'[1]Lookup Values'!G:G,'[1]Lookup Values'!I:I,0)))</f>
        <v/>
      </c>
      <c r="C482" t="str">
        <f>IF(Table24[[#This Row],[Journal Description (Service Description)]]="","",1)</f>
        <v/>
      </c>
      <c r="D482" s="2" t="str">
        <f>IF(Table24[[#This Row],[Journal Description (Service Description)]]="","",VLOOKUP(Table24[[#This Row],[Journal Description (Service Description)]],'[1]Lookup Values'!$A:$B,2,FALSE))</f>
        <v/>
      </c>
    </row>
    <row r="483" spans="1:4" hidden="1" x14ac:dyDescent="0.35">
      <c r="A483" t="str">
        <f>IF(Table24[[#This Row],[Branch Name]]="","",(_xlfn.XLOOKUP(Table24[[#This Row],[Branch Name]],'[1]Lookup Values'!G:G,'[1]Lookup Values'!H:H,0)))</f>
        <v/>
      </c>
      <c r="B483" t="str">
        <f>IF(Table24[[#This Row],[Branch Name]]="","",(_xlfn.XLOOKUP(Table24[[#This Row],[Branch Name]],'[1]Lookup Values'!G:G,'[1]Lookup Values'!I:I,0)))</f>
        <v/>
      </c>
      <c r="C483" t="str">
        <f>IF(Table24[[#This Row],[Journal Description (Service Description)]]="","",1)</f>
        <v/>
      </c>
      <c r="D483" s="2" t="str">
        <f>IF(Table24[[#This Row],[Journal Description (Service Description)]]="","",VLOOKUP(Table24[[#This Row],[Journal Description (Service Description)]],'[1]Lookup Values'!$A:$B,2,FALSE))</f>
        <v/>
      </c>
    </row>
    <row r="484" spans="1:4" hidden="1" x14ac:dyDescent="0.35">
      <c r="A484" t="str">
        <f>IF(Table24[[#This Row],[Branch Name]]="","",(_xlfn.XLOOKUP(Table24[[#This Row],[Branch Name]],'[1]Lookup Values'!G:G,'[1]Lookup Values'!H:H,0)))</f>
        <v/>
      </c>
      <c r="B484" t="str">
        <f>IF(Table24[[#This Row],[Branch Name]]="","",(_xlfn.XLOOKUP(Table24[[#This Row],[Branch Name]],'[1]Lookup Values'!G:G,'[1]Lookup Values'!I:I,0)))</f>
        <v/>
      </c>
      <c r="C484" t="str">
        <f>IF(Table24[[#This Row],[Journal Description (Service Description)]]="","",1)</f>
        <v/>
      </c>
      <c r="D484" s="2" t="str">
        <f>IF(Table24[[#This Row],[Journal Description (Service Description)]]="","",VLOOKUP(Table24[[#This Row],[Journal Description (Service Description)]],'[1]Lookup Values'!$A:$B,2,FALSE))</f>
        <v/>
      </c>
    </row>
    <row r="485" spans="1:4" hidden="1" x14ac:dyDescent="0.35">
      <c r="A485" t="str">
        <f>IF(Table24[[#This Row],[Branch Name]]="","",(_xlfn.XLOOKUP(Table24[[#This Row],[Branch Name]],'[1]Lookup Values'!G:G,'[1]Lookup Values'!H:H,0)))</f>
        <v/>
      </c>
      <c r="B485" t="str">
        <f>IF(Table24[[#This Row],[Branch Name]]="","",(_xlfn.XLOOKUP(Table24[[#This Row],[Branch Name]],'[1]Lookup Values'!G:G,'[1]Lookup Values'!I:I,0)))</f>
        <v/>
      </c>
      <c r="C485" t="str">
        <f>IF(Table24[[#This Row],[Journal Description (Service Description)]]="","",1)</f>
        <v/>
      </c>
      <c r="D485" s="2" t="str">
        <f>IF(Table24[[#This Row],[Journal Description (Service Description)]]="","",VLOOKUP(Table24[[#This Row],[Journal Description (Service Description)]],'[1]Lookup Values'!$A:$B,2,FALSE))</f>
        <v/>
      </c>
    </row>
    <row r="486" spans="1:4" hidden="1" x14ac:dyDescent="0.35">
      <c r="A486" t="str">
        <f>IF(Table24[[#This Row],[Branch Name]]="","",(_xlfn.XLOOKUP(Table24[[#This Row],[Branch Name]],'[1]Lookup Values'!G:G,'[1]Lookup Values'!H:H,0)))</f>
        <v/>
      </c>
      <c r="B486" t="str">
        <f>IF(Table24[[#This Row],[Branch Name]]="","",(_xlfn.XLOOKUP(Table24[[#This Row],[Branch Name]],'[1]Lookup Values'!G:G,'[1]Lookup Values'!I:I,0)))</f>
        <v/>
      </c>
      <c r="C486" t="str">
        <f>IF(Table24[[#This Row],[Journal Description (Service Description)]]="","",1)</f>
        <v/>
      </c>
      <c r="D486" s="2" t="str">
        <f>IF(Table24[[#This Row],[Journal Description (Service Description)]]="","",VLOOKUP(Table24[[#This Row],[Journal Description (Service Description)]],'[1]Lookup Values'!$A:$B,2,FALSE))</f>
        <v/>
      </c>
    </row>
    <row r="487" spans="1:4" hidden="1" x14ac:dyDescent="0.35">
      <c r="A487" t="str">
        <f>IF(Table24[[#This Row],[Branch Name]]="","",(_xlfn.XLOOKUP(Table24[[#This Row],[Branch Name]],'[1]Lookup Values'!G:G,'[1]Lookup Values'!H:H,0)))</f>
        <v/>
      </c>
      <c r="B487" t="str">
        <f>IF(Table24[[#This Row],[Branch Name]]="","",(_xlfn.XLOOKUP(Table24[[#This Row],[Branch Name]],'[1]Lookup Values'!G:G,'[1]Lookup Values'!I:I,0)))</f>
        <v/>
      </c>
      <c r="C487" t="str">
        <f>IF(Table24[[#This Row],[Journal Description (Service Description)]]="","",1)</f>
        <v/>
      </c>
      <c r="D487" s="2" t="str">
        <f>IF(Table24[[#This Row],[Journal Description (Service Description)]]="","",VLOOKUP(Table24[[#This Row],[Journal Description (Service Description)]],'[1]Lookup Values'!$A:$B,2,FALSE))</f>
        <v/>
      </c>
    </row>
    <row r="488" spans="1:4" hidden="1" x14ac:dyDescent="0.35">
      <c r="A488" t="str">
        <f>IF(Table24[[#This Row],[Branch Name]]="","",(_xlfn.XLOOKUP(Table24[[#This Row],[Branch Name]],'[1]Lookup Values'!G:G,'[1]Lookup Values'!H:H,0)))</f>
        <v/>
      </c>
      <c r="B488" t="str">
        <f>IF(Table24[[#This Row],[Branch Name]]="","",(_xlfn.XLOOKUP(Table24[[#This Row],[Branch Name]],'[1]Lookup Values'!G:G,'[1]Lookup Values'!I:I,0)))</f>
        <v/>
      </c>
      <c r="C488" t="str">
        <f>IF(Table24[[#This Row],[Journal Description (Service Description)]]="","",1)</f>
        <v/>
      </c>
      <c r="D488" s="2" t="str">
        <f>IF(Table24[[#This Row],[Journal Description (Service Description)]]="","",VLOOKUP(Table24[[#This Row],[Journal Description (Service Description)]],'[1]Lookup Values'!$A:$B,2,FALSE))</f>
        <v/>
      </c>
    </row>
    <row r="489" spans="1:4" hidden="1" x14ac:dyDescent="0.35">
      <c r="A489" t="str">
        <f>IF(Table24[[#This Row],[Branch Name]]="","",(_xlfn.XLOOKUP(Table24[[#This Row],[Branch Name]],'[1]Lookup Values'!G:G,'[1]Lookup Values'!H:H,0)))</f>
        <v/>
      </c>
      <c r="B489" t="str">
        <f>IF(Table24[[#This Row],[Branch Name]]="","",(_xlfn.XLOOKUP(Table24[[#This Row],[Branch Name]],'[1]Lookup Values'!G:G,'[1]Lookup Values'!I:I,0)))</f>
        <v/>
      </c>
      <c r="C489" t="str">
        <f>IF(Table24[[#This Row],[Journal Description (Service Description)]]="","",1)</f>
        <v/>
      </c>
      <c r="D489" s="2" t="str">
        <f>IF(Table24[[#This Row],[Journal Description (Service Description)]]="","",VLOOKUP(Table24[[#This Row],[Journal Description (Service Description)]],'[1]Lookup Values'!$A:$B,2,FALSE))</f>
        <v/>
      </c>
    </row>
    <row r="490" spans="1:4" hidden="1" x14ac:dyDescent="0.35">
      <c r="A490" t="str">
        <f>IF(Table24[[#This Row],[Branch Name]]="","",(_xlfn.XLOOKUP(Table24[[#This Row],[Branch Name]],'[1]Lookup Values'!G:G,'[1]Lookup Values'!H:H,0)))</f>
        <v/>
      </c>
      <c r="B490" t="str">
        <f>IF(Table24[[#This Row],[Branch Name]]="","",(_xlfn.XLOOKUP(Table24[[#This Row],[Branch Name]],'[1]Lookup Values'!G:G,'[1]Lookup Values'!I:I,0)))</f>
        <v/>
      </c>
      <c r="C490" t="str">
        <f>IF(Table24[[#This Row],[Journal Description (Service Description)]]="","",1)</f>
        <v/>
      </c>
      <c r="D490" s="2" t="str">
        <f>IF(Table24[[#This Row],[Journal Description (Service Description)]]="","",VLOOKUP(Table24[[#This Row],[Journal Description (Service Description)]],'[1]Lookup Values'!$A:$B,2,FALSE))</f>
        <v/>
      </c>
    </row>
    <row r="491" spans="1:4" hidden="1" x14ac:dyDescent="0.35">
      <c r="A491" t="str">
        <f>IF(Table24[[#This Row],[Branch Name]]="","",(_xlfn.XLOOKUP(Table24[[#This Row],[Branch Name]],'[1]Lookup Values'!G:G,'[1]Lookup Values'!H:H,0)))</f>
        <v/>
      </c>
      <c r="B491" t="str">
        <f>IF(Table24[[#This Row],[Branch Name]]="","",(_xlfn.XLOOKUP(Table24[[#This Row],[Branch Name]],'[1]Lookup Values'!G:G,'[1]Lookup Values'!I:I,0)))</f>
        <v/>
      </c>
      <c r="C491" t="str">
        <f>IF(Table24[[#This Row],[Journal Description (Service Description)]]="","",1)</f>
        <v/>
      </c>
      <c r="D491" s="2" t="str">
        <f>IF(Table24[[#This Row],[Journal Description (Service Description)]]="","",VLOOKUP(Table24[[#This Row],[Journal Description (Service Description)]],'[1]Lookup Values'!$A:$B,2,FALSE))</f>
        <v/>
      </c>
    </row>
    <row r="492" spans="1:4" hidden="1" x14ac:dyDescent="0.35">
      <c r="A492" t="str">
        <f>IF(Table24[[#This Row],[Branch Name]]="","",(_xlfn.XLOOKUP(Table24[[#This Row],[Branch Name]],'[1]Lookup Values'!G:G,'[1]Lookup Values'!H:H,0)))</f>
        <v/>
      </c>
      <c r="B492" t="str">
        <f>IF(Table24[[#This Row],[Branch Name]]="","",(_xlfn.XLOOKUP(Table24[[#This Row],[Branch Name]],'[1]Lookup Values'!G:G,'[1]Lookup Values'!I:I,0)))</f>
        <v/>
      </c>
      <c r="C492" t="str">
        <f>IF(Table24[[#This Row],[Journal Description (Service Description)]]="","",1)</f>
        <v/>
      </c>
      <c r="D492" s="2" t="str">
        <f>IF(Table24[[#This Row],[Journal Description (Service Description)]]="","",VLOOKUP(Table24[[#This Row],[Journal Description (Service Description)]],'[1]Lookup Values'!$A:$B,2,FALSE))</f>
        <v/>
      </c>
    </row>
    <row r="493" spans="1:4" hidden="1" x14ac:dyDescent="0.35">
      <c r="A493" t="str">
        <f>IF(Table24[[#This Row],[Branch Name]]="","",(_xlfn.XLOOKUP(Table24[[#This Row],[Branch Name]],'[1]Lookup Values'!G:G,'[1]Lookup Values'!H:H,0)))</f>
        <v/>
      </c>
      <c r="B493" t="str">
        <f>IF(Table24[[#This Row],[Branch Name]]="","",(_xlfn.XLOOKUP(Table24[[#This Row],[Branch Name]],'[1]Lookup Values'!G:G,'[1]Lookup Values'!I:I,0)))</f>
        <v/>
      </c>
      <c r="C493" t="str">
        <f>IF(Table24[[#This Row],[Journal Description (Service Description)]]="","",1)</f>
        <v/>
      </c>
      <c r="D493" s="2" t="str">
        <f>IF(Table24[[#This Row],[Journal Description (Service Description)]]="","",VLOOKUP(Table24[[#This Row],[Journal Description (Service Description)]],'[1]Lookup Values'!$A:$B,2,FALSE))</f>
        <v/>
      </c>
    </row>
    <row r="494" spans="1:4" hidden="1" x14ac:dyDescent="0.35">
      <c r="A494" t="str">
        <f>IF(Table24[[#This Row],[Branch Name]]="","",(_xlfn.XLOOKUP(Table24[[#This Row],[Branch Name]],'[1]Lookup Values'!G:G,'[1]Lookup Values'!H:H,0)))</f>
        <v/>
      </c>
      <c r="B494" t="str">
        <f>IF(Table24[[#This Row],[Branch Name]]="","",(_xlfn.XLOOKUP(Table24[[#This Row],[Branch Name]],'[1]Lookup Values'!G:G,'[1]Lookup Values'!I:I,0)))</f>
        <v/>
      </c>
      <c r="C494" t="str">
        <f>IF(Table24[[#This Row],[Journal Description (Service Description)]]="","",1)</f>
        <v/>
      </c>
      <c r="D494" s="2" t="str">
        <f>IF(Table24[[#This Row],[Journal Description (Service Description)]]="","",VLOOKUP(Table24[[#This Row],[Journal Description (Service Description)]],'[1]Lookup Values'!$A:$B,2,FALSE))</f>
        <v/>
      </c>
    </row>
    <row r="495" spans="1:4" hidden="1" x14ac:dyDescent="0.35">
      <c r="A495" t="str">
        <f>IF(Table24[[#This Row],[Branch Name]]="","",(_xlfn.XLOOKUP(Table24[[#This Row],[Branch Name]],'[1]Lookup Values'!G:G,'[1]Lookup Values'!H:H,0)))</f>
        <v/>
      </c>
      <c r="B495" t="str">
        <f>IF(Table24[[#This Row],[Branch Name]]="","",(_xlfn.XLOOKUP(Table24[[#This Row],[Branch Name]],'[1]Lookup Values'!G:G,'[1]Lookup Values'!I:I,0)))</f>
        <v/>
      </c>
      <c r="C495" t="str">
        <f>IF(Table24[[#This Row],[Journal Description (Service Description)]]="","",1)</f>
        <v/>
      </c>
      <c r="D495" s="2" t="str">
        <f>IF(Table24[[#This Row],[Journal Description (Service Description)]]="","",VLOOKUP(Table24[[#This Row],[Journal Description (Service Description)]],'[1]Lookup Values'!$A:$B,2,FALSE))</f>
        <v/>
      </c>
    </row>
    <row r="496" spans="1:4" hidden="1" x14ac:dyDescent="0.35">
      <c r="A496" t="str">
        <f>IF(Table24[[#This Row],[Branch Name]]="","",(_xlfn.XLOOKUP(Table24[[#This Row],[Branch Name]],'[1]Lookup Values'!G:G,'[1]Lookup Values'!H:H,0)))</f>
        <v/>
      </c>
      <c r="B496" t="str">
        <f>IF(Table24[[#This Row],[Branch Name]]="","",(_xlfn.XLOOKUP(Table24[[#This Row],[Branch Name]],'[1]Lookup Values'!G:G,'[1]Lookup Values'!I:I,0)))</f>
        <v/>
      </c>
      <c r="C496" t="str">
        <f>IF(Table24[[#This Row],[Journal Description (Service Description)]]="","",1)</f>
        <v/>
      </c>
      <c r="D496" s="2" t="str">
        <f>IF(Table24[[#This Row],[Journal Description (Service Description)]]="","",VLOOKUP(Table24[[#This Row],[Journal Description (Service Description)]],'[1]Lookup Values'!$A:$B,2,FALSE))</f>
        <v/>
      </c>
    </row>
    <row r="497" spans="1:4" hidden="1" x14ac:dyDescent="0.35">
      <c r="A497" t="str">
        <f>IF(Table24[[#This Row],[Branch Name]]="","",(_xlfn.XLOOKUP(Table24[[#This Row],[Branch Name]],'[1]Lookup Values'!G:G,'[1]Lookup Values'!H:H,0)))</f>
        <v/>
      </c>
      <c r="B497" t="str">
        <f>IF(Table24[[#This Row],[Branch Name]]="","",(_xlfn.XLOOKUP(Table24[[#This Row],[Branch Name]],'[1]Lookup Values'!G:G,'[1]Lookup Values'!I:I,0)))</f>
        <v/>
      </c>
      <c r="C497" t="str">
        <f>IF(Table24[[#This Row],[Journal Description (Service Description)]]="","",1)</f>
        <v/>
      </c>
      <c r="D497" s="2" t="str">
        <f>IF(Table24[[#This Row],[Journal Description (Service Description)]]="","",VLOOKUP(Table24[[#This Row],[Journal Description (Service Description)]],'[1]Lookup Values'!$A:$B,2,FALSE))</f>
        <v/>
      </c>
    </row>
    <row r="498" spans="1:4" hidden="1" x14ac:dyDescent="0.35">
      <c r="A498" t="str">
        <f>IF(Table24[[#This Row],[Branch Name]]="","",(_xlfn.XLOOKUP(Table24[[#This Row],[Branch Name]],'[1]Lookup Values'!G:G,'[1]Lookup Values'!H:H,0)))</f>
        <v/>
      </c>
      <c r="B498" t="str">
        <f>IF(Table24[[#This Row],[Branch Name]]="","",(_xlfn.XLOOKUP(Table24[[#This Row],[Branch Name]],'[1]Lookup Values'!G:G,'[1]Lookup Values'!I:I,0)))</f>
        <v/>
      </c>
      <c r="C498" t="str">
        <f>IF(Table24[[#This Row],[Journal Description (Service Description)]]="","",1)</f>
        <v/>
      </c>
      <c r="D498" s="2" t="str">
        <f>IF(Table24[[#This Row],[Journal Description (Service Description)]]="","",VLOOKUP(Table24[[#This Row],[Journal Description (Service Description)]],'[1]Lookup Values'!$A:$B,2,FALSE))</f>
        <v/>
      </c>
    </row>
    <row r="499" spans="1:4" hidden="1" x14ac:dyDescent="0.35">
      <c r="A499" t="str">
        <f>IF(Table24[[#This Row],[Branch Name]]="","",(_xlfn.XLOOKUP(Table24[[#This Row],[Branch Name]],'[1]Lookup Values'!G:G,'[1]Lookup Values'!H:H,0)))</f>
        <v/>
      </c>
      <c r="B499" t="str">
        <f>IF(Table24[[#This Row],[Branch Name]]="","",(_xlfn.XLOOKUP(Table24[[#This Row],[Branch Name]],'[1]Lookup Values'!G:G,'[1]Lookup Values'!I:I,0)))</f>
        <v/>
      </c>
      <c r="C499" t="str">
        <f>IF(Table24[[#This Row],[Journal Description (Service Description)]]="","",1)</f>
        <v/>
      </c>
      <c r="D499" s="2" t="str">
        <f>IF(Table24[[#This Row],[Journal Description (Service Description)]]="","",VLOOKUP(Table24[[#This Row],[Journal Description (Service Description)]],'[1]Lookup Values'!$A:$B,2,FALSE))</f>
        <v/>
      </c>
    </row>
    <row r="500" spans="1:4" hidden="1" x14ac:dyDescent="0.35">
      <c r="A500" t="str">
        <f>IF(Table24[[#This Row],[Branch Name]]="","",(_xlfn.XLOOKUP(Table24[[#This Row],[Branch Name]],'[1]Lookup Values'!G:G,'[1]Lookup Values'!H:H,0)))</f>
        <v/>
      </c>
      <c r="B500" t="str">
        <f>IF(Table24[[#This Row],[Branch Name]]="","",(_xlfn.XLOOKUP(Table24[[#This Row],[Branch Name]],'[1]Lookup Values'!G:G,'[1]Lookup Values'!I:I,0)))</f>
        <v/>
      </c>
      <c r="C500" t="str">
        <f>IF(Table24[[#This Row],[Journal Description (Service Description)]]="","",1)</f>
        <v/>
      </c>
      <c r="D500" s="2" t="str">
        <f>IF(Table24[[#This Row],[Journal Description (Service Description)]]="","",VLOOKUP(Table24[[#This Row],[Journal Description (Service Description)]],'[1]Lookup Values'!$A:$B,2,FALSE))</f>
        <v/>
      </c>
    </row>
    <row r="501" spans="1:4" hidden="1" x14ac:dyDescent="0.35">
      <c r="A501" t="str">
        <f>IF(Table24[[#This Row],[Branch Name]]="","",(_xlfn.XLOOKUP(Table24[[#This Row],[Branch Name]],'[1]Lookup Values'!G:G,'[1]Lookup Values'!H:H,0)))</f>
        <v/>
      </c>
      <c r="B501" t="str">
        <f>IF(Table24[[#This Row],[Branch Name]]="","",(_xlfn.XLOOKUP(Table24[[#This Row],[Branch Name]],'[1]Lookup Values'!G:G,'[1]Lookup Values'!I:I,0)))</f>
        <v/>
      </c>
      <c r="C501" t="str">
        <f>IF(Table24[[#This Row],[Journal Description (Service Description)]]="","",1)</f>
        <v/>
      </c>
      <c r="D501" s="2" t="str">
        <f>IF(Table24[[#This Row],[Journal Description (Service Description)]]="","",VLOOKUP(Table24[[#This Row],[Journal Description (Service Description)]],'[1]Lookup Values'!$A:$B,2,FALSE))</f>
        <v/>
      </c>
    </row>
    <row r="502" spans="1:4" hidden="1" x14ac:dyDescent="0.35">
      <c r="A502" t="str">
        <f>IF(Table24[[#This Row],[Branch Name]]="","",(_xlfn.XLOOKUP(Table24[[#This Row],[Branch Name]],'[1]Lookup Values'!G:G,'[1]Lookup Values'!H:H,0)))</f>
        <v/>
      </c>
      <c r="B502" t="str">
        <f>IF(Table24[[#This Row],[Branch Name]]="","",(_xlfn.XLOOKUP(Table24[[#This Row],[Branch Name]],'[1]Lookup Values'!G:G,'[1]Lookup Values'!I:I,0)))</f>
        <v/>
      </c>
      <c r="C502" t="str">
        <f>IF(Table24[[#This Row],[Journal Description (Service Description)]]="","",1)</f>
        <v/>
      </c>
      <c r="D502" s="2" t="str">
        <f>IF(Table24[[#This Row],[Journal Description (Service Description)]]="","",VLOOKUP(Table24[[#This Row],[Journal Description (Service Description)]],'[1]Lookup Values'!$A:$B,2,FALSE))</f>
        <v/>
      </c>
    </row>
    <row r="503" spans="1:4" hidden="1" x14ac:dyDescent="0.35">
      <c r="A503" t="str">
        <f>IF(Table24[[#This Row],[Branch Name]]="","",(_xlfn.XLOOKUP(Table24[[#This Row],[Branch Name]],'[1]Lookup Values'!G:G,'[1]Lookup Values'!H:H,0)))</f>
        <v/>
      </c>
      <c r="B503" t="str">
        <f>IF(Table24[[#This Row],[Branch Name]]="","",(_xlfn.XLOOKUP(Table24[[#This Row],[Branch Name]],'[1]Lookup Values'!G:G,'[1]Lookup Values'!I:I,0)))</f>
        <v/>
      </c>
      <c r="C503" t="str">
        <f>IF(Table24[[#This Row],[Journal Description (Service Description)]]="","",1)</f>
        <v/>
      </c>
      <c r="D503" s="2" t="str">
        <f>IF(Table24[[#This Row],[Journal Description (Service Description)]]="","",VLOOKUP(Table24[[#This Row],[Journal Description (Service Description)]],'[1]Lookup Values'!$A:$B,2,FALSE))</f>
        <v/>
      </c>
    </row>
    <row r="504" spans="1:4" hidden="1" x14ac:dyDescent="0.35">
      <c r="A504" t="str">
        <f>IF(Table24[[#This Row],[Branch Name]]="","",(_xlfn.XLOOKUP(Table24[[#This Row],[Branch Name]],'[1]Lookup Values'!G:G,'[1]Lookup Values'!H:H,0)))</f>
        <v/>
      </c>
      <c r="B504" t="str">
        <f>IF(Table24[[#This Row],[Branch Name]]="","",(_xlfn.XLOOKUP(Table24[[#This Row],[Branch Name]],'[1]Lookup Values'!G:G,'[1]Lookup Values'!I:I,0)))</f>
        <v/>
      </c>
      <c r="C504" t="str">
        <f>IF(Table24[[#This Row],[Journal Description (Service Description)]]="","",1)</f>
        <v/>
      </c>
      <c r="D504" s="2" t="str">
        <f>IF(Table24[[#This Row],[Journal Description (Service Description)]]="","",VLOOKUP(Table24[[#This Row],[Journal Description (Service Description)]],'[1]Lookup Values'!$A:$B,2,FALSE))</f>
        <v/>
      </c>
    </row>
    <row r="505" spans="1:4" hidden="1" x14ac:dyDescent="0.35">
      <c r="A505" t="str">
        <f>IF(Table24[[#This Row],[Branch Name]]="","",(_xlfn.XLOOKUP(Table24[[#This Row],[Branch Name]],'[1]Lookup Values'!G:G,'[1]Lookup Values'!H:H,0)))</f>
        <v/>
      </c>
      <c r="B505" t="str">
        <f>IF(Table24[[#This Row],[Branch Name]]="","",(_xlfn.XLOOKUP(Table24[[#This Row],[Branch Name]],'[1]Lookup Values'!G:G,'[1]Lookup Values'!I:I,0)))</f>
        <v/>
      </c>
      <c r="C505" t="str">
        <f>IF(Table24[[#This Row],[Journal Description (Service Description)]]="","",1)</f>
        <v/>
      </c>
      <c r="D505" s="2" t="str">
        <f>IF(Table24[[#This Row],[Journal Description (Service Description)]]="","",VLOOKUP(Table24[[#This Row],[Journal Description (Service Description)]],'[1]Lookup Values'!$A:$B,2,FALSE))</f>
        <v/>
      </c>
    </row>
    <row r="506" spans="1:4" hidden="1" x14ac:dyDescent="0.35">
      <c r="A506" t="str">
        <f>IF(Table24[[#This Row],[Branch Name]]="","",(_xlfn.XLOOKUP(Table24[[#This Row],[Branch Name]],'[1]Lookup Values'!G:G,'[1]Lookup Values'!H:H,0)))</f>
        <v/>
      </c>
      <c r="B506" t="str">
        <f>IF(Table24[[#This Row],[Branch Name]]="","",(_xlfn.XLOOKUP(Table24[[#This Row],[Branch Name]],'[1]Lookup Values'!G:G,'[1]Lookup Values'!I:I,0)))</f>
        <v/>
      </c>
      <c r="C506" t="str">
        <f>IF(Table24[[#This Row],[Journal Description (Service Description)]]="","",1)</f>
        <v/>
      </c>
      <c r="D506" s="2" t="str">
        <f>IF(Table24[[#This Row],[Journal Description (Service Description)]]="","",VLOOKUP(Table24[[#This Row],[Journal Description (Service Description)]],'[1]Lookup Values'!$A:$B,2,FALSE))</f>
        <v/>
      </c>
    </row>
    <row r="507" spans="1:4" hidden="1" x14ac:dyDescent="0.35">
      <c r="A507" t="str">
        <f>IF(Table24[[#This Row],[Branch Name]]="","",(_xlfn.XLOOKUP(Table24[[#This Row],[Branch Name]],'[1]Lookup Values'!G:G,'[1]Lookup Values'!H:H,0)))</f>
        <v/>
      </c>
      <c r="B507" t="str">
        <f>IF(Table24[[#This Row],[Branch Name]]="","",(_xlfn.XLOOKUP(Table24[[#This Row],[Branch Name]],'[1]Lookup Values'!G:G,'[1]Lookup Values'!I:I,0)))</f>
        <v/>
      </c>
      <c r="C507" t="str">
        <f>IF(Table24[[#This Row],[Journal Description (Service Description)]]="","",1)</f>
        <v/>
      </c>
      <c r="D507" s="2" t="str">
        <f>IF(Table24[[#This Row],[Journal Description (Service Description)]]="","",VLOOKUP(Table24[[#This Row],[Journal Description (Service Description)]],'[1]Lookup Values'!$A:$B,2,FALSE))</f>
        <v/>
      </c>
    </row>
    <row r="508" spans="1:4" hidden="1" x14ac:dyDescent="0.35">
      <c r="A508" t="str">
        <f>IF(Table24[[#This Row],[Branch Name]]="","",(_xlfn.XLOOKUP(Table24[[#This Row],[Branch Name]],'[1]Lookup Values'!G:G,'[1]Lookup Values'!H:H,0)))</f>
        <v/>
      </c>
      <c r="B508" t="str">
        <f>IF(Table24[[#This Row],[Branch Name]]="","",(_xlfn.XLOOKUP(Table24[[#This Row],[Branch Name]],'[1]Lookup Values'!G:G,'[1]Lookup Values'!I:I,0)))</f>
        <v/>
      </c>
      <c r="C508" t="str">
        <f>IF(Table24[[#This Row],[Journal Description (Service Description)]]="","",1)</f>
        <v/>
      </c>
      <c r="D508" s="2" t="str">
        <f>IF(Table24[[#This Row],[Journal Description (Service Description)]]="","",VLOOKUP(Table24[[#This Row],[Journal Description (Service Description)]],'[1]Lookup Values'!$A:$B,2,FALSE))</f>
        <v/>
      </c>
    </row>
    <row r="509" spans="1:4" hidden="1" x14ac:dyDescent="0.35">
      <c r="A509" t="str">
        <f>IF(Table24[[#This Row],[Branch Name]]="","",(_xlfn.XLOOKUP(Table24[[#This Row],[Branch Name]],'[1]Lookup Values'!G:G,'[1]Lookup Values'!H:H,0)))</f>
        <v/>
      </c>
      <c r="B509" t="str">
        <f>IF(Table24[[#This Row],[Branch Name]]="","",(_xlfn.XLOOKUP(Table24[[#This Row],[Branch Name]],'[1]Lookup Values'!G:G,'[1]Lookup Values'!I:I,0)))</f>
        <v/>
      </c>
      <c r="C509" t="str">
        <f>IF(Table24[[#This Row],[Journal Description (Service Description)]]="","",1)</f>
        <v/>
      </c>
      <c r="D509" s="2" t="str">
        <f>IF(Table24[[#This Row],[Journal Description (Service Description)]]="","",VLOOKUP(Table24[[#This Row],[Journal Description (Service Description)]],'[1]Lookup Values'!$A:$B,2,FALSE))</f>
        <v/>
      </c>
    </row>
    <row r="510" spans="1:4" hidden="1" x14ac:dyDescent="0.35">
      <c r="A510" t="str">
        <f>IF(Table24[[#This Row],[Branch Name]]="","",(_xlfn.XLOOKUP(Table24[[#This Row],[Branch Name]],'[1]Lookup Values'!G:G,'[1]Lookup Values'!H:H,0)))</f>
        <v/>
      </c>
      <c r="B510" t="str">
        <f>IF(Table24[[#This Row],[Branch Name]]="","",(_xlfn.XLOOKUP(Table24[[#This Row],[Branch Name]],'[1]Lookup Values'!G:G,'[1]Lookup Values'!I:I,0)))</f>
        <v/>
      </c>
      <c r="C510" t="str">
        <f>IF(Table24[[#This Row],[Journal Description (Service Description)]]="","",1)</f>
        <v/>
      </c>
      <c r="D510" s="2" t="str">
        <f>IF(Table24[[#This Row],[Journal Description (Service Description)]]="","",VLOOKUP(Table24[[#This Row],[Journal Description (Service Description)]],'[1]Lookup Values'!$A:$B,2,FALSE))</f>
        <v/>
      </c>
    </row>
    <row r="511" spans="1:4" hidden="1" x14ac:dyDescent="0.35">
      <c r="A511" t="str">
        <f>IF(Table24[[#This Row],[Branch Name]]="","",(_xlfn.XLOOKUP(Table24[[#This Row],[Branch Name]],'[1]Lookup Values'!G:G,'[1]Lookup Values'!H:H,0)))</f>
        <v/>
      </c>
      <c r="B511" t="str">
        <f>IF(Table24[[#This Row],[Branch Name]]="","",(_xlfn.XLOOKUP(Table24[[#This Row],[Branch Name]],'[1]Lookup Values'!G:G,'[1]Lookup Values'!I:I,0)))</f>
        <v/>
      </c>
      <c r="C511" t="str">
        <f>IF(Table24[[#This Row],[Journal Description (Service Description)]]="","",1)</f>
        <v/>
      </c>
      <c r="D511" s="2" t="str">
        <f>IF(Table24[[#This Row],[Journal Description (Service Description)]]="","",VLOOKUP(Table24[[#This Row],[Journal Description (Service Description)]],'[1]Lookup Values'!$A:$B,2,FALSE))</f>
        <v/>
      </c>
    </row>
    <row r="512" spans="1:4" hidden="1" x14ac:dyDescent="0.35">
      <c r="A512" t="str">
        <f>IF(Table24[[#This Row],[Branch Name]]="","",(_xlfn.XLOOKUP(Table24[[#This Row],[Branch Name]],'[1]Lookup Values'!G:G,'[1]Lookup Values'!H:H,0)))</f>
        <v/>
      </c>
      <c r="B512" t="str">
        <f>IF(Table24[[#This Row],[Branch Name]]="","",(_xlfn.XLOOKUP(Table24[[#This Row],[Branch Name]],'[1]Lookup Values'!G:G,'[1]Lookup Values'!I:I,0)))</f>
        <v/>
      </c>
      <c r="C512" t="str">
        <f>IF(Table24[[#This Row],[Journal Description (Service Description)]]="","",1)</f>
        <v/>
      </c>
      <c r="D512" s="2" t="str">
        <f>IF(Table24[[#This Row],[Journal Description (Service Description)]]="","",VLOOKUP(Table24[[#This Row],[Journal Description (Service Description)]],'[1]Lookup Values'!$A:$B,2,FALSE))</f>
        <v/>
      </c>
    </row>
    <row r="513" spans="1:4" hidden="1" x14ac:dyDescent="0.35">
      <c r="A513" t="str">
        <f>IF(Table24[[#This Row],[Branch Name]]="","",(_xlfn.XLOOKUP(Table24[[#This Row],[Branch Name]],'[1]Lookup Values'!G:G,'[1]Lookup Values'!H:H,0)))</f>
        <v/>
      </c>
      <c r="B513" t="str">
        <f>IF(Table24[[#This Row],[Branch Name]]="","",(_xlfn.XLOOKUP(Table24[[#This Row],[Branch Name]],'[1]Lookup Values'!G:G,'[1]Lookup Values'!I:I,0)))</f>
        <v/>
      </c>
      <c r="C513" t="str">
        <f>IF(Table24[[#This Row],[Journal Description (Service Description)]]="","",1)</f>
        <v/>
      </c>
      <c r="D513" s="2" t="str">
        <f>IF(Table24[[#This Row],[Journal Description (Service Description)]]="","",VLOOKUP(Table24[[#This Row],[Journal Description (Service Description)]],'[1]Lookup Values'!$A:$B,2,FALSE))</f>
        <v/>
      </c>
    </row>
    <row r="514" spans="1:4" hidden="1" x14ac:dyDescent="0.35">
      <c r="A514" t="str">
        <f>IF(Table24[[#This Row],[Branch Name]]="","",(_xlfn.XLOOKUP(Table24[[#This Row],[Branch Name]],'[1]Lookup Values'!G:G,'[1]Lookup Values'!H:H,0)))</f>
        <v/>
      </c>
      <c r="B514" t="str">
        <f>IF(Table24[[#This Row],[Branch Name]]="","",(_xlfn.XLOOKUP(Table24[[#This Row],[Branch Name]],'[1]Lookup Values'!G:G,'[1]Lookup Values'!I:I,0)))</f>
        <v/>
      </c>
      <c r="C514" t="str">
        <f>IF(Table24[[#This Row],[Journal Description (Service Description)]]="","",1)</f>
        <v/>
      </c>
      <c r="D514" s="2" t="str">
        <f>IF(Table24[[#This Row],[Journal Description (Service Description)]]="","",VLOOKUP(Table24[[#This Row],[Journal Description (Service Description)]],'[1]Lookup Values'!$A:$B,2,FALSE))</f>
        <v/>
      </c>
    </row>
    <row r="515" spans="1:4" hidden="1" x14ac:dyDescent="0.35">
      <c r="A515" t="str">
        <f>IF(Table24[[#This Row],[Branch Name]]="","",(_xlfn.XLOOKUP(Table24[[#This Row],[Branch Name]],'[1]Lookup Values'!G:G,'[1]Lookup Values'!H:H,0)))</f>
        <v/>
      </c>
      <c r="B515" t="str">
        <f>IF(Table24[[#This Row],[Branch Name]]="","",(_xlfn.XLOOKUP(Table24[[#This Row],[Branch Name]],'[1]Lookup Values'!G:G,'[1]Lookup Values'!I:I,0)))</f>
        <v/>
      </c>
      <c r="C515" t="str">
        <f>IF(Table24[[#This Row],[Journal Description (Service Description)]]="","",1)</f>
        <v/>
      </c>
      <c r="D515" s="2" t="str">
        <f>IF(Table24[[#This Row],[Journal Description (Service Description)]]="","",VLOOKUP(Table24[[#This Row],[Journal Description (Service Description)]],'[1]Lookup Values'!$A:$B,2,FALSE))</f>
        <v/>
      </c>
    </row>
    <row r="516" spans="1:4" hidden="1" x14ac:dyDescent="0.35">
      <c r="A516" t="str">
        <f>IF(Table24[[#This Row],[Branch Name]]="","",(_xlfn.XLOOKUP(Table24[[#This Row],[Branch Name]],'[1]Lookup Values'!G:G,'[1]Lookup Values'!H:H,0)))</f>
        <v/>
      </c>
      <c r="B516" t="str">
        <f>IF(Table24[[#This Row],[Branch Name]]="","",(_xlfn.XLOOKUP(Table24[[#This Row],[Branch Name]],'[1]Lookup Values'!G:G,'[1]Lookup Values'!I:I,0)))</f>
        <v/>
      </c>
      <c r="C516" t="str">
        <f>IF(Table24[[#This Row],[Journal Description (Service Description)]]="","",1)</f>
        <v/>
      </c>
      <c r="D516" s="2" t="str">
        <f>IF(Table24[[#This Row],[Journal Description (Service Description)]]="","",VLOOKUP(Table24[[#This Row],[Journal Description (Service Description)]],'[1]Lookup Values'!$A:$B,2,FALSE))</f>
        <v/>
      </c>
    </row>
    <row r="517" spans="1:4" hidden="1" x14ac:dyDescent="0.35">
      <c r="A517" t="str">
        <f>IF(Table24[[#This Row],[Branch Name]]="","",(_xlfn.XLOOKUP(Table24[[#This Row],[Branch Name]],'[1]Lookup Values'!G:G,'[1]Lookup Values'!H:H,0)))</f>
        <v/>
      </c>
      <c r="B517" t="str">
        <f>IF(Table24[[#This Row],[Branch Name]]="","",(_xlfn.XLOOKUP(Table24[[#This Row],[Branch Name]],'[1]Lookup Values'!G:G,'[1]Lookup Values'!I:I,0)))</f>
        <v/>
      </c>
      <c r="C517" t="str">
        <f>IF(Table24[[#This Row],[Journal Description (Service Description)]]="","",1)</f>
        <v/>
      </c>
      <c r="D517" s="2" t="str">
        <f>IF(Table24[[#This Row],[Journal Description (Service Description)]]="","",VLOOKUP(Table24[[#This Row],[Journal Description (Service Description)]],'[1]Lookup Values'!$A:$B,2,FALSE))</f>
        <v/>
      </c>
    </row>
    <row r="518" spans="1:4" hidden="1" x14ac:dyDescent="0.35">
      <c r="A518" t="str">
        <f>IF(Table24[[#This Row],[Branch Name]]="","",(_xlfn.XLOOKUP(Table24[[#This Row],[Branch Name]],'[1]Lookup Values'!G:G,'[1]Lookup Values'!H:H,0)))</f>
        <v/>
      </c>
      <c r="B518" t="str">
        <f>IF(Table24[[#This Row],[Branch Name]]="","",(_xlfn.XLOOKUP(Table24[[#This Row],[Branch Name]],'[1]Lookup Values'!G:G,'[1]Lookup Values'!I:I,0)))</f>
        <v/>
      </c>
      <c r="C518" t="str">
        <f>IF(Table24[[#This Row],[Journal Description (Service Description)]]="","",1)</f>
        <v/>
      </c>
      <c r="D518" s="2" t="str">
        <f>IF(Table24[[#This Row],[Journal Description (Service Description)]]="","",VLOOKUP(Table24[[#This Row],[Journal Description (Service Description)]],'[1]Lookup Values'!$A:$B,2,FALSE))</f>
        <v/>
      </c>
    </row>
    <row r="519" spans="1:4" hidden="1" x14ac:dyDescent="0.35">
      <c r="A519" t="str">
        <f>IF(Table24[[#This Row],[Branch Name]]="","",(_xlfn.XLOOKUP(Table24[[#This Row],[Branch Name]],'[1]Lookup Values'!G:G,'[1]Lookup Values'!H:H,0)))</f>
        <v/>
      </c>
      <c r="B519" t="str">
        <f>IF(Table24[[#This Row],[Branch Name]]="","",(_xlfn.XLOOKUP(Table24[[#This Row],[Branch Name]],'[1]Lookup Values'!G:G,'[1]Lookup Values'!I:I,0)))</f>
        <v/>
      </c>
      <c r="C519" t="str">
        <f>IF(Table24[[#This Row],[Journal Description (Service Description)]]="","",1)</f>
        <v/>
      </c>
      <c r="D519" s="2" t="str">
        <f>IF(Table24[[#This Row],[Journal Description (Service Description)]]="","",VLOOKUP(Table24[[#This Row],[Journal Description (Service Description)]],'[1]Lookup Values'!$A:$B,2,FALSE))</f>
        <v/>
      </c>
    </row>
    <row r="520" spans="1:4" hidden="1" x14ac:dyDescent="0.35">
      <c r="A520" t="str">
        <f>IF(Table24[[#This Row],[Branch Name]]="","",(_xlfn.XLOOKUP(Table24[[#This Row],[Branch Name]],'[1]Lookup Values'!G:G,'[1]Lookup Values'!H:H,0)))</f>
        <v/>
      </c>
      <c r="B520" t="str">
        <f>IF(Table24[[#This Row],[Branch Name]]="","",(_xlfn.XLOOKUP(Table24[[#This Row],[Branch Name]],'[1]Lookup Values'!G:G,'[1]Lookup Values'!I:I,0)))</f>
        <v/>
      </c>
      <c r="C520" t="str">
        <f>IF(Table24[[#This Row],[Journal Description (Service Description)]]="","",1)</f>
        <v/>
      </c>
      <c r="D520" s="2" t="str">
        <f>IF(Table24[[#This Row],[Journal Description (Service Description)]]="","",VLOOKUP(Table24[[#This Row],[Journal Description (Service Description)]],'[1]Lookup Values'!$A:$B,2,FALSE))</f>
        <v/>
      </c>
    </row>
    <row r="521" spans="1:4" hidden="1" x14ac:dyDescent="0.35">
      <c r="A521" t="str">
        <f>IF(Table24[[#This Row],[Branch Name]]="","",(_xlfn.XLOOKUP(Table24[[#This Row],[Branch Name]],'[1]Lookup Values'!G:G,'[1]Lookup Values'!H:H,0)))</f>
        <v/>
      </c>
      <c r="B521" t="str">
        <f>IF(Table24[[#This Row],[Branch Name]]="","",(_xlfn.XLOOKUP(Table24[[#This Row],[Branch Name]],'[1]Lookup Values'!G:G,'[1]Lookup Values'!I:I,0)))</f>
        <v/>
      </c>
      <c r="C521" t="str">
        <f>IF(Table24[[#This Row],[Journal Description (Service Description)]]="","",1)</f>
        <v/>
      </c>
      <c r="D521" s="2" t="str">
        <f>IF(Table24[[#This Row],[Journal Description (Service Description)]]="","",VLOOKUP(Table24[[#This Row],[Journal Description (Service Description)]],'[1]Lookup Values'!$A:$B,2,FALSE))</f>
        <v/>
      </c>
    </row>
    <row r="522" spans="1:4" hidden="1" x14ac:dyDescent="0.35">
      <c r="A522" t="str">
        <f>IF(Table24[[#This Row],[Branch Name]]="","",(_xlfn.XLOOKUP(Table24[[#This Row],[Branch Name]],'[1]Lookup Values'!G:G,'[1]Lookup Values'!H:H,0)))</f>
        <v/>
      </c>
      <c r="B522" t="str">
        <f>IF(Table24[[#This Row],[Branch Name]]="","",(_xlfn.XLOOKUP(Table24[[#This Row],[Branch Name]],'[1]Lookup Values'!G:G,'[1]Lookup Values'!I:I,0)))</f>
        <v/>
      </c>
      <c r="C522" t="str">
        <f>IF(Table24[[#This Row],[Journal Description (Service Description)]]="","",1)</f>
        <v/>
      </c>
      <c r="D522" s="2" t="str">
        <f>IF(Table24[[#This Row],[Journal Description (Service Description)]]="","",VLOOKUP(Table24[[#This Row],[Journal Description (Service Description)]],'[1]Lookup Values'!$A:$B,2,FALSE))</f>
        <v/>
      </c>
    </row>
    <row r="523" spans="1:4" hidden="1" x14ac:dyDescent="0.35">
      <c r="A523" t="str">
        <f>IF(Table24[[#This Row],[Branch Name]]="","",(_xlfn.XLOOKUP(Table24[[#This Row],[Branch Name]],'[1]Lookup Values'!G:G,'[1]Lookup Values'!H:H,0)))</f>
        <v/>
      </c>
      <c r="B523" t="str">
        <f>IF(Table24[[#This Row],[Branch Name]]="","",(_xlfn.XLOOKUP(Table24[[#This Row],[Branch Name]],'[1]Lookup Values'!G:G,'[1]Lookup Values'!I:I,0)))</f>
        <v/>
      </c>
      <c r="C523" t="str">
        <f>IF(Table24[[#This Row],[Journal Description (Service Description)]]="","",1)</f>
        <v/>
      </c>
      <c r="D523" s="2" t="str">
        <f>IF(Table24[[#This Row],[Journal Description (Service Description)]]="","",VLOOKUP(Table24[[#This Row],[Journal Description (Service Description)]],'[1]Lookup Values'!$A:$B,2,FALSE))</f>
        <v/>
      </c>
    </row>
    <row r="524" spans="1:4" hidden="1" x14ac:dyDescent="0.35">
      <c r="A524" t="str">
        <f>IF(Table24[[#This Row],[Branch Name]]="","",(_xlfn.XLOOKUP(Table24[[#This Row],[Branch Name]],'[1]Lookup Values'!G:G,'[1]Lookup Values'!H:H,0)))</f>
        <v/>
      </c>
      <c r="B524" t="str">
        <f>IF(Table24[[#This Row],[Branch Name]]="","",(_xlfn.XLOOKUP(Table24[[#This Row],[Branch Name]],'[1]Lookup Values'!G:G,'[1]Lookup Values'!I:I,0)))</f>
        <v/>
      </c>
      <c r="C524" t="str">
        <f>IF(Table24[[#This Row],[Journal Description (Service Description)]]="","",1)</f>
        <v/>
      </c>
      <c r="D524" s="2" t="str">
        <f>IF(Table24[[#This Row],[Journal Description (Service Description)]]="","",VLOOKUP(Table24[[#This Row],[Journal Description (Service Description)]],'[1]Lookup Values'!$A:$B,2,FALSE))</f>
        <v/>
      </c>
    </row>
    <row r="525" spans="1:4" hidden="1" x14ac:dyDescent="0.35">
      <c r="A525" t="str">
        <f>IF(Table24[[#This Row],[Branch Name]]="","",(_xlfn.XLOOKUP(Table24[[#This Row],[Branch Name]],'[1]Lookup Values'!G:G,'[1]Lookup Values'!H:H,0)))</f>
        <v/>
      </c>
      <c r="B525" t="str">
        <f>IF(Table24[[#This Row],[Branch Name]]="","",(_xlfn.XLOOKUP(Table24[[#This Row],[Branch Name]],'[1]Lookup Values'!G:G,'[1]Lookup Values'!I:I,0)))</f>
        <v/>
      </c>
      <c r="C525" t="str">
        <f>IF(Table24[[#This Row],[Journal Description (Service Description)]]="","",1)</f>
        <v/>
      </c>
      <c r="D525" s="2" t="str">
        <f>IF(Table24[[#This Row],[Journal Description (Service Description)]]="","",VLOOKUP(Table24[[#This Row],[Journal Description (Service Description)]],'[1]Lookup Values'!$A:$B,2,FALSE))</f>
        <v/>
      </c>
    </row>
    <row r="526" spans="1:4" hidden="1" x14ac:dyDescent="0.35">
      <c r="A526" t="str">
        <f>IF(Table24[[#This Row],[Branch Name]]="","",(_xlfn.XLOOKUP(Table24[[#This Row],[Branch Name]],'[1]Lookup Values'!G:G,'[1]Lookup Values'!H:H,0)))</f>
        <v/>
      </c>
      <c r="B526" t="str">
        <f>IF(Table24[[#This Row],[Branch Name]]="","",(_xlfn.XLOOKUP(Table24[[#This Row],[Branch Name]],'[1]Lookup Values'!G:G,'[1]Lookup Values'!I:I,0)))</f>
        <v/>
      </c>
      <c r="C526" t="str">
        <f>IF(Table24[[#This Row],[Journal Description (Service Description)]]="","",1)</f>
        <v/>
      </c>
      <c r="D526" s="2" t="str">
        <f>IF(Table24[[#This Row],[Journal Description (Service Description)]]="","",VLOOKUP(Table24[[#This Row],[Journal Description (Service Description)]],'[1]Lookup Values'!$A:$B,2,FALSE))</f>
        <v/>
      </c>
    </row>
    <row r="527" spans="1:4" hidden="1" x14ac:dyDescent="0.35">
      <c r="A527" t="str">
        <f>IF(Table24[[#This Row],[Branch Name]]="","",(_xlfn.XLOOKUP(Table24[[#This Row],[Branch Name]],'[1]Lookup Values'!G:G,'[1]Lookup Values'!H:H,0)))</f>
        <v/>
      </c>
      <c r="B527" t="str">
        <f>IF(Table24[[#This Row],[Branch Name]]="","",(_xlfn.XLOOKUP(Table24[[#This Row],[Branch Name]],'[1]Lookup Values'!G:G,'[1]Lookup Values'!I:I,0)))</f>
        <v/>
      </c>
      <c r="C527" t="str">
        <f>IF(Table24[[#This Row],[Journal Description (Service Description)]]="","",1)</f>
        <v/>
      </c>
      <c r="D527" s="2" t="str">
        <f>IF(Table24[[#This Row],[Journal Description (Service Description)]]="","",VLOOKUP(Table24[[#This Row],[Journal Description (Service Description)]],'[1]Lookup Values'!$A:$B,2,FALSE))</f>
        <v/>
      </c>
    </row>
    <row r="528" spans="1:4" hidden="1" x14ac:dyDescent="0.35">
      <c r="A528" t="str">
        <f>IF(Table24[[#This Row],[Branch Name]]="","",(_xlfn.XLOOKUP(Table24[[#This Row],[Branch Name]],'[1]Lookup Values'!G:G,'[1]Lookup Values'!H:H,0)))</f>
        <v/>
      </c>
      <c r="B528" t="str">
        <f>IF(Table24[[#This Row],[Branch Name]]="","",(_xlfn.XLOOKUP(Table24[[#This Row],[Branch Name]],'[1]Lookup Values'!G:G,'[1]Lookup Values'!I:I,0)))</f>
        <v/>
      </c>
      <c r="C528" t="str">
        <f>IF(Table24[[#This Row],[Journal Description (Service Description)]]="","",1)</f>
        <v/>
      </c>
      <c r="D528" s="2" t="str">
        <f>IF(Table24[[#This Row],[Journal Description (Service Description)]]="","",VLOOKUP(Table24[[#This Row],[Journal Description (Service Description)]],'[1]Lookup Values'!$A:$B,2,FALSE))</f>
        <v/>
      </c>
    </row>
    <row r="529" spans="1:4" hidden="1" x14ac:dyDescent="0.35">
      <c r="A529" t="str">
        <f>IF(Table24[[#This Row],[Branch Name]]="","",(_xlfn.XLOOKUP(Table24[[#This Row],[Branch Name]],'[1]Lookup Values'!G:G,'[1]Lookup Values'!H:H,0)))</f>
        <v/>
      </c>
      <c r="B529" t="str">
        <f>IF(Table24[[#This Row],[Branch Name]]="","",(_xlfn.XLOOKUP(Table24[[#This Row],[Branch Name]],'[1]Lookup Values'!G:G,'[1]Lookup Values'!I:I,0)))</f>
        <v/>
      </c>
      <c r="C529" t="str">
        <f>IF(Table24[[#This Row],[Journal Description (Service Description)]]="","",1)</f>
        <v/>
      </c>
      <c r="D529" s="2" t="str">
        <f>IF(Table24[[#This Row],[Journal Description (Service Description)]]="","",VLOOKUP(Table24[[#This Row],[Journal Description (Service Description)]],'[1]Lookup Values'!$A:$B,2,FALSE))</f>
        <v/>
      </c>
    </row>
    <row r="530" spans="1:4" hidden="1" x14ac:dyDescent="0.35">
      <c r="A530" t="str">
        <f>IF(Table24[[#This Row],[Branch Name]]="","",(_xlfn.XLOOKUP(Table24[[#This Row],[Branch Name]],'[1]Lookup Values'!G:G,'[1]Lookup Values'!H:H,0)))</f>
        <v/>
      </c>
      <c r="B530" t="str">
        <f>IF(Table24[[#This Row],[Branch Name]]="","",(_xlfn.XLOOKUP(Table24[[#This Row],[Branch Name]],'[1]Lookup Values'!G:G,'[1]Lookup Values'!I:I,0)))</f>
        <v/>
      </c>
      <c r="C530" t="str">
        <f>IF(Table24[[#This Row],[Journal Description (Service Description)]]="","",1)</f>
        <v/>
      </c>
      <c r="D530" s="2" t="str">
        <f>IF(Table24[[#This Row],[Journal Description (Service Description)]]="","",VLOOKUP(Table24[[#This Row],[Journal Description (Service Description)]],'[1]Lookup Values'!$A:$B,2,FALSE))</f>
        <v/>
      </c>
    </row>
    <row r="531" spans="1:4" hidden="1" x14ac:dyDescent="0.35">
      <c r="A531" t="str">
        <f>IF(Table24[[#This Row],[Branch Name]]="","",(_xlfn.XLOOKUP(Table24[[#This Row],[Branch Name]],'[1]Lookup Values'!G:G,'[1]Lookup Values'!H:H,0)))</f>
        <v/>
      </c>
      <c r="B531" t="str">
        <f>IF(Table24[[#This Row],[Branch Name]]="","",(_xlfn.XLOOKUP(Table24[[#This Row],[Branch Name]],'[1]Lookup Values'!G:G,'[1]Lookup Values'!I:I,0)))</f>
        <v/>
      </c>
      <c r="C531" t="str">
        <f>IF(Table24[[#This Row],[Journal Description (Service Description)]]="","",1)</f>
        <v/>
      </c>
      <c r="D531" s="2" t="str">
        <f>IF(Table24[[#This Row],[Journal Description (Service Description)]]="","",VLOOKUP(Table24[[#This Row],[Journal Description (Service Description)]],'[1]Lookup Values'!$A:$B,2,FALSE))</f>
        <v/>
      </c>
    </row>
    <row r="532" spans="1:4" hidden="1" x14ac:dyDescent="0.35">
      <c r="A532" t="str">
        <f>IF(Table24[[#This Row],[Branch Name]]="","",(_xlfn.XLOOKUP(Table24[[#This Row],[Branch Name]],'[1]Lookup Values'!G:G,'[1]Lookup Values'!H:H,0)))</f>
        <v/>
      </c>
      <c r="B532" t="str">
        <f>IF(Table24[[#This Row],[Branch Name]]="","",(_xlfn.XLOOKUP(Table24[[#This Row],[Branch Name]],'[1]Lookup Values'!G:G,'[1]Lookup Values'!I:I,0)))</f>
        <v/>
      </c>
      <c r="C532" t="str">
        <f>IF(Table24[[#This Row],[Journal Description (Service Description)]]="","",1)</f>
        <v/>
      </c>
      <c r="D532" s="2" t="str">
        <f>IF(Table24[[#This Row],[Journal Description (Service Description)]]="","",VLOOKUP(Table24[[#This Row],[Journal Description (Service Description)]],'[1]Lookup Values'!$A:$B,2,FALSE))</f>
        <v/>
      </c>
    </row>
    <row r="533" spans="1:4" hidden="1" x14ac:dyDescent="0.35">
      <c r="A533" t="str">
        <f>IF(Table24[[#This Row],[Branch Name]]="","",(_xlfn.XLOOKUP(Table24[[#This Row],[Branch Name]],'[1]Lookup Values'!G:G,'[1]Lookup Values'!H:H,0)))</f>
        <v/>
      </c>
      <c r="B533" t="str">
        <f>IF(Table24[[#This Row],[Branch Name]]="","",(_xlfn.XLOOKUP(Table24[[#This Row],[Branch Name]],'[1]Lookup Values'!G:G,'[1]Lookup Values'!I:I,0)))</f>
        <v/>
      </c>
      <c r="C533" t="str">
        <f>IF(Table24[[#This Row],[Journal Description (Service Description)]]="","",1)</f>
        <v/>
      </c>
      <c r="D533" s="2" t="str">
        <f>IF(Table24[[#This Row],[Journal Description (Service Description)]]="","",VLOOKUP(Table24[[#This Row],[Journal Description (Service Description)]],'[1]Lookup Values'!$A:$B,2,FALSE))</f>
        <v/>
      </c>
    </row>
  </sheetData>
  <protectedRanges>
    <protectedRange sqref="D9:D533" name="Amount"/>
  </protectedRange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01CD-43EC-4FE4-A31A-CFB9F5FE3DD7}">
  <sheetPr codeName="Sheet1"/>
  <dimension ref="A1:G533"/>
  <sheetViews>
    <sheetView zoomScale="85" zoomScaleNormal="85" workbookViewId="0">
      <pane xSplit="1" ySplit="9" topLeftCell="B19" activePane="bottomRight" state="frozen"/>
      <selection activeCell="D10" sqref="D10:D533"/>
      <selection pane="topRight" activeCell="D10" sqref="D10:D533"/>
      <selection pane="bottomLeft" activeCell="D10" sqref="D10:D533"/>
      <selection pane="bottomRight" activeCell="M32" sqref="M32"/>
    </sheetView>
  </sheetViews>
  <sheetFormatPr defaultRowHeight="14.5" x14ac:dyDescent="0.35"/>
  <cols>
    <col min="1" max="1" width="14.1796875" customWidth="1"/>
    <col min="2" max="2" width="16.7265625" bestFit="1" customWidth="1"/>
    <col min="3" max="3" width="10.453125" customWidth="1"/>
    <col min="4" max="4" width="19.54296875" style="2" customWidth="1"/>
    <col min="5" max="5" width="25" bestFit="1" customWidth="1"/>
    <col min="6" max="6" width="36.1796875" bestFit="1" customWidth="1"/>
    <col min="7" max="7" width="2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ht="15" thickBot="1" x14ac:dyDescent="0.4">
      <c r="A3" s="17" t="s">
        <v>28</v>
      </c>
      <c r="B3" s="18">
        <v>123456</v>
      </c>
    </row>
    <row r="4" spans="1:7" ht="26.25" customHeight="1" x14ac:dyDescent="0.35">
      <c r="A4" s="19" t="s">
        <v>29</v>
      </c>
      <c r="B4" s="20">
        <v>44316</v>
      </c>
      <c r="C4" s="5"/>
      <c r="E4" s="247" t="s">
        <v>76</v>
      </c>
      <c r="F4" s="248"/>
      <c r="G4" s="249"/>
    </row>
    <row r="5" spans="1:7" ht="33" customHeight="1" thickBot="1" x14ac:dyDescent="0.4">
      <c r="A5" s="21" t="s">
        <v>30</v>
      </c>
      <c r="B5" s="22" t="s">
        <v>31</v>
      </c>
      <c r="C5" s="15"/>
      <c r="E5" s="250"/>
      <c r="F5" s="251"/>
      <c r="G5" s="252"/>
    </row>
    <row r="8" spans="1:7" x14ac:dyDescent="0.3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3</v>
      </c>
      <c r="G8" s="1" t="s">
        <v>5</v>
      </c>
    </row>
    <row r="9" spans="1:7" x14ac:dyDescent="0.35">
      <c r="A9" s="1" t="s">
        <v>6</v>
      </c>
      <c r="B9" s="12" t="s">
        <v>7</v>
      </c>
      <c r="C9" s="12">
        <v>1</v>
      </c>
      <c r="D9" s="3" t="e">
        <f>-SUM(D10:D39)</f>
        <v>#N/A</v>
      </c>
      <c r="E9" s="1" t="s">
        <v>12</v>
      </c>
      <c r="F9" s="1" t="s">
        <v>13</v>
      </c>
      <c r="G9" s="13" t="str">
        <f>TEXT(B4,"mmm-yy")</f>
        <v>Apr-21</v>
      </c>
    </row>
    <row r="10" spans="1:7" x14ac:dyDescent="0.35">
      <c r="A10" t="s">
        <v>6</v>
      </c>
      <c r="B10" t="s">
        <v>8</v>
      </c>
      <c r="C10" s="16">
        <v>1</v>
      </c>
      <c r="D10" s="2">
        <f>IF(Table2[[#This Row],[Journal Description]]="","",VLOOKUP(Table2[[#This Row],[Journal Description]],'Lookup Values'!$A$2:$B$5,2,FALSE))</f>
        <v>82</v>
      </c>
      <c r="E10" t="s">
        <v>14</v>
      </c>
      <c r="F10" t="s">
        <v>33</v>
      </c>
      <c r="G10" t="s">
        <v>9</v>
      </c>
    </row>
    <row r="11" spans="1:7" x14ac:dyDescent="0.35">
      <c r="A11" t="s">
        <v>6</v>
      </c>
      <c r="B11" t="s">
        <v>8</v>
      </c>
      <c r="C11" s="16">
        <v>1</v>
      </c>
      <c r="D11" s="2">
        <f>IF(Table2[[#This Row],[Journal Description]]="","",VLOOKUP(Table2[[#This Row],[Journal Description]],'Lookup Values'!$A$2:$B$5,2,FALSE))</f>
        <v>82</v>
      </c>
      <c r="E11" t="s">
        <v>14</v>
      </c>
      <c r="F11" t="s">
        <v>33</v>
      </c>
      <c r="G11" t="s">
        <v>10</v>
      </c>
    </row>
    <row r="12" spans="1:7" x14ac:dyDescent="0.35">
      <c r="A12" t="s">
        <v>6</v>
      </c>
      <c r="B12" t="s">
        <v>8</v>
      </c>
      <c r="C12" s="16">
        <v>1</v>
      </c>
      <c r="D12" s="2">
        <f>IF(Table2[[#This Row],[Journal Description]]="","",VLOOKUP(Table2[[#This Row],[Journal Description]],'Lookup Values'!$A$2:$B$5,2,FALSE))</f>
        <v>82</v>
      </c>
      <c r="E12" t="s">
        <v>14</v>
      </c>
      <c r="F12" t="s">
        <v>33</v>
      </c>
      <c r="G12" t="s">
        <v>11</v>
      </c>
    </row>
    <row r="13" spans="1:7" x14ac:dyDescent="0.35">
      <c r="A13" t="s">
        <v>6</v>
      </c>
      <c r="B13" t="s">
        <v>72</v>
      </c>
      <c r="C13" s="16">
        <v>1</v>
      </c>
      <c r="D13" s="2">
        <f>IF(Table2[[#This Row],[Journal Description]]="","",VLOOKUP(Table2[[#This Row],[Journal Description]],'Lookup Values'!$A$2:$B$5,2,FALSE))</f>
        <v>82</v>
      </c>
      <c r="E13" t="s">
        <v>12</v>
      </c>
      <c r="F13" t="s">
        <v>33</v>
      </c>
      <c r="G13" t="s">
        <v>15</v>
      </c>
    </row>
    <row r="14" spans="1:7" x14ac:dyDescent="0.35">
      <c r="A14" t="s">
        <v>6</v>
      </c>
      <c r="B14" t="s">
        <v>72</v>
      </c>
      <c r="C14" s="16">
        <v>1</v>
      </c>
      <c r="D14" s="2" t="e">
        <f>IF(Table2[[#This Row],[Journal Description]]="","",VLOOKUP(Table2[[#This Row],[Journal Description]],'Lookup Values'!$A$2:$B$5,2,FALSE))</f>
        <v>#N/A</v>
      </c>
      <c r="E14" t="s">
        <v>12</v>
      </c>
      <c r="F14" t="s">
        <v>20</v>
      </c>
      <c r="G14" t="s">
        <v>16</v>
      </c>
    </row>
    <row r="15" spans="1:7" x14ac:dyDescent="0.35">
      <c r="A15" t="s">
        <v>23</v>
      </c>
      <c r="B15" t="s">
        <v>24</v>
      </c>
      <c r="C15" s="16">
        <v>1</v>
      </c>
      <c r="D15" s="2">
        <f>IF(Table2[[#This Row],[Journal Description]]="","",VLOOKUP(Table2[[#This Row],[Journal Description]],'Lookup Values'!$A$2:$B$5,2,FALSE))</f>
        <v>82</v>
      </c>
      <c r="E15" t="s">
        <v>22</v>
      </c>
      <c r="F15" t="s">
        <v>33</v>
      </c>
      <c r="G15" t="s">
        <v>17</v>
      </c>
    </row>
    <row r="16" spans="1:7" x14ac:dyDescent="0.35">
      <c r="A16" t="s">
        <v>23</v>
      </c>
      <c r="B16" t="s">
        <v>24</v>
      </c>
      <c r="C16" s="16">
        <v>1</v>
      </c>
      <c r="D16" s="2" t="e">
        <f>IF(Table2[[#This Row],[Journal Description]]="","",VLOOKUP(Table2[[#This Row],[Journal Description]],'Lookup Values'!$A$2:$B$5,2,FALSE))</f>
        <v>#N/A</v>
      </c>
      <c r="E16" t="s">
        <v>22</v>
      </c>
      <c r="F16" t="s">
        <v>20</v>
      </c>
      <c r="G16" t="s">
        <v>18</v>
      </c>
    </row>
    <row r="17" spans="1:7" x14ac:dyDescent="0.35">
      <c r="A17" t="s">
        <v>25</v>
      </c>
      <c r="B17" t="s">
        <v>26</v>
      </c>
      <c r="C17" s="16">
        <v>1</v>
      </c>
      <c r="D17" s="2">
        <f>IF(Table2[[#This Row],[Journal Description]]="","",VLOOKUP(Table2[[#This Row],[Journal Description]],'Lookup Values'!$A$2:$B$5,2,FALSE))</f>
        <v>82</v>
      </c>
      <c r="E17" t="s">
        <v>21</v>
      </c>
      <c r="F17" t="s">
        <v>33</v>
      </c>
      <c r="G17" t="s">
        <v>32</v>
      </c>
    </row>
    <row r="18" spans="1:7" x14ac:dyDescent="0.35">
      <c r="A18" t="s">
        <v>25</v>
      </c>
      <c r="B18" t="s">
        <v>26</v>
      </c>
      <c r="C18" s="16">
        <v>1</v>
      </c>
      <c r="D18" s="2">
        <f>IF(Table2[[#This Row],[Journal Description]]="","",VLOOKUP(Table2[[#This Row],[Journal Description]],'Lookup Values'!$A$2:$B$5,2,FALSE))</f>
        <v>82</v>
      </c>
      <c r="E18" t="s">
        <v>21</v>
      </c>
      <c r="F18" t="s">
        <v>33</v>
      </c>
      <c r="G18" t="s">
        <v>19</v>
      </c>
    </row>
    <row r="19" spans="1:7" x14ac:dyDescent="0.35">
      <c r="D19" s="2" t="e">
        <f>IF(#REF!="","",VLOOKUP(#REF!,'Lookup Values'!$A$2:$B$5,2,FALSE))</f>
        <v>#REF!</v>
      </c>
    </row>
    <row r="20" spans="1:7" x14ac:dyDescent="0.35">
      <c r="D20" s="2" t="e">
        <f>IF(#REF!="","",VLOOKUP(#REF!,'Lookup Values'!$A$2:$B$5,2,FALSE))</f>
        <v>#REF!</v>
      </c>
    </row>
    <row r="21" spans="1:7" x14ac:dyDescent="0.35">
      <c r="D21" s="2" t="e">
        <f>IF(#REF!="","",VLOOKUP(#REF!,'Lookup Values'!$A$2:$B$5,2,FALSE))</f>
        <v>#REF!</v>
      </c>
    </row>
    <row r="22" spans="1:7" x14ac:dyDescent="0.35">
      <c r="D22" s="2" t="e">
        <f>IF(#REF!="","",VLOOKUP(#REF!,'Lookup Values'!$A$2:$B$5,2,FALSE))</f>
        <v>#REF!</v>
      </c>
    </row>
    <row r="23" spans="1:7" x14ac:dyDescent="0.35">
      <c r="D23" s="2" t="e">
        <f>IF(#REF!="","",VLOOKUP(#REF!,'Lookup Values'!$A$2:$B$5,2,FALSE))</f>
        <v>#REF!</v>
      </c>
    </row>
    <row r="24" spans="1:7" x14ac:dyDescent="0.35">
      <c r="D24" s="2" t="e">
        <f>IF(#REF!="","",VLOOKUP(#REF!,'Lookup Values'!$A$2:$B$5,2,FALSE))</f>
        <v>#REF!</v>
      </c>
    </row>
    <row r="25" spans="1:7" x14ac:dyDescent="0.35">
      <c r="D25" s="2" t="e">
        <f>IF(#REF!="","",VLOOKUP(#REF!,'Lookup Values'!$A$2:$B$5,2,FALSE))</f>
        <v>#REF!</v>
      </c>
    </row>
    <row r="26" spans="1:7" x14ac:dyDescent="0.35">
      <c r="D26" s="2" t="e">
        <f>IF(#REF!="","",VLOOKUP(#REF!,'Lookup Values'!$A$2:$B$5,2,FALSE))</f>
        <v>#REF!</v>
      </c>
    </row>
    <row r="27" spans="1:7" x14ac:dyDescent="0.35">
      <c r="D27" s="2" t="e">
        <f>IF(#REF!="","",VLOOKUP(#REF!,'Lookup Values'!$A$2:$B$5,2,FALSE))</f>
        <v>#REF!</v>
      </c>
    </row>
    <row r="28" spans="1:7" x14ac:dyDescent="0.35">
      <c r="D28" s="2" t="e">
        <f>IF(#REF!="","",VLOOKUP(#REF!,'Lookup Values'!$A$2:$B$5,2,FALSE))</f>
        <v>#REF!</v>
      </c>
    </row>
    <row r="29" spans="1:7" x14ac:dyDescent="0.35">
      <c r="D29" s="2" t="e">
        <f>IF(#REF!="","",VLOOKUP(#REF!,'Lookup Values'!$A$2:$B$5,2,FALSE))</f>
        <v>#REF!</v>
      </c>
    </row>
    <row r="30" spans="1:7" x14ac:dyDescent="0.35">
      <c r="D30" s="2" t="e">
        <f>IF(#REF!="","",VLOOKUP(#REF!,'Lookup Values'!$A$2:$B$5,2,FALSE))</f>
        <v>#REF!</v>
      </c>
    </row>
    <row r="31" spans="1:7" x14ac:dyDescent="0.35">
      <c r="D31" s="2" t="e">
        <f>IF(#REF!="","",VLOOKUP(#REF!,'Lookup Values'!$A$2:$B$5,2,FALSE))</f>
        <v>#REF!</v>
      </c>
    </row>
    <row r="32" spans="1:7" x14ac:dyDescent="0.35">
      <c r="D32" s="2" t="e">
        <f>IF(#REF!="","",VLOOKUP(#REF!,'Lookup Values'!$A$2:$B$5,2,FALSE))</f>
        <v>#REF!</v>
      </c>
    </row>
    <row r="33" spans="4:4" x14ac:dyDescent="0.35">
      <c r="D33" s="2" t="e">
        <f>IF(#REF!="","",VLOOKUP(#REF!,'Lookup Values'!$A$2:$B$5,2,FALSE))</f>
        <v>#REF!</v>
      </c>
    </row>
    <row r="34" spans="4:4" x14ac:dyDescent="0.35">
      <c r="D34" s="2" t="e">
        <f>IF(#REF!="","",VLOOKUP(#REF!,'Lookup Values'!$A$2:$B$5,2,FALSE))</f>
        <v>#REF!</v>
      </c>
    </row>
    <row r="35" spans="4:4" x14ac:dyDescent="0.35">
      <c r="D35" s="2" t="e">
        <f>IF(#REF!="","",VLOOKUP(#REF!,'Lookup Values'!$A$2:$B$5,2,FALSE))</f>
        <v>#REF!</v>
      </c>
    </row>
    <row r="36" spans="4:4" x14ac:dyDescent="0.35">
      <c r="D36" s="2" t="e">
        <f>IF(#REF!="","",VLOOKUP(#REF!,'Lookup Values'!$A$2:$B$5,2,FALSE))</f>
        <v>#REF!</v>
      </c>
    </row>
    <row r="37" spans="4:4" x14ac:dyDescent="0.35">
      <c r="D37" s="2" t="e">
        <f>IF(#REF!="","",VLOOKUP(#REF!,'Lookup Values'!$A$2:$B$5,2,FALSE))</f>
        <v>#REF!</v>
      </c>
    </row>
    <row r="38" spans="4:4" x14ac:dyDescent="0.35">
      <c r="D38" s="2" t="e">
        <f>IF(#REF!="","",VLOOKUP(#REF!,'Lookup Values'!$A$2:$B$5,2,FALSE))</f>
        <v>#REF!</v>
      </c>
    </row>
    <row r="39" spans="4:4" x14ac:dyDescent="0.35">
      <c r="D39" s="2" t="e">
        <f>IF(#REF!="","",VLOOKUP(#REF!,'Lookup Values'!$A$2:$B$5,2,FALSE))</f>
        <v>#REF!</v>
      </c>
    </row>
    <row r="40" spans="4:4" x14ac:dyDescent="0.35">
      <c r="D40" s="2" t="e">
        <f>IF(#REF!="","",VLOOKUP(#REF!,'Lookup Values'!$A$2:$B$5,2,FALSE))</f>
        <v>#REF!</v>
      </c>
    </row>
    <row r="41" spans="4:4" x14ac:dyDescent="0.35">
      <c r="D41" s="2" t="e">
        <f>IF(#REF!="","",VLOOKUP(#REF!,'Lookup Values'!$A$2:$B$5,2,FALSE))</f>
        <v>#REF!</v>
      </c>
    </row>
    <row r="42" spans="4:4" x14ac:dyDescent="0.35">
      <c r="D42" s="2" t="e">
        <f>IF(#REF!="","",VLOOKUP(#REF!,'Lookup Values'!$A$2:$B$5,2,FALSE))</f>
        <v>#REF!</v>
      </c>
    </row>
    <row r="43" spans="4:4" x14ac:dyDescent="0.35">
      <c r="D43" s="2" t="e">
        <f>IF(#REF!="","",VLOOKUP(#REF!,'Lookup Values'!$A$2:$B$5,2,FALSE))</f>
        <v>#REF!</v>
      </c>
    </row>
    <row r="44" spans="4:4" x14ac:dyDescent="0.35">
      <c r="D44" s="2" t="e">
        <f>IF(#REF!="","",VLOOKUP(#REF!,'Lookup Values'!$A$2:$B$5,2,FALSE))</f>
        <v>#REF!</v>
      </c>
    </row>
    <row r="45" spans="4:4" x14ac:dyDescent="0.35">
      <c r="D45" s="2" t="e">
        <f>IF(#REF!="","",VLOOKUP(#REF!,'Lookup Values'!$A$2:$B$5,2,FALSE))</f>
        <v>#REF!</v>
      </c>
    </row>
    <row r="46" spans="4:4" x14ac:dyDescent="0.35">
      <c r="D46" s="2" t="e">
        <f>IF(#REF!="","",VLOOKUP(#REF!,'Lookup Values'!$A$2:$B$5,2,FALSE))</f>
        <v>#REF!</v>
      </c>
    </row>
    <row r="47" spans="4:4" x14ac:dyDescent="0.35">
      <c r="D47" s="2" t="e">
        <f>IF(#REF!="","",VLOOKUP(#REF!,'Lookup Values'!$A$2:$B$5,2,FALSE))</f>
        <v>#REF!</v>
      </c>
    </row>
    <row r="48" spans="4:4" x14ac:dyDescent="0.35">
      <c r="D48" s="2" t="e">
        <f>IF(#REF!="","",VLOOKUP(#REF!,'Lookup Values'!$A$2:$B$5,2,FALSE))</f>
        <v>#REF!</v>
      </c>
    </row>
    <row r="49" spans="4:4" x14ac:dyDescent="0.35">
      <c r="D49" s="2" t="e">
        <f>IF(#REF!="","",VLOOKUP(#REF!,'Lookup Values'!$A$2:$B$5,2,FALSE))</f>
        <v>#REF!</v>
      </c>
    </row>
    <row r="50" spans="4:4" x14ac:dyDescent="0.35">
      <c r="D50" s="2" t="e">
        <f>IF(#REF!="","",VLOOKUP(#REF!,'Lookup Values'!$A$2:$B$5,2,FALSE))</f>
        <v>#REF!</v>
      </c>
    </row>
    <row r="51" spans="4:4" x14ac:dyDescent="0.35">
      <c r="D51" s="2" t="e">
        <f>IF(#REF!="","",VLOOKUP(#REF!,'Lookup Values'!$A$2:$B$5,2,FALSE))</f>
        <v>#REF!</v>
      </c>
    </row>
    <row r="52" spans="4:4" x14ac:dyDescent="0.35">
      <c r="D52" s="2" t="e">
        <f>IF(#REF!="","",VLOOKUP(#REF!,'Lookup Values'!$A$2:$B$5,2,FALSE))</f>
        <v>#REF!</v>
      </c>
    </row>
    <row r="53" spans="4:4" x14ac:dyDescent="0.35">
      <c r="D53" s="2" t="e">
        <f>IF(#REF!="","",VLOOKUP(#REF!,'Lookup Values'!$A$2:$B$5,2,FALSE))</f>
        <v>#REF!</v>
      </c>
    </row>
    <row r="54" spans="4:4" x14ac:dyDescent="0.35">
      <c r="D54" s="2" t="e">
        <f>IF(#REF!="","",VLOOKUP(#REF!,'Lookup Values'!$A$2:$B$5,2,FALSE))</f>
        <v>#REF!</v>
      </c>
    </row>
    <row r="55" spans="4:4" x14ac:dyDescent="0.35">
      <c r="D55" s="2" t="e">
        <f>IF(#REF!="","",VLOOKUP(#REF!,'Lookup Values'!$A$2:$B$5,2,FALSE))</f>
        <v>#REF!</v>
      </c>
    </row>
    <row r="56" spans="4:4" x14ac:dyDescent="0.35">
      <c r="D56" s="2" t="e">
        <f>IF(#REF!="","",VLOOKUP(#REF!,'Lookup Values'!$A$2:$B$5,2,FALSE))</f>
        <v>#REF!</v>
      </c>
    </row>
    <row r="57" spans="4:4" x14ac:dyDescent="0.35">
      <c r="D57" s="2" t="e">
        <f>IF(#REF!="","",VLOOKUP(#REF!,'Lookup Values'!$A$2:$B$5,2,FALSE))</f>
        <v>#REF!</v>
      </c>
    </row>
    <row r="58" spans="4:4" x14ac:dyDescent="0.35">
      <c r="D58" s="2" t="e">
        <f>IF(#REF!="","",VLOOKUP(#REF!,'Lookup Values'!$A$2:$B$5,2,FALSE))</f>
        <v>#REF!</v>
      </c>
    </row>
    <row r="59" spans="4:4" x14ac:dyDescent="0.35">
      <c r="D59" s="2" t="e">
        <f>IF(#REF!="","",VLOOKUP(#REF!,'Lookup Values'!$A$2:$B$5,2,FALSE))</f>
        <v>#REF!</v>
      </c>
    </row>
    <row r="60" spans="4:4" x14ac:dyDescent="0.35">
      <c r="D60" s="2" t="e">
        <f>IF(#REF!="","",VLOOKUP(#REF!,'Lookup Values'!$A$2:$B$5,2,FALSE))</f>
        <v>#REF!</v>
      </c>
    </row>
    <row r="61" spans="4:4" x14ac:dyDescent="0.35">
      <c r="D61" s="2" t="e">
        <f>IF(#REF!="","",VLOOKUP(#REF!,'Lookup Values'!$A$2:$B$5,2,FALSE))</f>
        <v>#REF!</v>
      </c>
    </row>
    <row r="62" spans="4:4" x14ac:dyDescent="0.35">
      <c r="D62" s="2" t="e">
        <f>IF(#REF!="","",VLOOKUP(#REF!,'Lookup Values'!$A$2:$B$5,2,FALSE))</f>
        <v>#REF!</v>
      </c>
    </row>
    <row r="63" spans="4:4" x14ac:dyDescent="0.35">
      <c r="D63" s="2" t="e">
        <f>IF(#REF!="","",VLOOKUP(#REF!,'Lookup Values'!$A$2:$B$5,2,FALSE))</f>
        <v>#REF!</v>
      </c>
    </row>
    <row r="64" spans="4:4" x14ac:dyDescent="0.35">
      <c r="D64" s="2" t="e">
        <f>IF(#REF!="","",VLOOKUP(#REF!,'Lookup Values'!$A$2:$B$5,2,FALSE))</f>
        <v>#REF!</v>
      </c>
    </row>
    <row r="65" spans="4:4" x14ac:dyDescent="0.35">
      <c r="D65" s="2" t="e">
        <f>IF(#REF!="","",VLOOKUP(#REF!,'Lookup Values'!$A$2:$B$5,2,FALSE))</f>
        <v>#REF!</v>
      </c>
    </row>
    <row r="66" spans="4:4" x14ac:dyDescent="0.35">
      <c r="D66" s="2" t="e">
        <f>IF(#REF!="","",VLOOKUP(#REF!,'Lookup Values'!$A$2:$B$5,2,FALSE))</f>
        <v>#REF!</v>
      </c>
    </row>
    <row r="67" spans="4:4" x14ac:dyDescent="0.35">
      <c r="D67" s="2" t="e">
        <f>IF(#REF!="","",VLOOKUP(#REF!,'Lookup Values'!$A$2:$B$5,2,FALSE))</f>
        <v>#REF!</v>
      </c>
    </row>
    <row r="68" spans="4:4" x14ac:dyDescent="0.35">
      <c r="D68" s="2" t="e">
        <f>IF(#REF!="","",VLOOKUP(#REF!,'Lookup Values'!$A$2:$B$5,2,FALSE))</f>
        <v>#REF!</v>
      </c>
    </row>
    <row r="69" spans="4:4" x14ac:dyDescent="0.35">
      <c r="D69" s="2" t="e">
        <f>IF(#REF!="","",VLOOKUP(#REF!,'Lookup Values'!$A$2:$B$5,2,FALSE))</f>
        <v>#REF!</v>
      </c>
    </row>
    <row r="70" spans="4:4" x14ac:dyDescent="0.35">
      <c r="D70" s="2" t="e">
        <f>IF(#REF!="","",VLOOKUP(#REF!,'Lookup Values'!$A$2:$B$5,2,FALSE))</f>
        <v>#REF!</v>
      </c>
    </row>
    <row r="71" spans="4:4" x14ac:dyDescent="0.35">
      <c r="D71" s="2" t="e">
        <f>IF(#REF!="","",VLOOKUP(#REF!,'Lookup Values'!$A$2:$B$5,2,FALSE))</f>
        <v>#REF!</v>
      </c>
    </row>
    <row r="72" spans="4:4" x14ac:dyDescent="0.35">
      <c r="D72" s="2" t="e">
        <f>IF(#REF!="","",VLOOKUP(#REF!,'Lookup Values'!$A$2:$B$5,2,FALSE))</f>
        <v>#REF!</v>
      </c>
    </row>
    <row r="73" spans="4:4" x14ac:dyDescent="0.35">
      <c r="D73" s="2" t="e">
        <f>IF(#REF!="","",VLOOKUP(#REF!,'Lookup Values'!$A$2:$B$5,2,FALSE))</f>
        <v>#REF!</v>
      </c>
    </row>
    <row r="74" spans="4:4" x14ac:dyDescent="0.35">
      <c r="D74" s="2" t="e">
        <f>IF(#REF!="","",VLOOKUP(#REF!,'Lookup Values'!$A$2:$B$5,2,FALSE))</f>
        <v>#REF!</v>
      </c>
    </row>
    <row r="75" spans="4:4" x14ac:dyDescent="0.35">
      <c r="D75" s="2" t="e">
        <f>IF(#REF!="","",VLOOKUP(#REF!,'Lookup Values'!$A$2:$B$5,2,FALSE))</f>
        <v>#REF!</v>
      </c>
    </row>
    <row r="76" spans="4:4" x14ac:dyDescent="0.35">
      <c r="D76" s="2" t="e">
        <f>IF(#REF!="","",VLOOKUP(#REF!,'Lookup Values'!$A$2:$B$5,2,FALSE))</f>
        <v>#REF!</v>
      </c>
    </row>
    <row r="77" spans="4:4" x14ac:dyDescent="0.35">
      <c r="D77" s="2" t="e">
        <f>IF(#REF!="","",VLOOKUP(#REF!,'Lookup Values'!$A$2:$B$5,2,FALSE))</f>
        <v>#REF!</v>
      </c>
    </row>
    <row r="78" spans="4:4" x14ac:dyDescent="0.35">
      <c r="D78" s="2" t="e">
        <f>IF(#REF!="","",VLOOKUP(#REF!,'Lookup Values'!$A$2:$B$5,2,FALSE))</f>
        <v>#REF!</v>
      </c>
    </row>
    <row r="79" spans="4:4" x14ac:dyDescent="0.35">
      <c r="D79" s="2" t="e">
        <f>IF(#REF!="","",VLOOKUP(#REF!,'Lookup Values'!$A$2:$B$5,2,FALSE))</f>
        <v>#REF!</v>
      </c>
    </row>
    <row r="80" spans="4:4" x14ac:dyDescent="0.35">
      <c r="D80" s="2" t="e">
        <f>IF(#REF!="","",VLOOKUP(#REF!,'Lookup Values'!$A$2:$B$5,2,FALSE))</f>
        <v>#REF!</v>
      </c>
    </row>
    <row r="81" spans="4:4" x14ac:dyDescent="0.35">
      <c r="D81" s="2" t="e">
        <f>IF(#REF!="","",VLOOKUP(#REF!,'Lookup Values'!$A$2:$B$5,2,FALSE))</f>
        <v>#REF!</v>
      </c>
    </row>
    <row r="82" spans="4:4" x14ac:dyDescent="0.35">
      <c r="D82" s="2" t="e">
        <f>IF(#REF!="","",VLOOKUP(#REF!,'Lookup Values'!$A$2:$B$5,2,FALSE))</f>
        <v>#REF!</v>
      </c>
    </row>
    <row r="83" spans="4:4" x14ac:dyDescent="0.35">
      <c r="D83" s="2" t="e">
        <f>IF(#REF!="","",VLOOKUP(#REF!,'Lookup Values'!$A$2:$B$5,2,FALSE))</f>
        <v>#REF!</v>
      </c>
    </row>
    <row r="84" spans="4:4" x14ac:dyDescent="0.35">
      <c r="D84" s="2" t="e">
        <f>IF(#REF!="","",VLOOKUP(#REF!,'Lookup Values'!$A$2:$B$5,2,FALSE))</f>
        <v>#REF!</v>
      </c>
    </row>
    <row r="85" spans="4:4" x14ac:dyDescent="0.35">
      <c r="D85" s="2" t="e">
        <f>IF(#REF!="","",VLOOKUP(#REF!,'Lookup Values'!$A$2:$B$5,2,FALSE))</f>
        <v>#REF!</v>
      </c>
    </row>
    <row r="86" spans="4:4" x14ac:dyDescent="0.35">
      <c r="D86" s="2" t="e">
        <f>IF(#REF!="","",VLOOKUP(#REF!,'Lookup Values'!$A$2:$B$5,2,FALSE))</f>
        <v>#REF!</v>
      </c>
    </row>
    <row r="87" spans="4:4" x14ac:dyDescent="0.35">
      <c r="D87" s="2" t="e">
        <f>IF(#REF!="","",VLOOKUP(#REF!,'Lookup Values'!$A$2:$B$5,2,FALSE))</f>
        <v>#REF!</v>
      </c>
    </row>
    <row r="88" spans="4:4" x14ac:dyDescent="0.35">
      <c r="D88" s="2" t="e">
        <f>IF(#REF!="","",VLOOKUP(#REF!,'Lookup Values'!$A$2:$B$5,2,FALSE))</f>
        <v>#REF!</v>
      </c>
    </row>
    <row r="89" spans="4:4" x14ac:dyDescent="0.35">
      <c r="D89" s="2" t="e">
        <f>IF(#REF!="","",VLOOKUP(#REF!,'Lookup Values'!$A$2:$B$5,2,FALSE))</f>
        <v>#REF!</v>
      </c>
    </row>
    <row r="90" spans="4:4" x14ac:dyDescent="0.35">
      <c r="D90" s="2" t="e">
        <f>IF(#REF!="","",VLOOKUP(#REF!,'Lookup Values'!$A$2:$B$5,2,FALSE))</f>
        <v>#REF!</v>
      </c>
    </row>
    <row r="91" spans="4:4" x14ac:dyDescent="0.35">
      <c r="D91" s="2" t="e">
        <f>IF(#REF!="","",VLOOKUP(#REF!,'Lookup Values'!$A$2:$B$5,2,FALSE))</f>
        <v>#REF!</v>
      </c>
    </row>
    <row r="92" spans="4:4" x14ac:dyDescent="0.35">
      <c r="D92" s="2" t="e">
        <f>IF(#REF!="","",VLOOKUP(#REF!,'Lookup Values'!$A$2:$B$5,2,FALSE))</f>
        <v>#REF!</v>
      </c>
    </row>
    <row r="93" spans="4:4" x14ac:dyDescent="0.35">
      <c r="D93" s="2" t="e">
        <f>IF(#REF!="","",VLOOKUP(#REF!,'Lookup Values'!$A$2:$B$5,2,FALSE))</f>
        <v>#REF!</v>
      </c>
    </row>
    <row r="94" spans="4:4" x14ac:dyDescent="0.35">
      <c r="D94" s="2" t="e">
        <f>IF(#REF!="","",VLOOKUP(#REF!,'Lookup Values'!$A$2:$B$5,2,FALSE))</f>
        <v>#REF!</v>
      </c>
    </row>
    <row r="95" spans="4:4" x14ac:dyDescent="0.35">
      <c r="D95" s="2" t="e">
        <f>IF(#REF!="","",VLOOKUP(#REF!,'Lookup Values'!$A$2:$B$5,2,FALSE))</f>
        <v>#REF!</v>
      </c>
    </row>
    <row r="96" spans="4:4" x14ac:dyDescent="0.35">
      <c r="D96" s="2" t="e">
        <f>IF(#REF!="","",VLOOKUP(#REF!,'Lookup Values'!$A$2:$B$5,2,FALSE))</f>
        <v>#REF!</v>
      </c>
    </row>
    <row r="97" spans="4:4" x14ac:dyDescent="0.35">
      <c r="D97" s="2" t="e">
        <f>IF(#REF!="","",VLOOKUP(#REF!,'Lookup Values'!$A$2:$B$5,2,FALSE))</f>
        <v>#REF!</v>
      </c>
    </row>
    <row r="98" spans="4:4" x14ac:dyDescent="0.35">
      <c r="D98" s="2" t="e">
        <f>IF(#REF!="","",VLOOKUP(#REF!,'Lookup Values'!$A$2:$B$5,2,FALSE))</f>
        <v>#REF!</v>
      </c>
    </row>
    <row r="99" spans="4:4" x14ac:dyDescent="0.35">
      <c r="D99" s="2" t="e">
        <f>IF(#REF!="","",VLOOKUP(#REF!,'Lookup Values'!$A$2:$B$5,2,FALSE))</f>
        <v>#REF!</v>
      </c>
    </row>
    <row r="100" spans="4:4" x14ac:dyDescent="0.35">
      <c r="D100" s="2" t="e">
        <f>IF(#REF!="","",VLOOKUP(#REF!,'Lookup Values'!$A$2:$B$5,2,FALSE))</f>
        <v>#REF!</v>
      </c>
    </row>
    <row r="101" spans="4:4" x14ac:dyDescent="0.35">
      <c r="D101" s="2" t="e">
        <f>IF(#REF!="","",VLOOKUP(#REF!,'Lookup Values'!$A$2:$B$5,2,FALSE))</f>
        <v>#REF!</v>
      </c>
    </row>
    <row r="102" spans="4:4" x14ac:dyDescent="0.35">
      <c r="D102" s="2" t="e">
        <f>IF(#REF!="","",VLOOKUP(#REF!,'Lookup Values'!$A$2:$B$5,2,FALSE))</f>
        <v>#REF!</v>
      </c>
    </row>
    <row r="103" spans="4:4" x14ac:dyDescent="0.35">
      <c r="D103" s="2" t="e">
        <f>IF(#REF!="","",VLOOKUP(#REF!,'Lookup Values'!$A$2:$B$5,2,FALSE))</f>
        <v>#REF!</v>
      </c>
    </row>
    <row r="104" spans="4:4" x14ac:dyDescent="0.35">
      <c r="D104" s="2" t="e">
        <f>IF(#REF!="","",VLOOKUP(#REF!,'Lookup Values'!$A$2:$B$5,2,FALSE))</f>
        <v>#REF!</v>
      </c>
    </row>
    <row r="105" spans="4:4" x14ac:dyDescent="0.35">
      <c r="D105" s="2" t="e">
        <f>IF(#REF!="","",VLOOKUP(#REF!,'Lookup Values'!$A$2:$B$5,2,FALSE))</f>
        <v>#REF!</v>
      </c>
    </row>
    <row r="106" spans="4:4" x14ac:dyDescent="0.35">
      <c r="D106" s="2" t="e">
        <f>IF(#REF!="","",VLOOKUP(#REF!,'Lookup Values'!$A$2:$B$5,2,FALSE))</f>
        <v>#REF!</v>
      </c>
    </row>
    <row r="107" spans="4:4" x14ac:dyDescent="0.35">
      <c r="D107" s="2" t="e">
        <f>IF(#REF!="","",VLOOKUP(#REF!,'Lookup Values'!$A$2:$B$5,2,FALSE))</f>
        <v>#REF!</v>
      </c>
    </row>
    <row r="108" spans="4:4" x14ac:dyDescent="0.35">
      <c r="D108" s="2" t="e">
        <f>IF(#REF!="","",VLOOKUP(#REF!,'Lookup Values'!$A$2:$B$5,2,FALSE))</f>
        <v>#REF!</v>
      </c>
    </row>
    <row r="109" spans="4:4" x14ac:dyDescent="0.35">
      <c r="D109" s="2" t="e">
        <f>IF(#REF!="","",VLOOKUP(#REF!,'Lookup Values'!$A$2:$B$5,2,FALSE))</f>
        <v>#REF!</v>
      </c>
    </row>
    <row r="110" spans="4:4" x14ac:dyDescent="0.35">
      <c r="D110" s="2" t="e">
        <f>IF(#REF!="","",VLOOKUP(#REF!,'Lookup Values'!$A$2:$B$5,2,FALSE))</f>
        <v>#REF!</v>
      </c>
    </row>
    <row r="111" spans="4:4" x14ac:dyDescent="0.35">
      <c r="D111" s="2" t="e">
        <f>IF(#REF!="","",VLOOKUP(#REF!,'Lookup Values'!$A$2:$B$5,2,FALSE))</f>
        <v>#REF!</v>
      </c>
    </row>
    <row r="112" spans="4:4" x14ac:dyDescent="0.35">
      <c r="D112" s="2" t="e">
        <f>IF(#REF!="","",VLOOKUP(#REF!,'Lookup Values'!$A$2:$B$5,2,FALSE))</f>
        <v>#REF!</v>
      </c>
    </row>
    <row r="113" spans="4:4" x14ac:dyDescent="0.35">
      <c r="D113" s="2" t="e">
        <f>IF(#REF!="","",VLOOKUP(#REF!,'Lookup Values'!$A$2:$B$5,2,FALSE))</f>
        <v>#REF!</v>
      </c>
    </row>
    <row r="114" spans="4:4" x14ac:dyDescent="0.35">
      <c r="D114" s="2" t="e">
        <f>IF(#REF!="","",VLOOKUP(#REF!,'Lookup Values'!$A$2:$B$5,2,FALSE))</f>
        <v>#REF!</v>
      </c>
    </row>
    <row r="115" spans="4:4" x14ac:dyDescent="0.35">
      <c r="D115" s="2" t="e">
        <f>IF(#REF!="","",VLOOKUP(#REF!,'Lookup Values'!$A$2:$B$5,2,FALSE))</f>
        <v>#REF!</v>
      </c>
    </row>
    <row r="116" spans="4:4" x14ac:dyDescent="0.35">
      <c r="D116" s="2" t="e">
        <f>IF(#REF!="","",VLOOKUP(#REF!,'Lookup Values'!$A$2:$B$5,2,FALSE))</f>
        <v>#REF!</v>
      </c>
    </row>
    <row r="117" spans="4:4" x14ac:dyDescent="0.35">
      <c r="D117" s="2" t="e">
        <f>IF(#REF!="","",VLOOKUP(#REF!,'Lookup Values'!$A$2:$B$5,2,FALSE))</f>
        <v>#REF!</v>
      </c>
    </row>
    <row r="118" spans="4:4" x14ac:dyDescent="0.35">
      <c r="D118" s="2" t="e">
        <f>IF(#REF!="","",VLOOKUP(#REF!,'Lookup Values'!$A$2:$B$5,2,FALSE))</f>
        <v>#REF!</v>
      </c>
    </row>
    <row r="119" spans="4:4" x14ac:dyDescent="0.35">
      <c r="D119" s="2" t="e">
        <f>IF(#REF!="","",VLOOKUP(#REF!,'Lookup Values'!$A$2:$B$5,2,FALSE))</f>
        <v>#REF!</v>
      </c>
    </row>
    <row r="120" spans="4:4" x14ac:dyDescent="0.35">
      <c r="D120" s="2" t="e">
        <f>IF(#REF!="","",VLOOKUP(#REF!,'Lookup Values'!$A$2:$B$5,2,FALSE))</f>
        <v>#REF!</v>
      </c>
    </row>
    <row r="121" spans="4:4" x14ac:dyDescent="0.35">
      <c r="D121" s="2" t="e">
        <f>IF(#REF!="","",VLOOKUP(#REF!,'Lookup Values'!$A$2:$B$5,2,FALSE))</f>
        <v>#REF!</v>
      </c>
    </row>
    <row r="122" spans="4:4" x14ac:dyDescent="0.35">
      <c r="D122" s="2" t="e">
        <f>IF(#REF!="","",VLOOKUP(#REF!,'Lookup Values'!$A$2:$B$5,2,FALSE))</f>
        <v>#REF!</v>
      </c>
    </row>
    <row r="123" spans="4:4" x14ac:dyDescent="0.35">
      <c r="D123" s="2" t="e">
        <f>IF(#REF!="","",VLOOKUP(#REF!,'Lookup Values'!$A$2:$B$5,2,FALSE))</f>
        <v>#REF!</v>
      </c>
    </row>
    <row r="124" spans="4:4" x14ac:dyDescent="0.35">
      <c r="D124" s="2" t="e">
        <f>IF(#REF!="","",VLOOKUP(#REF!,'Lookup Values'!$A$2:$B$5,2,FALSE))</f>
        <v>#REF!</v>
      </c>
    </row>
    <row r="125" spans="4:4" x14ac:dyDescent="0.35">
      <c r="D125" s="2" t="e">
        <f>IF(#REF!="","",VLOOKUP(#REF!,'Lookup Values'!$A$2:$B$5,2,FALSE))</f>
        <v>#REF!</v>
      </c>
    </row>
    <row r="126" spans="4:4" x14ac:dyDescent="0.35">
      <c r="D126" s="2" t="e">
        <f>IF(#REF!="","",VLOOKUP(#REF!,'Lookup Values'!$A$2:$B$5,2,FALSE))</f>
        <v>#REF!</v>
      </c>
    </row>
    <row r="127" spans="4:4" x14ac:dyDescent="0.35">
      <c r="D127" s="2" t="e">
        <f>IF(#REF!="","",VLOOKUP(#REF!,'Lookup Values'!$A$2:$B$5,2,FALSE))</f>
        <v>#REF!</v>
      </c>
    </row>
    <row r="128" spans="4:4" x14ac:dyDescent="0.35">
      <c r="D128" s="2" t="e">
        <f>IF(#REF!="","",VLOOKUP(#REF!,'Lookup Values'!$A$2:$B$5,2,FALSE))</f>
        <v>#REF!</v>
      </c>
    </row>
    <row r="129" spans="4:4" x14ac:dyDescent="0.35">
      <c r="D129" s="2" t="e">
        <f>IF(#REF!="","",VLOOKUP(#REF!,'Lookup Values'!$A$2:$B$5,2,FALSE))</f>
        <v>#REF!</v>
      </c>
    </row>
    <row r="130" spans="4:4" x14ac:dyDescent="0.35">
      <c r="D130" s="2" t="e">
        <f>IF(#REF!="","",VLOOKUP(#REF!,'Lookup Values'!$A$2:$B$5,2,FALSE))</f>
        <v>#REF!</v>
      </c>
    </row>
    <row r="131" spans="4:4" x14ac:dyDescent="0.35">
      <c r="D131" s="2" t="e">
        <f>IF(#REF!="","",VLOOKUP(#REF!,'Lookup Values'!$A$2:$B$5,2,FALSE))</f>
        <v>#REF!</v>
      </c>
    </row>
    <row r="132" spans="4:4" x14ac:dyDescent="0.35">
      <c r="D132" s="2" t="e">
        <f>IF(#REF!="","",VLOOKUP(#REF!,'Lookup Values'!$A$2:$B$5,2,FALSE))</f>
        <v>#REF!</v>
      </c>
    </row>
    <row r="133" spans="4:4" x14ac:dyDescent="0.35">
      <c r="D133" s="2" t="e">
        <f>IF(#REF!="","",VLOOKUP(#REF!,'Lookup Values'!$A$2:$B$5,2,FALSE))</f>
        <v>#REF!</v>
      </c>
    </row>
    <row r="134" spans="4:4" x14ac:dyDescent="0.35">
      <c r="D134" s="2" t="e">
        <f>IF(#REF!="","",VLOOKUP(#REF!,'Lookup Values'!$A$2:$B$5,2,FALSE))</f>
        <v>#REF!</v>
      </c>
    </row>
    <row r="135" spans="4:4" x14ac:dyDescent="0.35">
      <c r="D135" s="2" t="e">
        <f>IF(#REF!="","",VLOOKUP(#REF!,'Lookup Values'!$A$2:$B$5,2,FALSE))</f>
        <v>#REF!</v>
      </c>
    </row>
    <row r="136" spans="4:4" x14ac:dyDescent="0.35">
      <c r="D136" s="2" t="e">
        <f>IF(#REF!="","",VLOOKUP(#REF!,'Lookup Values'!$A$2:$B$5,2,FALSE))</f>
        <v>#REF!</v>
      </c>
    </row>
    <row r="137" spans="4:4" x14ac:dyDescent="0.35">
      <c r="D137" s="2" t="e">
        <f>IF(#REF!="","",VLOOKUP(#REF!,'Lookup Values'!$A$2:$B$5,2,FALSE))</f>
        <v>#REF!</v>
      </c>
    </row>
    <row r="138" spans="4:4" x14ac:dyDescent="0.35">
      <c r="D138" s="2" t="e">
        <f>IF(#REF!="","",VLOOKUP(#REF!,'Lookup Values'!$A$2:$B$5,2,FALSE))</f>
        <v>#REF!</v>
      </c>
    </row>
    <row r="139" spans="4:4" x14ac:dyDescent="0.35">
      <c r="D139" s="2" t="e">
        <f>IF(#REF!="","",VLOOKUP(#REF!,'Lookup Values'!$A$2:$B$5,2,FALSE))</f>
        <v>#REF!</v>
      </c>
    </row>
    <row r="140" spans="4:4" x14ac:dyDescent="0.35">
      <c r="D140" s="2" t="e">
        <f>IF(#REF!="","",VLOOKUP(#REF!,'Lookup Values'!$A$2:$B$5,2,FALSE))</f>
        <v>#REF!</v>
      </c>
    </row>
    <row r="141" spans="4:4" x14ac:dyDescent="0.35">
      <c r="D141" s="2" t="e">
        <f>IF(#REF!="","",VLOOKUP(#REF!,'Lookup Values'!$A$2:$B$5,2,FALSE))</f>
        <v>#REF!</v>
      </c>
    </row>
    <row r="142" spans="4:4" x14ac:dyDescent="0.35">
      <c r="D142" s="2" t="e">
        <f>IF(#REF!="","",VLOOKUP(#REF!,'Lookup Values'!$A$2:$B$5,2,FALSE))</f>
        <v>#REF!</v>
      </c>
    </row>
    <row r="143" spans="4:4" x14ac:dyDescent="0.35">
      <c r="D143" s="2" t="e">
        <f>IF(#REF!="","",VLOOKUP(#REF!,'Lookup Values'!$A$2:$B$5,2,FALSE))</f>
        <v>#REF!</v>
      </c>
    </row>
    <row r="144" spans="4:4" x14ac:dyDescent="0.35">
      <c r="D144" s="2" t="e">
        <f>IF(#REF!="","",VLOOKUP(#REF!,'Lookup Values'!$A$2:$B$5,2,FALSE))</f>
        <v>#REF!</v>
      </c>
    </row>
    <row r="145" spans="4:4" x14ac:dyDescent="0.35">
      <c r="D145" s="2" t="e">
        <f>IF(#REF!="","",VLOOKUP(#REF!,'Lookup Values'!$A$2:$B$5,2,FALSE))</f>
        <v>#REF!</v>
      </c>
    </row>
    <row r="146" spans="4:4" x14ac:dyDescent="0.35">
      <c r="D146" s="2" t="e">
        <f>IF(#REF!="","",VLOOKUP(#REF!,'Lookup Values'!$A$2:$B$5,2,FALSE))</f>
        <v>#REF!</v>
      </c>
    </row>
    <row r="147" spans="4:4" x14ac:dyDescent="0.35">
      <c r="D147" s="2" t="e">
        <f>IF(#REF!="","",VLOOKUP(#REF!,'Lookup Values'!$A$2:$B$5,2,FALSE))</f>
        <v>#REF!</v>
      </c>
    </row>
    <row r="148" spans="4:4" x14ac:dyDescent="0.35">
      <c r="D148" s="2" t="e">
        <f>IF(#REF!="","",VLOOKUP(#REF!,'Lookup Values'!$A$2:$B$5,2,FALSE))</f>
        <v>#REF!</v>
      </c>
    </row>
    <row r="149" spans="4:4" x14ac:dyDescent="0.35">
      <c r="D149" s="2" t="e">
        <f>IF(#REF!="","",VLOOKUP(#REF!,'Lookup Values'!$A$2:$B$5,2,FALSE))</f>
        <v>#REF!</v>
      </c>
    </row>
    <row r="150" spans="4:4" x14ac:dyDescent="0.35">
      <c r="D150" s="2" t="e">
        <f>IF(#REF!="","",VLOOKUP(#REF!,'Lookup Values'!$A$2:$B$5,2,FALSE))</f>
        <v>#REF!</v>
      </c>
    </row>
    <row r="151" spans="4:4" x14ac:dyDescent="0.35">
      <c r="D151" s="2" t="e">
        <f>IF(#REF!="","",VLOOKUP(#REF!,'Lookup Values'!$A$2:$B$5,2,FALSE))</f>
        <v>#REF!</v>
      </c>
    </row>
    <row r="152" spans="4:4" x14ac:dyDescent="0.35">
      <c r="D152" s="2" t="e">
        <f>IF(#REF!="","",VLOOKUP(#REF!,'Lookup Values'!$A$2:$B$5,2,FALSE))</f>
        <v>#REF!</v>
      </c>
    </row>
    <row r="153" spans="4:4" x14ac:dyDescent="0.35">
      <c r="D153" s="2" t="e">
        <f>IF(#REF!="","",VLOOKUP(#REF!,'Lookup Values'!$A$2:$B$5,2,FALSE))</f>
        <v>#REF!</v>
      </c>
    </row>
    <row r="154" spans="4:4" x14ac:dyDescent="0.35">
      <c r="D154" s="2" t="e">
        <f>IF(#REF!="","",VLOOKUP(#REF!,'Lookup Values'!$A$2:$B$5,2,FALSE))</f>
        <v>#REF!</v>
      </c>
    </row>
    <row r="155" spans="4:4" x14ac:dyDescent="0.35">
      <c r="D155" s="2" t="e">
        <f>IF(#REF!="","",VLOOKUP(#REF!,'Lookup Values'!$A$2:$B$5,2,FALSE))</f>
        <v>#REF!</v>
      </c>
    </row>
    <row r="156" spans="4:4" x14ac:dyDescent="0.35">
      <c r="D156" s="2" t="e">
        <f>IF(#REF!="","",VLOOKUP(#REF!,'Lookup Values'!$A$2:$B$5,2,FALSE))</f>
        <v>#REF!</v>
      </c>
    </row>
    <row r="157" spans="4:4" x14ac:dyDescent="0.35">
      <c r="D157" s="2" t="e">
        <f>IF(#REF!="","",VLOOKUP(#REF!,'Lookup Values'!$A$2:$B$5,2,FALSE))</f>
        <v>#REF!</v>
      </c>
    </row>
    <row r="158" spans="4:4" x14ac:dyDescent="0.35">
      <c r="D158" s="2" t="e">
        <f>IF(#REF!="","",VLOOKUP(#REF!,'Lookup Values'!$A$2:$B$5,2,FALSE))</f>
        <v>#REF!</v>
      </c>
    </row>
    <row r="159" spans="4:4" x14ac:dyDescent="0.35">
      <c r="D159" s="2" t="e">
        <f>IF(#REF!="","",VLOOKUP(#REF!,'Lookup Values'!$A$2:$B$5,2,FALSE))</f>
        <v>#REF!</v>
      </c>
    </row>
    <row r="160" spans="4:4" x14ac:dyDescent="0.35">
      <c r="D160" s="2" t="e">
        <f>IF(#REF!="","",VLOOKUP(#REF!,'Lookup Values'!$A$2:$B$5,2,FALSE))</f>
        <v>#REF!</v>
      </c>
    </row>
    <row r="161" spans="4:4" x14ac:dyDescent="0.35">
      <c r="D161" s="2" t="e">
        <f>IF(#REF!="","",VLOOKUP(#REF!,'Lookup Values'!$A$2:$B$5,2,FALSE))</f>
        <v>#REF!</v>
      </c>
    </row>
    <row r="162" spans="4:4" x14ac:dyDescent="0.35">
      <c r="D162" s="2" t="e">
        <f>IF(#REF!="","",VLOOKUP(#REF!,'Lookup Values'!$A$2:$B$5,2,FALSE))</f>
        <v>#REF!</v>
      </c>
    </row>
    <row r="163" spans="4:4" x14ac:dyDescent="0.35">
      <c r="D163" s="2" t="e">
        <f>IF(#REF!="","",VLOOKUP(#REF!,'Lookup Values'!$A$2:$B$5,2,FALSE))</f>
        <v>#REF!</v>
      </c>
    </row>
    <row r="164" spans="4:4" x14ac:dyDescent="0.35">
      <c r="D164" s="2" t="e">
        <f>IF(#REF!="","",VLOOKUP(#REF!,'Lookup Values'!$A$2:$B$5,2,FALSE))</f>
        <v>#REF!</v>
      </c>
    </row>
    <row r="165" spans="4:4" x14ac:dyDescent="0.35">
      <c r="D165" s="2" t="e">
        <f>IF(#REF!="","",VLOOKUP(#REF!,'Lookup Values'!$A$2:$B$5,2,FALSE))</f>
        <v>#REF!</v>
      </c>
    </row>
    <row r="166" spans="4:4" x14ac:dyDescent="0.35">
      <c r="D166" s="2" t="e">
        <f>IF(#REF!="","",VLOOKUP(#REF!,'Lookup Values'!$A$2:$B$5,2,FALSE))</f>
        <v>#REF!</v>
      </c>
    </row>
    <row r="167" spans="4:4" x14ac:dyDescent="0.35">
      <c r="D167" s="2" t="e">
        <f>IF(#REF!="","",VLOOKUP(#REF!,'Lookup Values'!$A$2:$B$5,2,FALSE))</f>
        <v>#REF!</v>
      </c>
    </row>
    <row r="168" spans="4:4" x14ac:dyDescent="0.35">
      <c r="D168" s="2" t="e">
        <f>IF(#REF!="","",VLOOKUP(#REF!,'Lookup Values'!$A$2:$B$5,2,FALSE))</f>
        <v>#REF!</v>
      </c>
    </row>
    <row r="169" spans="4:4" x14ac:dyDescent="0.35">
      <c r="D169" s="2" t="e">
        <f>IF(#REF!="","",VLOOKUP(#REF!,'Lookup Values'!$A$2:$B$5,2,FALSE))</f>
        <v>#REF!</v>
      </c>
    </row>
    <row r="170" spans="4:4" x14ac:dyDescent="0.35">
      <c r="D170" s="2" t="e">
        <f>IF(#REF!="","",VLOOKUP(#REF!,'Lookup Values'!$A$2:$B$5,2,FALSE))</f>
        <v>#REF!</v>
      </c>
    </row>
    <row r="171" spans="4:4" x14ac:dyDescent="0.35">
      <c r="D171" s="2" t="e">
        <f>IF(#REF!="","",VLOOKUP(#REF!,'Lookup Values'!$A$2:$B$5,2,FALSE))</f>
        <v>#REF!</v>
      </c>
    </row>
    <row r="172" spans="4:4" x14ac:dyDescent="0.35">
      <c r="D172" s="2" t="e">
        <f>IF(#REF!="","",VLOOKUP(#REF!,'Lookup Values'!$A$2:$B$5,2,FALSE))</f>
        <v>#REF!</v>
      </c>
    </row>
    <row r="173" spans="4:4" x14ac:dyDescent="0.35">
      <c r="D173" s="2" t="e">
        <f>IF(#REF!="","",VLOOKUP(#REF!,'Lookup Values'!$A$2:$B$5,2,FALSE))</f>
        <v>#REF!</v>
      </c>
    </row>
    <row r="174" spans="4:4" x14ac:dyDescent="0.35">
      <c r="D174" s="2" t="e">
        <f>IF(#REF!="","",VLOOKUP(#REF!,'Lookup Values'!$A$2:$B$5,2,FALSE))</f>
        <v>#REF!</v>
      </c>
    </row>
    <row r="175" spans="4:4" x14ac:dyDescent="0.35">
      <c r="D175" s="2" t="e">
        <f>IF(#REF!="","",VLOOKUP(#REF!,'Lookup Values'!$A$2:$B$5,2,FALSE))</f>
        <v>#REF!</v>
      </c>
    </row>
    <row r="176" spans="4:4" x14ac:dyDescent="0.35">
      <c r="D176" s="2" t="e">
        <f>IF(#REF!="","",VLOOKUP(#REF!,'Lookup Values'!$A$2:$B$5,2,FALSE))</f>
        <v>#REF!</v>
      </c>
    </row>
    <row r="177" spans="4:4" x14ac:dyDescent="0.35">
      <c r="D177" s="2" t="e">
        <f>IF(#REF!="","",VLOOKUP(#REF!,'Lookup Values'!$A$2:$B$5,2,FALSE))</f>
        <v>#REF!</v>
      </c>
    </row>
    <row r="178" spans="4:4" x14ac:dyDescent="0.35">
      <c r="D178" s="2" t="e">
        <f>IF(#REF!="","",VLOOKUP(#REF!,'Lookup Values'!$A$2:$B$5,2,FALSE))</f>
        <v>#REF!</v>
      </c>
    </row>
    <row r="179" spans="4:4" x14ac:dyDescent="0.35">
      <c r="D179" s="2" t="e">
        <f>IF(#REF!="","",VLOOKUP(#REF!,'Lookup Values'!$A$2:$B$5,2,FALSE))</f>
        <v>#REF!</v>
      </c>
    </row>
    <row r="180" spans="4:4" x14ac:dyDescent="0.35">
      <c r="D180" s="2" t="e">
        <f>IF(#REF!="","",VLOOKUP(#REF!,'Lookup Values'!$A$2:$B$5,2,FALSE))</f>
        <v>#REF!</v>
      </c>
    </row>
    <row r="181" spans="4:4" x14ac:dyDescent="0.35">
      <c r="D181" s="2" t="e">
        <f>IF(#REF!="","",VLOOKUP(#REF!,'Lookup Values'!$A$2:$B$5,2,FALSE))</f>
        <v>#REF!</v>
      </c>
    </row>
    <row r="182" spans="4:4" x14ac:dyDescent="0.35">
      <c r="D182" s="2" t="e">
        <f>IF(#REF!="","",VLOOKUP(#REF!,'Lookup Values'!$A$2:$B$5,2,FALSE))</f>
        <v>#REF!</v>
      </c>
    </row>
    <row r="183" spans="4:4" x14ac:dyDescent="0.35">
      <c r="D183" s="2" t="e">
        <f>IF(#REF!="","",VLOOKUP(#REF!,'Lookup Values'!$A$2:$B$5,2,FALSE))</f>
        <v>#REF!</v>
      </c>
    </row>
    <row r="184" spans="4:4" x14ac:dyDescent="0.35">
      <c r="D184" s="2" t="e">
        <f>IF(#REF!="","",VLOOKUP(#REF!,'Lookup Values'!$A$2:$B$5,2,FALSE))</f>
        <v>#REF!</v>
      </c>
    </row>
    <row r="185" spans="4:4" x14ac:dyDescent="0.35">
      <c r="D185" s="2" t="e">
        <f>IF(#REF!="","",VLOOKUP(#REF!,'Lookup Values'!$A$2:$B$5,2,FALSE))</f>
        <v>#REF!</v>
      </c>
    </row>
    <row r="186" spans="4:4" x14ac:dyDescent="0.35">
      <c r="D186" s="2" t="e">
        <f>IF(#REF!="","",VLOOKUP(#REF!,'Lookup Values'!$A$2:$B$5,2,FALSE))</f>
        <v>#REF!</v>
      </c>
    </row>
    <row r="187" spans="4:4" x14ac:dyDescent="0.35">
      <c r="D187" s="2" t="e">
        <f>IF(#REF!="","",VLOOKUP(#REF!,'Lookup Values'!$A$2:$B$5,2,FALSE))</f>
        <v>#REF!</v>
      </c>
    </row>
    <row r="188" spans="4:4" x14ac:dyDescent="0.35">
      <c r="D188" s="2" t="e">
        <f>IF(#REF!="","",VLOOKUP(#REF!,'Lookup Values'!$A$2:$B$5,2,FALSE))</f>
        <v>#REF!</v>
      </c>
    </row>
    <row r="189" spans="4:4" x14ac:dyDescent="0.35">
      <c r="D189" s="2" t="e">
        <f>IF(#REF!="","",VLOOKUP(#REF!,'Lookup Values'!$A$2:$B$5,2,FALSE))</f>
        <v>#REF!</v>
      </c>
    </row>
    <row r="190" spans="4:4" x14ac:dyDescent="0.35">
      <c r="D190" s="2" t="e">
        <f>IF(#REF!="","",VLOOKUP(#REF!,'Lookup Values'!$A$2:$B$5,2,FALSE))</f>
        <v>#REF!</v>
      </c>
    </row>
    <row r="191" spans="4:4" x14ac:dyDescent="0.35">
      <c r="D191" s="2" t="e">
        <f>IF(#REF!="","",VLOOKUP(#REF!,'Lookup Values'!$A$2:$B$5,2,FALSE))</f>
        <v>#REF!</v>
      </c>
    </row>
    <row r="192" spans="4:4" x14ac:dyDescent="0.35">
      <c r="D192" s="2" t="e">
        <f>IF(#REF!="","",VLOOKUP(#REF!,'Lookup Values'!$A$2:$B$5,2,FALSE))</f>
        <v>#REF!</v>
      </c>
    </row>
    <row r="193" spans="4:4" x14ac:dyDescent="0.35">
      <c r="D193" s="2" t="e">
        <f>IF(#REF!="","",VLOOKUP(#REF!,'Lookup Values'!$A$2:$B$5,2,FALSE))</f>
        <v>#REF!</v>
      </c>
    </row>
    <row r="194" spans="4:4" x14ac:dyDescent="0.35">
      <c r="D194" s="2" t="e">
        <f>IF(#REF!="","",VLOOKUP(#REF!,'Lookup Values'!$A$2:$B$5,2,FALSE))</f>
        <v>#REF!</v>
      </c>
    </row>
    <row r="195" spans="4:4" x14ac:dyDescent="0.35">
      <c r="D195" s="2" t="e">
        <f>IF(#REF!="","",VLOOKUP(#REF!,'Lookup Values'!$A$2:$B$5,2,FALSE))</f>
        <v>#REF!</v>
      </c>
    </row>
    <row r="196" spans="4:4" x14ac:dyDescent="0.35">
      <c r="D196" s="2" t="e">
        <f>IF(#REF!="","",VLOOKUP(#REF!,'Lookup Values'!$A$2:$B$5,2,FALSE))</f>
        <v>#REF!</v>
      </c>
    </row>
    <row r="197" spans="4:4" x14ac:dyDescent="0.35">
      <c r="D197" s="2" t="e">
        <f>IF(#REF!="","",VLOOKUP(#REF!,'Lookup Values'!$A$2:$B$5,2,FALSE))</f>
        <v>#REF!</v>
      </c>
    </row>
    <row r="198" spans="4:4" x14ac:dyDescent="0.35">
      <c r="D198" s="2" t="e">
        <f>IF(#REF!="","",VLOOKUP(#REF!,'Lookup Values'!$A$2:$B$5,2,FALSE))</f>
        <v>#REF!</v>
      </c>
    </row>
    <row r="199" spans="4:4" x14ac:dyDescent="0.35">
      <c r="D199" s="2" t="e">
        <f>IF(#REF!="","",VLOOKUP(#REF!,'Lookup Values'!$A$2:$B$5,2,FALSE))</f>
        <v>#REF!</v>
      </c>
    </row>
    <row r="200" spans="4:4" x14ac:dyDescent="0.35">
      <c r="D200" s="2" t="e">
        <f>IF(#REF!="","",VLOOKUP(#REF!,'Lookup Values'!$A$2:$B$5,2,FALSE))</f>
        <v>#REF!</v>
      </c>
    </row>
    <row r="201" spans="4:4" x14ac:dyDescent="0.35">
      <c r="D201" s="2" t="e">
        <f>IF(#REF!="","",VLOOKUP(#REF!,'Lookup Values'!$A$2:$B$5,2,FALSE))</f>
        <v>#REF!</v>
      </c>
    </row>
    <row r="202" spans="4:4" x14ac:dyDescent="0.35">
      <c r="D202" s="2" t="e">
        <f>IF(#REF!="","",VLOOKUP(#REF!,'Lookup Values'!$A$2:$B$5,2,FALSE))</f>
        <v>#REF!</v>
      </c>
    </row>
    <row r="203" spans="4:4" x14ac:dyDescent="0.35">
      <c r="D203" s="2" t="e">
        <f>IF(#REF!="","",VLOOKUP(#REF!,'Lookup Values'!$A$2:$B$5,2,FALSE))</f>
        <v>#REF!</v>
      </c>
    </row>
    <row r="204" spans="4:4" x14ac:dyDescent="0.35">
      <c r="D204" s="2" t="e">
        <f>IF(#REF!="","",VLOOKUP(#REF!,'Lookup Values'!$A$2:$B$5,2,FALSE))</f>
        <v>#REF!</v>
      </c>
    </row>
    <row r="205" spans="4:4" x14ac:dyDescent="0.35">
      <c r="D205" s="2" t="e">
        <f>IF(#REF!="","",VLOOKUP(#REF!,'Lookup Values'!$A$2:$B$5,2,FALSE))</f>
        <v>#REF!</v>
      </c>
    </row>
    <row r="206" spans="4:4" x14ac:dyDescent="0.35">
      <c r="D206" s="2" t="e">
        <f>IF(#REF!="","",VLOOKUP(#REF!,'Lookup Values'!$A$2:$B$5,2,FALSE))</f>
        <v>#REF!</v>
      </c>
    </row>
    <row r="207" spans="4:4" x14ac:dyDescent="0.35">
      <c r="D207" s="2" t="e">
        <f>IF(#REF!="","",VLOOKUP(#REF!,'Lookup Values'!$A$2:$B$5,2,FALSE))</f>
        <v>#REF!</v>
      </c>
    </row>
    <row r="208" spans="4:4" x14ac:dyDescent="0.35">
      <c r="D208" s="2" t="e">
        <f>IF(#REF!="","",VLOOKUP(#REF!,'Lookup Values'!$A$2:$B$5,2,FALSE))</f>
        <v>#REF!</v>
      </c>
    </row>
    <row r="209" spans="4:4" x14ac:dyDescent="0.35">
      <c r="D209" s="2" t="e">
        <f>IF(#REF!="","",VLOOKUP(#REF!,'Lookup Values'!$A$2:$B$5,2,FALSE))</f>
        <v>#REF!</v>
      </c>
    </row>
    <row r="210" spans="4:4" x14ac:dyDescent="0.35">
      <c r="D210" s="2" t="e">
        <f>IF(#REF!="","",VLOOKUP(#REF!,'Lookup Values'!$A$2:$B$5,2,FALSE))</f>
        <v>#REF!</v>
      </c>
    </row>
    <row r="211" spans="4:4" x14ac:dyDescent="0.35">
      <c r="D211" s="2" t="e">
        <f>IF(#REF!="","",VLOOKUP(#REF!,'Lookup Values'!$A$2:$B$5,2,FALSE))</f>
        <v>#REF!</v>
      </c>
    </row>
    <row r="212" spans="4:4" x14ac:dyDescent="0.35">
      <c r="D212" s="2" t="e">
        <f>IF(#REF!="","",VLOOKUP(#REF!,'Lookup Values'!$A$2:$B$5,2,FALSE))</f>
        <v>#REF!</v>
      </c>
    </row>
    <row r="213" spans="4:4" x14ac:dyDescent="0.35">
      <c r="D213" s="2" t="e">
        <f>IF(#REF!="","",VLOOKUP(#REF!,'Lookup Values'!$A$2:$B$5,2,FALSE))</f>
        <v>#REF!</v>
      </c>
    </row>
    <row r="214" spans="4:4" x14ac:dyDescent="0.35">
      <c r="D214" s="2" t="e">
        <f>IF(#REF!="","",VLOOKUP(#REF!,'Lookup Values'!$A$2:$B$5,2,FALSE))</f>
        <v>#REF!</v>
      </c>
    </row>
    <row r="215" spans="4:4" x14ac:dyDescent="0.35">
      <c r="D215" s="2" t="e">
        <f>IF(#REF!="","",VLOOKUP(#REF!,'Lookup Values'!$A$2:$B$5,2,FALSE))</f>
        <v>#REF!</v>
      </c>
    </row>
    <row r="216" spans="4:4" x14ac:dyDescent="0.35">
      <c r="D216" s="2" t="e">
        <f>IF(#REF!="","",VLOOKUP(#REF!,'Lookup Values'!$A$2:$B$5,2,FALSE))</f>
        <v>#REF!</v>
      </c>
    </row>
    <row r="217" spans="4:4" x14ac:dyDescent="0.35">
      <c r="D217" s="2" t="e">
        <f>IF(#REF!="","",VLOOKUP(#REF!,'Lookup Values'!$A$2:$B$5,2,FALSE))</f>
        <v>#REF!</v>
      </c>
    </row>
    <row r="218" spans="4:4" x14ac:dyDescent="0.35">
      <c r="D218" s="2" t="e">
        <f>IF(#REF!="","",VLOOKUP(#REF!,'Lookup Values'!$A$2:$B$5,2,FALSE))</f>
        <v>#REF!</v>
      </c>
    </row>
    <row r="219" spans="4:4" x14ac:dyDescent="0.35">
      <c r="D219" s="2" t="e">
        <f>IF(#REF!="","",VLOOKUP(#REF!,'Lookup Values'!$A$2:$B$5,2,FALSE))</f>
        <v>#REF!</v>
      </c>
    </row>
    <row r="220" spans="4:4" x14ac:dyDescent="0.35">
      <c r="D220" s="2" t="e">
        <f>IF(#REF!="","",VLOOKUP(#REF!,'Lookup Values'!$A$2:$B$5,2,FALSE))</f>
        <v>#REF!</v>
      </c>
    </row>
    <row r="221" spans="4:4" x14ac:dyDescent="0.35">
      <c r="D221" s="2" t="e">
        <f>IF(#REF!="","",VLOOKUP(#REF!,'Lookup Values'!$A$2:$B$5,2,FALSE))</f>
        <v>#REF!</v>
      </c>
    </row>
    <row r="222" spans="4:4" x14ac:dyDescent="0.35">
      <c r="D222" s="2" t="e">
        <f>IF(#REF!="","",VLOOKUP(#REF!,'Lookup Values'!$A$2:$B$5,2,FALSE))</f>
        <v>#REF!</v>
      </c>
    </row>
    <row r="223" spans="4:4" x14ac:dyDescent="0.35">
      <c r="D223" s="2" t="e">
        <f>IF(#REF!="","",VLOOKUP(#REF!,'Lookup Values'!$A$2:$B$5,2,FALSE))</f>
        <v>#REF!</v>
      </c>
    </row>
    <row r="224" spans="4:4" x14ac:dyDescent="0.35">
      <c r="D224" s="2" t="e">
        <f>IF(#REF!="","",VLOOKUP(#REF!,'Lookup Values'!$A$2:$B$5,2,FALSE))</f>
        <v>#REF!</v>
      </c>
    </row>
    <row r="225" spans="4:4" x14ac:dyDescent="0.35">
      <c r="D225" s="2" t="e">
        <f>IF(#REF!="","",VLOOKUP(#REF!,'Lookup Values'!$A$2:$B$5,2,FALSE))</f>
        <v>#REF!</v>
      </c>
    </row>
    <row r="226" spans="4:4" x14ac:dyDescent="0.35">
      <c r="D226" s="2" t="e">
        <f>IF(#REF!="","",VLOOKUP(#REF!,'Lookup Values'!$A$2:$B$5,2,FALSE))</f>
        <v>#REF!</v>
      </c>
    </row>
    <row r="227" spans="4:4" x14ac:dyDescent="0.35">
      <c r="D227" s="2" t="e">
        <f>IF(#REF!="","",VLOOKUP(#REF!,'Lookup Values'!$A$2:$B$5,2,FALSE))</f>
        <v>#REF!</v>
      </c>
    </row>
    <row r="228" spans="4:4" x14ac:dyDescent="0.35">
      <c r="D228" s="2" t="e">
        <f>IF(#REF!="","",VLOOKUP(#REF!,'Lookup Values'!$A$2:$B$5,2,FALSE))</f>
        <v>#REF!</v>
      </c>
    </row>
    <row r="229" spans="4:4" x14ac:dyDescent="0.35">
      <c r="D229" s="2" t="e">
        <f>IF(#REF!="","",VLOOKUP(#REF!,'Lookup Values'!$A$2:$B$5,2,FALSE))</f>
        <v>#REF!</v>
      </c>
    </row>
    <row r="230" spans="4:4" x14ac:dyDescent="0.35">
      <c r="D230" s="2" t="e">
        <f>IF(#REF!="","",VLOOKUP(#REF!,'Lookup Values'!$A$2:$B$5,2,FALSE))</f>
        <v>#REF!</v>
      </c>
    </row>
    <row r="231" spans="4:4" x14ac:dyDescent="0.35">
      <c r="D231" s="2" t="e">
        <f>IF(#REF!="","",VLOOKUP(#REF!,'Lookup Values'!$A$2:$B$5,2,FALSE))</f>
        <v>#REF!</v>
      </c>
    </row>
    <row r="232" spans="4:4" x14ac:dyDescent="0.35">
      <c r="D232" s="2" t="e">
        <f>IF(#REF!="","",VLOOKUP(#REF!,'Lookup Values'!$A$2:$B$5,2,FALSE))</f>
        <v>#REF!</v>
      </c>
    </row>
    <row r="233" spans="4:4" x14ac:dyDescent="0.35">
      <c r="D233" s="2" t="e">
        <f>IF(#REF!="","",VLOOKUP(#REF!,'Lookup Values'!$A$2:$B$5,2,FALSE))</f>
        <v>#REF!</v>
      </c>
    </row>
    <row r="234" spans="4:4" x14ac:dyDescent="0.35">
      <c r="D234" s="2" t="e">
        <f>IF(#REF!="","",VLOOKUP(#REF!,'Lookup Values'!$A$2:$B$5,2,FALSE))</f>
        <v>#REF!</v>
      </c>
    </row>
    <row r="235" spans="4:4" x14ac:dyDescent="0.35">
      <c r="D235" s="2" t="e">
        <f>IF(#REF!="","",VLOOKUP(#REF!,'Lookup Values'!$A$2:$B$5,2,FALSE))</f>
        <v>#REF!</v>
      </c>
    </row>
    <row r="236" spans="4:4" x14ac:dyDescent="0.35">
      <c r="D236" s="2" t="e">
        <f>IF(#REF!="","",VLOOKUP(#REF!,'Lookup Values'!$A$2:$B$5,2,FALSE))</f>
        <v>#REF!</v>
      </c>
    </row>
    <row r="237" spans="4:4" x14ac:dyDescent="0.35">
      <c r="D237" s="2" t="e">
        <f>IF(#REF!="","",VLOOKUP(#REF!,'Lookup Values'!$A$2:$B$5,2,FALSE))</f>
        <v>#REF!</v>
      </c>
    </row>
    <row r="238" spans="4:4" x14ac:dyDescent="0.35">
      <c r="D238" s="2" t="e">
        <f>IF(#REF!="","",VLOOKUP(#REF!,'Lookup Values'!$A$2:$B$5,2,FALSE))</f>
        <v>#REF!</v>
      </c>
    </row>
    <row r="239" spans="4:4" x14ac:dyDescent="0.35">
      <c r="D239" s="2" t="e">
        <f>IF(#REF!="","",VLOOKUP(#REF!,'Lookup Values'!$A$2:$B$5,2,FALSE))</f>
        <v>#REF!</v>
      </c>
    </row>
    <row r="240" spans="4:4" x14ac:dyDescent="0.35">
      <c r="D240" s="2" t="e">
        <f>IF(#REF!="","",VLOOKUP(#REF!,'Lookup Values'!$A$2:$B$5,2,FALSE))</f>
        <v>#REF!</v>
      </c>
    </row>
    <row r="241" spans="4:4" x14ac:dyDescent="0.35">
      <c r="D241" s="2" t="e">
        <f>IF(#REF!="","",VLOOKUP(#REF!,'Lookup Values'!$A$2:$B$5,2,FALSE))</f>
        <v>#REF!</v>
      </c>
    </row>
    <row r="242" spans="4:4" x14ac:dyDescent="0.35">
      <c r="D242" s="2" t="e">
        <f>IF(#REF!="","",VLOOKUP(#REF!,'Lookup Values'!$A$2:$B$5,2,FALSE))</f>
        <v>#REF!</v>
      </c>
    </row>
    <row r="243" spans="4:4" x14ac:dyDescent="0.35">
      <c r="D243" s="2" t="e">
        <f>IF(#REF!="","",VLOOKUP(#REF!,'Lookup Values'!$A$2:$B$5,2,FALSE))</f>
        <v>#REF!</v>
      </c>
    </row>
    <row r="244" spans="4:4" x14ac:dyDescent="0.35">
      <c r="D244" s="2" t="e">
        <f>IF(#REF!="","",VLOOKUP(#REF!,'Lookup Values'!$A$2:$B$5,2,FALSE))</f>
        <v>#REF!</v>
      </c>
    </row>
    <row r="245" spans="4:4" x14ac:dyDescent="0.35">
      <c r="D245" s="2" t="e">
        <f>IF(#REF!="","",VLOOKUP(#REF!,'Lookup Values'!$A$2:$B$5,2,FALSE))</f>
        <v>#REF!</v>
      </c>
    </row>
    <row r="246" spans="4:4" x14ac:dyDescent="0.35">
      <c r="D246" s="2" t="e">
        <f>IF(#REF!="","",VLOOKUP(#REF!,'Lookup Values'!$A$2:$B$5,2,FALSE))</f>
        <v>#REF!</v>
      </c>
    </row>
    <row r="247" spans="4:4" x14ac:dyDescent="0.35">
      <c r="D247" s="2" t="e">
        <f>IF(#REF!="","",VLOOKUP(#REF!,'Lookup Values'!$A$2:$B$5,2,FALSE))</f>
        <v>#REF!</v>
      </c>
    </row>
    <row r="248" spans="4:4" x14ac:dyDescent="0.35">
      <c r="D248" s="2" t="e">
        <f>IF(#REF!="","",VLOOKUP(#REF!,'Lookup Values'!$A$2:$B$5,2,FALSE))</f>
        <v>#REF!</v>
      </c>
    </row>
    <row r="249" spans="4:4" x14ac:dyDescent="0.35">
      <c r="D249" s="2" t="e">
        <f>IF(#REF!="","",VLOOKUP(#REF!,'Lookup Values'!$A$2:$B$5,2,FALSE))</f>
        <v>#REF!</v>
      </c>
    </row>
    <row r="250" spans="4:4" x14ac:dyDescent="0.35">
      <c r="D250" s="2" t="e">
        <f>IF(#REF!="","",VLOOKUP(#REF!,'Lookup Values'!$A$2:$B$5,2,FALSE))</f>
        <v>#REF!</v>
      </c>
    </row>
    <row r="251" spans="4:4" x14ac:dyDescent="0.35">
      <c r="D251" s="2" t="e">
        <f>IF(#REF!="","",VLOOKUP(#REF!,'Lookup Values'!$A$2:$B$5,2,FALSE))</f>
        <v>#REF!</v>
      </c>
    </row>
    <row r="252" spans="4:4" x14ac:dyDescent="0.35">
      <c r="D252" s="2" t="e">
        <f>IF(#REF!="","",VLOOKUP(#REF!,'Lookup Values'!$A$2:$B$5,2,FALSE))</f>
        <v>#REF!</v>
      </c>
    </row>
    <row r="253" spans="4:4" x14ac:dyDescent="0.35">
      <c r="D253" s="2" t="e">
        <f>IF(#REF!="","",VLOOKUP(#REF!,'Lookup Values'!$A$2:$B$5,2,FALSE))</f>
        <v>#REF!</v>
      </c>
    </row>
    <row r="254" spans="4:4" x14ac:dyDescent="0.35">
      <c r="D254" s="2" t="e">
        <f>IF(#REF!="","",VLOOKUP(#REF!,'Lookup Values'!$A$2:$B$5,2,FALSE))</f>
        <v>#REF!</v>
      </c>
    </row>
    <row r="255" spans="4:4" x14ac:dyDescent="0.35">
      <c r="D255" s="2" t="e">
        <f>IF(#REF!="","",VLOOKUP(#REF!,'Lookup Values'!$A$2:$B$5,2,FALSE))</f>
        <v>#REF!</v>
      </c>
    </row>
    <row r="256" spans="4:4" x14ac:dyDescent="0.35">
      <c r="D256" s="2" t="e">
        <f>IF(#REF!="","",VLOOKUP(#REF!,'Lookup Values'!$A$2:$B$5,2,FALSE))</f>
        <v>#REF!</v>
      </c>
    </row>
    <row r="257" spans="4:4" x14ac:dyDescent="0.35">
      <c r="D257" s="2" t="e">
        <f>IF(#REF!="","",VLOOKUP(#REF!,'Lookup Values'!$A$2:$B$5,2,FALSE))</f>
        <v>#REF!</v>
      </c>
    </row>
    <row r="258" spans="4:4" x14ac:dyDescent="0.35">
      <c r="D258" s="2" t="e">
        <f>IF(#REF!="","",VLOOKUP(#REF!,'Lookup Values'!$A$2:$B$5,2,FALSE))</f>
        <v>#REF!</v>
      </c>
    </row>
    <row r="259" spans="4:4" x14ac:dyDescent="0.35">
      <c r="D259" s="2" t="e">
        <f>IF(#REF!="","",VLOOKUP(#REF!,'Lookup Values'!$A$2:$B$5,2,FALSE))</f>
        <v>#REF!</v>
      </c>
    </row>
    <row r="260" spans="4:4" x14ac:dyDescent="0.35">
      <c r="D260" s="2" t="e">
        <f>IF(#REF!="","",VLOOKUP(#REF!,'Lookup Values'!$A$2:$B$5,2,FALSE))</f>
        <v>#REF!</v>
      </c>
    </row>
    <row r="261" spans="4:4" x14ac:dyDescent="0.35">
      <c r="D261" s="2" t="e">
        <f>IF(#REF!="","",VLOOKUP(#REF!,'Lookup Values'!$A$2:$B$5,2,FALSE))</f>
        <v>#REF!</v>
      </c>
    </row>
    <row r="262" spans="4:4" x14ac:dyDescent="0.35">
      <c r="D262" s="2" t="e">
        <f>IF(#REF!="","",VLOOKUP(#REF!,'Lookup Values'!$A$2:$B$5,2,FALSE))</f>
        <v>#REF!</v>
      </c>
    </row>
    <row r="263" spans="4:4" x14ac:dyDescent="0.35">
      <c r="D263" s="2" t="e">
        <f>IF(#REF!="","",VLOOKUP(#REF!,'Lookup Values'!$A$2:$B$5,2,FALSE))</f>
        <v>#REF!</v>
      </c>
    </row>
    <row r="264" spans="4:4" x14ac:dyDescent="0.35">
      <c r="D264" s="2" t="e">
        <f>IF(#REF!="","",VLOOKUP(#REF!,'Lookup Values'!$A$2:$B$5,2,FALSE))</f>
        <v>#REF!</v>
      </c>
    </row>
    <row r="265" spans="4:4" x14ac:dyDescent="0.35">
      <c r="D265" s="2" t="e">
        <f>IF(#REF!="","",VLOOKUP(#REF!,'Lookup Values'!$A$2:$B$5,2,FALSE))</f>
        <v>#REF!</v>
      </c>
    </row>
    <row r="266" spans="4:4" x14ac:dyDescent="0.35">
      <c r="D266" s="2" t="e">
        <f>IF(#REF!="","",VLOOKUP(#REF!,'Lookup Values'!$A$2:$B$5,2,FALSE))</f>
        <v>#REF!</v>
      </c>
    </row>
    <row r="267" spans="4:4" x14ac:dyDescent="0.35">
      <c r="D267" s="2" t="e">
        <f>IF(#REF!="","",VLOOKUP(#REF!,'Lookup Values'!$A$2:$B$5,2,FALSE))</f>
        <v>#REF!</v>
      </c>
    </row>
    <row r="268" spans="4:4" x14ac:dyDescent="0.35">
      <c r="D268" s="2" t="e">
        <f>IF(#REF!="","",VLOOKUP(#REF!,'Lookup Values'!$A$2:$B$5,2,FALSE))</f>
        <v>#REF!</v>
      </c>
    </row>
    <row r="269" spans="4:4" x14ac:dyDescent="0.35">
      <c r="D269" s="2" t="e">
        <f>IF(#REF!="","",VLOOKUP(#REF!,'Lookup Values'!$A$2:$B$5,2,FALSE))</f>
        <v>#REF!</v>
      </c>
    </row>
    <row r="270" spans="4:4" x14ac:dyDescent="0.35">
      <c r="D270" s="2" t="e">
        <f>IF(#REF!="","",VLOOKUP(#REF!,'Lookup Values'!$A$2:$B$5,2,FALSE))</f>
        <v>#REF!</v>
      </c>
    </row>
    <row r="271" spans="4:4" x14ac:dyDescent="0.35">
      <c r="D271" s="2" t="e">
        <f>IF(#REF!="","",VLOOKUP(#REF!,'Lookup Values'!$A$2:$B$5,2,FALSE))</f>
        <v>#REF!</v>
      </c>
    </row>
    <row r="272" spans="4:4" x14ac:dyDescent="0.35">
      <c r="D272" s="2" t="e">
        <f>IF(#REF!="","",VLOOKUP(#REF!,'Lookup Values'!$A$2:$B$5,2,FALSE))</f>
        <v>#REF!</v>
      </c>
    </row>
    <row r="273" spans="4:4" x14ac:dyDescent="0.35">
      <c r="D273" s="2" t="e">
        <f>IF(#REF!="","",VLOOKUP(#REF!,'Lookup Values'!$A$2:$B$5,2,FALSE))</f>
        <v>#REF!</v>
      </c>
    </row>
    <row r="274" spans="4:4" x14ac:dyDescent="0.35">
      <c r="D274" s="2" t="e">
        <f>IF(#REF!="","",VLOOKUP(#REF!,'Lookup Values'!$A$2:$B$5,2,FALSE))</f>
        <v>#REF!</v>
      </c>
    </row>
    <row r="275" spans="4:4" x14ac:dyDescent="0.35">
      <c r="D275" s="2" t="e">
        <f>IF(#REF!="","",VLOOKUP(#REF!,'Lookup Values'!$A$2:$B$5,2,FALSE))</f>
        <v>#REF!</v>
      </c>
    </row>
    <row r="276" spans="4:4" x14ac:dyDescent="0.35">
      <c r="D276" s="2" t="e">
        <f>IF(#REF!="","",VLOOKUP(#REF!,'Lookup Values'!$A$2:$B$5,2,FALSE))</f>
        <v>#REF!</v>
      </c>
    </row>
    <row r="277" spans="4:4" x14ac:dyDescent="0.35">
      <c r="D277" s="2" t="e">
        <f>IF(#REF!="","",VLOOKUP(#REF!,'Lookup Values'!$A$2:$B$5,2,FALSE))</f>
        <v>#REF!</v>
      </c>
    </row>
    <row r="278" spans="4:4" x14ac:dyDescent="0.35">
      <c r="D278" s="2" t="e">
        <f>IF(#REF!="","",VLOOKUP(#REF!,'Lookup Values'!$A$2:$B$5,2,FALSE))</f>
        <v>#REF!</v>
      </c>
    </row>
    <row r="279" spans="4:4" x14ac:dyDescent="0.35">
      <c r="D279" s="2" t="e">
        <f>IF(#REF!="","",VLOOKUP(#REF!,'Lookup Values'!$A$2:$B$5,2,FALSE))</f>
        <v>#REF!</v>
      </c>
    </row>
    <row r="280" spans="4:4" x14ac:dyDescent="0.35">
      <c r="D280" s="2" t="e">
        <f>IF(#REF!="","",VLOOKUP(#REF!,'Lookup Values'!$A$2:$B$5,2,FALSE))</f>
        <v>#REF!</v>
      </c>
    </row>
    <row r="281" spans="4:4" x14ac:dyDescent="0.35">
      <c r="D281" s="2" t="e">
        <f>IF(#REF!="","",VLOOKUP(#REF!,'Lookup Values'!$A$2:$B$5,2,FALSE))</f>
        <v>#REF!</v>
      </c>
    </row>
    <row r="282" spans="4:4" x14ac:dyDescent="0.35">
      <c r="D282" s="2" t="e">
        <f>IF(#REF!="","",VLOOKUP(#REF!,'Lookup Values'!$A$2:$B$5,2,FALSE))</f>
        <v>#REF!</v>
      </c>
    </row>
    <row r="283" spans="4:4" x14ac:dyDescent="0.35">
      <c r="D283" s="2" t="e">
        <f>IF(#REF!="","",VLOOKUP(#REF!,'Lookup Values'!$A$2:$B$5,2,FALSE))</f>
        <v>#REF!</v>
      </c>
    </row>
    <row r="284" spans="4:4" x14ac:dyDescent="0.35">
      <c r="D284" s="2" t="e">
        <f>IF(#REF!="","",VLOOKUP(#REF!,'Lookup Values'!$A$2:$B$5,2,FALSE))</f>
        <v>#REF!</v>
      </c>
    </row>
    <row r="285" spans="4:4" x14ac:dyDescent="0.35">
      <c r="D285" s="2" t="e">
        <f>IF(#REF!="","",VLOOKUP(#REF!,'Lookup Values'!$A$2:$B$5,2,FALSE))</f>
        <v>#REF!</v>
      </c>
    </row>
    <row r="286" spans="4:4" x14ac:dyDescent="0.35">
      <c r="D286" s="2" t="e">
        <f>IF(#REF!="","",VLOOKUP(#REF!,'Lookup Values'!$A$2:$B$5,2,FALSE))</f>
        <v>#REF!</v>
      </c>
    </row>
    <row r="287" spans="4:4" x14ac:dyDescent="0.35">
      <c r="D287" s="2" t="e">
        <f>IF(#REF!="","",VLOOKUP(#REF!,'Lookup Values'!$A$2:$B$5,2,FALSE))</f>
        <v>#REF!</v>
      </c>
    </row>
    <row r="288" spans="4:4" x14ac:dyDescent="0.35">
      <c r="D288" s="2" t="e">
        <f>IF(#REF!="","",VLOOKUP(#REF!,'Lookup Values'!$A$2:$B$5,2,FALSE))</f>
        <v>#REF!</v>
      </c>
    </row>
    <row r="289" spans="4:4" x14ac:dyDescent="0.35">
      <c r="D289" s="2" t="e">
        <f>IF(#REF!="","",VLOOKUP(#REF!,'Lookup Values'!$A$2:$B$5,2,FALSE))</f>
        <v>#REF!</v>
      </c>
    </row>
    <row r="290" spans="4:4" x14ac:dyDescent="0.35">
      <c r="D290" s="2" t="e">
        <f>IF(#REF!="","",VLOOKUP(#REF!,'Lookup Values'!$A$2:$B$5,2,FALSE))</f>
        <v>#REF!</v>
      </c>
    </row>
    <row r="291" spans="4:4" x14ac:dyDescent="0.35">
      <c r="D291" s="2" t="e">
        <f>IF(#REF!="","",VLOOKUP(#REF!,'Lookup Values'!$A$2:$B$5,2,FALSE))</f>
        <v>#REF!</v>
      </c>
    </row>
    <row r="292" spans="4:4" x14ac:dyDescent="0.35">
      <c r="D292" s="2" t="e">
        <f>IF(#REF!="","",VLOOKUP(#REF!,'Lookup Values'!$A$2:$B$5,2,FALSE))</f>
        <v>#REF!</v>
      </c>
    </row>
    <row r="293" spans="4:4" x14ac:dyDescent="0.35">
      <c r="D293" s="2" t="e">
        <f>IF(#REF!="","",VLOOKUP(#REF!,'Lookup Values'!$A$2:$B$5,2,FALSE))</f>
        <v>#REF!</v>
      </c>
    </row>
    <row r="294" spans="4:4" x14ac:dyDescent="0.35">
      <c r="D294" s="2" t="e">
        <f>IF(#REF!="","",VLOOKUP(#REF!,'Lookup Values'!$A$2:$B$5,2,FALSE))</f>
        <v>#REF!</v>
      </c>
    </row>
    <row r="295" spans="4:4" x14ac:dyDescent="0.35">
      <c r="D295" s="2" t="e">
        <f>IF(#REF!="","",VLOOKUP(#REF!,'Lookup Values'!$A$2:$B$5,2,FALSE))</f>
        <v>#REF!</v>
      </c>
    </row>
    <row r="296" spans="4:4" x14ac:dyDescent="0.35">
      <c r="D296" s="2" t="e">
        <f>IF(#REF!="","",VLOOKUP(#REF!,'Lookup Values'!$A$2:$B$5,2,FALSE))</f>
        <v>#REF!</v>
      </c>
    </row>
    <row r="297" spans="4:4" x14ac:dyDescent="0.35">
      <c r="D297" s="2" t="e">
        <f>IF(#REF!="","",VLOOKUP(#REF!,'Lookup Values'!$A$2:$B$5,2,FALSE))</f>
        <v>#REF!</v>
      </c>
    </row>
    <row r="298" spans="4:4" x14ac:dyDescent="0.35">
      <c r="D298" s="2" t="e">
        <f>IF(#REF!="","",VLOOKUP(#REF!,'Lookup Values'!$A$2:$B$5,2,FALSE))</f>
        <v>#REF!</v>
      </c>
    </row>
    <row r="299" spans="4:4" x14ac:dyDescent="0.35">
      <c r="D299" s="2" t="e">
        <f>IF(#REF!="","",VLOOKUP(#REF!,'Lookup Values'!$A$2:$B$5,2,FALSE))</f>
        <v>#REF!</v>
      </c>
    </row>
    <row r="300" spans="4:4" x14ac:dyDescent="0.35">
      <c r="D300" s="2" t="e">
        <f>IF(#REF!="","",VLOOKUP(#REF!,'Lookup Values'!$A$2:$B$5,2,FALSE))</f>
        <v>#REF!</v>
      </c>
    </row>
    <row r="301" spans="4:4" x14ac:dyDescent="0.35">
      <c r="D301" s="2" t="e">
        <f>IF(#REF!="","",VLOOKUP(#REF!,'Lookup Values'!$A$2:$B$5,2,FALSE))</f>
        <v>#REF!</v>
      </c>
    </row>
    <row r="302" spans="4:4" x14ac:dyDescent="0.35">
      <c r="D302" s="2" t="e">
        <f>IF(#REF!="","",VLOOKUP(#REF!,'Lookup Values'!$A$2:$B$5,2,FALSE))</f>
        <v>#REF!</v>
      </c>
    </row>
    <row r="303" spans="4:4" x14ac:dyDescent="0.35">
      <c r="D303" s="2" t="e">
        <f>IF(#REF!="","",VLOOKUP(#REF!,'Lookup Values'!$A$2:$B$5,2,FALSE))</f>
        <v>#REF!</v>
      </c>
    </row>
    <row r="304" spans="4:4" x14ac:dyDescent="0.35">
      <c r="D304" s="2" t="e">
        <f>IF(#REF!="","",VLOOKUP(#REF!,'Lookup Values'!$A$2:$B$5,2,FALSE))</f>
        <v>#REF!</v>
      </c>
    </row>
    <row r="305" spans="4:4" x14ac:dyDescent="0.35">
      <c r="D305" s="2" t="e">
        <f>IF(#REF!="","",VLOOKUP(#REF!,'Lookup Values'!$A$2:$B$5,2,FALSE))</f>
        <v>#REF!</v>
      </c>
    </row>
    <row r="306" spans="4:4" x14ac:dyDescent="0.35">
      <c r="D306" s="2" t="e">
        <f>IF(#REF!="","",VLOOKUP(#REF!,'Lookup Values'!$A$2:$B$5,2,FALSE))</f>
        <v>#REF!</v>
      </c>
    </row>
    <row r="307" spans="4:4" x14ac:dyDescent="0.35">
      <c r="D307" s="2" t="e">
        <f>IF(#REF!="","",VLOOKUP(#REF!,'Lookup Values'!$A$2:$B$5,2,FALSE))</f>
        <v>#REF!</v>
      </c>
    </row>
    <row r="308" spans="4:4" x14ac:dyDescent="0.35">
      <c r="D308" s="2" t="e">
        <f>IF(#REF!="","",VLOOKUP(#REF!,'Lookup Values'!$A$2:$B$5,2,FALSE))</f>
        <v>#REF!</v>
      </c>
    </row>
    <row r="309" spans="4:4" x14ac:dyDescent="0.35">
      <c r="D309" s="2" t="e">
        <f>IF(#REF!="","",VLOOKUP(#REF!,'Lookup Values'!$A$2:$B$5,2,FALSE))</f>
        <v>#REF!</v>
      </c>
    </row>
    <row r="310" spans="4:4" x14ac:dyDescent="0.35">
      <c r="D310" s="2" t="e">
        <f>IF(#REF!="","",VLOOKUP(#REF!,'Lookup Values'!$A$2:$B$5,2,FALSE))</f>
        <v>#REF!</v>
      </c>
    </row>
    <row r="311" spans="4:4" x14ac:dyDescent="0.35">
      <c r="D311" s="2" t="e">
        <f>IF(#REF!="","",VLOOKUP(#REF!,'Lookup Values'!$A$2:$B$5,2,FALSE))</f>
        <v>#REF!</v>
      </c>
    </row>
    <row r="312" spans="4:4" x14ac:dyDescent="0.35">
      <c r="D312" s="2" t="e">
        <f>IF(#REF!="","",VLOOKUP(#REF!,'Lookup Values'!$A$2:$B$5,2,FALSE))</f>
        <v>#REF!</v>
      </c>
    </row>
    <row r="313" spans="4:4" x14ac:dyDescent="0.35">
      <c r="D313" s="2" t="e">
        <f>IF(#REF!="","",VLOOKUP(#REF!,'Lookup Values'!$A$2:$B$5,2,FALSE))</f>
        <v>#REF!</v>
      </c>
    </row>
    <row r="314" spans="4:4" x14ac:dyDescent="0.35">
      <c r="D314" s="2" t="e">
        <f>IF(#REF!="","",VLOOKUP(#REF!,'Lookup Values'!$A$2:$B$5,2,FALSE))</f>
        <v>#REF!</v>
      </c>
    </row>
    <row r="315" spans="4:4" x14ac:dyDescent="0.35">
      <c r="D315" s="2" t="e">
        <f>IF(#REF!="","",VLOOKUP(#REF!,'Lookup Values'!$A$2:$B$5,2,FALSE))</f>
        <v>#REF!</v>
      </c>
    </row>
    <row r="316" spans="4:4" x14ac:dyDescent="0.35">
      <c r="D316" s="2" t="e">
        <f>IF(#REF!="","",VLOOKUP(#REF!,'Lookup Values'!$A$2:$B$5,2,FALSE))</f>
        <v>#REF!</v>
      </c>
    </row>
    <row r="317" spans="4:4" x14ac:dyDescent="0.35">
      <c r="D317" s="2" t="e">
        <f>IF(#REF!="","",VLOOKUP(#REF!,'Lookup Values'!$A$2:$B$5,2,FALSE))</f>
        <v>#REF!</v>
      </c>
    </row>
    <row r="318" spans="4:4" x14ac:dyDescent="0.35">
      <c r="D318" s="2" t="e">
        <f>IF(#REF!="","",VLOOKUP(#REF!,'Lookup Values'!$A$2:$B$5,2,FALSE))</f>
        <v>#REF!</v>
      </c>
    </row>
    <row r="319" spans="4:4" x14ac:dyDescent="0.35">
      <c r="D319" s="2" t="e">
        <f>IF(#REF!="","",VLOOKUP(#REF!,'Lookup Values'!$A$2:$B$5,2,FALSE))</f>
        <v>#REF!</v>
      </c>
    </row>
    <row r="320" spans="4:4" x14ac:dyDescent="0.35">
      <c r="D320" s="2" t="e">
        <f>IF(#REF!="","",VLOOKUP(#REF!,'Lookup Values'!$A$2:$B$5,2,FALSE))</f>
        <v>#REF!</v>
      </c>
    </row>
    <row r="321" spans="4:4" x14ac:dyDescent="0.35">
      <c r="D321" s="2" t="e">
        <f>IF(#REF!="","",VLOOKUP(#REF!,'Lookup Values'!$A$2:$B$5,2,FALSE))</f>
        <v>#REF!</v>
      </c>
    </row>
    <row r="322" spans="4:4" x14ac:dyDescent="0.35">
      <c r="D322" s="2" t="e">
        <f>IF(#REF!="","",VLOOKUP(#REF!,'Lookup Values'!$A$2:$B$5,2,FALSE))</f>
        <v>#REF!</v>
      </c>
    </row>
    <row r="323" spans="4:4" x14ac:dyDescent="0.35">
      <c r="D323" s="2" t="e">
        <f>IF(#REF!="","",VLOOKUP(#REF!,'Lookup Values'!$A$2:$B$5,2,FALSE))</f>
        <v>#REF!</v>
      </c>
    </row>
    <row r="324" spans="4:4" x14ac:dyDescent="0.35">
      <c r="D324" s="2" t="e">
        <f>IF(#REF!="","",VLOOKUP(#REF!,'Lookup Values'!$A$2:$B$5,2,FALSE))</f>
        <v>#REF!</v>
      </c>
    </row>
    <row r="325" spans="4:4" x14ac:dyDescent="0.35">
      <c r="D325" s="2" t="e">
        <f>IF(#REF!="","",VLOOKUP(#REF!,'Lookup Values'!$A$2:$B$5,2,FALSE))</f>
        <v>#REF!</v>
      </c>
    </row>
    <row r="326" spans="4:4" x14ac:dyDescent="0.35">
      <c r="D326" s="2" t="e">
        <f>IF(#REF!="","",VLOOKUP(#REF!,'Lookup Values'!$A$2:$B$5,2,FALSE))</f>
        <v>#REF!</v>
      </c>
    </row>
    <row r="327" spans="4:4" x14ac:dyDescent="0.35">
      <c r="D327" s="2" t="e">
        <f>IF(#REF!="","",VLOOKUP(#REF!,'Lookup Values'!$A$2:$B$5,2,FALSE))</f>
        <v>#REF!</v>
      </c>
    </row>
    <row r="328" spans="4:4" x14ac:dyDescent="0.35">
      <c r="D328" s="2" t="e">
        <f>IF(#REF!="","",VLOOKUP(#REF!,'Lookup Values'!$A$2:$B$5,2,FALSE))</f>
        <v>#REF!</v>
      </c>
    </row>
    <row r="329" spans="4:4" x14ac:dyDescent="0.35">
      <c r="D329" s="2" t="e">
        <f>IF(#REF!="","",VLOOKUP(#REF!,'Lookup Values'!$A$2:$B$5,2,FALSE))</f>
        <v>#REF!</v>
      </c>
    </row>
    <row r="330" spans="4:4" x14ac:dyDescent="0.35">
      <c r="D330" s="2" t="e">
        <f>IF(#REF!="","",VLOOKUP(#REF!,'Lookup Values'!$A$2:$B$5,2,FALSE))</f>
        <v>#REF!</v>
      </c>
    </row>
    <row r="331" spans="4:4" x14ac:dyDescent="0.35">
      <c r="D331" s="2" t="e">
        <f>IF(#REF!="","",VLOOKUP(#REF!,'Lookup Values'!$A$2:$B$5,2,FALSE))</f>
        <v>#REF!</v>
      </c>
    </row>
    <row r="332" spans="4:4" x14ac:dyDescent="0.35">
      <c r="D332" s="2" t="e">
        <f>IF(#REF!="","",VLOOKUP(#REF!,'Lookup Values'!$A$2:$B$5,2,FALSE))</f>
        <v>#REF!</v>
      </c>
    </row>
    <row r="333" spans="4:4" x14ac:dyDescent="0.35">
      <c r="D333" s="2" t="e">
        <f>IF(#REF!="","",VLOOKUP(#REF!,'Lookup Values'!$A$2:$B$5,2,FALSE))</f>
        <v>#REF!</v>
      </c>
    </row>
    <row r="334" spans="4:4" x14ac:dyDescent="0.35">
      <c r="D334" s="2" t="e">
        <f>IF(#REF!="","",VLOOKUP(#REF!,'Lookup Values'!$A$2:$B$5,2,FALSE))</f>
        <v>#REF!</v>
      </c>
    </row>
    <row r="335" spans="4:4" x14ac:dyDescent="0.35">
      <c r="D335" s="2" t="e">
        <f>IF(#REF!="","",VLOOKUP(#REF!,'Lookup Values'!$A$2:$B$5,2,FALSE))</f>
        <v>#REF!</v>
      </c>
    </row>
    <row r="336" spans="4:4" x14ac:dyDescent="0.35">
      <c r="D336" s="2" t="e">
        <f>IF(#REF!="","",VLOOKUP(#REF!,'Lookup Values'!$A$2:$B$5,2,FALSE))</f>
        <v>#REF!</v>
      </c>
    </row>
    <row r="337" spans="4:4" x14ac:dyDescent="0.35">
      <c r="D337" s="2" t="e">
        <f>IF(#REF!="","",VLOOKUP(#REF!,'Lookup Values'!$A$2:$B$5,2,FALSE))</f>
        <v>#REF!</v>
      </c>
    </row>
    <row r="338" spans="4:4" x14ac:dyDescent="0.35">
      <c r="D338" s="2" t="e">
        <f>IF(#REF!="","",VLOOKUP(#REF!,'Lookup Values'!$A$2:$B$5,2,FALSE))</f>
        <v>#REF!</v>
      </c>
    </row>
    <row r="339" spans="4:4" x14ac:dyDescent="0.35">
      <c r="D339" s="2" t="e">
        <f>IF(#REF!="","",VLOOKUP(#REF!,'Lookup Values'!$A$2:$B$5,2,FALSE))</f>
        <v>#REF!</v>
      </c>
    </row>
    <row r="340" spans="4:4" x14ac:dyDescent="0.35">
      <c r="D340" s="2" t="e">
        <f>IF(#REF!="","",VLOOKUP(#REF!,'Lookup Values'!$A$2:$B$5,2,FALSE))</f>
        <v>#REF!</v>
      </c>
    </row>
    <row r="341" spans="4:4" x14ac:dyDescent="0.35">
      <c r="D341" s="2" t="e">
        <f>IF(#REF!="","",VLOOKUP(#REF!,'Lookup Values'!$A$2:$B$5,2,FALSE))</f>
        <v>#REF!</v>
      </c>
    </row>
    <row r="342" spans="4:4" x14ac:dyDescent="0.35">
      <c r="D342" s="2" t="e">
        <f>IF(#REF!="","",VLOOKUP(#REF!,'Lookup Values'!$A$2:$B$5,2,FALSE))</f>
        <v>#REF!</v>
      </c>
    </row>
    <row r="343" spans="4:4" x14ac:dyDescent="0.35">
      <c r="D343" s="2" t="e">
        <f>IF(#REF!="","",VLOOKUP(#REF!,'Lookup Values'!$A$2:$B$5,2,FALSE))</f>
        <v>#REF!</v>
      </c>
    </row>
    <row r="344" spans="4:4" x14ac:dyDescent="0.35">
      <c r="D344" s="2" t="e">
        <f>IF(#REF!="","",VLOOKUP(#REF!,'Lookup Values'!$A$2:$B$5,2,FALSE))</f>
        <v>#REF!</v>
      </c>
    </row>
    <row r="345" spans="4:4" x14ac:dyDescent="0.35">
      <c r="D345" s="2" t="e">
        <f>IF(#REF!="","",VLOOKUP(#REF!,'Lookup Values'!$A$2:$B$5,2,FALSE))</f>
        <v>#REF!</v>
      </c>
    </row>
    <row r="346" spans="4:4" x14ac:dyDescent="0.35">
      <c r="D346" s="2" t="e">
        <f>IF(#REF!="","",VLOOKUP(#REF!,'Lookup Values'!$A$2:$B$5,2,FALSE))</f>
        <v>#REF!</v>
      </c>
    </row>
    <row r="347" spans="4:4" x14ac:dyDescent="0.35">
      <c r="D347" s="2" t="e">
        <f>IF(#REF!="","",VLOOKUP(#REF!,'Lookup Values'!$A$2:$B$5,2,FALSE))</f>
        <v>#REF!</v>
      </c>
    </row>
    <row r="348" spans="4:4" x14ac:dyDescent="0.35">
      <c r="D348" s="2" t="e">
        <f>IF(#REF!="","",VLOOKUP(#REF!,'Lookup Values'!$A$2:$B$5,2,FALSE))</f>
        <v>#REF!</v>
      </c>
    </row>
    <row r="349" spans="4:4" x14ac:dyDescent="0.35">
      <c r="D349" s="2" t="e">
        <f>IF(#REF!="","",VLOOKUP(#REF!,'Lookup Values'!$A$2:$B$5,2,FALSE))</f>
        <v>#REF!</v>
      </c>
    </row>
    <row r="350" spans="4:4" x14ac:dyDescent="0.35">
      <c r="D350" s="2" t="e">
        <f>IF(#REF!="","",VLOOKUP(#REF!,'Lookup Values'!$A$2:$B$5,2,FALSE))</f>
        <v>#REF!</v>
      </c>
    </row>
    <row r="351" spans="4:4" x14ac:dyDescent="0.35">
      <c r="D351" s="2" t="e">
        <f>IF(#REF!="","",VLOOKUP(#REF!,'Lookup Values'!$A$2:$B$5,2,FALSE))</f>
        <v>#REF!</v>
      </c>
    </row>
    <row r="352" spans="4:4" x14ac:dyDescent="0.35">
      <c r="D352" s="2" t="e">
        <f>IF(#REF!="","",VLOOKUP(#REF!,'Lookup Values'!$A$2:$B$5,2,FALSE))</f>
        <v>#REF!</v>
      </c>
    </row>
    <row r="353" spans="4:4" x14ac:dyDescent="0.35">
      <c r="D353" s="2" t="e">
        <f>IF(#REF!="","",VLOOKUP(#REF!,'Lookup Values'!$A$2:$B$5,2,FALSE))</f>
        <v>#REF!</v>
      </c>
    </row>
    <row r="354" spans="4:4" x14ac:dyDescent="0.35">
      <c r="D354" s="2" t="e">
        <f>IF(#REF!="","",VLOOKUP(#REF!,'Lookup Values'!$A$2:$B$5,2,FALSE))</f>
        <v>#REF!</v>
      </c>
    </row>
    <row r="355" spans="4:4" x14ac:dyDescent="0.35">
      <c r="D355" s="2" t="e">
        <f>IF(#REF!="","",VLOOKUP(#REF!,'Lookup Values'!$A$2:$B$5,2,FALSE))</f>
        <v>#REF!</v>
      </c>
    </row>
    <row r="356" spans="4:4" x14ac:dyDescent="0.35">
      <c r="D356" s="2" t="e">
        <f>IF(#REF!="","",VLOOKUP(#REF!,'Lookup Values'!$A$2:$B$5,2,FALSE))</f>
        <v>#REF!</v>
      </c>
    </row>
    <row r="357" spans="4:4" x14ac:dyDescent="0.35">
      <c r="D357" s="2" t="e">
        <f>IF(#REF!="","",VLOOKUP(#REF!,'Lookup Values'!$A$2:$B$5,2,FALSE))</f>
        <v>#REF!</v>
      </c>
    </row>
    <row r="358" spans="4:4" x14ac:dyDescent="0.35">
      <c r="D358" s="2" t="e">
        <f>IF(#REF!="","",VLOOKUP(#REF!,'Lookup Values'!$A$2:$B$5,2,FALSE))</f>
        <v>#REF!</v>
      </c>
    </row>
    <row r="359" spans="4:4" x14ac:dyDescent="0.35">
      <c r="D359" s="2" t="e">
        <f>IF(#REF!="","",VLOOKUP(#REF!,'Lookup Values'!$A$2:$B$5,2,FALSE))</f>
        <v>#REF!</v>
      </c>
    </row>
    <row r="360" spans="4:4" x14ac:dyDescent="0.35">
      <c r="D360" s="2" t="e">
        <f>IF(#REF!="","",VLOOKUP(#REF!,'Lookup Values'!$A$2:$B$5,2,FALSE))</f>
        <v>#REF!</v>
      </c>
    </row>
    <row r="361" spans="4:4" x14ac:dyDescent="0.35">
      <c r="D361" s="2" t="e">
        <f>IF(#REF!="","",VLOOKUP(#REF!,'Lookup Values'!$A$2:$B$5,2,FALSE))</f>
        <v>#REF!</v>
      </c>
    </row>
    <row r="362" spans="4:4" x14ac:dyDescent="0.35">
      <c r="D362" s="2" t="e">
        <f>IF(#REF!="","",VLOOKUP(#REF!,'Lookup Values'!$A$2:$B$5,2,FALSE))</f>
        <v>#REF!</v>
      </c>
    </row>
    <row r="363" spans="4:4" x14ac:dyDescent="0.35">
      <c r="D363" s="2" t="e">
        <f>IF(#REF!="","",VLOOKUP(#REF!,'Lookup Values'!$A$2:$B$5,2,FALSE))</f>
        <v>#REF!</v>
      </c>
    </row>
    <row r="364" spans="4:4" x14ac:dyDescent="0.35">
      <c r="D364" s="2" t="e">
        <f>IF(#REF!="","",VLOOKUP(#REF!,'Lookup Values'!$A$2:$B$5,2,FALSE))</f>
        <v>#REF!</v>
      </c>
    </row>
    <row r="365" spans="4:4" x14ac:dyDescent="0.35">
      <c r="D365" s="2" t="e">
        <f>IF(#REF!="","",VLOOKUP(#REF!,'Lookup Values'!$A$2:$B$5,2,FALSE))</f>
        <v>#REF!</v>
      </c>
    </row>
    <row r="366" spans="4:4" x14ac:dyDescent="0.35">
      <c r="D366" s="2" t="e">
        <f>IF(#REF!="","",VLOOKUP(#REF!,'Lookup Values'!$A$2:$B$5,2,FALSE))</f>
        <v>#REF!</v>
      </c>
    </row>
    <row r="367" spans="4:4" x14ac:dyDescent="0.35">
      <c r="D367" s="2" t="e">
        <f>IF(#REF!="","",VLOOKUP(#REF!,'Lookup Values'!$A$2:$B$5,2,FALSE))</f>
        <v>#REF!</v>
      </c>
    </row>
    <row r="368" spans="4:4" x14ac:dyDescent="0.35">
      <c r="D368" s="2" t="e">
        <f>IF(#REF!="","",VLOOKUP(#REF!,'Lookup Values'!$A$2:$B$5,2,FALSE))</f>
        <v>#REF!</v>
      </c>
    </row>
    <row r="369" spans="4:4" x14ac:dyDescent="0.35">
      <c r="D369" s="2" t="e">
        <f>IF(#REF!="","",VLOOKUP(#REF!,'Lookup Values'!$A$2:$B$5,2,FALSE))</f>
        <v>#REF!</v>
      </c>
    </row>
    <row r="370" spans="4:4" x14ac:dyDescent="0.35">
      <c r="D370" s="2" t="e">
        <f>IF(#REF!="","",VLOOKUP(#REF!,'Lookup Values'!$A$2:$B$5,2,FALSE))</f>
        <v>#REF!</v>
      </c>
    </row>
    <row r="371" spans="4:4" x14ac:dyDescent="0.35">
      <c r="D371" s="2" t="e">
        <f>IF(#REF!="","",VLOOKUP(#REF!,'Lookup Values'!$A$2:$B$5,2,FALSE))</f>
        <v>#REF!</v>
      </c>
    </row>
    <row r="372" spans="4:4" x14ac:dyDescent="0.35">
      <c r="D372" s="2" t="e">
        <f>IF(#REF!="","",VLOOKUP(#REF!,'Lookup Values'!$A$2:$B$5,2,FALSE))</f>
        <v>#REF!</v>
      </c>
    </row>
    <row r="373" spans="4:4" x14ac:dyDescent="0.35">
      <c r="D373" s="2" t="e">
        <f>IF(#REF!="","",VLOOKUP(#REF!,'Lookup Values'!$A$2:$B$5,2,FALSE))</f>
        <v>#REF!</v>
      </c>
    </row>
    <row r="374" spans="4:4" x14ac:dyDescent="0.35">
      <c r="D374" s="2" t="e">
        <f>IF(#REF!="","",VLOOKUP(#REF!,'Lookup Values'!$A$2:$B$5,2,FALSE))</f>
        <v>#REF!</v>
      </c>
    </row>
    <row r="375" spans="4:4" x14ac:dyDescent="0.35">
      <c r="D375" s="2" t="e">
        <f>IF(#REF!="","",VLOOKUP(#REF!,'Lookup Values'!$A$2:$B$5,2,FALSE))</f>
        <v>#REF!</v>
      </c>
    </row>
    <row r="376" spans="4:4" x14ac:dyDescent="0.35">
      <c r="D376" s="2" t="e">
        <f>IF(#REF!="","",VLOOKUP(#REF!,'Lookup Values'!$A$2:$B$5,2,FALSE))</f>
        <v>#REF!</v>
      </c>
    </row>
    <row r="377" spans="4:4" x14ac:dyDescent="0.35">
      <c r="D377" s="2" t="e">
        <f>IF(#REF!="","",VLOOKUP(#REF!,'Lookup Values'!$A$2:$B$5,2,FALSE))</f>
        <v>#REF!</v>
      </c>
    </row>
    <row r="378" spans="4:4" x14ac:dyDescent="0.35">
      <c r="D378" s="2" t="e">
        <f>IF(#REF!="","",VLOOKUP(#REF!,'Lookup Values'!$A$2:$B$5,2,FALSE))</f>
        <v>#REF!</v>
      </c>
    </row>
    <row r="379" spans="4:4" x14ac:dyDescent="0.35">
      <c r="D379" s="2" t="e">
        <f>IF(#REF!="","",VLOOKUP(#REF!,'Lookup Values'!$A$2:$B$5,2,FALSE))</f>
        <v>#REF!</v>
      </c>
    </row>
    <row r="380" spans="4:4" x14ac:dyDescent="0.35">
      <c r="D380" s="2" t="e">
        <f>IF(#REF!="","",VLOOKUP(#REF!,'Lookup Values'!$A$2:$B$5,2,FALSE))</f>
        <v>#REF!</v>
      </c>
    </row>
    <row r="381" spans="4:4" x14ac:dyDescent="0.35">
      <c r="D381" s="2" t="e">
        <f>IF(#REF!="","",VLOOKUP(#REF!,'Lookup Values'!$A$2:$B$5,2,FALSE))</f>
        <v>#REF!</v>
      </c>
    </row>
    <row r="382" spans="4:4" x14ac:dyDescent="0.35">
      <c r="D382" s="2" t="e">
        <f>IF(#REF!="","",VLOOKUP(#REF!,'Lookup Values'!$A$2:$B$5,2,FALSE))</f>
        <v>#REF!</v>
      </c>
    </row>
    <row r="383" spans="4:4" x14ac:dyDescent="0.35">
      <c r="D383" s="2" t="e">
        <f>IF(#REF!="","",VLOOKUP(#REF!,'Lookup Values'!$A$2:$B$5,2,FALSE))</f>
        <v>#REF!</v>
      </c>
    </row>
    <row r="384" spans="4:4" x14ac:dyDescent="0.35">
      <c r="D384" s="2" t="e">
        <f>IF(#REF!="","",VLOOKUP(#REF!,'Lookup Values'!$A$2:$B$5,2,FALSE))</f>
        <v>#REF!</v>
      </c>
    </row>
    <row r="385" spans="4:4" x14ac:dyDescent="0.35">
      <c r="D385" s="2" t="e">
        <f>IF(#REF!="","",VLOOKUP(#REF!,'Lookup Values'!$A$2:$B$5,2,FALSE))</f>
        <v>#REF!</v>
      </c>
    </row>
    <row r="386" spans="4:4" x14ac:dyDescent="0.35">
      <c r="D386" s="2" t="e">
        <f>IF(#REF!="","",VLOOKUP(#REF!,'Lookup Values'!$A$2:$B$5,2,FALSE))</f>
        <v>#REF!</v>
      </c>
    </row>
    <row r="387" spans="4:4" x14ac:dyDescent="0.35">
      <c r="D387" s="2" t="e">
        <f>IF(#REF!="","",VLOOKUP(#REF!,'Lookup Values'!$A$2:$B$5,2,FALSE))</f>
        <v>#REF!</v>
      </c>
    </row>
    <row r="388" spans="4:4" x14ac:dyDescent="0.35">
      <c r="D388" s="2" t="e">
        <f>IF(#REF!="","",VLOOKUP(#REF!,'Lookup Values'!$A$2:$B$5,2,FALSE))</f>
        <v>#REF!</v>
      </c>
    </row>
    <row r="389" spans="4:4" x14ac:dyDescent="0.35">
      <c r="D389" s="2" t="e">
        <f>IF(#REF!="","",VLOOKUP(#REF!,'Lookup Values'!$A$2:$B$5,2,FALSE))</f>
        <v>#REF!</v>
      </c>
    </row>
    <row r="390" spans="4:4" x14ac:dyDescent="0.35">
      <c r="D390" s="2" t="e">
        <f>IF(#REF!="","",VLOOKUP(#REF!,'Lookup Values'!$A$2:$B$5,2,FALSE))</f>
        <v>#REF!</v>
      </c>
    </row>
    <row r="391" spans="4:4" x14ac:dyDescent="0.35">
      <c r="D391" s="2" t="e">
        <f>IF(#REF!="","",VLOOKUP(#REF!,'Lookup Values'!$A$2:$B$5,2,FALSE))</f>
        <v>#REF!</v>
      </c>
    </row>
    <row r="392" spans="4:4" x14ac:dyDescent="0.35">
      <c r="D392" s="2" t="e">
        <f>IF(#REF!="","",VLOOKUP(#REF!,'Lookup Values'!$A$2:$B$5,2,FALSE))</f>
        <v>#REF!</v>
      </c>
    </row>
    <row r="393" spans="4:4" x14ac:dyDescent="0.35">
      <c r="D393" s="2" t="e">
        <f>IF(#REF!="","",VLOOKUP(#REF!,'Lookup Values'!$A$2:$B$5,2,FALSE))</f>
        <v>#REF!</v>
      </c>
    </row>
    <row r="394" spans="4:4" x14ac:dyDescent="0.35">
      <c r="D394" s="2" t="e">
        <f>IF(#REF!="","",VLOOKUP(#REF!,'Lookup Values'!$A$2:$B$5,2,FALSE))</f>
        <v>#REF!</v>
      </c>
    </row>
    <row r="395" spans="4:4" x14ac:dyDescent="0.35">
      <c r="D395" s="2" t="e">
        <f>IF(#REF!="","",VLOOKUP(#REF!,'Lookup Values'!$A$2:$B$5,2,FALSE))</f>
        <v>#REF!</v>
      </c>
    </row>
    <row r="396" spans="4:4" x14ac:dyDescent="0.35">
      <c r="D396" s="2" t="e">
        <f>IF(#REF!="","",VLOOKUP(#REF!,'Lookup Values'!$A$2:$B$5,2,FALSE))</f>
        <v>#REF!</v>
      </c>
    </row>
    <row r="397" spans="4:4" x14ac:dyDescent="0.35">
      <c r="D397" s="2" t="e">
        <f>IF(#REF!="","",VLOOKUP(#REF!,'Lookup Values'!$A$2:$B$5,2,FALSE))</f>
        <v>#REF!</v>
      </c>
    </row>
    <row r="398" spans="4:4" x14ac:dyDescent="0.35">
      <c r="D398" s="2" t="e">
        <f>IF(#REF!="","",VLOOKUP(#REF!,'Lookup Values'!$A$2:$B$5,2,FALSE))</f>
        <v>#REF!</v>
      </c>
    </row>
    <row r="399" spans="4:4" x14ac:dyDescent="0.35">
      <c r="D399" s="2" t="e">
        <f>IF(#REF!="","",VLOOKUP(#REF!,'Lookup Values'!$A$2:$B$5,2,FALSE))</f>
        <v>#REF!</v>
      </c>
    </row>
    <row r="400" spans="4:4" x14ac:dyDescent="0.35">
      <c r="D400" s="2" t="e">
        <f>IF(#REF!="","",VLOOKUP(#REF!,'Lookup Values'!$A$2:$B$5,2,FALSE))</f>
        <v>#REF!</v>
      </c>
    </row>
    <row r="401" spans="4:4" x14ac:dyDescent="0.35">
      <c r="D401" s="2" t="e">
        <f>IF(#REF!="","",VLOOKUP(#REF!,'Lookup Values'!$A$2:$B$5,2,FALSE))</f>
        <v>#REF!</v>
      </c>
    </row>
    <row r="402" spans="4:4" x14ac:dyDescent="0.35">
      <c r="D402" s="2" t="e">
        <f>IF(#REF!="","",VLOOKUP(#REF!,'Lookup Values'!$A$2:$B$5,2,FALSE))</f>
        <v>#REF!</v>
      </c>
    </row>
    <row r="403" spans="4:4" x14ac:dyDescent="0.35">
      <c r="D403" s="2" t="e">
        <f>IF(#REF!="","",VLOOKUP(#REF!,'Lookup Values'!$A$2:$B$5,2,FALSE))</f>
        <v>#REF!</v>
      </c>
    </row>
    <row r="404" spans="4:4" x14ac:dyDescent="0.35">
      <c r="D404" s="2" t="e">
        <f>IF(#REF!="","",VLOOKUP(#REF!,'Lookup Values'!$A$2:$B$5,2,FALSE))</f>
        <v>#REF!</v>
      </c>
    </row>
    <row r="405" spans="4:4" x14ac:dyDescent="0.35">
      <c r="D405" s="2" t="e">
        <f>IF(#REF!="","",VLOOKUP(#REF!,'Lookup Values'!$A$2:$B$5,2,FALSE))</f>
        <v>#REF!</v>
      </c>
    </row>
    <row r="406" spans="4:4" x14ac:dyDescent="0.35">
      <c r="D406" s="2" t="e">
        <f>IF(#REF!="","",VLOOKUP(#REF!,'Lookup Values'!$A$2:$B$5,2,FALSE))</f>
        <v>#REF!</v>
      </c>
    </row>
    <row r="407" spans="4:4" x14ac:dyDescent="0.35">
      <c r="D407" s="2" t="e">
        <f>IF(#REF!="","",VLOOKUP(#REF!,'Lookup Values'!$A$2:$B$5,2,FALSE))</f>
        <v>#REF!</v>
      </c>
    </row>
    <row r="408" spans="4:4" x14ac:dyDescent="0.35">
      <c r="D408" s="2" t="e">
        <f>IF(#REF!="","",VLOOKUP(#REF!,'Lookup Values'!$A$2:$B$5,2,FALSE))</f>
        <v>#REF!</v>
      </c>
    </row>
    <row r="409" spans="4:4" x14ac:dyDescent="0.35">
      <c r="D409" s="2" t="e">
        <f>IF(#REF!="","",VLOOKUP(#REF!,'Lookup Values'!$A$2:$B$5,2,FALSE))</f>
        <v>#REF!</v>
      </c>
    </row>
    <row r="410" spans="4:4" x14ac:dyDescent="0.35">
      <c r="D410" s="2" t="e">
        <f>IF(#REF!="","",VLOOKUP(#REF!,'Lookup Values'!$A$2:$B$5,2,FALSE))</f>
        <v>#REF!</v>
      </c>
    </row>
    <row r="411" spans="4:4" x14ac:dyDescent="0.35">
      <c r="D411" s="2" t="e">
        <f>IF(#REF!="","",VLOOKUP(#REF!,'Lookup Values'!$A$2:$B$5,2,FALSE))</f>
        <v>#REF!</v>
      </c>
    </row>
    <row r="412" spans="4:4" x14ac:dyDescent="0.35">
      <c r="D412" s="2" t="e">
        <f>IF(#REF!="","",VLOOKUP(#REF!,'Lookup Values'!$A$2:$B$5,2,FALSE))</f>
        <v>#REF!</v>
      </c>
    </row>
    <row r="413" spans="4:4" x14ac:dyDescent="0.35">
      <c r="D413" s="2" t="e">
        <f>IF(#REF!="","",VLOOKUP(#REF!,'Lookup Values'!$A$2:$B$5,2,FALSE))</f>
        <v>#REF!</v>
      </c>
    </row>
    <row r="414" spans="4:4" x14ac:dyDescent="0.35">
      <c r="D414" s="2" t="e">
        <f>IF(#REF!="","",VLOOKUP(#REF!,'Lookup Values'!$A$2:$B$5,2,FALSE))</f>
        <v>#REF!</v>
      </c>
    </row>
    <row r="415" spans="4:4" x14ac:dyDescent="0.35">
      <c r="D415" s="2" t="e">
        <f>IF(#REF!="","",VLOOKUP(#REF!,'Lookup Values'!$A$2:$B$5,2,FALSE))</f>
        <v>#REF!</v>
      </c>
    </row>
    <row r="416" spans="4:4" x14ac:dyDescent="0.35">
      <c r="D416" s="2" t="e">
        <f>IF(#REF!="","",VLOOKUP(#REF!,'Lookup Values'!$A$2:$B$5,2,FALSE))</f>
        <v>#REF!</v>
      </c>
    </row>
    <row r="417" spans="4:4" x14ac:dyDescent="0.35">
      <c r="D417" s="2" t="e">
        <f>IF(#REF!="","",VLOOKUP(#REF!,'Lookup Values'!$A$2:$B$5,2,FALSE))</f>
        <v>#REF!</v>
      </c>
    </row>
    <row r="418" spans="4:4" x14ac:dyDescent="0.35">
      <c r="D418" s="2" t="e">
        <f>IF(#REF!="","",VLOOKUP(#REF!,'Lookup Values'!$A$2:$B$5,2,FALSE))</f>
        <v>#REF!</v>
      </c>
    </row>
    <row r="419" spans="4:4" x14ac:dyDescent="0.35">
      <c r="D419" s="2" t="e">
        <f>IF(#REF!="","",VLOOKUP(#REF!,'Lookup Values'!$A$2:$B$5,2,FALSE))</f>
        <v>#REF!</v>
      </c>
    </row>
    <row r="420" spans="4:4" x14ac:dyDescent="0.35">
      <c r="D420" s="2" t="e">
        <f>IF(#REF!="","",VLOOKUP(#REF!,'Lookup Values'!$A$2:$B$5,2,FALSE))</f>
        <v>#REF!</v>
      </c>
    </row>
    <row r="421" spans="4:4" x14ac:dyDescent="0.35">
      <c r="D421" s="2" t="e">
        <f>IF(#REF!="","",VLOOKUP(#REF!,'Lookup Values'!$A$2:$B$5,2,FALSE))</f>
        <v>#REF!</v>
      </c>
    </row>
    <row r="422" spans="4:4" x14ac:dyDescent="0.35">
      <c r="D422" s="2" t="e">
        <f>IF(#REF!="","",VLOOKUP(#REF!,'Lookup Values'!$A$2:$B$5,2,FALSE))</f>
        <v>#REF!</v>
      </c>
    </row>
    <row r="423" spans="4:4" x14ac:dyDescent="0.35">
      <c r="D423" s="2" t="e">
        <f>IF(#REF!="","",VLOOKUP(#REF!,'Lookup Values'!$A$2:$B$5,2,FALSE))</f>
        <v>#REF!</v>
      </c>
    </row>
    <row r="424" spans="4:4" x14ac:dyDescent="0.35">
      <c r="D424" s="2" t="e">
        <f>IF(#REF!="","",VLOOKUP(#REF!,'Lookup Values'!$A$2:$B$5,2,FALSE))</f>
        <v>#REF!</v>
      </c>
    </row>
    <row r="425" spans="4:4" x14ac:dyDescent="0.35">
      <c r="D425" s="2" t="e">
        <f>IF(#REF!="","",VLOOKUP(#REF!,'Lookup Values'!$A$2:$B$5,2,FALSE))</f>
        <v>#REF!</v>
      </c>
    </row>
    <row r="426" spans="4:4" x14ac:dyDescent="0.35">
      <c r="D426" s="2" t="e">
        <f>IF(#REF!="","",VLOOKUP(#REF!,'Lookup Values'!$A$2:$B$5,2,FALSE))</f>
        <v>#REF!</v>
      </c>
    </row>
    <row r="427" spans="4:4" x14ac:dyDescent="0.35">
      <c r="D427" s="2" t="e">
        <f>IF(#REF!="","",VLOOKUP(#REF!,'Lookup Values'!$A$2:$B$5,2,FALSE))</f>
        <v>#REF!</v>
      </c>
    </row>
    <row r="428" spans="4:4" x14ac:dyDescent="0.35">
      <c r="D428" s="2" t="e">
        <f>IF(#REF!="","",VLOOKUP(#REF!,'Lookup Values'!$A$2:$B$5,2,FALSE))</f>
        <v>#REF!</v>
      </c>
    </row>
    <row r="429" spans="4:4" x14ac:dyDescent="0.35">
      <c r="D429" s="2" t="e">
        <f>IF(#REF!="","",VLOOKUP(#REF!,'Lookup Values'!$A$2:$B$5,2,FALSE))</f>
        <v>#REF!</v>
      </c>
    </row>
    <row r="430" spans="4:4" x14ac:dyDescent="0.35">
      <c r="D430" s="2" t="e">
        <f>IF(#REF!="","",VLOOKUP(#REF!,'Lookup Values'!$A$2:$B$5,2,FALSE))</f>
        <v>#REF!</v>
      </c>
    </row>
    <row r="431" spans="4:4" x14ac:dyDescent="0.35">
      <c r="D431" s="2" t="e">
        <f>IF(#REF!="","",VLOOKUP(#REF!,'Lookup Values'!$A$2:$B$5,2,FALSE))</f>
        <v>#REF!</v>
      </c>
    </row>
    <row r="432" spans="4:4" x14ac:dyDescent="0.35">
      <c r="D432" s="2" t="e">
        <f>IF(#REF!="","",VLOOKUP(#REF!,'Lookup Values'!$A$2:$B$5,2,FALSE))</f>
        <v>#REF!</v>
      </c>
    </row>
    <row r="433" spans="4:4" x14ac:dyDescent="0.35">
      <c r="D433" s="2" t="e">
        <f>IF(#REF!="","",VLOOKUP(#REF!,'Lookup Values'!$A$2:$B$5,2,FALSE))</f>
        <v>#REF!</v>
      </c>
    </row>
    <row r="434" spans="4:4" x14ac:dyDescent="0.35">
      <c r="D434" s="2" t="e">
        <f>IF(#REF!="","",VLOOKUP(#REF!,'Lookup Values'!$A$2:$B$5,2,FALSE))</f>
        <v>#REF!</v>
      </c>
    </row>
    <row r="435" spans="4:4" x14ac:dyDescent="0.35">
      <c r="D435" s="2" t="e">
        <f>IF(#REF!="","",VLOOKUP(#REF!,'Lookup Values'!$A$2:$B$5,2,FALSE))</f>
        <v>#REF!</v>
      </c>
    </row>
    <row r="436" spans="4:4" x14ac:dyDescent="0.35">
      <c r="D436" s="2" t="e">
        <f>IF(#REF!="","",VLOOKUP(#REF!,'Lookup Values'!$A$2:$B$5,2,FALSE))</f>
        <v>#REF!</v>
      </c>
    </row>
    <row r="437" spans="4:4" x14ac:dyDescent="0.35">
      <c r="D437" s="2" t="e">
        <f>IF(#REF!="","",VLOOKUP(#REF!,'Lookup Values'!$A$2:$B$5,2,FALSE))</f>
        <v>#REF!</v>
      </c>
    </row>
    <row r="438" spans="4:4" x14ac:dyDescent="0.35">
      <c r="D438" s="2" t="e">
        <f>IF(#REF!="","",VLOOKUP(#REF!,'Lookup Values'!$A$2:$B$5,2,FALSE))</f>
        <v>#REF!</v>
      </c>
    </row>
    <row r="439" spans="4:4" x14ac:dyDescent="0.35">
      <c r="D439" s="2" t="e">
        <f>IF(#REF!="","",VLOOKUP(#REF!,'Lookup Values'!$A$2:$B$5,2,FALSE))</f>
        <v>#REF!</v>
      </c>
    </row>
    <row r="440" spans="4:4" x14ac:dyDescent="0.35">
      <c r="D440" s="2" t="e">
        <f>IF(#REF!="","",VLOOKUP(#REF!,'Lookup Values'!$A$2:$B$5,2,FALSE))</f>
        <v>#REF!</v>
      </c>
    </row>
    <row r="441" spans="4:4" x14ac:dyDescent="0.35">
      <c r="D441" s="2" t="e">
        <f>IF(#REF!="","",VLOOKUP(#REF!,'Lookup Values'!$A$2:$B$5,2,FALSE))</f>
        <v>#REF!</v>
      </c>
    </row>
    <row r="442" spans="4:4" x14ac:dyDescent="0.35">
      <c r="D442" s="2" t="e">
        <f>IF(#REF!="","",VLOOKUP(#REF!,'Lookup Values'!$A$2:$B$5,2,FALSE))</f>
        <v>#REF!</v>
      </c>
    </row>
    <row r="443" spans="4:4" x14ac:dyDescent="0.35">
      <c r="D443" s="2" t="e">
        <f>IF(#REF!="","",VLOOKUP(#REF!,'Lookup Values'!$A$2:$B$5,2,FALSE))</f>
        <v>#REF!</v>
      </c>
    </row>
    <row r="444" spans="4:4" x14ac:dyDescent="0.35">
      <c r="D444" s="2" t="e">
        <f>IF(#REF!="","",VLOOKUP(#REF!,'Lookup Values'!$A$2:$B$5,2,FALSE))</f>
        <v>#REF!</v>
      </c>
    </row>
    <row r="445" spans="4:4" x14ac:dyDescent="0.35">
      <c r="D445" s="2" t="e">
        <f>IF(#REF!="","",VLOOKUP(#REF!,'Lookup Values'!$A$2:$B$5,2,FALSE))</f>
        <v>#REF!</v>
      </c>
    </row>
    <row r="446" spans="4:4" x14ac:dyDescent="0.35">
      <c r="D446" s="2" t="e">
        <f>IF(#REF!="","",VLOOKUP(#REF!,'Lookup Values'!$A$2:$B$5,2,FALSE))</f>
        <v>#REF!</v>
      </c>
    </row>
    <row r="447" spans="4:4" x14ac:dyDescent="0.35">
      <c r="D447" s="2" t="e">
        <f>IF(#REF!="","",VLOOKUP(#REF!,'Lookup Values'!$A$2:$B$5,2,FALSE))</f>
        <v>#REF!</v>
      </c>
    </row>
    <row r="448" spans="4:4" x14ac:dyDescent="0.35">
      <c r="D448" s="2" t="e">
        <f>IF(#REF!="","",VLOOKUP(#REF!,'Lookup Values'!$A$2:$B$5,2,FALSE))</f>
        <v>#REF!</v>
      </c>
    </row>
    <row r="449" spans="4:4" x14ac:dyDescent="0.35">
      <c r="D449" s="2" t="e">
        <f>IF(#REF!="","",VLOOKUP(#REF!,'Lookup Values'!$A$2:$B$5,2,FALSE))</f>
        <v>#REF!</v>
      </c>
    </row>
    <row r="450" spans="4:4" x14ac:dyDescent="0.35">
      <c r="D450" s="2" t="e">
        <f>IF(#REF!="","",VLOOKUP(#REF!,'Lookup Values'!$A$2:$B$5,2,FALSE))</f>
        <v>#REF!</v>
      </c>
    </row>
    <row r="451" spans="4:4" x14ac:dyDescent="0.35">
      <c r="D451" s="2" t="e">
        <f>IF(#REF!="","",VLOOKUP(#REF!,'Lookup Values'!$A$2:$B$5,2,FALSE))</f>
        <v>#REF!</v>
      </c>
    </row>
    <row r="452" spans="4:4" x14ac:dyDescent="0.35">
      <c r="D452" s="2" t="e">
        <f>IF(#REF!="","",VLOOKUP(#REF!,'Lookup Values'!$A$2:$B$5,2,FALSE))</f>
        <v>#REF!</v>
      </c>
    </row>
    <row r="453" spans="4:4" x14ac:dyDescent="0.35">
      <c r="D453" s="2" t="e">
        <f>IF(#REF!="","",VLOOKUP(#REF!,'Lookup Values'!$A$2:$B$5,2,FALSE))</f>
        <v>#REF!</v>
      </c>
    </row>
    <row r="454" spans="4:4" x14ac:dyDescent="0.35">
      <c r="D454" s="2" t="e">
        <f>IF(#REF!="","",VLOOKUP(#REF!,'Lookup Values'!$A$2:$B$5,2,FALSE))</f>
        <v>#REF!</v>
      </c>
    </row>
    <row r="455" spans="4:4" x14ac:dyDescent="0.35">
      <c r="D455" s="2" t="e">
        <f>IF(#REF!="","",VLOOKUP(#REF!,'Lookup Values'!$A$2:$B$5,2,FALSE))</f>
        <v>#REF!</v>
      </c>
    </row>
    <row r="456" spans="4:4" x14ac:dyDescent="0.35">
      <c r="D456" s="2" t="e">
        <f>IF(#REF!="","",VLOOKUP(#REF!,'Lookup Values'!$A$2:$B$5,2,FALSE))</f>
        <v>#REF!</v>
      </c>
    </row>
    <row r="457" spans="4:4" x14ac:dyDescent="0.35">
      <c r="D457" s="2" t="e">
        <f>IF(#REF!="","",VLOOKUP(#REF!,'Lookup Values'!$A$2:$B$5,2,FALSE))</f>
        <v>#REF!</v>
      </c>
    </row>
    <row r="458" spans="4:4" x14ac:dyDescent="0.35">
      <c r="D458" s="2" t="e">
        <f>IF(#REF!="","",VLOOKUP(#REF!,'Lookup Values'!$A$2:$B$5,2,FALSE))</f>
        <v>#REF!</v>
      </c>
    </row>
    <row r="459" spans="4:4" x14ac:dyDescent="0.35">
      <c r="D459" s="2" t="e">
        <f>IF(#REF!="","",VLOOKUP(#REF!,'Lookup Values'!$A$2:$B$5,2,FALSE))</f>
        <v>#REF!</v>
      </c>
    </row>
    <row r="460" spans="4:4" x14ac:dyDescent="0.35">
      <c r="D460" s="2" t="e">
        <f>IF(#REF!="","",VLOOKUP(#REF!,'Lookup Values'!$A$2:$B$5,2,FALSE))</f>
        <v>#REF!</v>
      </c>
    </row>
    <row r="461" spans="4:4" x14ac:dyDescent="0.35">
      <c r="D461" s="2" t="e">
        <f>IF(#REF!="","",VLOOKUP(#REF!,'Lookup Values'!$A$2:$B$5,2,FALSE))</f>
        <v>#REF!</v>
      </c>
    </row>
    <row r="462" spans="4:4" x14ac:dyDescent="0.35">
      <c r="D462" s="2" t="e">
        <f>IF(#REF!="","",VLOOKUP(#REF!,'Lookup Values'!$A$2:$B$5,2,FALSE))</f>
        <v>#REF!</v>
      </c>
    </row>
    <row r="463" spans="4:4" x14ac:dyDescent="0.35">
      <c r="D463" s="2" t="e">
        <f>IF(#REF!="","",VLOOKUP(#REF!,'Lookup Values'!$A$2:$B$5,2,FALSE))</f>
        <v>#REF!</v>
      </c>
    </row>
    <row r="464" spans="4:4" x14ac:dyDescent="0.35">
      <c r="D464" s="2" t="e">
        <f>IF(#REF!="","",VLOOKUP(#REF!,'Lookup Values'!$A$2:$B$5,2,FALSE))</f>
        <v>#REF!</v>
      </c>
    </row>
    <row r="465" spans="4:4" x14ac:dyDescent="0.35">
      <c r="D465" s="2" t="e">
        <f>IF(#REF!="","",VLOOKUP(#REF!,'Lookup Values'!$A$2:$B$5,2,FALSE))</f>
        <v>#REF!</v>
      </c>
    </row>
    <row r="466" spans="4:4" x14ac:dyDescent="0.35">
      <c r="D466" s="2" t="e">
        <f>IF(#REF!="","",VLOOKUP(#REF!,'Lookup Values'!$A$2:$B$5,2,FALSE))</f>
        <v>#REF!</v>
      </c>
    </row>
    <row r="467" spans="4:4" x14ac:dyDescent="0.35">
      <c r="D467" s="2" t="e">
        <f>IF(#REF!="","",VLOOKUP(#REF!,'Lookup Values'!$A$2:$B$5,2,FALSE))</f>
        <v>#REF!</v>
      </c>
    </row>
    <row r="468" spans="4:4" x14ac:dyDescent="0.35">
      <c r="D468" s="2" t="e">
        <f>IF(#REF!="","",VLOOKUP(#REF!,'Lookup Values'!$A$2:$B$5,2,FALSE))</f>
        <v>#REF!</v>
      </c>
    </row>
    <row r="469" spans="4:4" x14ac:dyDescent="0.35">
      <c r="D469" s="2" t="e">
        <f>IF(#REF!="","",VLOOKUP(#REF!,'Lookup Values'!$A$2:$B$5,2,FALSE))</f>
        <v>#REF!</v>
      </c>
    </row>
    <row r="470" spans="4:4" x14ac:dyDescent="0.35">
      <c r="D470" s="2" t="e">
        <f>IF(#REF!="","",VLOOKUP(#REF!,'Lookup Values'!$A$2:$B$5,2,FALSE))</f>
        <v>#REF!</v>
      </c>
    </row>
    <row r="471" spans="4:4" x14ac:dyDescent="0.35">
      <c r="D471" s="2" t="e">
        <f>IF(#REF!="","",VLOOKUP(#REF!,'Lookup Values'!$A$2:$B$5,2,FALSE))</f>
        <v>#REF!</v>
      </c>
    </row>
    <row r="472" spans="4:4" x14ac:dyDescent="0.35">
      <c r="D472" s="2" t="e">
        <f>IF(#REF!="","",VLOOKUP(#REF!,'Lookup Values'!$A$2:$B$5,2,FALSE))</f>
        <v>#REF!</v>
      </c>
    </row>
    <row r="473" spans="4:4" x14ac:dyDescent="0.35">
      <c r="D473" s="2" t="e">
        <f>IF(#REF!="","",VLOOKUP(#REF!,'Lookup Values'!$A$2:$B$5,2,FALSE))</f>
        <v>#REF!</v>
      </c>
    </row>
    <row r="474" spans="4:4" x14ac:dyDescent="0.35">
      <c r="D474" s="2" t="e">
        <f>IF(#REF!="","",VLOOKUP(#REF!,'Lookup Values'!$A$2:$B$5,2,FALSE))</f>
        <v>#REF!</v>
      </c>
    </row>
    <row r="475" spans="4:4" x14ac:dyDescent="0.35">
      <c r="D475" s="2" t="e">
        <f>IF(#REF!="","",VLOOKUP(#REF!,'Lookup Values'!$A$2:$B$5,2,FALSE))</f>
        <v>#REF!</v>
      </c>
    </row>
    <row r="476" spans="4:4" x14ac:dyDescent="0.35">
      <c r="D476" s="2" t="e">
        <f>IF(#REF!="","",VLOOKUP(#REF!,'Lookup Values'!$A$2:$B$5,2,FALSE))</f>
        <v>#REF!</v>
      </c>
    </row>
    <row r="477" spans="4:4" x14ac:dyDescent="0.35">
      <c r="D477" s="2" t="e">
        <f>IF(#REF!="","",VLOOKUP(#REF!,'Lookup Values'!$A$2:$B$5,2,FALSE))</f>
        <v>#REF!</v>
      </c>
    </row>
    <row r="478" spans="4:4" x14ac:dyDescent="0.35">
      <c r="D478" s="2" t="e">
        <f>IF(#REF!="","",VLOOKUP(#REF!,'Lookup Values'!$A$2:$B$5,2,FALSE))</f>
        <v>#REF!</v>
      </c>
    </row>
    <row r="479" spans="4:4" x14ac:dyDescent="0.35">
      <c r="D479" s="2" t="e">
        <f>IF(#REF!="","",VLOOKUP(#REF!,'Lookup Values'!$A$2:$B$5,2,FALSE))</f>
        <v>#REF!</v>
      </c>
    </row>
    <row r="480" spans="4:4" x14ac:dyDescent="0.35">
      <c r="D480" s="2" t="e">
        <f>IF(#REF!="","",VLOOKUP(#REF!,'Lookup Values'!$A$2:$B$5,2,FALSE))</f>
        <v>#REF!</v>
      </c>
    </row>
    <row r="481" spans="4:4" x14ac:dyDescent="0.35">
      <c r="D481" s="2" t="e">
        <f>IF(#REF!="","",VLOOKUP(#REF!,'Lookup Values'!$A$2:$B$5,2,FALSE))</f>
        <v>#REF!</v>
      </c>
    </row>
    <row r="482" spans="4:4" x14ac:dyDescent="0.35">
      <c r="D482" s="2" t="e">
        <f>IF(#REF!="","",VLOOKUP(#REF!,'Lookup Values'!$A$2:$B$5,2,FALSE))</f>
        <v>#REF!</v>
      </c>
    </row>
    <row r="483" spans="4:4" x14ac:dyDescent="0.35">
      <c r="D483" s="2" t="e">
        <f>IF(#REF!="","",VLOOKUP(#REF!,'Lookup Values'!$A$2:$B$5,2,FALSE))</f>
        <v>#REF!</v>
      </c>
    </row>
    <row r="484" spans="4:4" x14ac:dyDescent="0.35">
      <c r="D484" s="2" t="e">
        <f>IF(#REF!="","",VLOOKUP(#REF!,'Lookup Values'!$A$2:$B$5,2,FALSE))</f>
        <v>#REF!</v>
      </c>
    </row>
    <row r="485" spans="4:4" x14ac:dyDescent="0.35">
      <c r="D485" s="2" t="e">
        <f>IF(#REF!="","",VLOOKUP(#REF!,'Lookup Values'!$A$2:$B$5,2,FALSE))</f>
        <v>#REF!</v>
      </c>
    </row>
    <row r="486" spans="4:4" x14ac:dyDescent="0.35">
      <c r="D486" s="2" t="e">
        <f>IF(#REF!="","",VLOOKUP(#REF!,'Lookup Values'!$A$2:$B$5,2,FALSE))</f>
        <v>#REF!</v>
      </c>
    </row>
    <row r="487" spans="4:4" x14ac:dyDescent="0.35">
      <c r="D487" s="2" t="e">
        <f>IF(#REF!="","",VLOOKUP(#REF!,'Lookup Values'!$A$2:$B$5,2,FALSE))</f>
        <v>#REF!</v>
      </c>
    </row>
    <row r="488" spans="4:4" x14ac:dyDescent="0.35">
      <c r="D488" s="2" t="e">
        <f>IF(#REF!="","",VLOOKUP(#REF!,'Lookup Values'!$A$2:$B$5,2,FALSE))</f>
        <v>#REF!</v>
      </c>
    </row>
    <row r="489" spans="4:4" x14ac:dyDescent="0.35">
      <c r="D489" s="2" t="e">
        <f>IF(#REF!="","",VLOOKUP(#REF!,'Lookup Values'!$A$2:$B$5,2,FALSE))</f>
        <v>#REF!</v>
      </c>
    </row>
    <row r="490" spans="4:4" x14ac:dyDescent="0.35">
      <c r="D490" s="2" t="e">
        <f>IF(#REF!="","",VLOOKUP(#REF!,'Lookup Values'!$A$2:$B$5,2,FALSE))</f>
        <v>#REF!</v>
      </c>
    </row>
    <row r="491" spans="4:4" x14ac:dyDescent="0.35">
      <c r="D491" s="2" t="e">
        <f>IF(#REF!="","",VLOOKUP(#REF!,'Lookup Values'!$A$2:$B$5,2,FALSE))</f>
        <v>#REF!</v>
      </c>
    </row>
    <row r="492" spans="4:4" x14ac:dyDescent="0.35">
      <c r="D492" s="2" t="e">
        <f>IF(#REF!="","",VLOOKUP(#REF!,'Lookup Values'!$A$2:$B$5,2,FALSE))</f>
        <v>#REF!</v>
      </c>
    </row>
    <row r="493" spans="4:4" x14ac:dyDescent="0.35">
      <c r="D493" s="2" t="e">
        <f>IF(#REF!="","",VLOOKUP(#REF!,'Lookup Values'!$A$2:$B$5,2,FALSE))</f>
        <v>#REF!</v>
      </c>
    </row>
    <row r="494" spans="4:4" x14ac:dyDescent="0.35">
      <c r="D494" s="2" t="e">
        <f>IF(#REF!="","",VLOOKUP(#REF!,'Lookup Values'!$A$2:$B$5,2,FALSE))</f>
        <v>#REF!</v>
      </c>
    </row>
    <row r="495" spans="4:4" x14ac:dyDescent="0.35">
      <c r="D495" s="2" t="e">
        <f>IF(#REF!="","",VLOOKUP(#REF!,'Lookup Values'!$A$2:$B$5,2,FALSE))</f>
        <v>#REF!</v>
      </c>
    </row>
    <row r="496" spans="4:4" x14ac:dyDescent="0.35">
      <c r="D496" s="2" t="e">
        <f>IF(#REF!="","",VLOOKUP(#REF!,'Lookup Values'!$A$2:$B$5,2,FALSE))</f>
        <v>#REF!</v>
      </c>
    </row>
    <row r="497" spans="4:4" x14ac:dyDescent="0.35">
      <c r="D497" s="2" t="e">
        <f>IF(#REF!="","",VLOOKUP(#REF!,'Lookup Values'!$A$2:$B$5,2,FALSE))</f>
        <v>#REF!</v>
      </c>
    </row>
    <row r="498" spans="4:4" x14ac:dyDescent="0.35">
      <c r="D498" s="2" t="e">
        <f>IF(#REF!="","",VLOOKUP(#REF!,'Lookup Values'!$A$2:$B$5,2,FALSE))</f>
        <v>#REF!</v>
      </c>
    </row>
    <row r="499" spans="4:4" x14ac:dyDescent="0.35">
      <c r="D499" s="2" t="e">
        <f>IF(#REF!="","",VLOOKUP(#REF!,'Lookup Values'!$A$2:$B$5,2,FALSE))</f>
        <v>#REF!</v>
      </c>
    </row>
    <row r="500" spans="4:4" x14ac:dyDescent="0.35">
      <c r="D500" s="2" t="e">
        <f>IF(#REF!="","",VLOOKUP(#REF!,'Lookup Values'!$A$2:$B$5,2,FALSE))</f>
        <v>#REF!</v>
      </c>
    </row>
    <row r="501" spans="4:4" x14ac:dyDescent="0.35">
      <c r="D501" s="2" t="e">
        <f>IF(#REF!="","",VLOOKUP(#REF!,'Lookup Values'!$A$2:$B$5,2,FALSE))</f>
        <v>#REF!</v>
      </c>
    </row>
    <row r="502" spans="4:4" x14ac:dyDescent="0.35">
      <c r="D502" s="2" t="e">
        <f>IF(#REF!="","",VLOOKUP(#REF!,'Lookup Values'!$A$2:$B$5,2,FALSE))</f>
        <v>#REF!</v>
      </c>
    </row>
    <row r="503" spans="4:4" x14ac:dyDescent="0.35">
      <c r="D503" s="2" t="e">
        <f>IF(#REF!="","",VLOOKUP(#REF!,'Lookup Values'!$A$2:$B$5,2,FALSE))</f>
        <v>#REF!</v>
      </c>
    </row>
    <row r="504" spans="4:4" x14ac:dyDescent="0.35">
      <c r="D504" s="2" t="e">
        <f>IF(#REF!="","",VLOOKUP(#REF!,'Lookup Values'!$A$2:$B$5,2,FALSE))</f>
        <v>#REF!</v>
      </c>
    </row>
    <row r="505" spans="4:4" x14ac:dyDescent="0.35">
      <c r="D505" s="2" t="e">
        <f>IF(#REF!="","",VLOOKUP(#REF!,'Lookup Values'!$A$2:$B$5,2,FALSE))</f>
        <v>#REF!</v>
      </c>
    </row>
    <row r="506" spans="4:4" x14ac:dyDescent="0.35">
      <c r="D506" s="2" t="e">
        <f>IF(#REF!="","",VLOOKUP(#REF!,'Lookup Values'!$A$2:$B$5,2,FALSE))</f>
        <v>#REF!</v>
      </c>
    </row>
    <row r="507" spans="4:4" x14ac:dyDescent="0.35">
      <c r="D507" s="2" t="e">
        <f>IF(#REF!="","",VLOOKUP(#REF!,'Lookup Values'!$A$2:$B$5,2,FALSE))</f>
        <v>#REF!</v>
      </c>
    </row>
    <row r="508" spans="4:4" x14ac:dyDescent="0.35">
      <c r="D508" s="2" t="e">
        <f>IF(#REF!="","",VLOOKUP(#REF!,'Lookup Values'!$A$2:$B$5,2,FALSE))</f>
        <v>#REF!</v>
      </c>
    </row>
    <row r="509" spans="4:4" x14ac:dyDescent="0.35">
      <c r="D509" s="2" t="e">
        <f>IF(#REF!="","",VLOOKUP(#REF!,'Lookup Values'!$A$2:$B$5,2,FALSE))</f>
        <v>#REF!</v>
      </c>
    </row>
    <row r="510" spans="4:4" x14ac:dyDescent="0.35">
      <c r="D510" s="2" t="e">
        <f>IF(#REF!="","",VLOOKUP(#REF!,'Lookup Values'!$A$2:$B$5,2,FALSE))</f>
        <v>#REF!</v>
      </c>
    </row>
    <row r="511" spans="4:4" x14ac:dyDescent="0.35">
      <c r="D511" s="2" t="e">
        <f>IF(#REF!="","",VLOOKUP(#REF!,'Lookup Values'!$A$2:$B$5,2,FALSE))</f>
        <v>#REF!</v>
      </c>
    </row>
    <row r="512" spans="4:4" x14ac:dyDescent="0.35">
      <c r="D512" s="2" t="e">
        <f>IF(#REF!="","",VLOOKUP(#REF!,'Lookup Values'!$A$2:$B$5,2,FALSE))</f>
        <v>#REF!</v>
      </c>
    </row>
    <row r="513" spans="4:4" x14ac:dyDescent="0.35">
      <c r="D513" s="2" t="e">
        <f>IF(#REF!="","",VLOOKUP(#REF!,'Lookup Values'!$A$2:$B$5,2,FALSE))</f>
        <v>#REF!</v>
      </c>
    </row>
    <row r="514" spans="4:4" x14ac:dyDescent="0.35">
      <c r="D514" s="2" t="e">
        <f>IF(#REF!="","",VLOOKUP(#REF!,'Lookup Values'!$A$2:$B$5,2,FALSE))</f>
        <v>#REF!</v>
      </c>
    </row>
    <row r="515" spans="4:4" x14ac:dyDescent="0.35">
      <c r="D515" s="2" t="e">
        <f>IF(#REF!="","",VLOOKUP(#REF!,'Lookup Values'!$A$2:$B$5,2,FALSE))</f>
        <v>#REF!</v>
      </c>
    </row>
    <row r="516" spans="4:4" x14ac:dyDescent="0.35">
      <c r="D516" s="2" t="e">
        <f>IF(#REF!="","",VLOOKUP(#REF!,'Lookup Values'!$A$2:$B$5,2,FALSE))</f>
        <v>#REF!</v>
      </c>
    </row>
    <row r="517" spans="4:4" x14ac:dyDescent="0.35">
      <c r="D517" s="2" t="e">
        <f>IF(#REF!="","",VLOOKUP(#REF!,'Lookup Values'!$A$2:$B$5,2,FALSE))</f>
        <v>#REF!</v>
      </c>
    </row>
    <row r="518" spans="4:4" x14ac:dyDescent="0.35">
      <c r="D518" s="2" t="e">
        <f>IF(#REF!="","",VLOOKUP(#REF!,'Lookup Values'!$A$2:$B$5,2,FALSE))</f>
        <v>#REF!</v>
      </c>
    </row>
    <row r="519" spans="4:4" x14ac:dyDescent="0.35">
      <c r="D519" s="2" t="e">
        <f>IF(#REF!="","",VLOOKUP(#REF!,'Lookup Values'!$A$2:$B$5,2,FALSE))</f>
        <v>#REF!</v>
      </c>
    </row>
    <row r="520" spans="4:4" x14ac:dyDescent="0.35">
      <c r="D520" s="2" t="e">
        <f>IF(#REF!="","",VLOOKUP(#REF!,'Lookup Values'!$A$2:$B$5,2,FALSE))</f>
        <v>#REF!</v>
      </c>
    </row>
    <row r="521" spans="4:4" x14ac:dyDescent="0.35">
      <c r="D521" s="2" t="e">
        <f>IF(#REF!="","",VLOOKUP(#REF!,'Lookup Values'!$A$2:$B$5,2,FALSE))</f>
        <v>#REF!</v>
      </c>
    </row>
    <row r="522" spans="4:4" x14ac:dyDescent="0.35">
      <c r="D522" s="2" t="e">
        <f>IF(#REF!="","",VLOOKUP(#REF!,'Lookup Values'!$A$2:$B$5,2,FALSE))</f>
        <v>#REF!</v>
      </c>
    </row>
    <row r="523" spans="4:4" x14ac:dyDescent="0.35">
      <c r="D523" s="2" t="e">
        <f>IF(#REF!="","",VLOOKUP(#REF!,'Lookup Values'!$A$2:$B$5,2,FALSE))</f>
        <v>#REF!</v>
      </c>
    </row>
    <row r="524" spans="4:4" x14ac:dyDescent="0.35">
      <c r="D524" s="2" t="e">
        <f>IF(#REF!="","",VLOOKUP(#REF!,'Lookup Values'!$A$2:$B$5,2,FALSE))</f>
        <v>#REF!</v>
      </c>
    </row>
    <row r="525" spans="4:4" x14ac:dyDescent="0.35">
      <c r="D525" s="2" t="e">
        <f>IF(#REF!="","",VLOOKUP(#REF!,'Lookup Values'!$A$2:$B$5,2,FALSE))</f>
        <v>#REF!</v>
      </c>
    </row>
    <row r="526" spans="4:4" x14ac:dyDescent="0.35">
      <c r="D526" s="2" t="e">
        <f>IF(#REF!="","",VLOOKUP(#REF!,'Lookup Values'!$A$2:$B$5,2,FALSE))</f>
        <v>#REF!</v>
      </c>
    </row>
    <row r="527" spans="4:4" x14ac:dyDescent="0.35">
      <c r="D527" s="2" t="e">
        <f>IF(#REF!="","",VLOOKUP(#REF!,'Lookup Values'!$A$2:$B$5,2,FALSE))</f>
        <v>#REF!</v>
      </c>
    </row>
    <row r="528" spans="4:4" x14ac:dyDescent="0.35">
      <c r="D528" s="2" t="e">
        <f>IF(#REF!="","",VLOOKUP(#REF!,'Lookup Values'!$A$2:$B$5,2,FALSE))</f>
        <v>#REF!</v>
      </c>
    </row>
    <row r="529" spans="4:4" x14ac:dyDescent="0.35">
      <c r="D529" s="2" t="e">
        <f>IF(#REF!="","",VLOOKUP(#REF!,'Lookup Values'!$A$2:$B$5,2,FALSE))</f>
        <v>#REF!</v>
      </c>
    </row>
    <row r="530" spans="4:4" x14ac:dyDescent="0.35">
      <c r="D530" s="2" t="e">
        <f>IF(#REF!="","",VLOOKUP(#REF!,'Lookup Values'!$A$2:$B$5,2,FALSE))</f>
        <v>#REF!</v>
      </c>
    </row>
    <row r="531" spans="4:4" x14ac:dyDescent="0.35">
      <c r="D531" s="2" t="e">
        <f>IF(#REF!="","",VLOOKUP(#REF!,'Lookup Values'!$A$2:$B$5,2,FALSE))</f>
        <v>#REF!</v>
      </c>
    </row>
    <row r="532" spans="4:4" x14ac:dyDescent="0.35">
      <c r="D532" s="2" t="e">
        <f>IF(#REF!="","",VLOOKUP(#REF!,'Lookup Values'!$A$2:$B$5,2,FALSE))</f>
        <v>#REF!</v>
      </c>
    </row>
    <row r="533" spans="4:4" x14ac:dyDescent="0.35">
      <c r="D533" s="2" t="e">
        <f>IF(#REF!="","",VLOOKUP(#REF!,'Lookup Values'!$A$2:$B$5,2,FALSE))</f>
        <v>#REF!</v>
      </c>
    </row>
  </sheetData>
  <sheetProtection algorithmName="SHA-512" hashValue="QwkEt8g80Ir90Dbfb0Qnh4MOOi2VoJxMTyTQtN+Gem0TBnMbuBH6pMnmHkjdDfT0rjsVJKljNsM4hFpBGxFU5A==" saltValue="QUvPzI+50jWuTUPRvdgqIg==" spinCount="100000" sheet="1" objects="1" scenarios="1"/>
  <protectedRanges>
    <protectedRange sqref="G9" name="Date"/>
    <protectedRange sqref="D9" name="Amount"/>
    <protectedRange sqref="D10:D533" name="Amount_2"/>
  </protectedRanges>
  <mergeCells count="1">
    <mergeCell ref="E4:G5"/>
  </mergeCell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A880A6B-C014-401E-B240-C9811042F391}">
          <x14:formula1>
            <xm:f>'Lookup Values'!$A$2:$A$7</xm:f>
          </x14:formula1>
          <xm:sqref>F10:F533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3546-1E53-499E-8E84-1ABE7810A3A5}">
  <sheetPr codeName="Sheet5"/>
  <dimension ref="A1:I41"/>
  <sheetViews>
    <sheetView workbookViewId="0">
      <selection activeCell="A26" sqref="A26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13.7265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9" t="s">
        <v>73</v>
      </c>
      <c r="B4" s="50" t="s">
        <v>198</v>
      </c>
      <c r="C4" s="44" t="s">
        <v>159</v>
      </c>
      <c r="D4" s="44" t="s">
        <v>160</v>
      </c>
      <c r="E4" s="44">
        <v>1</v>
      </c>
      <c r="F4" s="47">
        <v>70</v>
      </c>
      <c r="G4" s="44" t="s">
        <v>56</v>
      </c>
      <c r="H4" s="37" t="s">
        <v>33</v>
      </c>
      <c r="I4" s="37" t="s">
        <v>113</v>
      </c>
    </row>
    <row r="5" spans="1:9" x14ac:dyDescent="0.35">
      <c r="A5" s="49" t="s">
        <v>73</v>
      </c>
      <c r="B5" s="50" t="s">
        <v>201</v>
      </c>
      <c r="C5" s="44" t="s">
        <v>159</v>
      </c>
      <c r="D5" s="44" t="s">
        <v>160</v>
      </c>
      <c r="E5" s="44">
        <v>1</v>
      </c>
      <c r="F5" s="43">
        <v>70</v>
      </c>
      <c r="G5" s="34" t="s">
        <v>56</v>
      </c>
      <c r="H5" s="37" t="s">
        <v>33</v>
      </c>
      <c r="I5" s="37" t="s">
        <v>112</v>
      </c>
    </row>
    <row r="6" spans="1:9" x14ac:dyDescent="0.35">
      <c r="A6" s="49" t="s">
        <v>73</v>
      </c>
      <c r="B6" s="50" t="s">
        <v>201</v>
      </c>
      <c r="C6" s="44" t="s">
        <v>159</v>
      </c>
      <c r="D6" s="44" t="s">
        <v>160</v>
      </c>
      <c r="E6" s="44">
        <v>1</v>
      </c>
      <c r="F6" s="43">
        <v>70</v>
      </c>
      <c r="G6" s="34" t="s">
        <v>56</v>
      </c>
      <c r="H6" s="37" t="s">
        <v>33</v>
      </c>
      <c r="I6" s="37" t="s">
        <v>102</v>
      </c>
    </row>
    <row r="7" spans="1:9" x14ac:dyDescent="0.35">
      <c r="A7" s="49" t="s">
        <v>73</v>
      </c>
      <c r="B7" s="50" t="s">
        <v>200</v>
      </c>
      <c r="C7" s="44" t="s">
        <v>159</v>
      </c>
      <c r="D7" s="44" t="s">
        <v>160</v>
      </c>
      <c r="E7" s="44">
        <v>1</v>
      </c>
      <c r="F7" s="43">
        <v>70</v>
      </c>
      <c r="G7" s="34" t="s">
        <v>56</v>
      </c>
      <c r="H7" s="37" t="s">
        <v>33</v>
      </c>
      <c r="I7" s="37" t="s">
        <v>120</v>
      </c>
    </row>
    <row r="8" spans="1:9" x14ac:dyDescent="0.35">
      <c r="A8" s="49" t="s">
        <v>73</v>
      </c>
      <c r="B8" s="50" t="s">
        <v>201</v>
      </c>
      <c r="C8" s="44" t="s">
        <v>159</v>
      </c>
      <c r="D8" s="44" t="s">
        <v>160</v>
      </c>
      <c r="E8" s="44">
        <v>1</v>
      </c>
      <c r="F8" s="43">
        <v>70</v>
      </c>
      <c r="G8" s="34" t="s">
        <v>56</v>
      </c>
      <c r="H8" s="37" t="s">
        <v>33</v>
      </c>
      <c r="I8" s="37" t="s">
        <v>108</v>
      </c>
    </row>
    <row r="9" spans="1:9" x14ac:dyDescent="0.35">
      <c r="A9" s="49" t="s">
        <v>73</v>
      </c>
      <c r="B9" s="50" t="s">
        <v>201</v>
      </c>
      <c r="C9" s="44" t="s">
        <v>159</v>
      </c>
      <c r="D9" s="44" t="s">
        <v>160</v>
      </c>
      <c r="E9" s="44">
        <v>1</v>
      </c>
      <c r="F9" s="43">
        <v>70</v>
      </c>
      <c r="G9" s="34" t="s">
        <v>56</v>
      </c>
      <c r="H9" s="37" t="s">
        <v>33</v>
      </c>
      <c r="I9" s="37" t="s">
        <v>180</v>
      </c>
    </row>
    <row r="10" spans="1:9" x14ac:dyDescent="0.35">
      <c r="A10" s="49" t="s">
        <v>73</v>
      </c>
      <c r="B10" s="50" t="s">
        <v>197</v>
      </c>
      <c r="C10" s="44" t="s">
        <v>159</v>
      </c>
      <c r="D10" s="44" t="s">
        <v>160</v>
      </c>
      <c r="E10" s="44">
        <v>1</v>
      </c>
      <c r="F10" s="43">
        <v>70</v>
      </c>
      <c r="G10" s="34" t="s">
        <v>56</v>
      </c>
      <c r="H10" s="37" t="s">
        <v>33</v>
      </c>
      <c r="I10" s="37" t="s">
        <v>121</v>
      </c>
    </row>
    <row r="11" spans="1:9" x14ac:dyDescent="0.35">
      <c r="A11" s="49" t="s">
        <v>73</v>
      </c>
      <c r="B11" s="50" t="s">
        <v>199</v>
      </c>
      <c r="C11" s="44" t="s">
        <v>159</v>
      </c>
      <c r="D11" s="44" t="s">
        <v>160</v>
      </c>
      <c r="E11" s="44">
        <v>1</v>
      </c>
      <c r="F11" s="43">
        <v>70</v>
      </c>
      <c r="G11" s="34" t="s">
        <v>56</v>
      </c>
      <c r="H11" s="37" t="s">
        <v>33</v>
      </c>
      <c r="I11" s="37" t="s">
        <v>181</v>
      </c>
    </row>
    <row r="12" spans="1:9" x14ac:dyDescent="0.35">
      <c r="A12" s="49" t="s">
        <v>73</v>
      </c>
      <c r="B12" s="50" t="s">
        <v>199</v>
      </c>
      <c r="C12" s="44" t="s">
        <v>159</v>
      </c>
      <c r="D12" s="44" t="s">
        <v>160</v>
      </c>
      <c r="E12" s="44">
        <v>1</v>
      </c>
      <c r="F12" s="43">
        <v>70</v>
      </c>
      <c r="G12" s="34" t="s">
        <v>56</v>
      </c>
      <c r="H12" s="37" t="s">
        <v>33</v>
      </c>
      <c r="I12" s="37" t="s">
        <v>122</v>
      </c>
    </row>
    <row r="13" spans="1:9" x14ac:dyDescent="0.35">
      <c r="A13" s="49" t="s">
        <v>73</v>
      </c>
      <c r="B13" s="50" t="s">
        <v>201</v>
      </c>
      <c r="C13" s="44" t="s">
        <v>159</v>
      </c>
      <c r="D13" s="44" t="s">
        <v>160</v>
      </c>
      <c r="E13" s="44">
        <v>1</v>
      </c>
      <c r="F13" s="43">
        <v>70</v>
      </c>
      <c r="G13" s="34" t="s">
        <v>56</v>
      </c>
      <c r="H13" s="37" t="s">
        <v>33</v>
      </c>
      <c r="I13" s="37" t="s">
        <v>182</v>
      </c>
    </row>
    <row r="14" spans="1:9" x14ac:dyDescent="0.35">
      <c r="A14" s="49" t="s">
        <v>73</v>
      </c>
      <c r="B14" s="50" t="s">
        <v>201</v>
      </c>
      <c r="C14" s="44" t="s">
        <v>159</v>
      </c>
      <c r="D14" s="44" t="s">
        <v>160</v>
      </c>
      <c r="E14" s="44">
        <v>1</v>
      </c>
      <c r="F14" s="43">
        <v>70</v>
      </c>
      <c r="G14" s="34" t="s">
        <v>56</v>
      </c>
      <c r="H14" s="37" t="s">
        <v>33</v>
      </c>
      <c r="I14" s="37" t="s">
        <v>109</v>
      </c>
    </row>
    <row r="15" spans="1:9" x14ac:dyDescent="0.35">
      <c r="A15" s="49" t="s">
        <v>73</v>
      </c>
      <c r="B15" s="50" t="s">
        <v>199</v>
      </c>
      <c r="C15" s="44" t="s">
        <v>159</v>
      </c>
      <c r="D15" s="44" t="s">
        <v>160</v>
      </c>
      <c r="E15" s="44">
        <v>1</v>
      </c>
      <c r="F15" s="43">
        <v>70</v>
      </c>
      <c r="G15" s="34" t="s">
        <v>56</v>
      </c>
      <c r="H15" s="37" t="s">
        <v>33</v>
      </c>
      <c r="I15" s="37" t="s">
        <v>183</v>
      </c>
    </row>
    <row r="16" spans="1:9" x14ac:dyDescent="0.35">
      <c r="A16" s="49" t="s">
        <v>73</v>
      </c>
      <c r="B16" s="50" t="s">
        <v>197</v>
      </c>
      <c r="C16" s="44" t="s">
        <v>159</v>
      </c>
      <c r="D16" s="44" t="s">
        <v>160</v>
      </c>
      <c r="E16" s="44">
        <v>1</v>
      </c>
      <c r="F16" s="43">
        <v>70</v>
      </c>
      <c r="G16" s="34" t="s">
        <v>56</v>
      </c>
      <c r="H16" s="37" t="s">
        <v>33</v>
      </c>
      <c r="I16" s="37" t="s">
        <v>184</v>
      </c>
    </row>
    <row r="17" spans="1:9" x14ac:dyDescent="0.35">
      <c r="A17" s="49" t="s">
        <v>73</v>
      </c>
      <c r="B17" s="50" t="s">
        <v>199</v>
      </c>
      <c r="C17" s="44" t="s">
        <v>159</v>
      </c>
      <c r="D17" s="44" t="s">
        <v>160</v>
      </c>
      <c r="E17" s="44">
        <v>1</v>
      </c>
      <c r="F17" s="43">
        <v>70</v>
      </c>
      <c r="G17" s="34" t="s">
        <v>56</v>
      </c>
      <c r="H17" s="37" t="s">
        <v>33</v>
      </c>
      <c r="I17" s="37" t="s">
        <v>119</v>
      </c>
    </row>
    <row r="18" spans="1:9" x14ac:dyDescent="0.35">
      <c r="A18" s="49" t="s">
        <v>73</v>
      </c>
      <c r="B18" s="50" t="s">
        <v>197</v>
      </c>
      <c r="C18" s="44" t="s">
        <v>159</v>
      </c>
      <c r="D18" s="44" t="s">
        <v>160</v>
      </c>
      <c r="E18" s="44">
        <v>1</v>
      </c>
      <c r="F18" s="43">
        <v>70</v>
      </c>
      <c r="G18" s="34" t="s">
        <v>56</v>
      </c>
      <c r="H18" s="37" t="s">
        <v>33</v>
      </c>
      <c r="I18" s="37" t="s">
        <v>107</v>
      </c>
    </row>
    <row r="19" spans="1:9" x14ac:dyDescent="0.35">
      <c r="A19" s="49" t="s">
        <v>73</v>
      </c>
      <c r="B19" s="50" t="s">
        <v>197</v>
      </c>
      <c r="C19" s="44" t="s">
        <v>159</v>
      </c>
      <c r="D19" s="44" t="s">
        <v>160</v>
      </c>
      <c r="E19" s="44">
        <v>1</v>
      </c>
      <c r="F19" s="43">
        <v>70</v>
      </c>
      <c r="G19" s="34" t="s">
        <v>56</v>
      </c>
      <c r="H19" s="37" t="s">
        <v>33</v>
      </c>
      <c r="I19" s="37" t="s">
        <v>116</v>
      </c>
    </row>
    <row r="20" spans="1:9" x14ac:dyDescent="0.35">
      <c r="A20" s="49" t="s">
        <v>73</v>
      </c>
      <c r="B20" s="50" t="s">
        <v>200</v>
      </c>
      <c r="C20" s="44" t="s">
        <v>159</v>
      </c>
      <c r="D20" s="44" t="s">
        <v>160</v>
      </c>
      <c r="E20" s="44">
        <v>1</v>
      </c>
      <c r="F20" s="43">
        <v>70</v>
      </c>
      <c r="G20" s="34" t="s">
        <v>56</v>
      </c>
      <c r="H20" s="37" t="s">
        <v>33</v>
      </c>
      <c r="I20" s="37" t="s">
        <v>114</v>
      </c>
    </row>
    <row r="21" spans="1:9" x14ac:dyDescent="0.35">
      <c r="A21" s="49" t="s">
        <v>73</v>
      </c>
      <c r="B21" s="50" t="s">
        <v>198</v>
      </c>
      <c r="C21" s="44" t="s">
        <v>159</v>
      </c>
      <c r="D21" s="44" t="s">
        <v>160</v>
      </c>
      <c r="E21" s="44">
        <v>1</v>
      </c>
      <c r="F21" s="43">
        <v>70</v>
      </c>
      <c r="G21" s="34" t="s">
        <v>56</v>
      </c>
      <c r="H21" s="37" t="s">
        <v>33</v>
      </c>
      <c r="I21" s="37" t="s">
        <v>115</v>
      </c>
    </row>
    <row r="22" spans="1:9" x14ac:dyDescent="0.35">
      <c r="A22" s="49" t="s">
        <v>73</v>
      </c>
      <c r="B22" s="50" t="s">
        <v>201</v>
      </c>
      <c r="C22" s="44" t="s">
        <v>159</v>
      </c>
      <c r="D22" s="44" t="s">
        <v>160</v>
      </c>
      <c r="E22" s="44">
        <v>1</v>
      </c>
      <c r="F22" s="43">
        <v>70</v>
      </c>
      <c r="G22" s="34" t="s">
        <v>56</v>
      </c>
      <c r="H22" s="37" t="s">
        <v>33</v>
      </c>
      <c r="I22" s="37" t="s">
        <v>126</v>
      </c>
    </row>
    <row r="23" spans="1:9" x14ac:dyDescent="0.35">
      <c r="A23" s="49" t="s">
        <v>73</v>
      </c>
      <c r="B23" s="50" t="s">
        <v>201</v>
      </c>
      <c r="C23" s="44" t="s">
        <v>159</v>
      </c>
      <c r="D23" s="44" t="s">
        <v>160</v>
      </c>
      <c r="E23" s="44">
        <v>1</v>
      </c>
      <c r="F23" s="43">
        <v>70</v>
      </c>
      <c r="G23" s="34" t="s">
        <v>56</v>
      </c>
      <c r="H23" s="37" t="s">
        <v>33</v>
      </c>
      <c r="I23" s="37" t="s">
        <v>185</v>
      </c>
    </row>
    <row r="24" spans="1:9" x14ac:dyDescent="0.35">
      <c r="A24" s="49" t="s">
        <v>73</v>
      </c>
      <c r="B24" s="50" t="s">
        <v>201</v>
      </c>
      <c r="C24" s="44" t="s">
        <v>159</v>
      </c>
      <c r="D24" s="44" t="s">
        <v>160</v>
      </c>
      <c r="E24" s="44">
        <v>1</v>
      </c>
      <c r="F24" s="43">
        <v>70</v>
      </c>
      <c r="G24" s="34" t="s">
        <v>56</v>
      </c>
      <c r="H24" s="37" t="s">
        <v>33</v>
      </c>
      <c r="I24" s="37" t="s">
        <v>100</v>
      </c>
    </row>
    <row r="25" spans="1:9" x14ac:dyDescent="0.35">
      <c r="A25" s="49" t="s">
        <v>73</v>
      </c>
      <c r="B25" s="34" t="s">
        <v>200</v>
      </c>
      <c r="C25" s="44" t="s">
        <v>159</v>
      </c>
      <c r="D25" s="44" t="s">
        <v>160</v>
      </c>
      <c r="E25" s="44">
        <v>1</v>
      </c>
      <c r="F25" s="43">
        <v>70</v>
      </c>
      <c r="G25" s="34" t="s">
        <v>56</v>
      </c>
      <c r="H25" s="27" t="s">
        <v>33</v>
      </c>
      <c r="I25" s="27" t="s">
        <v>186</v>
      </c>
    </row>
    <row r="26" spans="1:9" x14ac:dyDescent="0.35">
      <c r="A26" s="49" t="s">
        <v>73</v>
      </c>
      <c r="B26" s="50" t="s">
        <v>199</v>
      </c>
      <c r="C26" s="44" t="s">
        <v>159</v>
      </c>
      <c r="D26" s="44" t="s">
        <v>160</v>
      </c>
      <c r="E26" s="44">
        <v>1</v>
      </c>
      <c r="F26" s="43">
        <v>70</v>
      </c>
      <c r="G26" s="34" t="s">
        <v>56</v>
      </c>
      <c r="H26" s="37" t="s">
        <v>33</v>
      </c>
      <c r="I26" s="37" t="s">
        <v>127</v>
      </c>
    </row>
    <row r="27" spans="1:9" x14ac:dyDescent="0.35">
      <c r="A27" s="49" t="s">
        <v>73</v>
      </c>
      <c r="B27" s="50" t="s">
        <v>201</v>
      </c>
      <c r="C27" s="44" t="s">
        <v>159</v>
      </c>
      <c r="D27" s="44" t="s">
        <v>160</v>
      </c>
      <c r="E27" s="44">
        <v>1</v>
      </c>
      <c r="F27" s="43">
        <v>70</v>
      </c>
      <c r="G27" s="34" t="s">
        <v>56</v>
      </c>
      <c r="H27" s="37" t="s">
        <v>33</v>
      </c>
      <c r="I27" s="37" t="s">
        <v>105</v>
      </c>
    </row>
    <row r="28" spans="1:9" x14ac:dyDescent="0.35">
      <c r="A28" s="49" t="s">
        <v>73</v>
      </c>
      <c r="B28" s="50" t="s">
        <v>200</v>
      </c>
      <c r="C28" s="44" t="s">
        <v>159</v>
      </c>
      <c r="D28" s="44" t="s">
        <v>160</v>
      </c>
      <c r="E28" s="44">
        <v>1</v>
      </c>
      <c r="F28" s="43">
        <v>70</v>
      </c>
      <c r="G28" s="34" t="s">
        <v>56</v>
      </c>
      <c r="H28" s="37" t="s">
        <v>33</v>
      </c>
      <c r="I28" s="37" t="s">
        <v>106</v>
      </c>
    </row>
    <row r="29" spans="1:9" x14ac:dyDescent="0.35">
      <c r="A29" s="49" t="s">
        <v>73</v>
      </c>
      <c r="B29" s="51" t="s">
        <v>200</v>
      </c>
      <c r="C29" s="44" t="s">
        <v>159</v>
      </c>
      <c r="D29" s="44" t="s">
        <v>160</v>
      </c>
      <c r="E29" s="44">
        <v>1</v>
      </c>
      <c r="F29" s="43">
        <v>70</v>
      </c>
      <c r="G29" s="34" t="s">
        <v>56</v>
      </c>
      <c r="H29" s="39" t="s">
        <v>33</v>
      </c>
      <c r="I29" s="39" t="s">
        <v>128</v>
      </c>
    </row>
    <row r="30" spans="1:9" x14ac:dyDescent="0.35">
      <c r="A30" s="49" t="s">
        <v>73</v>
      </c>
      <c r="B30" s="50" t="s">
        <v>201</v>
      </c>
      <c r="C30" s="44" t="s">
        <v>159</v>
      </c>
      <c r="D30" s="44" t="s">
        <v>160</v>
      </c>
      <c r="E30" s="44">
        <v>1</v>
      </c>
      <c r="F30" s="43">
        <v>70</v>
      </c>
      <c r="G30" s="34" t="s">
        <v>56</v>
      </c>
      <c r="H30" s="37" t="s">
        <v>33</v>
      </c>
      <c r="I30" s="37" t="s">
        <v>96</v>
      </c>
    </row>
    <row r="31" spans="1:9" x14ac:dyDescent="0.35">
      <c r="A31" s="49" t="s">
        <v>73</v>
      </c>
      <c r="B31" s="50" t="s">
        <v>201</v>
      </c>
      <c r="C31" s="44" t="s">
        <v>159</v>
      </c>
      <c r="D31" s="44" t="s">
        <v>160</v>
      </c>
      <c r="E31" s="44">
        <v>1</v>
      </c>
      <c r="F31" s="43">
        <v>70</v>
      </c>
      <c r="G31" s="34" t="s">
        <v>56</v>
      </c>
      <c r="H31" s="37" t="s">
        <v>33</v>
      </c>
      <c r="I31" s="37" t="s">
        <v>101</v>
      </c>
    </row>
    <row r="32" spans="1:9" x14ac:dyDescent="0.35">
      <c r="A32" s="49" t="s">
        <v>73</v>
      </c>
      <c r="B32" s="50" t="s">
        <v>201</v>
      </c>
      <c r="C32" s="44" t="s">
        <v>159</v>
      </c>
      <c r="D32" s="44" t="s">
        <v>160</v>
      </c>
      <c r="E32" s="44">
        <v>1</v>
      </c>
      <c r="F32" s="43">
        <v>70</v>
      </c>
      <c r="G32" s="34" t="s">
        <v>56</v>
      </c>
      <c r="H32" s="27" t="s">
        <v>33</v>
      </c>
      <c r="I32" s="27" t="s">
        <v>202</v>
      </c>
    </row>
    <row r="33" spans="1:9" x14ac:dyDescent="0.35">
      <c r="A33" s="49" t="s">
        <v>73</v>
      </c>
      <c r="B33" s="50" t="s">
        <v>198</v>
      </c>
      <c r="C33" s="44" t="s">
        <v>159</v>
      </c>
      <c r="D33" s="44" t="s">
        <v>160</v>
      </c>
      <c r="E33" s="44">
        <v>1</v>
      </c>
      <c r="F33" s="43">
        <v>70</v>
      </c>
      <c r="G33" s="34" t="s">
        <v>56</v>
      </c>
      <c r="H33" s="37" t="s">
        <v>33</v>
      </c>
      <c r="I33" s="37" t="s">
        <v>98</v>
      </c>
    </row>
    <row r="34" spans="1:9" x14ac:dyDescent="0.35">
      <c r="A34" s="49" t="s">
        <v>73</v>
      </c>
      <c r="B34" s="50" t="s">
        <v>201</v>
      </c>
      <c r="C34" s="44" t="s">
        <v>159</v>
      </c>
      <c r="D34" s="44" t="s">
        <v>160</v>
      </c>
      <c r="E34" s="44">
        <v>1</v>
      </c>
      <c r="F34" s="43">
        <v>70</v>
      </c>
      <c r="G34" s="34" t="s">
        <v>56</v>
      </c>
      <c r="H34" s="37" t="s">
        <v>33</v>
      </c>
      <c r="I34" s="37" t="s">
        <v>95</v>
      </c>
    </row>
    <row r="35" spans="1:9" x14ac:dyDescent="0.35">
      <c r="A35" s="49" t="s">
        <v>73</v>
      </c>
      <c r="B35" s="50" t="s">
        <v>200</v>
      </c>
      <c r="C35" s="44" t="s">
        <v>159</v>
      </c>
      <c r="D35" s="44" t="s">
        <v>160</v>
      </c>
      <c r="E35" s="44">
        <v>1</v>
      </c>
      <c r="F35" s="43">
        <v>70</v>
      </c>
      <c r="G35" s="34" t="s">
        <v>56</v>
      </c>
      <c r="H35" s="37" t="s">
        <v>33</v>
      </c>
      <c r="I35" s="37" t="s">
        <v>187</v>
      </c>
    </row>
    <row r="36" spans="1:9" x14ac:dyDescent="0.35">
      <c r="A36" s="49" t="s">
        <v>73</v>
      </c>
      <c r="B36" s="50" t="s">
        <v>201</v>
      </c>
      <c r="C36" s="44" t="s">
        <v>159</v>
      </c>
      <c r="D36" s="44" t="s">
        <v>160</v>
      </c>
      <c r="E36" s="44">
        <v>1</v>
      </c>
      <c r="F36" s="43">
        <v>70</v>
      </c>
      <c r="G36" s="34" t="s">
        <v>56</v>
      </c>
      <c r="H36" s="37" t="s">
        <v>33</v>
      </c>
      <c r="I36" s="37" t="s">
        <v>99</v>
      </c>
    </row>
    <row r="37" spans="1:9" x14ac:dyDescent="0.35">
      <c r="A37" s="49" t="s">
        <v>73</v>
      </c>
      <c r="B37" s="50" t="s">
        <v>201</v>
      </c>
      <c r="C37" s="44" t="s">
        <v>159</v>
      </c>
      <c r="D37" s="44" t="s">
        <v>160</v>
      </c>
      <c r="E37" s="44">
        <v>1</v>
      </c>
      <c r="F37" s="43">
        <v>70</v>
      </c>
      <c r="G37" s="34" t="s">
        <v>56</v>
      </c>
      <c r="H37" s="37" t="s">
        <v>33</v>
      </c>
      <c r="I37" s="37" t="s">
        <v>188</v>
      </c>
    </row>
    <row r="38" spans="1:9" x14ac:dyDescent="0.35">
      <c r="A38" s="49" t="s">
        <v>73</v>
      </c>
      <c r="B38" s="50" t="s">
        <v>201</v>
      </c>
      <c r="C38" s="44" t="s">
        <v>159</v>
      </c>
      <c r="D38" s="44" t="s">
        <v>160</v>
      </c>
      <c r="E38" s="44">
        <v>1</v>
      </c>
      <c r="F38" s="43">
        <v>112.5</v>
      </c>
      <c r="G38" s="34" t="s">
        <v>56</v>
      </c>
      <c r="H38" s="27" t="s">
        <v>133</v>
      </c>
      <c r="I38" s="27" t="s">
        <v>135</v>
      </c>
    </row>
    <row r="39" spans="1:9" x14ac:dyDescent="0.35">
      <c r="A39" s="49" t="s">
        <v>73</v>
      </c>
      <c r="B39" s="50" t="s">
        <v>203</v>
      </c>
      <c r="C39" s="44" t="s">
        <v>159</v>
      </c>
      <c r="D39" s="44" t="s">
        <v>160</v>
      </c>
      <c r="E39" s="44">
        <v>1</v>
      </c>
      <c r="F39" s="43">
        <v>133</v>
      </c>
      <c r="G39" s="34" t="s">
        <v>56</v>
      </c>
      <c r="H39" s="27" t="s">
        <v>134</v>
      </c>
      <c r="I39" s="27" t="s">
        <v>135</v>
      </c>
    </row>
    <row r="40" spans="1:9" x14ac:dyDescent="0.35">
      <c r="A40" s="49" t="s">
        <v>73</v>
      </c>
      <c r="B40" s="44" t="s">
        <v>210</v>
      </c>
      <c r="C40" s="44" t="s">
        <v>159</v>
      </c>
      <c r="D40" s="44" t="s">
        <v>160</v>
      </c>
      <c r="E40" s="44">
        <v>1</v>
      </c>
      <c r="F40" s="43">
        <v>132</v>
      </c>
      <c r="G40" s="34" t="s">
        <v>56</v>
      </c>
      <c r="H40" s="27" t="s">
        <v>90</v>
      </c>
      <c r="I40" s="27" t="s">
        <v>204</v>
      </c>
    </row>
    <row r="41" spans="1:9" x14ac:dyDescent="0.35">
      <c r="A41" s="49" t="s">
        <v>73</v>
      </c>
      <c r="B41" s="44" t="s">
        <v>210</v>
      </c>
      <c r="C41" s="44" t="s">
        <v>159</v>
      </c>
      <c r="D41" s="44" t="s">
        <v>160</v>
      </c>
      <c r="E41" s="44">
        <v>1</v>
      </c>
      <c r="F41" s="43">
        <v>166.1</v>
      </c>
      <c r="G41" s="34" t="s">
        <v>56</v>
      </c>
      <c r="H41" s="27" t="s">
        <v>91</v>
      </c>
      <c r="I41" s="27" t="s">
        <v>204</v>
      </c>
    </row>
  </sheetData>
  <protectedRanges>
    <protectedRange sqref="F4" name="Amount_7"/>
    <protectedRange sqref="F5:F41" name="Amount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EC8562E-A532-4A95-973A-736BA9C2E48A}">
          <x14:formula1>
            <xm:f>'Lookup Values'!$A$2:$A$9</xm:f>
          </x14:formula1>
          <xm:sqref>H4:H37 H40:H41</xm:sqref>
        </x14:dataValidation>
        <x14:dataValidation type="list" allowBlank="1" showInputMessage="1" showErrorMessage="1" xr:uid="{C3E9F8FC-1409-48E6-A9AC-C0D48E22C470}">
          <x14:formula1>
            <xm:f>'Lookup Values'!$A$2:$A$39</xm:f>
          </x14:formula1>
          <xm:sqref>H38:H39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CD7A8-57FA-427B-A037-792D22249EA5}">
  <sheetPr codeName="Sheet6"/>
  <dimension ref="A1:G533"/>
  <sheetViews>
    <sheetView zoomScale="85" zoomScaleNormal="85" workbookViewId="0">
      <selection activeCell="A26" sqref="A26"/>
    </sheetView>
  </sheetViews>
  <sheetFormatPr defaultColWidth="9.1796875" defaultRowHeight="14.5" x14ac:dyDescent="0.35"/>
  <cols>
    <col min="1" max="1" width="14.1796875" customWidth="1"/>
    <col min="2" max="2" width="18.54296875" bestFit="1" customWidth="1"/>
    <col min="3" max="3" width="16.7265625" customWidth="1"/>
    <col min="4" max="4" width="19.54296875" style="2" customWidth="1"/>
    <col min="5" max="5" width="46.26953125" customWidth="1"/>
    <col min="6" max="6" width="49.54296875" bestFit="1" customWidth="1"/>
    <col min="7" max="7" width="3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x14ac:dyDescent="0.35">
      <c r="A3" s="6" t="s">
        <v>28</v>
      </c>
      <c r="B3" s="42" t="s">
        <v>212</v>
      </c>
    </row>
    <row r="4" spans="1:7" x14ac:dyDescent="0.35">
      <c r="A4" s="8" t="s">
        <v>29</v>
      </c>
      <c r="B4" s="9">
        <v>44377</v>
      </c>
      <c r="C4" s="5"/>
    </row>
    <row r="5" spans="1:7" ht="15" thickBot="1" x14ac:dyDescent="0.4">
      <c r="A5" s="10" t="s">
        <v>30</v>
      </c>
      <c r="B5" s="11" t="s">
        <v>213</v>
      </c>
      <c r="C5" s="15"/>
    </row>
    <row r="8" spans="1:7" x14ac:dyDescent="0.3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hidden="1" x14ac:dyDescent="0.35">
      <c r="A9" s="1" t="s">
        <v>6</v>
      </c>
      <c r="B9" s="12" t="s">
        <v>7</v>
      </c>
      <c r="C9" s="12">
        <f>IF(Table242[[#This Row],[Journal Description (Service Description)]]="","",1)</f>
        <v>1</v>
      </c>
      <c r="D9" s="3" t="e">
        <f>-SUM(D10:D136)</f>
        <v>#N/A</v>
      </c>
      <c r="E9" s="1" t="s">
        <v>12</v>
      </c>
      <c r="F9" s="1" t="s">
        <v>13</v>
      </c>
      <c r="G9" s="13" t="str">
        <f>TEXT(B4,"mmm-yy")</f>
        <v>Jun-21</v>
      </c>
    </row>
    <row r="10" spans="1:7" hidden="1" x14ac:dyDescent="0.35">
      <c r="A10" s="1" t="s">
        <v>6</v>
      </c>
      <c r="B10" t="str">
        <f>IF(Table242[[#This Row],[Branch Name]]="","",(_xlfn.XLOOKUP(Table242[[#This Row],[Branch Name]],'Lookup Values'!G:G,'Lookup Values'!I:I,0)))</f>
        <v>1-14501-7B213</v>
      </c>
      <c r="C10">
        <v>1</v>
      </c>
      <c r="D10" s="2">
        <f>IF(Table242[[#This Row],[Journal Description (Service Description)]]="","",VLOOKUP(Table242[[#This Row],[Journal Description (Service Description)]],'Lookup Values'!$A:$B,2,FALSE))</f>
        <v>26</v>
      </c>
      <c r="E10" t="s">
        <v>47</v>
      </c>
      <c r="F10" t="s">
        <v>35</v>
      </c>
      <c r="G10" t="s">
        <v>168</v>
      </c>
    </row>
    <row r="11" spans="1:7" hidden="1" x14ac:dyDescent="0.35">
      <c r="A11" s="1" t="s">
        <v>6</v>
      </c>
      <c r="B11" t="s">
        <v>174</v>
      </c>
      <c r="C11">
        <v>1</v>
      </c>
      <c r="D11" s="2">
        <f>IF(Table242[[#This Row],[Journal Description (Service Description)]]="","",VLOOKUP(Table242[[#This Row],[Journal Description (Service Description)]],'Lookup Values'!$A:$B,2,FALSE))</f>
        <v>39</v>
      </c>
      <c r="E11" s="27" t="s">
        <v>55</v>
      </c>
      <c r="F11" s="27" t="s">
        <v>36</v>
      </c>
      <c r="G11" s="27" t="s">
        <v>169</v>
      </c>
    </row>
    <row r="12" spans="1:7" hidden="1" x14ac:dyDescent="0.35">
      <c r="A12" s="1" t="s">
        <v>6</v>
      </c>
      <c r="B12" t="s">
        <v>174</v>
      </c>
      <c r="C12">
        <v>1</v>
      </c>
      <c r="D12" s="2">
        <f>IF(Table242[[#This Row],[Journal Description (Service Description)]]="","",VLOOKUP(Table242[[#This Row],[Journal Description (Service Description)]],'Lookup Values'!$A:$B,2,FALSE))</f>
        <v>39</v>
      </c>
      <c r="E12" s="27" t="s">
        <v>55</v>
      </c>
      <c r="F12" s="27" t="s">
        <v>36</v>
      </c>
      <c r="G12" s="27" t="s">
        <v>170</v>
      </c>
    </row>
    <row r="13" spans="1:7" hidden="1" x14ac:dyDescent="0.35">
      <c r="A13" s="16" t="s">
        <v>6</v>
      </c>
      <c r="B13" s="27" t="s">
        <v>173</v>
      </c>
      <c r="C13">
        <v>1</v>
      </c>
      <c r="D13" s="28" t="e">
        <f>IF(Table242[[#This Row],[Journal Description (Service Description)]]="","",VLOOKUP(Table242[[#This Row],[Journal Description (Service Description)]],'Lookup Values'!$A:$B,2,FALSE))</f>
        <v>#N/A</v>
      </c>
      <c r="E13" s="27" t="s">
        <v>50</v>
      </c>
      <c r="F13" s="27" t="s">
        <v>90</v>
      </c>
      <c r="G13" s="27" t="s">
        <v>171</v>
      </c>
    </row>
    <row r="14" spans="1:7" hidden="1" x14ac:dyDescent="0.35">
      <c r="A14" s="16" t="s">
        <v>6</v>
      </c>
      <c r="B14" s="27" t="s">
        <v>173</v>
      </c>
      <c r="C14">
        <v>1</v>
      </c>
      <c r="D14" s="28">
        <f>IF(Table242[[#This Row],[Journal Description (Service Description)]]="","",VLOOKUP(Table242[[#This Row],[Journal Description (Service Description)]],'Lookup Values'!$A:$B,2,FALSE))</f>
        <v>176</v>
      </c>
      <c r="E14" s="27" t="s">
        <v>50</v>
      </c>
      <c r="F14" s="27" t="s">
        <v>91</v>
      </c>
      <c r="G14" s="27" t="s">
        <v>171</v>
      </c>
    </row>
    <row r="15" spans="1:7" hidden="1" x14ac:dyDescent="0.35">
      <c r="A15" s="1" t="s">
        <v>6</v>
      </c>
      <c r="B15" t="str">
        <f>IF(Table242[[#This Row],[Branch Name]]="","",(_xlfn.XLOOKUP(Table242[[#This Row],[Branch Name]],'Lookup Values'!G:G,'Lookup Values'!I:I,0)))</f>
        <v>1-14501-7B213</v>
      </c>
      <c r="C15">
        <v>1</v>
      </c>
      <c r="D15" s="2">
        <f>IF(Table242[[#This Row],[Journal Description (Service Description)]]="","",VLOOKUP(Table242[[#This Row],[Journal Description (Service Description)]],'Lookup Values'!$A:$B,2,FALSE))</f>
        <v>26</v>
      </c>
      <c r="E15" t="s">
        <v>47</v>
      </c>
      <c r="F15" s="27" t="s">
        <v>35</v>
      </c>
      <c r="G15" s="27" t="s">
        <v>172</v>
      </c>
    </row>
    <row r="16" spans="1:7" hidden="1" x14ac:dyDescent="0.35">
      <c r="A16" s="16" t="s">
        <v>6</v>
      </c>
      <c r="B16" s="27" t="s">
        <v>153</v>
      </c>
      <c r="C16">
        <v>1</v>
      </c>
      <c r="D16" s="28">
        <f>IF(Table242[[#This Row],[Journal Description (Service Description)]]="","",VLOOKUP(Table242[[#This Row],[Journal Description (Service Description)]],'Lookup Values'!$A:$B,2,FALSE))</f>
        <v>82</v>
      </c>
      <c r="E16" s="27" t="s">
        <v>50</v>
      </c>
      <c r="F16" s="27" t="s">
        <v>33</v>
      </c>
      <c r="G16" s="27" t="s">
        <v>146</v>
      </c>
    </row>
    <row r="17" spans="1:7" hidden="1" x14ac:dyDescent="0.35">
      <c r="A17" s="16" t="s">
        <v>6</v>
      </c>
      <c r="B17" s="27" t="s">
        <v>153</v>
      </c>
      <c r="C17">
        <v>1</v>
      </c>
      <c r="D17" s="28">
        <f>IF(Table242[[#This Row],[Journal Description (Service Description)]]="","",VLOOKUP(Table242[[#This Row],[Journal Description (Service Description)]],'Lookup Values'!$A:$B,2,FALSE))</f>
        <v>82</v>
      </c>
      <c r="E17" s="27" t="s">
        <v>50</v>
      </c>
      <c r="F17" s="27" t="s">
        <v>33</v>
      </c>
      <c r="G17" s="27" t="s">
        <v>147</v>
      </c>
    </row>
    <row r="18" spans="1:7" hidden="1" x14ac:dyDescent="0.35">
      <c r="A18" s="16" t="s">
        <v>6</v>
      </c>
      <c r="B18" s="41" t="s">
        <v>145</v>
      </c>
      <c r="C18">
        <v>1</v>
      </c>
      <c r="D18" s="28">
        <f>IF(Table242[[#This Row],[Journal Description (Service Description)]]="","",VLOOKUP(Table242[[#This Row],[Journal Description (Service Description)]],'Lookup Values'!$A:$B,2,FALSE))</f>
        <v>82</v>
      </c>
      <c r="E18" s="27" t="s">
        <v>50</v>
      </c>
      <c r="F18" s="27" t="s">
        <v>33</v>
      </c>
      <c r="G18" s="27" t="s">
        <v>124</v>
      </c>
    </row>
    <row r="19" spans="1:7" hidden="1" x14ac:dyDescent="0.35">
      <c r="A19" s="16" t="s">
        <v>6</v>
      </c>
      <c r="B19" s="41" t="s">
        <v>154</v>
      </c>
      <c r="C19">
        <v>1</v>
      </c>
      <c r="D19" s="28">
        <f>IF(Table242[[#This Row],[Journal Description (Service Description)]]="","",VLOOKUP(Table242[[#This Row],[Journal Description (Service Description)]],'Lookup Values'!$A:$B,2,FALSE))</f>
        <v>82</v>
      </c>
      <c r="E19" s="27" t="s">
        <v>50</v>
      </c>
      <c r="F19" s="27" t="s">
        <v>33</v>
      </c>
      <c r="G19" s="27" t="s">
        <v>150</v>
      </c>
    </row>
    <row r="20" spans="1:7" hidden="1" x14ac:dyDescent="0.35">
      <c r="A20" s="16" t="s">
        <v>6</v>
      </c>
      <c r="B20" s="41" t="s">
        <v>154</v>
      </c>
      <c r="C20">
        <v>1</v>
      </c>
      <c r="D20" s="28">
        <f>IF(Table242[[#This Row],[Journal Description (Service Description)]]="","",VLOOKUP(Table242[[#This Row],[Journal Description (Service Description)]],'Lookup Values'!$A:$B,2,FALSE))</f>
        <v>82</v>
      </c>
      <c r="E20" s="27" t="s">
        <v>50</v>
      </c>
      <c r="F20" s="27" t="s">
        <v>33</v>
      </c>
      <c r="G20" s="27" t="s">
        <v>148</v>
      </c>
    </row>
    <row r="21" spans="1:7" hidden="1" x14ac:dyDescent="0.35">
      <c r="A21" s="16" t="s">
        <v>6</v>
      </c>
      <c r="B21" s="41" t="s">
        <v>154</v>
      </c>
      <c r="C21">
        <v>1</v>
      </c>
      <c r="D21" s="28">
        <f>IF(Table242[[#This Row],[Journal Description (Service Description)]]="","",VLOOKUP(Table242[[#This Row],[Journal Description (Service Description)]],'Lookup Values'!$A:$B,2,FALSE))</f>
        <v>82</v>
      </c>
      <c r="E21" s="27" t="s">
        <v>50</v>
      </c>
      <c r="F21" s="27" t="s">
        <v>33</v>
      </c>
      <c r="G21" s="27" t="s">
        <v>175</v>
      </c>
    </row>
    <row r="22" spans="1:7" hidden="1" x14ac:dyDescent="0.35">
      <c r="A22" s="16" t="s">
        <v>6</v>
      </c>
      <c r="B22" s="41" t="s">
        <v>153</v>
      </c>
      <c r="C22">
        <v>1</v>
      </c>
      <c r="D22" s="28">
        <f>IF(Table242[[#This Row],[Journal Description (Service Description)]]="","",VLOOKUP(Table242[[#This Row],[Journal Description (Service Description)]],'Lookup Values'!$A:$B,2,FALSE))</f>
        <v>82</v>
      </c>
      <c r="E22" s="27" t="s">
        <v>50</v>
      </c>
      <c r="F22" s="27" t="s">
        <v>33</v>
      </c>
      <c r="G22" s="27" t="s">
        <v>132</v>
      </c>
    </row>
    <row r="23" spans="1:7" hidden="1" x14ac:dyDescent="0.35">
      <c r="A23" s="16" t="s">
        <v>6</v>
      </c>
      <c r="B23" s="27" t="s">
        <v>144</v>
      </c>
      <c r="C23">
        <v>1</v>
      </c>
      <c r="D23" s="28">
        <f>IF(Table242[[#This Row],[Journal Description (Service Description)]]="","",VLOOKUP(Table242[[#This Row],[Journal Description (Service Description)]],'Lookup Values'!$A:$B,2,FALSE))</f>
        <v>82</v>
      </c>
      <c r="E23" s="27" t="s">
        <v>50</v>
      </c>
      <c r="F23" s="27" t="s">
        <v>33</v>
      </c>
      <c r="G23" s="27" t="s">
        <v>152</v>
      </c>
    </row>
    <row r="24" spans="1:7" hidden="1" x14ac:dyDescent="0.35">
      <c r="A24" s="16" t="s">
        <v>6</v>
      </c>
      <c r="B24" s="41" t="s">
        <v>153</v>
      </c>
      <c r="C24">
        <v>1</v>
      </c>
      <c r="D24" s="28">
        <f>IF(Table242[[#This Row],[Journal Description (Service Description)]]="","",VLOOKUP(Table242[[#This Row],[Journal Description (Service Description)]],'Lookup Values'!$A:$B,2,FALSE))</f>
        <v>82</v>
      </c>
      <c r="E24" s="27" t="s">
        <v>50</v>
      </c>
      <c r="F24" s="27" t="s">
        <v>33</v>
      </c>
      <c r="G24" s="27" t="s">
        <v>132</v>
      </c>
    </row>
    <row r="25" spans="1:7" hidden="1" x14ac:dyDescent="0.35">
      <c r="A25" s="16" t="s">
        <v>6</v>
      </c>
      <c r="B25" s="41" t="s">
        <v>143</v>
      </c>
      <c r="C25">
        <v>1</v>
      </c>
      <c r="D25" s="28">
        <f>IF(Table242[[#This Row],[Journal Description (Service Description)]]="","",VLOOKUP(Table242[[#This Row],[Journal Description (Service Description)]],'Lookup Values'!$A:$B,2,FALSE))</f>
        <v>82</v>
      </c>
      <c r="E25" s="27" t="s">
        <v>50</v>
      </c>
      <c r="F25" s="27" t="s">
        <v>33</v>
      </c>
      <c r="G25" s="27" t="s">
        <v>131</v>
      </c>
    </row>
    <row r="26" spans="1:7" hidden="1" x14ac:dyDescent="0.35">
      <c r="A26" s="16" t="s">
        <v>6</v>
      </c>
      <c r="B26" s="41" t="s">
        <v>153</v>
      </c>
      <c r="C26">
        <v>1</v>
      </c>
      <c r="D26" s="28">
        <f>IF(Table242[[#This Row],[Journal Description (Service Description)]]="","",VLOOKUP(Table242[[#This Row],[Journal Description (Service Description)]],'Lookup Values'!$A:$B,2,FALSE))</f>
        <v>82</v>
      </c>
      <c r="E26" s="27" t="s">
        <v>50</v>
      </c>
      <c r="F26" s="27" t="s">
        <v>33</v>
      </c>
      <c r="G26" s="27" t="s">
        <v>176</v>
      </c>
    </row>
    <row r="27" spans="1:7" hidden="1" x14ac:dyDescent="0.35">
      <c r="A27" s="16" t="s">
        <v>6</v>
      </c>
      <c r="B27" s="41" t="s">
        <v>143</v>
      </c>
      <c r="C27">
        <v>1</v>
      </c>
      <c r="D27" s="28">
        <f>IF(Table242[[#This Row],[Journal Description (Service Description)]]="","",VLOOKUP(Table242[[#This Row],[Journal Description (Service Description)]],'Lookup Values'!$A:$B,2,FALSE))</f>
        <v>82</v>
      </c>
      <c r="E27" s="27" t="s">
        <v>50</v>
      </c>
      <c r="F27" s="27" t="s">
        <v>33</v>
      </c>
      <c r="G27" s="27" t="s">
        <v>93</v>
      </c>
    </row>
    <row r="28" spans="1:7" hidden="1" x14ac:dyDescent="0.35">
      <c r="A28" s="16" t="s">
        <v>6</v>
      </c>
      <c r="B28" s="41" t="s">
        <v>154</v>
      </c>
      <c r="C28">
        <v>1</v>
      </c>
      <c r="D28" s="28">
        <f>IF(Table242[[#This Row],[Journal Description (Service Description)]]="","",VLOOKUP(Table242[[#This Row],[Journal Description (Service Description)]],'Lookup Values'!$A:$B,2,FALSE))</f>
        <v>82</v>
      </c>
      <c r="E28" s="27" t="s">
        <v>50</v>
      </c>
      <c r="F28" s="27" t="s">
        <v>33</v>
      </c>
      <c r="G28" s="27" t="s">
        <v>177</v>
      </c>
    </row>
    <row r="29" spans="1:7" hidden="1" x14ac:dyDescent="0.35">
      <c r="A29" s="16" t="s">
        <v>6</v>
      </c>
      <c r="B29" s="41" t="s">
        <v>143</v>
      </c>
      <c r="C29">
        <v>1</v>
      </c>
      <c r="D29" s="28">
        <f>IF(Table242[[#This Row],[Journal Description (Service Description)]]="","",VLOOKUP(Table242[[#This Row],[Journal Description (Service Description)]],'Lookup Values'!$A:$B,2,FALSE))</f>
        <v>82</v>
      </c>
      <c r="E29" s="27" t="s">
        <v>50</v>
      </c>
      <c r="F29" s="27" t="s">
        <v>33</v>
      </c>
      <c r="G29" s="27" t="s">
        <v>93</v>
      </c>
    </row>
    <row r="30" spans="1:7" hidden="1" x14ac:dyDescent="0.35">
      <c r="A30" s="16" t="s">
        <v>6</v>
      </c>
      <c r="B30" s="27" t="s">
        <v>144</v>
      </c>
      <c r="C30">
        <v>1</v>
      </c>
      <c r="D30" s="28">
        <f>IF(Table242[[#This Row],[Journal Description (Service Description)]]="","",VLOOKUP(Table242[[#This Row],[Journal Description (Service Description)]],'Lookup Values'!$A:$B,2,FALSE))</f>
        <v>82</v>
      </c>
      <c r="E30" s="27" t="s">
        <v>50</v>
      </c>
      <c r="F30" s="27" t="s">
        <v>33</v>
      </c>
      <c r="G30" s="27" t="s">
        <v>171</v>
      </c>
    </row>
    <row r="31" spans="1:7" hidden="1" x14ac:dyDescent="0.35">
      <c r="A31" s="16" t="s">
        <v>6</v>
      </c>
      <c r="B31" s="27" t="s">
        <v>154</v>
      </c>
      <c r="C31">
        <v>1</v>
      </c>
      <c r="D31" s="28">
        <f>IF(Table242[[#This Row],[Journal Description (Service Description)]]="","",VLOOKUP(Table242[[#This Row],[Journal Description (Service Description)]],'Lookup Values'!$A:$B,2,FALSE))</f>
        <v>82</v>
      </c>
      <c r="E31" s="27" t="s">
        <v>50</v>
      </c>
      <c r="F31" s="27" t="s">
        <v>33</v>
      </c>
      <c r="G31" s="27" t="s">
        <v>178</v>
      </c>
    </row>
    <row r="32" spans="1:7" hidden="1" x14ac:dyDescent="0.35">
      <c r="A32" s="27" t="s">
        <v>6</v>
      </c>
      <c r="B32" s="27" t="s">
        <v>154</v>
      </c>
      <c r="C32">
        <v>1</v>
      </c>
      <c r="D32" s="28">
        <f>IF(Table242[[#This Row],[Journal Description (Service Description)]]="","",VLOOKUP(Table242[[#This Row],[Journal Description (Service Description)]],'Lookup Values'!$A:$B,2,FALSE))</f>
        <v>82</v>
      </c>
      <c r="E32" s="27" t="s">
        <v>50</v>
      </c>
      <c r="F32" s="27" t="s">
        <v>33</v>
      </c>
      <c r="G32" s="27" t="s">
        <v>179</v>
      </c>
    </row>
    <row r="33" spans="1:7" hidden="1" x14ac:dyDescent="0.35">
      <c r="A33" s="27" t="s">
        <v>73</v>
      </c>
      <c r="B33" s="37" t="s">
        <v>198</v>
      </c>
      <c r="C33" s="36"/>
      <c r="D33" s="38">
        <f>IF(Table242[[#This Row],[Journal Description (Service Description)]]="","",VLOOKUP(Table242[[#This Row],[Journal Description (Service Description)]],'Lookup Values'!$A:$B,2,FALSE))</f>
        <v>82</v>
      </c>
      <c r="E33" s="37" t="s">
        <v>56</v>
      </c>
      <c r="F33" s="37" t="s">
        <v>33</v>
      </c>
      <c r="G33" s="37" t="s">
        <v>113</v>
      </c>
    </row>
    <row r="34" spans="1:7" hidden="1" x14ac:dyDescent="0.35">
      <c r="A34" s="27" t="s">
        <v>73</v>
      </c>
      <c r="B34" s="37" t="s">
        <v>201</v>
      </c>
      <c r="C34" s="36"/>
      <c r="D34" s="38">
        <f>IF(Table242[[#This Row],[Journal Description (Service Description)]]="","",VLOOKUP(Table242[[#This Row],[Journal Description (Service Description)]],'Lookup Values'!$A:$B,2,FALSE))</f>
        <v>82</v>
      </c>
      <c r="E34" s="37" t="s">
        <v>56</v>
      </c>
      <c r="F34" s="37" t="s">
        <v>33</v>
      </c>
      <c r="G34" s="37" t="s">
        <v>112</v>
      </c>
    </row>
    <row r="35" spans="1:7" hidden="1" x14ac:dyDescent="0.35">
      <c r="A35" s="27" t="s">
        <v>73</v>
      </c>
      <c r="B35" s="37" t="s">
        <v>201</v>
      </c>
      <c r="C35" s="36"/>
      <c r="D35" s="38">
        <f>IF(Table242[[#This Row],[Journal Description (Service Description)]]="","",VLOOKUP(Table242[[#This Row],[Journal Description (Service Description)]],'Lookup Values'!$A:$B,2,FALSE))</f>
        <v>82</v>
      </c>
      <c r="E35" s="37" t="s">
        <v>56</v>
      </c>
      <c r="F35" s="37" t="s">
        <v>33</v>
      </c>
      <c r="G35" s="37" t="s">
        <v>102</v>
      </c>
    </row>
    <row r="36" spans="1:7" hidden="1" x14ac:dyDescent="0.35">
      <c r="A36" s="27" t="s">
        <v>73</v>
      </c>
      <c r="B36" s="37" t="s">
        <v>200</v>
      </c>
      <c r="C36" s="36"/>
      <c r="D36" s="38">
        <f>IF(Table242[[#This Row],[Journal Description (Service Description)]]="","",VLOOKUP(Table242[[#This Row],[Journal Description (Service Description)]],'Lookup Values'!$A:$B,2,FALSE))</f>
        <v>82</v>
      </c>
      <c r="E36" s="37" t="s">
        <v>56</v>
      </c>
      <c r="F36" s="37" t="s">
        <v>33</v>
      </c>
      <c r="G36" s="37" t="s">
        <v>120</v>
      </c>
    </row>
    <row r="37" spans="1:7" hidden="1" x14ac:dyDescent="0.35">
      <c r="A37" s="27" t="s">
        <v>73</v>
      </c>
      <c r="B37" s="37" t="s">
        <v>201</v>
      </c>
      <c r="C37" s="36"/>
      <c r="D37" s="38">
        <f>IF(Table242[[#This Row],[Journal Description (Service Description)]]="","",VLOOKUP(Table242[[#This Row],[Journal Description (Service Description)]],'Lookup Values'!$A:$B,2,FALSE))</f>
        <v>82</v>
      </c>
      <c r="E37" s="37" t="s">
        <v>56</v>
      </c>
      <c r="F37" s="37" t="s">
        <v>33</v>
      </c>
      <c r="G37" s="37" t="s">
        <v>108</v>
      </c>
    </row>
    <row r="38" spans="1:7" hidden="1" x14ac:dyDescent="0.35">
      <c r="A38" s="27" t="s">
        <v>73</v>
      </c>
      <c r="B38" s="37" t="s">
        <v>201</v>
      </c>
      <c r="C38" s="36"/>
      <c r="D38" s="38">
        <f>IF(Table242[[#This Row],[Journal Description (Service Description)]]="","",VLOOKUP(Table242[[#This Row],[Journal Description (Service Description)]],'Lookup Values'!$A:$B,2,FALSE))</f>
        <v>82</v>
      </c>
      <c r="E38" s="37" t="s">
        <v>56</v>
      </c>
      <c r="F38" s="37" t="s">
        <v>33</v>
      </c>
      <c r="G38" s="37" t="s">
        <v>180</v>
      </c>
    </row>
    <row r="39" spans="1:7" hidden="1" x14ac:dyDescent="0.35">
      <c r="A39" s="27" t="s">
        <v>73</v>
      </c>
      <c r="B39" s="37" t="s">
        <v>197</v>
      </c>
      <c r="C39" s="36"/>
      <c r="D39" s="38">
        <f>IF(Table242[[#This Row],[Journal Description (Service Description)]]="","",VLOOKUP(Table242[[#This Row],[Journal Description (Service Description)]],'Lookup Values'!$A:$B,2,FALSE))</f>
        <v>82</v>
      </c>
      <c r="E39" s="37" t="s">
        <v>56</v>
      </c>
      <c r="F39" s="37" t="s">
        <v>33</v>
      </c>
      <c r="G39" s="37" t="s">
        <v>121</v>
      </c>
    </row>
    <row r="40" spans="1:7" hidden="1" x14ac:dyDescent="0.35">
      <c r="A40" s="27" t="s">
        <v>73</v>
      </c>
      <c r="B40" s="37" t="s">
        <v>199</v>
      </c>
      <c r="C40" s="36"/>
      <c r="D40" s="38">
        <f>IF(Table242[[#This Row],[Journal Description (Service Description)]]="","",VLOOKUP(Table242[[#This Row],[Journal Description (Service Description)]],'Lookup Values'!$A:$B,2,FALSE))</f>
        <v>82</v>
      </c>
      <c r="E40" s="37" t="s">
        <v>56</v>
      </c>
      <c r="F40" s="37" t="s">
        <v>33</v>
      </c>
      <c r="G40" s="37" t="s">
        <v>181</v>
      </c>
    </row>
    <row r="41" spans="1:7" hidden="1" x14ac:dyDescent="0.35">
      <c r="A41" s="27" t="s">
        <v>73</v>
      </c>
      <c r="B41" s="37" t="s">
        <v>199</v>
      </c>
      <c r="C41" s="36"/>
      <c r="D41" s="38">
        <f>IF(Table242[[#This Row],[Journal Description (Service Description)]]="","",VLOOKUP(Table242[[#This Row],[Journal Description (Service Description)]],'Lookup Values'!$A:$B,2,FALSE))</f>
        <v>82</v>
      </c>
      <c r="E41" s="37" t="s">
        <v>56</v>
      </c>
      <c r="F41" s="37" t="s">
        <v>33</v>
      </c>
      <c r="G41" s="37" t="s">
        <v>122</v>
      </c>
    </row>
    <row r="42" spans="1:7" hidden="1" x14ac:dyDescent="0.35">
      <c r="A42" s="27" t="s">
        <v>73</v>
      </c>
      <c r="B42" s="37" t="s">
        <v>201</v>
      </c>
      <c r="C42" s="36"/>
      <c r="D42" s="38">
        <f>IF(Table242[[#This Row],[Journal Description (Service Description)]]="","",VLOOKUP(Table242[[#This Row],[Journal Description (Service Description)]],'Lookup Values'!$A:$B,2,FALSE))</f>
        <v>82</v>
      </c>
      <c r="E42" s="37" t="s">
        <v>56</v>
      </c>
      <c r="F42" s="37" t="s">
        <v>33</v>
      </c>
      <c r="G42" s="37" t="s">
        <v>182</v>
      </c>
    </row>
    <row r="43" spans="1:7" hidden="1" x14ac:dyDescent="0.35">
      <c r="A43" s="27" t="s">
        <v>73</v>
      </c>
      <c r="B43" s="37" t="s">
        <v>201</v>
      </c>
      <c r="C43" s="36"/>
      <c r="D43" s="38">
        <f>IF(Table242[[#This Row],[Journal Description (Service Description)]]="","",VLOOKUP(Table242[[#This Row],[Journal Description (Service Description)]],'Lookup Values'!$A:$B,2,FALSE))</f>
        <v>82</v>
      </c>
      <c r="E43" s="37" t="s">
        <v>56</v>
      </c>
      <c r="F43" s="37" t="s">
        <v>33</v>
      </c>
      <c r="G43" s="37" t="s">
        <v>109</v>
      </c>
    </row>
    <row r="44" spans="1:7" hidden="1" x14ac:dyDescent="0.35">
      <c r="A44" s="27" t="s">
        <v>73</v>
      </c>
      <c r="B44" s="37" t="s">
        <v>199</v>
      </c>
      <c r="C44" s="36"/>
      <c r="D44" s="38">
        <f>IF(Table242[[#This Row],[Journal Description (Service Description)]]="","",VLOOKUP(Table242[[#This Row],[Journal Description (Service Description)]],'Lookup Values'!$A:$B,2,FALSE))</f>
        <v>82</v>
      </c>
      <c r="E44" s="37" t="s">
        <v>56</v>
      </c>
      <c r="F44" s="37" t="s">
        <v>33</v>
      </c>
      <c r="G44" s="37" t="s">
        <v>183</v>
      </c>
    </row>
    <row r="45" spans="1:7" hidden="1" x14ac:dyDescent="0.35">
      <c r="A45" s="27" t="s">
        <v>73</v>
      </c>
      <c r="B45" s="37" t="s">
        <v>197</v>
      </c>
      <c r="C45" s="36"/>
      <c r="D45" s="38">
        <f>IF(Table242[[#This Row],[Journal Description (Service Description)]]="","",VLOOKUP(Table242[[#This Row],[Journal Description (Service Description)]],'Lookup Values'!$A:$B,2,FALSE))</f>
        <v>82</v>
      </c>
      <c r="E45" s="37" t="s">
        <v>56</v>
      </c>
      <c r="F45" s="37" t="s">
        <v>33</v>
      </c>
      <c r="G45" s="37" t="s">
        <v>184</v>
      </c>
    </row>
    <row r="46" spans="1:7" hidden="1" x14ac:dyDescent="0.35">
      <c r="A46" s="27" t="s">
        <v>73</v>
      </c>
      <c r="B46" s="37" t="s">
        <v>199</v>
      </c>
      <c r="C46" s="36"/>
      <c r="D46" s="38">
        <f>IF(Table242[[#This Row],[Journal Description (Service Description)]]="","",VLOOKUP(Table242[[#This Row],[Journal Description (Service Description)]],'Lookup Values'!$A:$B,2,FALSE))</f>
        <v>82</v>
      </c>
      <c r="E46" s="37" t="s">
        <v>56</v>
      </c>
      <c r="F46" s="37" t="s">
        <v>33</v>
      </c>
      <c r="G46" s="37" t="s">
        <v>119</v>
      </c>
    </row>
    <row r="47" spans="1:7" hidden="1" x14ac:dyDescent="0.35">
      <c r="A47" s="27" t="s">
        <v>73</v>
      </c>
      <c r="B47" s="37" t="s">
        <v>197</v>
      </c>
      <c r="C47" s="36"/>
      <c r="D47" s="38">
        <f>IF(Table242[[#This Row],[Journal Description (Service Description)]]="","",VLOOKUP(Table242[[#This Row],[Journal Description (Service Description)]],'Lookup Values'!$A:$B,2,FALSE))</f>
        <v>82</v>
      </c>
      <c r="E47" s="37" t="s">
        <v>56</v>
      </c>
      <c r="F47" s="37" t="s">
        <v>33</v>
      </c>
      <c r="G47" s="37" t="s">
        <v>107</v>
      </c>
    </row>
    <row r="48" spans="1:7" hidden="1" x14ac:dyDescent="0.35">
      <c r="A48" s="27" t="s">
        <v>73</v>
      </c>
      <c r="B48" s="37" t="s">
        <v>197</v>
      </c>
      <c r="C48" s="36"/>
      <c r="D48" s="38">
        <f>IF(Table242[[#This Row],[Journal Description (Service Description)]]="","",VLOOKUP(Table242[[#This Row],[Journal Description (Service Description)]],'Lookup Values'!$A:$B,2,FALSE))</f>
        <v>82</v>
      </c>
      <c r="E48" s="37" t="s">
        <v>56</v>
      </c>
      <c r="F48" s="37" t="s">
        <v>33</v>
      </c>
      <c r="G48" s="37" t="s">
        <v>116</v>
      </c>
    </row>
    <row r="49" spans="1:7" hidden="1" x14ac:dyDescent="0.35">
      <c r="A49" s="27" t="s">
        <v>73</v>
      </c>
      <c r="B49" s="37" t="s">
        <v>200</v>
      </c>
      <c r="C49" s="36"/>
      <c r="D49" s="38">
        <f>IF(Table242[[#This Row],[Journal Description (Service Description)]]="","",VLOOKUP(Table242[[#This Row],[Journal Description (Service Description)]],'Lookup Values'!$A:$B,2,FALSE))</f>
        <v>82</v>
      </c>
      <c r="E49" s="37" t="s">
        <v>56</v>
      </c>
      <c r="F49" s="37" t="s">
        <v>33</v>
      </c>
      <c r="G49" s="37" t="s">
        <v>114</v>
      </c>
    </row>
    <row r="50" spans="1:7" hidden="1" x14ac:dyDescent="0.35">
      <c r="A50" s="27" t="s">
        <v>73</v>
      </c>
      <c r="B50" s="37" t="s">
        <v>198</v>
      </c>
      <c r="C50" s="36"/>
      <c r="D50" s="38">
        <f>IF(Table242[[#This Row],[Journal Description (Service Description)]]="","",VLOOKUP(Table242[[#This Row],[Journal Description (Service Description)]],'Lookup Values'!$A:$B,2,FALSE))</f>
        <v>82</v>
      </c>
      <c r="E50" s="37" t="s">
        <v>56</v>
      </c>
      <c r="F50" s="37" t="s">
        <v>33</v>
      </c>
      <c r="G50" s="37" t="s">
        <v>115</v>
      </c>
    </row>
    <row r="51" spans="1:7" hidden="1" x14ac:dyDescent="0.35">
      <c r="A51" s="27" t="s">
        <v>73</v>
      </c>
      <c r="B51" s="37" t="s">
        <v>201</v>
      </c>
      <c r="C51" s="36"/>
      <c r="D51" s="38">
        <f>IF(Table242[[#This Row],[Journal Description (Service Description)]]="","",VLOOKUP(Table242[[#This Row],[Journal Description (Service Description)]],'Lookup Values'!$A:$B,2,FALSE))</f>
        <v>82</v>
      </c>
      <c r="E51" s="37" t="s">
        <v>56</v>
      </c>
      <c r="F51" s="37" t="s">
        <v>33</v>
      </c>
      <c r="G51" s="37" t="s">
        <v>126</v>
      </c>
    </row>
    <row r="52" spans="1:7" hidden="1" x14ac:dyDescent="0.35">
      <c r="A52" s="27" t="s">
        <v>73</v>
      </c>
      <c r="B52" s="37" t="s">
        <v>201</v>
      </c>
      <c r="C52" s="36"/>
      <c r="D52" s="38">
        <f>IF(Table242[[#This Row],[Journal Description (Service Description)]]="","",VLOOKUP(Table242[[#This Row],[Journal Description (Service Description)]],'Lookup Values'!$A:$B,2,FALSE))</f>
        <v>82</v>
      </c>
      <c r="E52" s="37" t="s">
        <v>56</v>
      </c>
      <c r="F52" s="37" t="s">
        <v>33</v>
      </c>
      <c r="G52" s="37" t="s">
        <v>185</v>
      </c>
    </row>
    <row r="53" spans="1:7" hidden="1" x14ac:dyDescent="0.35">
      <c r="A53" s="27" t="s">
        <v>73</v>
      </c>
      <c r="B53" s="37" t="s">
        <v>201</v>
      </c>
      <c r="C53" s="36"/>
      <c r="D53" s="38">
        <f>IF(Table242[[#This Row],[Journal Description (Service Description)]]="","",VLOOKUP(Table242[[#This Row],[Journal Description (Service Description)]],'Lookup Values'!$A:$B,2,FALSE))</f>
        <v>82</v>
      </c>
      <c r="E53" s="37" t="s">
        <v>56</v>
      </c>
      <c r="F53" s="37" t="s">
        <v>33</v>
      </c>
      <c r="G53" s="37" t="s">
        <v>100</v>
      </c>
    </row>
    <row r="54" spans="1:7" hidden="1" x14ac:dyDescent="0.35">
      <c r="A54" s="27" t="s">
        <v>73</v>
      </c>
      <c r="B54" s="27" t="s">
        <v>200</v>
      </c>
      <c r="C54" s="36"/>
      <c r="D54" s="28">
        <f>IF(Table242[[#This Row],[Journal Description (Service Description)]]="","",VLOOKUP(Table242[[#This Row],[Journal Description (Service Description)]],'Lookup Values'!$A:$B,2,FALSE))</f>
        <v>82</v>
      </c>
      <c r="E54" s="27" t="s">
        <v>56</v>
      </c>
      <c r="F54" s="27" t="s">
        <v>33</v>
      </c>
      <c r="G54" s="27" t="s">
        <v>186</v>
      </c>
    </row>
    <row r="55" spans="1:7" hidden="1" x14ac:dyDescent="0.35">
      <c r="A55" s="27" t="s">
        <v>73</v>
      </c>
      <c r="B55" s="37" t="s">
        <v>199</v>
      </c>
      <c r="C55" s="36"/>
      <c r="D55" s="38">
        <f>IF(Table242[[#This Row],[Journal Description (Service Description)]]="","",VLOOKUP(Table242[[#This Row],[Journal Description (Service Description)]],'Lookup Values'!$A:$B,2,FALSE))</f>
        <v>82</v>
      </c>
      <c r="E55" s="37" t="s">
        <v>56</v>
      </c>
      <c r="F55" s="37" t="s">
        <v>33</v>
      </c>
      <c r="G55" s="37" t="s">
        <v>127</v>
      </c>
    </row>
    <row r="56" spans="1:7" hidden="1" x14ac:dyDescent="0.35">
      <c r="A56" s="27" t="s">
        <v>73</v>
      </c>
      <c r="B56" s="37" t="s">
        <v>201</v>
      </c>
      <c r="C56" s="36"/>
      <c r="D56" s="38">
        <f>IF(Table242[[#This Row],[Journal Description (Service Description)]]="","",VLOOKUP(Table242[[#This Row],[Journal Description (Service Description)]],'Lookup Values'!$A:$B,2,FALSE))</f>
        <v>82</v>
      </c>
      <c r="E56" s="37" t="s">
        <v>56</v>
      </c>
      <c r="F56" s="37" t="s">
        <v>33</v>
      </c>
      <c r="G56" s="37" t="s">
        <v>105</v>
      </c>
    </row>
    <row r="57" spans="1:7" hidden="1" x14ac:dyDescent="0.35">
      <c r="A57" s="27" t="s">
        <v>73</v>
      </c>
      <c r="B57" s="37" t="s">
        <v>200</v>
      </c>
      <c r="C57" s="36"/>
      <c r="D57" s="38">
        <f>IF(Table242[[#This Row],[Journal Description (Service Description)]]="","",VLOOKUP(Table242[[#This Row],[Journal Description (Service Description)]],'Lookup Values'!$A:$B,2,FALSE))</f>
        <v>82</v>
      </c>
      <c r="E57" s="37" t="s">
        <v>56</v>
      </c>
      <c r="F57" s="37" t="s">
        <v>33</v>
      </c>
      <c r="G57" s="37" t="s">
        <v>106</v>
      </c>
    </row>
    <row r="58" spans="1:7" hidden="1" x14ac:dyDescent="0.35">
      <c r="A58" s="27" t="s">
        <v>73</v>
      </c>
      <c r="B58" s="39" t="s">
        <v>200</v>
      </c>
      <c r="C58" s="36"/>
      <c r="D58" s="40">
        <f>IF(Table242[[#This Row],[Journal Description (Service Description)]]="","",VLOOKUP(Table242[[#This Row],[Journal Description (Service Description)]],'Lookup Values'!$A:$B,2,FALSE))</f>
        <v>82</v>
      </c>
      <c r="E58" s="39" t="s">
        <v>56</v>
      </c>
      <c r="F58" s="39" t="s">
        <v>33</v>
      </c>
      <c r="G58" s="39" t="s">
        <v>128</v>
      </c>
    </row>
    <row r="59" spans="1:7" hidden="1" x14ac:dyDescent="0.35">
      <c r="A59" s="27" t="s">
        <v>73</v>
      </c>
      <c r="B59" s="37" t="s">
        <v>201</v>
      </c>
      <c r="C59" s="36"/>
      <c r="D59" s="38">
        <f>IF(Table242[[#This Row],[Journal Description (Service Description)]]="","",VLOOKUP(Table242[[#This Row],[Journal Description (Service Description)]],'Lookup Values'!$A:$B,2,FALSE))</f>
        <v>82</v>
      </c>
      <c r="E59" s="37" t="s">
        <v>56</v>
      </c>
      <c r="F59" s="37" t="s">
        <v>33</v>
      </c>
      <c r="G59" s="37" t="s">
        <v>96</v>
      </c>
    </row>
    <row r="60" spans="1:7" hidden="1" x14ac:dyDescent="0.35">
      <c r="A60" s="27" t="s">
        <v>73</v>
      </c>
      <c r="B60" s="37" t="s">
        <v>201</v>
      </c>
      <c r="C60" s="36"/>
      <c r="D60" s="38">
        <f>IF(Table242[[#This Row],[Journal Description (Service Description)]]="","",VLOOKUP(Table242[[#This Row],[Journal Description (Service Description)]],'Lookup Values'!$A:$B,2,FALSE))</f>
        <v>82</v>
      </c>
      <c r="E60" s="37" t="s">
        <v>56</v>
      </c>
      <c r="F60" s="37" t="s">
        <v>33</v>
      </c>
      <c r="G60" s="37" t="s">
        <v>101</v>
      </c>
    </row>
    <row r="61" spans="1:7" hidden="1" x14ac:dyDescent="0.35">
      <c r="A61" s="27" t="s">
        <v>73</v>
      </c>
      <c r="B61" s="37" t="s">
        <v>201</v>
      </c>
      <c r="C61" s="27"/>
      <c r="D61" s="28">
        <f>IF(Table242[[#This Row],[Journal Description (Service Description)]]="","",VLOOKUP(Table242[[#This Row],[Journal Description (Service Description)]],'Lookup Values'!$A:$B,2,FALSE))</f>
        <v>82</v>
      </c>
      <c r="E61" s="27" t="s">
        <v>56</v>
      </c>
      <c r="F61" s="27" t="s">
        <v>33</v>
      </c>
      <c r="G61" s="27" t="s">
        <v>202</v>
      </c>
    </row>
    <row r="62" spans="1:7" hidden="1" x14ac:dyDescent="0.35">
      <c r="A62" s="27" t="s">
        <v>73</v>
      </c>
      <c r="B62" s="37" t="s">
        <v>198</v>
      </c>
      <c r="C62" s="27"/>
      <c r="D62" s="38">
        <f>IF(Table242[[#This Row],[Journal Description (Service Description)]]="","",VLOOKUP(Table242[[#This Row],[Journal Description (Service Description)]],'Lookup Values'!$A:$B,2,FALSE))</f>
        <v>82</v>
      </c>
      <c r="E62" s="37" t="s">
        <v>56</v>
      </c>
      <c r="F62" s="37" t="s">
        <v>33</v>
      </c>
      <c r="G62" s="37" t="s">
        <v>98</v>
      </c>
    </row>
    <row r="63" spans="1:7" hidden="1" x14ac:dyDescent="0.35">
      <c r="A63" s="27" t="s">
        <v>73</v>
      </c>
      <c r="B63" s="37" t="s">
        <v>201</v>
      </c>
      <c r="C63" s="36"/>
      <c r="D63" s="38">
        <f>IF(Table242[[#This Row],[Journal Description (Service Description)]]="","",VLOOKUP(Table242[[#This Row],[Journal Description (Service Description)]],'Lookup Values'!$A:$B,2,FALSE))</f>
        <v>82</v>
      </c>
      <c r="E63" s="37" t="s">
        <v>56</v>
      </c>
      <c r="F63" s="37" t="s">
        <v>33</v>
      </c>
      <c r="G63" s="37" t="s">
        <v>95</v>
      </c>
    </row>
    <row r="64" spans="1:7" hidden="1" x14ac:dyDescent="0.35">
      <c r="A64" s="27" t="s">
        <v>73</v>
      </c>
      <c r="B64" s="37" t="s">
        <v>200</v>
      </c>
      <c r="C64" s="36"/>
      <c r="D64" s="38">
        <f>IF(Table242[[#This Row],[Journal Description (Service Description)]]="","",VLOOKUP(Table242[[#This Row],[Journal Description (Service Description)]],'Lookup Values'!$A:$B,2,FALSE))</f>
        <v>82</v>
      </c>
      <c r="E64" s="37" t="s">
        <v>56</v>
      </c>
      <c r="F64" s="37" t="s">
        <v>33</v>
      </c>
      <c r="G64" s="37" t="s">
        <v>187</v>
      </c>
    </row>
    <row r="65" spans="1:7" hidden="1" x14ac:dyDescent="0.35">
      <c r="A65" s="27" t="s">
        <v>73</v>
      </c>
      <c r="B65" s="37" t="s">
        <v>201</v>
      </c>
      <c r="C65" s="36"/>
      <c r="D65" s="38">
        <f>IF(Table242[[#This Row],[Journal Description (Service Description)]]="","",VLOOKUP(Table242[[#This Row],[Journal Description (Service Description)]],'Lookup Values'!$A:$B,2,FALSE))</f>
        <v>82</v>
      </c>
      <c r="E65" s="37" t="s">
        <v>56</v>
      </c>
      <c r="F65" s="37" t="s">
        <v>33</v>
      </c>
      <c r="G65" s="37" t="s">
        <v>99</v>
      </c>
    </row>
    <row r="66" spans="1:7" hidden="1" x14ac:dyDescent="0.35">
      <c r="A66" s="27" t="s">
        <v>73</v>
      </c>
      <c r="B66" s="37" t="s">
        <v>201</v>
      </c>
      <c r="C66" s="36"/>
      <c r="D66" s="38">
        <f>IF(Table242[[#This Row],[Journal Description (Service Description)]]="","",VLOOKUP(Table242[[#This Row],[Journal Description (Service Description)]],'Lookup Values'!$A:$B,2,FALSE))</f>
        <v>82</v>
      </c>
      <c r="E66" s="37" t="s">
        <v>56</v>
      </c>
      <c r="F66" s="37" t="s">
        <v>33</v>
      </c>
      <c r="G66" s="37" t="s">
        <v>188</v>
      </c>
    </row>
    <row r="67" spans="1:7" hidden="1" x14ac:dyDescent="0.35">
      <c r="A67" s="27" t="s">
        <v>73</v>
      </c>
      <c r="B67" s="37" t="s">
        <v>201</v>
      </c>
      <c r="C67" s="27"/>
      <c r="D67" s="28">
        <v>112.5</v>
      </c>
      <c r="E67" s="27" t="s">
        <v>56</v>
      </c>
      <c r="F67" s="27" t="s">
        <v>133</v>
      </c>
      <c r="G67" s="27" t="s">
        <v>135</v>
      </c>
    </row>
    <row r="68" spans="1:7" hidden="1" x14ac:dyDescent="0.35">
      <c r="A68" s="27" t="s">
        <v>73</v>
      </c>
      <c r="B68" s="37" t="s">
        <v>203</v>
      </c>
      <c r="C68" s="27"/>
      <c r="D68" s="28">
        <v>133</v>
      </c>
      <c r="E68" s="27" t="s">
        <v>56</v>
      </c>
      <c r="F68" s="27" t="s">
        <v>134</v>
      </c>
      <c r="G68" s="27" t="s">
        <v>135</v>
      </c>
    </row>
    <row r="69" spans="1:7" hidden="1" x14ac:dyDescent="0.35">
      <c r="A69" s="27" t="s">
        <v>73</v>
      </c>
      <c r="B69" t="s">
        <v>210</v>
      </c>
      <c r="C69" s="27"/>
      <c r="D69" s="38" t="e">
        <f>IF(Table242[[#This Row],[Journal Description (Service Description)]]="","",VLOOKUP(Table242[[#This Row],[Journal Description (Service Description)]],'Lookup Values'!$A:$B,2,FALSE))</f>
        <v>#N/A</v>
      </c>
      <c r="E69" s="27" t="s">
        <v>56</v>
      </c>
      <c r="F69" s="27" t="s">
        <v>90</v>
      </c>
      <c r="G69" s="27" t="s">
        <v>204</v>
      </c>
    </row>
    <row r="70" spans="1:7" hidden="1" x14ac:dyDescent="0.35">
      <c r="A70" s="27" t="s">
        <v>73</v>
      </c>
      <c r="B70" t="s">
        <v>210</v>
      </c>
      <c r="C70" s="27"/>
      <c r="D70" s="38">
        <f>IF(Table242[[#This Row],[Journal Description (Service Description)]]="","",VLOOKUP(Table242[[#This Row],[Journal Description (Service Description)]],'Lookup Values'!$A:$B,2,FALSE))</f>
        <v>176</v>
      </c>
      <c r="E70" s="27" t="s">
        <v>56</v>
      </c>
      <c r="F70" s="27" t="s">
        <v>91</v>
      </c>
      <c r="G70" s="27" t="s">
        <v>204</v>
      </c>
    </row>
    <row r="71" spans="1:7" s="27" customFormat="1" hidden="1" x14ac:dyDescent="0.35">
      <c r="A71" s="27" t="s">
        <v>6</v>
      </c>
      <c r="B71" t="str">
        <f>IF(Table242[[#This Row],[Branch Name]]="","",(_xlfn.XLOOKUP(Table242[[#This Row],[Branch Name]],'Lookup Values'!G:G,'Lookup Values'!I:I,0)))</f>
        <v>1-30612-7B213</v>
      </c>
      <c r="C71">
        <v>1</v>
      </c>
      <c r="D71" s="2">
        <f>IF(Table242[[#This Row],[Journal Description (Service Description)]]="","",VLOOKUP(Table242[[#This Row],[Journal Description (Service Description)]],'Lookup Values'!$A:$B,2,FALSE))</f>
        <v>82</v>
      </c>
      <c r="E71" s="27" t="s">
        <v>82</v>
      </c>
      <c r="F71" s="27" t="s">
        <v>33</v>
      </c>
      <c r="G71" s="27" t="s">
        <v>189</v>
      </c>
    </row>
    <row r="72" spans="1:7" s="27" customFormat="1" hidden="1" x14ac:dyDescent="0.35">
      <c r="A72" s="27" t="s">
        <v>6</v>
      </c>
      <c r="B72" t="str">
        <f>IF(Table242[[#This Row],[Branch Name]]="","",(_xlfn.XLOOKUP(Table242[[#This Row],[Branch Name]],'Lookup Values'!G:G,'Lookup Values'!I:I,0)))</f>
        <v>1-30612-7B213</v>
      </c>
      <c r="C72">
        <v>1</v>
      </c>
      <c r="D72" s="2">
        <f>IF(Table242[[#This Row],[Journal Description (Service Description)]]="","",VLOOKUP(Table242[[#This Row],[Journal Description (Service Description)]],'Lookup Values'!$A:$B,2,FALSE))</f>
        <v>82</v>
      </c>
      <c r="E72" s="27" t="s">
        <v>82</v>
      </c>
      <c r="F72" s="27" t="s">
        <v>33</v>
      </c>
      <c r="G72" s="27" t="s">
        <v>190</v>
      </c>
    </row>
    <row r="73" spans="1:7" hidden="1" x14ac:dyDescent="0.35">
      <c r="A73" t="s">
        <v>6</v>
      </c>
      <c r="B73" t="str">
        <f>IF(Table242[[#This Row],[Branch Name]]="","",(_xlfn.XLOOKUP(Table242[[#This Row],[Branch Name]],'Lookup Values'!G:G,'Lookup Values'!I:I,0)))</f>
        <v>1-30612-7B213</v>
      </c>
      <c r="C73">
        <v>1</v>
      </c>
      <c r="D73" s="2">
        <f>IF(Table242[[#This Row],[Journal Description (Service Description)]]="","",VLOOKUP(Table242[[#This Row],[Journal Description (Service Description)]],'Lookup Values'!$A:$B,2,FALSE))</f>
        <v>82</v>
      </c>
      <c r="E73" s="27" t="s">
        <v>82</v>
      </c>
      <c r="F73" s="27" t="s">
        <v>33</v>
      </c>
      <c r="G73" s="27" t="s">
        <v>189</v>
      </c>
    </row>
    <row r="74" spans="1:7" hidden="1" x14ac:dyDescent="0.35">
      <c r="A74" t="s">
        <v>6</v>
      </c>
      <c r="B74" t="str">
        <f>IF(Table242[[#This Row],[Branch Name]]="","",(_xlfn.XLOOKUP(Table242[[#This Row],[Branch Name]],'Lookup Values'!G:G,'Lookup Values'!I:I,0)))</f>
        <v>1-19521-7B213</v>
      </c>
      <c r="C74">
        <v>1</v>
      </c>
      <c r="D74" s="2">
        <f>IF(Table242[[#This Row],[Journal Description (Service Description)]]="","",VLOOKUP(Table242[[#This Row],[Journal Description (Service Description)]],'Lookup Values'!$A:$B,2,FALSE))</f>
        <v>82</v>
      </c>
      <c r="E74" s="27" t="s">
        <v>61</v>
      </c>
      <c r="F74" s="27" t="s">
        <v>33</v>
      </c>
      <c r="G74" s="27" t="s">
        <v>191</v>
      </c>
    </row>
    <row r="75" spans="1:7" x14ac:dyDescent="0.35">
      <c r="A75" s="27" t="s">
        <v>23</v>
      </c>
      <c r="B75" s="27" t="s">
        <v>206</v>
      </c>
      <c r="C75">
        <v>1</v>
      </c>
      <c r="D75" s="28">
        <f>IF(Table242[[#This Row],[Journal Description (Service Description)]]="","",VLOOKUP(Table242[[#This Row],[Journal Description (Service Description)]],'Lookup Values'!$A:$B,2,FALSE))</f>
        <v>82</v>
      </c>
      <c r="E75" s="27" t="s">
        <v>63</v>
      </c>
      <c r="F75" s="27" t="s">
        <v>33</v>
      </c>
      <c r="G75" s="27" t="s">
        <v>192</v>
      </c>
    </row>
    <row r="76" spans="1:7" hidden="1" x14ac:dyDescent="0.35">
      <c r="A76" s="27" t="s">
        <v>23</v>
      </c>
      <c r="B76" t="str">
        <f>IF(Table242[[#This Row],[Branch Name]]="","",(_xlfn.XLOOKUP(Table242[[#This Row],[Branch Name]],'Lookup Values'!G:G,'Lookup Values'!I:I,0)))</f>
        <v>100009-200-7B213</v>
      </c>
      <c r="C76">
        <v>1</v>
      </c>
      <c r="D76" s="2">
        <f>IF(Table242[[#This Row],[Journal Description (Service Description)]]="","",VLOOKUP(Table242[[#This Row],[Journal Description (Service Description)]],'Lookup Values'!$A:$B,2,FALSE))</f>
        <v>82</v>
      </c>
      <c r="E76" s="27" t="s">
        <v>62</v>
      </c>
      <c r="F76" s="27" t="s">
        <v>33</v>
      </c>
      <c r="G76" s="27" t="s">
        <v>193</v>
      </c>
    </row>
    <row r="77" spans="1:7" hidden="1" x14ac:dyDescent="0.35">
      <c r="A77" s="27" t="s">
        <v>23</v>
      </c>
      <c r="B77" t="str">
        <f>IF(Table242[[#This Row],[Branch Name]]="","",(_xlfn.XLOOKUP(Table242[[#This Row],[Branch Name]],'Lookup Values'!G:G,'Lookup Values'!I:I,0)))</f>
        <v>100009-200-7B213</v>
      </c>
      <c r="C77">
        <v>1</v>
      </c>
      <c r="D77" s="2">
        <f>IF(Table242[[#This Row],[Journal Description (Service Description)]]="","",VLOOKUP(Table242[[#This Row],[Journal Description (Service Description)]],'Lookup Values'!$A:$B,2,FALSE))</f>
        <v>82</v>
      </c>
      <c r="E77" s="27" t="s">
        <v>62</v>
      </c>
      <c r="F77" s="27" t="s">
        <v>33</v>
      </c>
      <c r="G77" s="27" t="s">
        <v>194</v>
      </c>
    </row>
    <row r="78" spans="1:7" hidden="1" x14ac:dyDescent="0.35">
      <c r="A78" s="27" t="s">
        <v>23</v>
      </c>
      <c r="B78" t="str">
        <f>IF(Table242[[#This Row],[Branch Name]]="","",(_xlfn.XLOOKUP(Table242[[#This Row],[Branch Name]],'Lookup Values'!G:G,'Lookup Values'!I:I,0)))</f>
        <v>100009-200-7B213</v>
      </c>
      <c r="C78">
        <v>1</v>
      </c>
      <c r="D78" s="2">
        <f>IF(Table242[[#This Row],[Journal Description (Service Description)]]="","",VLOOKUP(Table242[[#This Row],[Journal Description (Service Description)]],'Lookup Values'!$A:$B,2,FALSE))</f>
        <v>82</v>
      </c>
      <c r="E78" s="27" t="s">
        <v>62</v>
      </c>
      <c r="F78" s="27" t="s">
        <v>33</v>
      </c>
      <c r="G78" s="27" t="s">
        <v>195</v>
      </c>
    </row>
    <row r="79" spans="1:7" hidden="1" x14ac:dyDescent="0.35">
      <c r="A79" s="27" t="s">
        <v>23</v>
      </c>
      <c r="B79" s="27" t="s">
        <v>24</v>
      </c>
      <c r="C79">
        <v>1</v>
      </c>
      <c r="D79" s="28">
        <f>IF(Table242[[#This Row],[Journal Description (Service Description)]]="","",VLOOKUP(Table242[[#This Row],[Journal Description (Service Description)]],'Lookup Values'!$A:$B,2,FALSE))</f>
        <v>82</v>
      </c>
      <c r="E79" s="27" t="s">
        <v>64</v>
      </c>
      <c r="F79" s="27" t="s">
        <v>33</v>
      </c>
      <c r="G79" s="27" t="s">
        <v>138</v>
      </c>
    </row>
    <row r="80" spans="1:7" hidden="1" x14ac:dyDescent="0.35">
      <c r="A80" s="27" t="s">
        <v>23</v>
      </c>
      <c r="B80" s="27" t="s">
        <v>24</v>
      </c>
      <c r="C80">
        <v>1</v>
      </c>
      <c r="D80" s="28">
        <f>IF(Table242[[#This Row],[Journal Description (Service Description)]]="","",VLOOKUP(Table242[[#This Row],[Journal Description (Service Description)]],'Lookup Values'!$A:$B,2,FALSE))</f>
        <v>82</v>
      </c>
      <c r="E80" s="27" t="s">
        <v>64</v>
      </c>
      <c r="F80" s="27" t="s">
        <v>33</v>
      </c>
      <c r="G80" s="27" t="s">
        <v>196</v>
      </c>
    </row>
    <row r="81" spans="1:7" hidden="1" x14ac:dyDescent="0.35">
      <c r="A81" t="s">
        <v>6</v>
      </c>
      <c r="B81" t="str">
        <f>IF(Table242[[#This Row],[Branch Name]]="","",(_xlfn.XLOOKUP(Table242[[#This Row],[Branch Name]],'Lookup Values'!G:G,'Lookup Values'!I:I,0)))</f>
        <v>1-14501-7B213</v>
      </c>
      <c r="C81">
        <v>1</v>
      </c>
      <c r="D81" s="2">
        <f>IF(Table242[[#This Row],[Journal Description (Service Description)]]="","",VLOOKUP(Table242[[#This Row],[Journal Description (Service Description)]],'Lookup Values'!$A:$B,2,FALSE))</f>
        <v>82</v>
      </c>
      <c r="E81" s="27" t="s">
        <v>47</v>
      </c>
      <c r="F81" s="27" t="s">
        <v>33</v>
      </c>
      <c r="G81" s="27" t="s">
        <v>136</v>
      </c>
    </row>
    <row r="82" spans="1:7" hidden="1" x14ac:dyDescent="0.35">
      <c r="A82" s="27"/>
      <c r="B82" t="str">
        <f>IF(Table242[[#This Row],[Branch Name]]="","",(_xlfn.XLOOKUP(Table242[[#This Row],[Branch Name]],'Lookup Values'!G:G,'Lookup Values'!I:I,0)))</f>
        <v/>
      </c>
      <c r="C82" s="27"/>
      <c r="D82" s="2" t="str">
        <f>IF(Table242[[#This Row],[Journal Description (Service Description)]]="","",VLOOKUP(Table242[[#This Row],[Journal Description (Service Description)]],'Lookup Values'!$A:$B,2,FALSE))</f>
        <v/>
      </c>
      <c r="E82" s="27"/>
      <c r="F82" s="27"/>
      <c r="G82" s="27"/>
    </row>
    <row r="83" spans="1:7" hidden="1" x14ac:dyDescent="0.35">
      <c r="A83" s="27"/>
      <c r="B83" t="str">
        <f>IF(Table242[[#This Row],[Branch Name]]="","",(_xlfn.XLOOKUP(Table242[[#This Row],[Branch Name]],'Lookup Values'!G:G,'Lookup Values'!I:I,0)))</f>
        <v/>
      </c>
      <c r="C83" s="27"/>
      <c r="D83" s="2" t="str">
        <f>IF(Table242[[#This Row],[Journal Description (Service Description)]]="","",VLOOKUP(Table242[[#This Row],[Journal Description (Service Description)]],'Lookup Values'!$A:$B,2,FALSE))</f>
        <v/>
      </c>
      <c r="E83" s="27"/>
      <c r="F83" s="27"/>
      <c r="G83" s="27"/>
    </row>
    <row r="84" spans="1:7" hidden="1" x14ac:dyDescent="0.35">
      <c r="A84" s="27"/>
      <c r="B84" t="str">
        <f>IF(Table242[[#This Row],[Branch Name]]="","",(_xlfn.XLOOKUP(Table242[[#This Row],[Branch Name]],'Lookup Values'!G:G,'Lookup Values'!I:I,0)))</f>
        <v/>
      </c>
      <c r="C84" s="27"/>
      <c r="D84" s="2" t="str">
        <f>IF(Table242[[#This Row],[Journal Description (Service Description)]]="","",VLOOKUP(Table242[[#This Row],[Journal Description (Service Description)]],'Lookup Values'!$A:$B,2,FALSE))</f>
        <v/>
      </c>
      <c r="E84" s="27"/>
      <c r="F84" s="27"/>
      <c r="G84" s="27"/>
    </row>
    <row r="85" spans="1:7" hidden="1" x14ac:dyDescent="0.35">
      <c r="A85" s="27"/>
      <c r="B85" t="str">
        <f>IF(Table242[[#This Row],[Branch Name]]="","",(_xlfn.XLOOKUP(Table242[[#This Row],[Branch Name]],'Lookup Values'!G:G,'Lookup Values'!I:I,0)))</f>
        <v/>
      </c>
      <c r="C85" s="27"/>
      <c r="D85" s="2" t="str">
        <f>IF(Table242[[#This Row],[Journal Description (Service Description)]]="","",VLOOKUP(Table242[[#This Row],[Journal Description (Service Description)]],'Lookup Values'!$A:$B,2,FALSE))</f>
        <v/>
      </c>
      <c r="E85" s="27"/>
      <c r="F85" s="27"/>
      <c r="G85" s="27"/>
    </row>
    <row r="86" spans="1:7" hidden="1" x14ac:dyDescent="0.35">
      <c r="A86" s="27"/>
      <c r="B86" t="str">
        <f>IF(Table242[[#This Row],[Branch Name]]="","",(_xlfn.XLOOKUP(Table242[[#This Row],[Branch Name]],'Lookup Values'!G:G,'Lookup Values'!I:I,0)))</f>
        <v/>
      </c>
      <c r="C86" s="27"/>
      <c r="D86" s="2" t="str">
        <f>IF(Table242[[#This Row],[Journal Description (Service Description)]]="","",VLOOKUP(Table242[[#This Row],[Journal Description (Service Description)]],'Lookup Values'!$A:$B,2,FALSE))</f>
        <v/>
      </c>
      <c r="E86" s="27"/>
      <c r="F86" s="27"/>
      <c r="G86" s="29"/>
    </row>
    <row r="87" spans="1:7" hidden="1" x14ac:dyDescent="0.35">
      <c r="A87" s="27"/>
      <c r="B87" t="str">
        <f>IF(Table242[[#This Row],[Branch Name]]="","",(_xlfn.XLOOKUP(Table242[[#This Row],[Branch Name]],'Lookup Values'!G:G,'Lookup Values'!I:I,0)))</f>
        <v/>
      </c>
      <c r="C87" s="27"/>
      <c r="D87" s="2" t="str">
        <f>IF(Table242[[#This Row],[Journal Description (Service Description)]]="","",VLOOKUP(Table242[[#This Row],[Journal Description (Service Description)]],'Lookup Values'!$A:$B,2,FALSE))</f>
        <v/>
      </c>
      <c r="E87" s="27"/>
      <c r="F87" s="27"/>
      <c r="G87" s="27"/>
    </row>
    <row r="88" spans="1:7" hidden="1" x14ac:dyDescent="0.35">
      <c r="A88" s="27"/>
      <c r="B88" t="str">
        <f>IF(Table242[[#This Row],[Branch Name]]="","",(_xlfn.XLOOKUP(Table242[[#This Row],[Branch Name]],'Lookup Values'!G:G,'Lookup Values'!I:I,0)))</f>
        <v/>
      </c>
      <c r="C88" s="27"/>
      <c r="D88" s="2" t="str">
        <f>IF(Table242[[#This Row],[Journal Description (Service Description)]]="","",VLOOKUP(Table242[[#This Row],[Journal Description (Service Description)]],'Lookup Values'!$A:$B,2,FALSE))</f>
        <v/>
      </c>
      <c r="E88" s="27"/>
      <c r="F88" s="27"/>
      <c r="G88" s="27"/>
    </row>
    <row r="89" spans="1:7" hidden="1" x14ac:dyDescent="0.35">
      <c r="A89" s="27"/>
      <c r="B89" t="str">
        <f>IF(Table242[[#This Row],[Branch Name]]="","",(_xlfn.XLOOKUP(Table242[[#This Row],[Branch Name]],'Lookup Values'!G:G,'Lookup Values'!I:I,0)))</f>
        <v/>
      </c>
      <c r="C89" s="27"/>
      <c r="D89" s="2" t="str">
        <f>IF(Table242[[#This Row],[Journal Description (Service Description)]]="","",VLOOKUP(Table242[[#This Row],[Journal Description (Service Description)]],'Lookup Values'!$A:$B,2,FALSE))</f>
        <v/>
      </c>
      <c r="E89" s="27"/>
      <c r="F89" s="27"/>
      <c r="G89" s="27"/>
    </row>
    <row r="90" spans="1:7" hidden="1" x14ac:dyDescent="0.35">
      <c r="A90" s="27"/>
      <c r="B90" t="str">
        <f>IF(Table242[[#This Row],[Branch Name]]="","",(_xlfn.XLOOKUP(Table242[[#This Row],[Branch Name]],'Lookup Values'!G:G,'Lookup Values'!I:I,0)))</f>
        <v/>
      </c>
      <c r="C90" s="27"/>
      <c r="D90" s="2" t="str">
        <f>IF(Table242[[#This Row],[Journal Description (Service Description)]]="","",VLOOKUP(Table242[[#This Row],[Journal Description (Service Description)]],'Lookup Values'!$A:$B,2,FALSE))</f>
        <v/>
      </c>
      <c r="E90" s="27"/>
      <c r="F90" s="27"/>
      <c r="G90" s="27"/>
    </row>
    <row r="91" spans="1:7" hidden="1" x14ac:dyDescent="0.35">
      <c r="A91" s="27"/>
      <c r="B91" t="str">
        <f>IF(Table242[[#This Row],[Branch Name]]="","",(_xlfn.XLOOKUP(Table242[[#This Row],[Branch Name]],'Lookup Values'!G:G,'Lookup Values'!I:I,0)))</f>
        <v/>
      </c>
      <c r="C91" s="27"/>
      <c r="D91" s="2" t="str">
        <f>IF(Table242[[#This Row],[Journal Description (Service Description)]]="","",VLOOKUP(Table242[[#This Row],[Journal Description (Service Description)]],'Lookup Values'!$A:$B,2,FALSE))</f>
        <v/>
      </c>
      <c r="E91" s="27"/>
      <c r="F91" s="27"/>
      <c r="G91" s="27"/>
    </row>
    <row r="92" spans="1:7" hidden="1" x14ac:dyDescent="0.35">
      <c r="A92" s="27"/>
      <c r="B92" t="str">
        <f>IF(Table242[[#This Row],[Branch Name]]="","",(_xlfn.XLOOKUP(Table242[[#This Row],[Branch Name]],'Lookup Values'!G:G,'Lookup Values'!I:I,0)))</f>
        <v/>
      </c>
      <c r="C92" s="27"/>
      <c r="D92" s="2" t="str">
        <f>IF(Table242[[#This Row],[Journal Description (Service Description)]]="","",VLOOKUP(Table242[[#This Row],[Journal Description (Service Description)]],'Lookup Values'!$A:$B,2,FALSE))</f>
        <v/>
      </c>
      <c r="E92" s="27"/>
      <c r="F92" s="27"/>
      <c r="G92" s="27"/>
    </row>
    <row r="93" spans="1:7" hidden="1" x14ac:dyDescent="0.35">
      <c r="A93" s="27"/>
      <c r="B93" t="str">
        <f>IF(Table242[[#This Row],[Branch Name]]="","",(_xlfn.XLOOKUP(Table242[[#This Row],[Branch Name]],'Lookup Values'!G:G,'Lookup Values'!I:I,0)))</f>
        <v/>
      </c>
      <c r="C93" s="27"/>
      <c r="D93" s="2" t="str">
        <f>IF(Table242[[#This Row],[Journal Description (Service Description)]]="","",VLOOKUP(Table242[[#This Row],[Journal Description (Service Description)]],'Lookup Values'!$A:$B,2,FALSE))</f>
        <v/>
      </c>
      <c r="E93" s="27"/>
      <c r="F93" s="27"/>
      <c r="G93" s="27"/>
    </row>
    <row r="94" spans="1:7" hidden="1" x14ac:dyDescent="0.35">
      <c r="B94" t="str">
        <f>IF(Table242[[#This Row],[Branch Name]]="","",(_xlfn.XLOOKUP(Table242[[#This Row],[Branch Name]],'Lookup Values'!G:G,'Lookup Values'!I:I,0)))</f>
        <v/>
      </c>
      <c r="C94" s="27"/>
      <c r="D94" s="2" t="str">
        <f>IF(Table242[[#This Row],[Journal Description (Service Description)]]="","",VLOOKUP(Table242[[#This Row],[Journal Description (Service Description)]],'Lookup Values'!$A:$B,2,FALSE))</f>
        <v/>
      </c>
      <c r="E94" s="27"/>
      <c r="F94" s="27"/>
      <c r="G94" s="27"/>
    </row>
    <row r="95" spans="1:7" hidden="1" x14ac:dyDescent="0.35">
      <c r="B95" t="str">
        <f>IF(Table242[[#This Row],[Branch Name]]="","",(_xlfn.XLOOKUP(Table242[[#This Row],[Branch Name]],'Lookup Values'!G:G,'Lookup Values'!I:I,0)))</f>
        <v/>
      </c>
      <c r="C95" s="27"/>
      <c r="D95" s="2" t="str">
        <f>IF(Table242[[#This Row],[Journal Description (Service Description)]]="","",VLOOKUP(Table242[[#This Row],[Journal Description (Service Description)]],'Lookup Values'!$A:$B,2,FALSE))</f>
        <v/>
      </c>
      <c r="E95" s="27"/>
      <c r="F95" s="27"/>
      <c r="G95" s="27"/>
    </row>
    <row r="96" spans="1:7" hidden="1" x14ac:dyDescent="0.35">
      <c r="B96" t="str">
        <f>IF(Table242[[#This Row],[Branch Name]]="","",(_xlfn.XLOOKUP(Table242[[#This Row],[Branch Name]],'Lookup Values'!G:G,'Lookup Values'!I:I,0)))</f>
        <v/>
      </c>
      <c r="C96" s="27"/>
      <c r="D96" s="2" t="str">
        <f>IF(Table242[[#This Row],[Journal Description (Service Description)]]="","",VLOOKUP(Table242[[#This Row],[Journal Description (Service Description)]],'Lookup Values'!$A:$B,2,FALSE))</f>
        <v/>
      </c>
      <c r="E96" s="27"/>
      <c r="F96" s="27"/>
      <c r="G96" s="27"/>
    </row>
    <row r="97" spans="2:7" hidden="1" x14ac:dyDescent="0.35">
      <c r="B97" t="str">
        <f>IF(Table242[[#This Row],[Branch Name]]="","",(_xlfn.XLOOKUP(Table242[[#This Row],[Branch Name]],'Lookup Values'!G:G,'Lookup Values'!I:I,0)))</f>
        <v/>
      </c>
      <c r="C97" s="27"/>
      <c r="D97" s="2" t="str">
        <f>IF(Table242[[#This Row],[Journal Description (Service Description)]]="","",VLOOKUP(Table242[[#This Row],[Journal Description (Service Description)]],'Lookup Values'!$A:$B,2,FALSE))</f>
        <v/>
      </c>
      <c r="E97" s="27"/>
      <c r="F97" s="27"/>
      <c r="G97" s="27"/>
    </row>
    <row r="98" spans="2:7" hidden="1" x14ac:dyDescent="0.35">
      <c r="B98" t="str">
        <f>IF(Table242[[#This Row],[Branch Name]]="","",(_xlfn.XLOOKUP(Table242[[#This Row],[Branch Name]],'Lookup Values'!G:G,'Lookup Values'!I:I,0)))</f>
        <v/>
      </c>
      <c r="C98" s="27"/>
      <c r="D98" s="2" t="str">
        <f>IF(Table242[[#This Row],[Journal Description (Service Description)]]="","",VLOOKUP(Table242[[#This Row],[Journal Description (Service Description)]],'Lookup Values'!$A:$B,2,FALSE))</f>
        <v/>
      </c>
      <c r="E98" s="27"/>
      <c r="F98" s="27"/>
      <c r="G98" s="27"/>
    </row>
    <row r="99" spans="2:7" hidden="1" x14ac:dyDescent="0.35">
      <c r="B99" t="str">
        <f>IF(Table242[[#This Row],[Branch Name]]="","",(_xlfn.XLOOKUP(Table242[[#This Row],[Branch Name]],'Lookup Values'!G:G,'Lookup Values'!I:I,0)))</f>
        <v/>
      </c>
      <c r="C99" s="27"/>
      <c r="D99" s="2" t="str">
        <f>IF(Table242[[#This Row],[Journal Description (Service Description)]]="","",VLOOKUP(Table242[[#This Row],[Journal Description (Service Description)]],'Lookup Values'!$A:$B,2,FALSE))</f>
        <v/>
      </c>
      <c r="E99" s="27"/>
      <c r="F99" s="27"/>
      <c r="G99" s="27"/>
    </row>
    <row r="100" spans="2:7" hidden="1" x14ac:dyDescent="0.35">
      <c r="B100" t="str">
        <f>IF(Table242[[#This Row],[Branch Name]]="","",(_xlfn.XLOOKUP(Table242[[#This Row],[Branch Name]],'Lookup Values'!G:G,'Lookup Values'!I:I,0)))</f>
        <v/>
      </c>
      <c r="C100" s="27"/>
      <c r="D100" s="2" t="str">
        <f>IF(Table242[[#This Row],[Journal Description (Service Description)]]="","",VLOOKUP(Table242[[#This Row],[Journal Description (Service Description)]],'Lookup Values'!$A:$B,2,FALSE))</f>
        <v/>
      </c>
      <c r="E100" s="27"/>
      <c r="F100" s="27"/>
      <c r="G100" s="27"/>
    </row>
    <row r="101" spans="2:7" hidden="1" x14ac:dyDescent="0.35">
      <c r="B101" t="str">
        <f>IF(Table242[[#This Row],[Branch Name]]="","",(_xlfn.XLOOKUP(Table242[[#This Row],[Branch Name]],'Lookup Values'!G:G,'Lookup Values'!I:I,0)))</f>
        <v/>
      </c>
      <c r="C101" s="27"/>
      <c r="D101" s="2" t="str">
        <f>IF(Table242[[#This Row],[Journal Description (Service Description)]]="","",VLOOKUP(Table242[[#This Row],[Journal Description (Service Description)]],'Lookup Values'!$A:$B,2,FALSE))</f>
        <v/>
      </c>
      <c r="E101" s="27"/>
      <c r="F101" s="27"/>
      <c r="G101" s="27"/>
    </row>
    <row r="102" spans="2:7" hidden="1" x14ac:dyDescent="0.35">
      <c r="B102" t="str">
        <f>IF(Table242[[#This Row],[Branch Name]]="","",(_xlfn.XLOOKUP(Table242[[#This Row],[Branch Name]],'Lookup Values'!G:G,'Lookup Values'!I:I,0)))</f>
        <v/>
      </c>
      <c r="C102" s="27"/>
      <c r="D102" s="2" t="str">
        <f>IF(Table242[[#This Row],[Journal Description (Service Description)]]="","",VLOOKUP(Table242[[#This Row],[Journal Description (Service Description)]],'Lookup Values'!$A:$B,2,FALSE))</f>
        <v/>
      </c>
      <c r="E102" s="27"/>
      <c r="F102" s="27"/>
      <c r="G102" s="27"/>
    </row>
    <row r="103" spans="2:7" hidden="1" x14ac:dyDescent="0.35">
      <c r="B103" t="str">
        <f>IF(Table242[[#This Row],[Branch Name]]="","",(_xlfn.XLOOKUP(Table242[[#This Row],[Branch Name]],'Lookup Values'!G:G,'Lookup Values'!I:I,0)))</f>
        <v/>
      </c>
      <c r="C103" s="27"/>
      <c r="D103" s="2" t="str">
        <f>IF(Table242[[#This Row],[Journal Description (Service Description)]]="","",VLOOKUP(Table242[[#This Row],[Journal Description (Service Description)]],'Lookup Values'!$A:$B,2,FALSE))</f>
        <v/>
      </c>
      <c r="E103" s="27"/>
      <c r="F103" s="27"/>
      <c r="G103" s="27"/>
    </row>
    <row r="104" spans="2:7" hidden="1" x14ac:dyDescent="0.35">
      <c r="B104" t="str">
        <f>IF(Table242[[#This Row],[Branch Name]]="","",(_xlfn.XLOOKUP(Table242[[#This Row],[Branch Name]],'Lookup Values'!G:G,'Lookup Values'!I:I,0)))</f>
        <v/>
      </c>
      <c r="C104" s="27"/>
      <c r="D104" s="2" t="str">
        <f>IF(Table242[[#This Row],[Journal Description (Service Description)]]="","",VLOOKUP(Table242[[#This Row],[Journal Description (Service Description)]],'Lookup Values'!$A:$B,2,FALSE))</f>
        <v/>
      </c>
      <c r="E104" s="27"/>
      <c r="F104" s="27"/>
      <c r="G104" s="27"/>
    </row>
    <row r="105" spans="2:7" hidden="1" x14ac:dyDescent="0.35">
      <c r="B105" t="str">
        <f>IF(Table242[[#This Row],[Branch Name]]="","",(_xlfn.XLOOKUP(Table242[[#This Row],[Branch Name]],'Lookup Values'!G:G,'Lookup Values'!I:I,0)))</f>
        <v/>
      </c>
      <c r="C105" s="27"/>
      <c r="D105" s="2" t="str">
        <f>IF(Table242[[#This Row],[Journal Description (Service Description)]]="","",VLOOKUP(Table242[[#This Row],[Journal Description (Service Description)]],'Lookup Values'!$A:$B,2,FALSE))</f>
        <v/>
      </c>
      <c r="E105" s="27"/>
      <c r="F105" s="27"/>
      <c r="G105" s="27"/>
    </row>
    <row r="106" spans="2:7" hidden="1" x14ac:dyDescent="0.35">
      <c r="B106" t="str">
        <f>IF(Table242[[#This Row],[Branch Name]]="","",(_xlfn.XLOOKUP(Table242[[#This Row],[Branch Name]],'Lookup Values'!G:G,'Lookup Values'!I:I,0)))</f>
        <v/>
      </c>
      <c r="C106" s="27"/>
      <c r="D106" s="2" t="str">
        <f>IF(Table242[[#This Row],[Journal Description (Service Description)]]="","",VLOOKUP(Table242[[#This Row],[Journal Description (Service Description)]],'Lookup Values'!$A:$B,2,FALSE))</f>
        <v/>
      </c>
      <c r="E106" s="27"/>
      <c r="F106" s="27"/>
      <c r="G106" s="27"/>
    </row>
    <row r="107" spans="2:7" hidden="1" x14ac:dyDescent="0.35">
      <c r="B107" t="str">
        <f>IF(Table242[[#This Row],[Branch Name]]="","",(_xlfn.XLOOKUP(Table242[[#This Row],[Branch Name]],'Lookup Values'!G:G,'Lookup Values'!I:I,0)))</f>
        <v/>
      </c>
      <c r="C107" s="27"/>
      <c r="D107" s="2" t="str">
        <f>IF(Table242[[#This Row],[Journal Description (Service Description)]]="","",VLOOKUP(Table242[[#This Row],[Journal Description (Service Description)]],'Lookup Values'!$A:$B,2,FALSE))</f>
        <v/>
      </c>
      <c r="E107" s="27"/>
      <c r="F107" s="27"/>
      <c r="G107" s="27"/>
    </row>
    <row r="108" spans="2:7" hidden="1" x14ac:dyDescent="0.35">
      <c r="B108" t="str">
        <f>IF(Table242[[#This Row],[Branch Name]]="","",(_xlfn.XLOOKUP(Table242[[#This Row],[Branch Name]],'Lookup Values'!G:G,'Lookup Values'!I:I,0)))</f>
        <v/>
      </c>
      <c r="C108" s="27"/>
      <c r="D108" s="2" t="str">
        <f>IF(Table242[[#This Row],[Journal Description (Service Description)]]="","",VLOOKUP(Table242[[#This Row],[Journal Description (Service Description)]],'Lookup Values'!$A:$B,2,FALSE))</f>
        <v/>
      </c>
      <c r="E108" s="27"/>
      <c r="F108" s="27"/>
      <c r="G108" s="27"/>
    </row>
    <row r="109" spans="2:7" hidden="1" x14ac:dyDescent="0.35">
      <c r="B109" t="str">
        <f>IF(Table242[[#This Row],[Branch Name]]="","",(_xlfn.XLOOKUP(Table242[[#This Row],[Branch Name]],'Lookup Values'!G:G,'Lookup Values'!I:I,0)))</f>
        <v/>
      </c>
      <c r="C109" s="27"/>
      <c r="D109" s="2" t="str">
        <f>IF(Table242[[#This Row],[Journal Description (Service Description)]]="","",VLOOKUP(Table242[[#This Row],[Journal Description (Service Description)]],'Lookup Values'!$A:$B,2,FALSE))</f>
        <v/>
      </c>
      <c r="E109" s="27"/>
      <c r="F109" s="27"/>
      <c r="G109" s="27"/>
    </row>
    <row r="110" spans="2:7" hidden="1" x14ac:dyDescent="0.35">
      <c r="B110" t="str">
        <f>IF(Table242[[#This Row],[Branch Name]]="","",(_xlfn.XLOOKUP(Table242[[#This Row],[Branch Name]],'Lookup Values'!G:G,'Lookup Values'!I:I,0)))</f>
        <v/>
      </c>
      <c r="C110" s="27"/>
      <c r="D110" s="2" t="str">
        <f>IF(Table242[[#This Row],[Journal Description (Service Description)]]="","",VLOOKUP(Table242[[#This Row],[Journal Description (Service Description)]],'Lookup Values'!$A:$B,2,FALSE))</f>
        <v/>
      </c>
      <c r="E110" s="27"/>
      <c r="F110" s="27"/>
      <c r="G110" s="27"/>
    </row>
    <row r="111" spans="2:7" hidden="1" x14ac:dyDescent="0.35">
      <c r="B111" t="str">
        <f>IF(Table242[[#This Row],[Branch Name]]="","",(_xlfn.XLOOKUP(Table242[[#This Row],[Branch Name]],'Lookup Values'!G:G,'Lookup Values'!I:I,0)))</f>
        <v/>
      </c>
      <c r="C111" s="27"/>
      <c r="D111" s="2" t="str">
        <f>IF(Table242[[#This Row],[Journal Description (Service Description)]]="","",VLOOKUP(Table242[[#This Row],[Journal Description (Service Description)]],'Lookup Values'!$A:$B,2,FALSE))</f>
        <v/>
      </c>
      <c r="E111" s="27"/>
      <c r="F111" s="27"/>
      <c r="G111" s="27"/>
    </row>
    <row r="112" spans="2:7" hidden="1" x14ac:dyDescent="0.35">
      <c r="B112" t="str">
        <f>IF(Table242[[#This Row],[Branch Name]]="","",(_xlfn.XLOOKUP(Table242[[#This Row],[Branch Name]],'Lookup Values'!G:G,'Lookup Values'!I:I,0)))</f>
        <v/>
      </c>
      <c r="C112" s="27"/>
      <c r="D112" s="2" t="str">
        <f>IF(Table242[[#This Row],[Journal Description (Service Description)]]="","",VLOOKUP(Table242[[#This Row],[Journal Description (Service Description)]],'Lookup Values'!$A:$B,2,FALSE))</f>
        <v/>
      </c>
      <c r="E112" s="27"/>
      <c r="F112" s="27"/>
      <c r="G112" s="27"/>
    </row>
    <row r="113" spans="1:7" hidden="1" x14ac:dyDescent="0.35">
      <c r="B113" t="str">
        <f>IF(Table242[[#This Row],[Branch Name]]="","",(_xlfn.XLOOKUP(Table242[[#This Row],[Branch Name]],'Lookup Values'!G:G,'Lookup Values'!I:I,0)))</f>
        <v/>
      </c>
      <c r="C113" s="27"/>
      <c r="D113" s="2" t="str">
        <f>IF(Table242[[#This Row],[Journal Description (Service Description)]]="","",VLOOKUP(Table242[[#This Row],[Journal Description (Service Description)]],'Lookup Values'!$A:$B,2,FALSE))</f>
        <v/>
      </c>
      <c r="E113" s="27"/>
      <c r="F113" s="27"/>
      <c r="G113" s="27"/>
    </row>
    <row r="114" spans="1:7" hidden="1" x14ac:dyDescent="0.35">
      <c r="B114" t="str">
        <f>IF(Table242[[#This Row],[Branch Name]]="","",(_xlfn.XLOOKUP(Table242[[#This Row],[Branch Name]],'Lookup Values'!G:G,'Lookup Values'!I:I,0)))</f>
        <v/>
      </c>
      <c r="C114" s="27"/>
      <c r="D114" s="2" t="str">
        <f>IF(Table242[[#This Row],[Journal Description (Service Description)]]="","",VLOOKUP(Table242[[#This Row],[Journal Description (Service Description)]],'Lookup Values'!$A:$B,2,FALSE))</f>
        <v/>
      </c>
      <c r="E114" s="27"/>
      <c r="F114" s="27"/>
      <c r="G114" s="27"/>
    </row>
    <row r="115" spans="1:7" hidden="1" x14ac:dyDescent="0.35">
      <c r="B115" t="str">
        <f>IF(Table242[[#This Row],[Branch Name]]="","",(_xlfn.XLOOKUP(Table242[[#This Row],[Branch Name]],'Lookup Values'!G:G,'Lookup Values'!I:I,0)))</f>
        <v/>
      </c>
      <c r="C115" s="27"/>
      <c r="D115" s="2" t="str">
        <f>IF(Table242[[#This Row],[Journal Description (Service Description)]]="","",VLOOKUP(Table242[[#This Row],[Journal Description (Service Description)]],'Lookup Values'!$A:$B,2,FALSE))</f>
        <v/>
      </c>
      <c r="E115" s="27"/>
      <c r="F115" s="27"/>
      <c r="G115" s="27"/>
    </row>
    <row r="116" spans="1:7" hidden="1" x14ac:dyDescent="0.35">
      <c r="A116" s="27"/>
      <c r="B116" t="str">
        <f>IF(Table242[[#This Row],[Branch Name]]="","",(_xlfn.XLOOKUP(Table242[[#This Row],[Branch Name]],'Lookup Values'!G:G,'Lookup Values'!I:I,0)))</f>
        <v/>
      </c>
      <c r="C116" s="27"/>
      <c r="D116" s="2" t="str">
        <f>IF(Table242[[#This Row],[Journal Description (Service Description)]]="","",VLOOKUP(Table242[[#This Row],[Journal Description (Service Description)]],'Lookup Values'!$A:$B,2,FALSE))</f>
        <v/>
      </c>
      <c r="E116" s="27"/>
      <c r="F116" s="27"/>
      <c r="G116" s="27"/>
    </row>
    <row r="117" spans="1:7" hidden="1" x14ac:dyDescent="0.35">
      <c r="B117" t="str">
        <f>IF(Table242[[#This Row],[Branch Name]]="","",(_xlfn.XLOOKUP(Table242[[#This Row],[Branch Name]],'Lookup Values'!G:G,'Lookup Values'!I:I,0)))</f>
        <v/>
      </c>
      <c r="C117" s="27"/>
      <c r="D117" s="2" t="str">
        <f>IF(Table242[[#This Row],[Journal Description (Service Description)]]="","",VLOOKUP(Table242[[#This Row],[Journal Description (Service Description)]],'Lookup Values'!$A:$B,2,FALSE))</f>
        <v/>
      </c>
      <c r="E117" s="27"/>
      <c r="F117" s="27"/>
      <c r="G117" s="27"/>
    </row>
    <row r="118" spans="1:7" hidden="1" x14ac:dyDescent="0.35">
      <c r="B118" t="str">
        <f>IF(Table242[[#This Row],[Branch Name]]="","",(_xlfn.XLOOKUP(Table242[[#This Row],[Branch Name]],'Lookup Values'!G:G,'Lookup Values'!I:I,0)))</f>
        <v/>
      </c>
      <c r="C118" s="27"/>
      <c r="D118" s="2" t="str">
        <f>IF(Table242[[#This Row],[Journal Description (Service Description)]]="","",VLOOKUP(Table242[[#This Row],[Journal Description (Service Description)]],'Lookup Values'!$A:$B,2,FALSE))</f>
        <v/>
      </c>
      <c r="E118" s="27"/>
      <c r="F118" s="27"/>
      <c r="G118" s="27"/>
    </row>
    <row r="119" spans="1:7" hidden="1" x14ac:dyDescent="0.35">
      <c r="A119" s="27"/>
      <c r="B119" t="str">
        <f>IF(Table242[[#This Row],[Branch Name]]="","",(_xlfn.XLOOKUP(Table242[[#This Row],[Branch Name]],'Lookup Values'!G:G,'Lookup Values'!I:I,0)))</f>
        <v/>
      </c>
      <c r="C119" s="27"/>
      <c r="D119" s="2" t="str">
        <f>IF(Table242[[#This Row],[Journal Description (Service Description)]]="","",VLOOKUP(Table242[[#This Row],[Journal Description (Service Description)]],'Lookup Values'!$A:$B,2,FALSE))</f>
        <v/>
      </c>
      <c r="E119" s="27"/>
      <c r="F119" s="27"/>
      <c r="G119" s="27"/>
    </row>
    <row r="120" spans="1:7" hidden="1" x14ac:dyDescent="0.35">
      <c r="A120" s="27"/>
      <c r="B120" t="str">
        <f>IF(Table242[[#This Row],[Branch Name]]="","",(_xlfn.XLOOKUP(Table242[[#This Row],[Branch Name]],'Lookup Values'!G:G,'Lookup Values'!I:I,0)))</f>
        <v/>
      </c>
      <c r="C120" s="27"/>
      <c r="D120" s="2" t="str">
        <f>IF(Table242[[#This Row],[Journal Description (Service Description)]]="","",VLOOKUP(Table242[[#This Row],[Journal Description (Service Description)]],'Lookup Values'!$A:$B,2,FALSE))</f>
        <v/>
      </c>
      <c r="E120" s="27"/>
      <c r="F120" s="27"/>
      <c r="G120" s="27"/>
    </row>
    <row r="121" spans="1:7" hidden="1" x14ac:dyDescent="0.35">
      <c r="B121" t="str">
        <f>IF(Table242[[#This Row],[Branch Name]]="","",(_xlfn.XLOOKUP(Table242[[#This Row],[Branch Name]],'Lookup Values'!G:G,'Lookup Values'!I:I,0)))</f>
        <v/>
      </c>
      <c r="C121" s="27"/>
      <c r="D121" s="2" t="str">
        <f>IF(Table242[[#This Row],[Journal Description (Service Description)]]="","",VLOOKUP(Table242[[#This Row],[Journal Description (Service Description)]],'Lookup Values'!$A:$B,2,FALSE))</f>
        <v/>
      </c>
      <c r="E121" s="27"/>
      <c r="F121" s="27"/>
      <c r="G121" s="27"/>
    </row>
    <row r="122" spans="1:7" hidden="1" x14ac:dyDescent="0.35">
      <c r="B122" t="str">
        <f>IF(Table242[[#This Row],[Branch Name]]="","",(_xlfn.XLOOKUP(Table242[[#This Row],[Branch Name]],'Lookup Values'!G:G,'Lookup Values'!I:I,0)))</f>
        <v/>
      </c>
      <c r="C122" s="27"/>
      <c r="D122" s="2" t="str">
        <f>IF(Table242[[#This Row],[Journal Description (Service Description)]]="","",VLOOKUP(Table242[[#This Row],[Journal Description (Service Description)]],'Lookup Values'!$A:$B,2,FALSE))</f>
        <v/>
      </c>
      <c r="E122" s="27"/>
      <c r="F122" s="27"/>
      <c r="G122" s="27"/>
    </row>
    <row r="123" spans="1:7" hidden="1" x14ac:dyDescent="0.35">
      <c r="B123" t="str">
        <f>IF(Table242[[#This Row],[Branch Name]]="","",(_xlfn.XLOOKUP(Table242[[#This Row],[Branch Name]],'Lookup Values'!G:G,'Lookup Values'!I:I,0)))</f>
        <v/>
      </c>
      <c r="C123" s="27"/>
      <c r="D123" s="2" t="str">
        <f>IF(Table242[[#This Row],[Journal Description (Service Description)]]="","",VLOOKUP(Table242[[#This Row],[Journal Description (Service Description)]],'Lookup Values'!$A:$B,2,FALSE))</f>
        <v/>
      </c>
      <c r="E123" s="27"/>
      <c r="F123" s="27"/>
      <c r="G123" s="27"/>
    </row>
    <row r="124" spans="1:7" hidden="1" x14ac:dyDescent="0.35">
      <c r="B124" t="str">
        <f>IF(Table242[[#This Row],[Branch Name]]="","",(_xlfn.XLOOKUP(Table242[[#This Row],[Branch Name]],'Lookup Values'!G:G,'Lookup Values'!I:I,0)))</f>
        <v/>
      </c>
      <c r="C124" s="27"/>
      <c r="D124" s="2" t="str">
        <f>IF(Table242[[#This Row],[Journal Description (Service Description)]]="","",VLOOKUP(Table242[[#This Row],[Journal Description (Service Description)]],'Lookup Values'!$A:$B,2,FALSE))</f>
        <v/>
      </c>
      <c r="E124" s="27"/>
      <c r="F124" s="27"/>
      <c r="G124" s="27"/>
    </row>
    <row r="125" spans="1:7" hidden="1" x14ac:dyDescent="0.35">
      <c r="B125" t="str">
        <f>IF(Table242[[#This Row],[Branch Name]]="","",(_xlfn.XLOOKUP(Table242[[#This Row],[Branch Name]],'Lookup Values'!G:G,'Lookup Values'!I:I,0)))</f>
        <v/>
      </c>
      <c r="C125" s="27"/>
      <c r="D125" s="2" t="str">
        <f>IF(Table242[[#This Row],[Journal Description (Service Description)]]="","",VLOOKUP(Table242[[#This Row],[Journal Description (Service Description)]],'Lookup Values'!$A:$B,2,FALSE))</f>
        <v/>
      </c>
      <c r="E125" s="27"/>
      <c r="F125" s="27"/>
      <c r="G125" s="27"/>
    </row>
    <row r="126" spans="1:7" hidden="1" x14ac:dyDescent="0.35">
      <c r="A126" s="27"/>
      <c r="B126" t="str">
        <f>IF(Table242[[#This Row],[Branch Name]]="","",(_xlfn.XLOOKUP(Table242[[#This Row],[Branch Name]],'Lookup Values'!G:G,'Lookup Values'!I:I,0)))</f>
        <v/>
      </c>
      <c r="C126" s="27"/>
      <c r="D126" s="2" t="str">
        <f>IF(Table242[[#This Row],[Journal Description (Service Description)]]="","",VLOOKUP(Table242[[#This Row],[Journal Description (Service Description)]],'Lookup Values'!$A:$B,2,FALSE))</f>
        <v/>
      </c>
      <c r="E126" s="27"/>
      <c r="F126" s="27"/>
      <c r="G126" s="27"/>
    </row>
    <row r="127" spans="1:7" hidden="1" x14ac:dyDescent="0.35">
      <c r="A127" s="27"/>
      <c r="B127" t="str">
        <f>IF(Table242[[#This Row],[Branch Name]]="","",(_xlfn.XLOOKUP(Table242[[#This Row],[Branch Name]],'Lookup Values'!G:G,'Lookup Values'!I:I,0)))</f>
        <v/>
      </c>
      <c r="C127" s="27"/>
      <c r="D127" s="2" t="str">
        <f>IF(Table242[[#This Row],[Journal Description (Service Description)]]="","",VLOOKUP(Table242[[#This Row],[Journal Description (Service Description)]],'Lookup Values'!$A:$B,2,FALSE))</f>
        <v/>
      </c>
      <c r="E127" s="27"/>
      <c r="F127" s="27"/>
      <c r="G127" s="27"/>
    </row>
    <row r="128" spans="1:7" hidden="1" x14ac:dyDescent="0.35">
      <c r="A128" s="27"/>
      <c r="B128" t="str">
        <f>IF(Table242[[#This Row],[Branch Name]]="","",(_xlfn.XLOOKUP(Table242[[#This Row],[Branch Name]],'Lookup Values'!G:G,'Lookup Values'!I:I,0)))</f>
        <v/>
      </c>
      <c r="C128" s="27"/>
      <c r="D128" s="2" t="str">
        <f>IF(Table242[[#This Row],[Journal Description (Service Description)]]="","",VLOOKUP(Table242[[#This Row],[Journal Description (Service Description)]],'Lookup Values'!$A:$B,2,FALSE))</f>
        <v/>
      </c>
      <c r="E128" s="27"/>
      <c r="F128" s="27"/>
      <c r="G128" s="27"/>
    </row>
    <row r="129" spans="1:7" hidden="1" x14ac:dyDescent="0.35">
      <c r="B129" t="str">
        <f>IF(Table242[[#This Row],[Branch Name]]="","",(_xlfn.XLOOKUP(Table242[[#This Row],[Branch Name]],'Lookup Values'!G:G,'Lookup Values'!I:I,0)))</f>
        <v/>
      </c>
      <c r="D129" s="2" t="str">
        <f>IF(Table242[[#This Row],[Journal Description (Service Description)]]="","",VLOOKUP(Table242[[#This Row],[Journal Description (Service Description)]],'Lookup Values'!$A:$B,2,FALSE))</f>
        <v/>
      </c>
      <c r="G129" s="25"/>
    </row>
    <row r="130" spans="1:7" hidden="1" x14ac:dyDescent="0.35">
      <c r="B130" t="str">
        <f>IF(Table242[[#This Row],[Branch Name]]="","",(_xlfn.XLOOKUP(Table242[[#This Row],[Branch Name]],'Lookup Values'!G:G,'Lookup Values'!I:I,0)))</f>
        <v/>
      </c>
      <c r="D130" s="2" t="str">
        <f>IF(Table242[[#This Row],[Journal Description (Service Description)]]="","",VLOOKUP(Table242[[#This Row],[Journal Description (Service Description)]],'Lookup Values'!$A:$B,2,FALSE))</f>
        <v/>
      </c>
    </row>
    <row r="131" spans="1:7" hidden="1" x14ac:dyDescent="0.35">
      <c r="A131" s="27"/>
      <c r="B131" t="str">
        <f>IF(Table242[[#This Row],[Branch Name]]="","",(_xlfn.XLOOKUP(Table242[[#This Row],[Branch Name]],'Lookup Values'!G:G,'Lookup Values'!I:I,0)))</f>
        <v/>
      </c>
      <c r="C131" s="27"/>
      <c r="D131" s="2" t="str">
        <f>IF(Table242[[#This Row],[Journal Description (Service Description)]]="","",VLOOKUP(Table242[[#This Row],[Journal Description (Service Description)]],'Lookup Values'!$A:$B,2,FALSE))</f>
        <v/>
      </c>
      <c r="E131" s="27"/>
      <c r="F131" s="27"/>
      <c r="G131" s="29"/>
    </row>
    <row r="132" spans="1:7" hidden="1" x14ac:dyDescent="0.35">
      <c r="A132" s="27"/>
      <c r="B132" t="str">
        <f>IF(Table242[[#This Row],[Branch Name]]="","",(_xlfn.XLOOKUP(Table242[[#This Row],[Branch Name]],'Lookup Values'!G:G,'Lookup Values'!I:I,0)))</f>
        <v/>
      </c>
      <c r="C132" s="27"/>
      <c r="D132" s="2" t="str">
        <f>IF(Table242[[#This Row],[Journal Description (Service Description)]]="","",VLOOKUP(Table242[[#This Row],[Journal Description (Service Description)]],'Lookup Values'!$A:$B,2,FALSE))</f>
        <v/>
      </c>
      <c r="E132" s="27"/>
      <c r="F132" s="27"/>
      <c r="G132" s="27"/>
    </row>
    <row r="133" spans="1:7" hidden="1" x14ac:dyDescent="0.35">
      <c r="A133" s="27"/>
      <c r="B133" t="str">
        <f>IF(Table242[[#This Row],[Branch Name]]="","",(_xlfn.XLOOKUP(Table242[[#This Row],[Branch Name]],'Lookup Values'!G:G,'Lookup Values'!I:I,0)))</f>
        <v/>
      </c>
      <c r="C133" s="27"/>
      <c r="D133" s="2" t="str">
        <f>IF(Table242[[#This Row],[Journal Description (Service Description)]]="","",VLOOKUP(Table242[[#This Row],[Journal Description (Service Description)]],'Lookup Values'!$A:$B,2,FALSE))</f>
        <v/>
      </c>
      <c r="E133" s="27"/>
      <c r="F133" s="27"/>
      <c r="G133" s="27"/>
    </row>
    <row r="134" spans="1:7" hidden="1" x14ac:dyDescent="0.35">
      <c r="B134" t="str">
        <f>IF(Table242[[#This Row],[Branch Name]]="","",(_xlfn.XLOOKUP(Table242[[#This Row],[Branch Name]],'Lookup Values'!G:G,'Lookup Values'!I:I,0)))</f>
        <v/>
      </c>
      <c r="D134" s="2" t="str">
        <f>IF(Table242[[#This Row],[Journal Description (Service Description)]]="","",VLOOKUP(Table242[[#This Row],[Journal Description (Service Description)]],'Lookup Values'!$A:$B,2,FALSE))</f>
        <v/>
      </c>
    </row>
    <row r="135" spans="1:7" hidden="1" x14ac:dyDescent="0.35">
      <c r="A135" s="27"/>
      <c r="B135" t="str">
        <f>IF(Table242[[#This Row],[Branch Name]]="","",(_xlfn.XLOOKUP(Table242[[#This Row],[Branch Name]],'Lookup Values'!G:G,'Lookup Values'!I:I,0)))</f>
        <v/>
      </c>
      <c r="C135" s="27"/>
      <c r="D135" s="2" t="str">
        <f>IF(Table242[[#This Row],[Journal Description (Service Description)]]="","",VLOOKUP(Table242[[#This Row],[Journal Description (Service Description)]],'Lookup Values'!$A:$B,2,FALSE))</f>
        <v/>
      </c>
      <c r="E135" s="27"/>
      <c r="F135" s="27"/>
      <c r="G135" s="27"/>
    </row>
    <row r="136" spans="1:7" hidden="1" x14ac:dyDescent="0.35">
      <c r="B136" t="str">
        <f>IF(Table242[[#This Row],[Branch Name]]="","",(_xlfn.XLOOKUP(Table242[[#This Row],[Branch Name]],'Lookup Values'!G:G,'Lookup Values'!I:I,0)))</f>
        <v/>
      </c>
      <c r="D136" s="2" t="str">
        <f>IF(Table242[[#This Row],[Journal Description (Service Description)]]="","",VLOOKUP(Table242[[#This Row],[Journal Description (Service Description)]],'Lookup Values'!$A:$B,2,FALSE))</f>
        <v/>
      </c>
    </row>
    <row r="137" spans="1:7" hidden="1" x14ac:dyDescent="0.35">
      <c r="B137" t="str">
        <f>IF(Table242[[#This Row],[Branch Name]]="","",(_xlfn.XLOOKUP(Table242[[#This Row],[Branch Name]],'Lookup Values'!G:G,'Lookup Values'!I:I,0)))</f>
        <v/>
      </c>
      <c r="D137" s="2" t="str">
        <f>IF(Table242[[#This Row],[Journal Description (Service Description)]]="","",VLOOKUP(Table242[[#This Row],[Journal Description (Service Description)]],'Lookup Values'!$A:$B,2,FALSE))</f>
        <v/>
      </c>
    </row>
    <row r="138" spans="1:7" hidden="1" x14ac:dyDescent="0.35">
      <c r="B138" t="str">
        <f>IF(Table242[[#This Row],[Branch Name]]="","",(_xlfn.XLOOKUP(Table242[[#This Row],[Branch Name]],'Lookup Values'!G:G,'Lookup Values'!I:I,0)))</f>
        <v/>
      </c>
      <c r="D138" s="2" t="str">
        <f>IF(Table242[[#This Row],[Journal Description (Service Description)]]="","",VLOOKUP(Table242[[#This Row],[Journal Description (Service Description)]],'Lookup Values'!$A:$B,2,FALSE))</f>
        <v/>
      </c>
    </row>
    <row r="139" spans="1:7" hidden="1" x14ac:dyDescent="0.35">
      <c r="B139" t="str">
        <f>IF(Table242[[#This Row],[Branch Name]]="","",(_xlfn.XLOOKUP(Table242[[#This Row],[Branch Name]],'Lookup Values'!G:G,'Lookup Values'!I:I,0)))</f>
        <v/>
      </c>
      <c r="D139" s="2" t="str">
        <f>IF(Table242[[#This Row],[Journal Description (Service Description)]]="","",VLOOKUP(Table242[[#This Row],[Journal Description (Service Description)]],'Lookup Values'!$A:$B,2,FALSE))</f>
        <v/>
      </c>
    </row>
    <row r="140" spans="1:7" hidden="1" x14ac:dyDescent="0.35">
      <c r="B140" t="str">
        <f>IF(Table242[[#This Row],[Branch Name]]="","",(_xlfn.XLOOKUP(Table242[[#This Row],[Branch Name]],'Lookup Values'!G:G,'Lookup Values'!I:I,0)))</f>
        <v/>
      </c>
      <c r="D140" s="2" t="str">
        <f>IF(Table242[[#This Row],[Journal Description (Service Description)]]="","",VLOOKUP(Table242[[#This Row],[Journal Description (Service Description)]],'Lookup Values'!$A:$B,2,FALSE))</f>
        <v/>
      </c>
    </row>
    <row r="141" spans="1:7" hidden="1" x14ac:dyDescent="0.35">
      <c r="B141" t="str">
        <f>IF(Table242[[#This Row],[Branch Name]]="","",(_xlfn.XLOOKUP(Table242[[#This Row],[Branch Name]],'Lookup Values'!G:G,'Lookup Values'!I:I,0)))</f>
        <v/>
      </c>
      <c r="D141" s="2" t="str">
        <f>IF(Table242[[#This Row],[Journal Description (Service Description)]]="","",VLOOKUP(Table242[[#This Row],[Journal Description (Service Description)]],'Lookup Values'!$A:$B,2,FALSE))</f>
        <v/>
      </c>
    </row>
    <row r="142" spans="1:7" hidden="1" x14ac:dyDescent="0.35">
      <c r="B142" t="str">
        <f>IF(Table242[[#This Row],[Branch Name]]="","",(_xlfn.XLOOKUP(Table242[[#This Row],[Branch Name]],'Lookup Values'!G:G,'Lookup Values'!I:I,0)))</f>
        <v/>
      </c>
      <c r="D142" s="2" t="str">
        <f>IF(Table242[[#This Row],[Journal Description (Service Description)]]="","",VLOOKUP(Table242[[#This Row],[Journal Description (Service Description)]],'Lookup Values'!$A:$B,2,FALSE))</f>
        <v/>
      </c>
    </row>
    <row r="143" spans="1:7" hidden="1" x14ac:dyDescent="0.35">
      <c r="B143" t="str">
        <f>IF(Table242[[#This Row],[Branch Name]]="","",(_xlfn.XLOOKUP(Table242[[#This Row],[Branch Name]],'Lookup Values'!G:G,'Lookup Values'!I:I,0)))</f>
        <v/>
      </c>
      <c r="D143" s="2" t="str">
        <f>IF(Table242[[#This Row],[Journal Description (Service Description)]]="","",VLOOKUP(Table242[[#This Row],[Journal Description (Service Description)]],'Lookup Values'!$A:$B,2,FALSE))</f>
        <v/>
      </c>
    </row>
    <row r="144" spans="1:7" hidden="1" x14ac:dyDescent="0.35">
      <c r="B144" t="str">
        <f>IF(Table242[[#This Row],[Branch Name]]="","",(_xlfn.XLOOKUP(Table242[[#This Row],[Branch Name]],'Lookup Values'!G:G,'Lookup Values'!I:I,0)))</f>
        <v/>
      </c>
      <c r="D144" s="2" t="str">
        <f>IF(Table242[[#This Row],[Journal Description (Service Description)]]="","",VLOOKUP(Table242[[#This Row],[Journal Description (Service Description)]],'Lookup Values'!$A:$B,2,FALSE))</f>
        <v/>
      </c>
    </row>
    <row r="145" spans="2:4" hidden="1" x14ac:dyDescent="0.35">
      <c r="B145" t="str">
        <f>IF(Table242[[#This Row],[Branch Name]]="","",(_xlfn.XLOOKUP(Table242[[#This Row],[Branch Name]],'Lookup Values'!G:G,'Lookup Values'!I:I,0)))</f>
        <v/>
      </c>
      <c r="D145" s="2" t="str">
        <f>IF(Table242[[#This Row],[Journal Description (Service Description)]]="","",VLOOKUP(Table242[[#This Row],[Journal Description (Service Description)]],'Lookup Values'!$A:$B,2,FALSE))</f>
        <v/>
      </c>
    </row>
    <row r="146" spans="2:4" hidden="1" x14ac:dyDescent="0.35">
      <c r="B146" t="str">
        <f>IF(Table242[[#This Row],[Branch Name]]="","",(_xlfn.XLOOKUP(Table242[[#This Row],[Branch Name]],'Lookup Values'!G:G,'Lookup Values'!I:I,0)))</f>
        <v/>
      </c>
      <c r="D146" s="2" t="str">
        <f>IF(Table242[[#This Row],[Journal Description (Service Description)]]="","",VLOOKUP(Table242[[#This Row],[Journal Description (Service Description)]],'Lookup Values'!$A:$B,2,FALSE))</f>
        <v/>
      </c>
    </row>
    <row r="147" spans="2:4" hidden="1" x14ac:dyDescent="0.35">
      <c r="B147" t="str">
        <f>IF(Table242[[#This Row],[Branch Name]]="","",(_xlfn.XLOOKUP(Table242[[#This Row],[Branch Name]],'Lookup Values'!G:G,'Lookup Values'!I:I,0)))</f>
        <v/>
      </c>
      <c r="D147" s="2" t="str">
        <f>IF(Table242[[#This Row],[Journal Description (Service Description)]]="","",VLOOKUP(Table242[[#This Row],[Journal Description (Service Description)]],'Lookup Values'!$A:$B,2,FALSE))</f>
        <v/>
      </c>
    </row>
    <row r="148" spans="2:4" hidden="1" x14ac:dyDescent="0.35">
      <c r="B148" t="str">
        <f>IF(Table242[[#This Row],[Branch Name]]="","",(_xlfn.XLOOKUP(Table242[[#This Row],[Branch Name]],'Lookup Values'!G:G,'Lookup Values'!I:I,0)))</f>
        <v/>
      </c>
      <c r="D148" s="2" t="str">
        <f>IF(Table242[[#This Row],[Journal Description (Service Description)]]="","",VLOOKUP(Table242[[#This Row],[Journal Description (Service Description)]],'Lookup Values'!$A:$B,2,FALSE))</f>
        <v/>
      </c>
    </row>
    <row r="149" spans="2:4" hidden="1" x14ac:dyDescent="0.35">
      <c r="B149" t="str">
        <f>IF(Table242[[#This Row],[Branch Name]]="","",(_xlfn.XLOOKUP(Table242[[#This Row],[Branch Name]],'Lookup Values'!G:G,'Lookup Values'!I:I,0)))</f>
        <v/>
      </c>
      <c r="D149" s="2" t="str">
        <f>IF(Table242[[#This Row],[Journal Description (Service Description)]]="","",VLOOKUP(Table242[[#This Row],[Journal Description (Service Description)]],'Lookup Values'!$A:$B,2,FALSE))</f>
        <v/>
      </c>
    </row>
    <row r="150" spans="2:4" hidden="1" x14ac:dyDescent="0.35">
      <c r="B150" t="str">
        <f>IF(Table242[[#This Row],[Branch Name]]="","",(_xlfn.XLOOKUP(Table242[[#This Row],[Branch Name]],'Lookup Values'!G:G,'Lookup Values'!I:I,0)))</f>
        <v/>
      </c>
      <c r="D150" s="2" t="str">
        <f>IF(Table242[[#This Row],[Journal Description (Service Description)]]="","",VLOOKUP(Table242[[#This Row],[Journal Description (Service Description)]],'Lookup Values'!$A:$B,2,FALSE))</f>
        <v/>
      </c>
    </row>
    <row r="151" spans="2:4" hidden="1" x14ac:dyDescent="0.35">
      <c r="B151" t="str">
        <f>IF(Table242[[#This Row],[Branch Name]]="","",(_xlfn.XLOOKUP(Table242[[#This Row],[Branch Name]],'Lookup Values'!G:G,'Lookup Values'!I:I,0)))</f>
        <v/>
      </c>
      <c r="D151" s="2" t="str">
        <f>IF(Table242[[#This Row],[Journal Description (Service Description)]]="","",VLOOKUP(Table242[[#This Row],[Journal Description (Service Description)]],'Lookup Values'!$A:$B,2,FALSE))</f>
        <v/>
      </c>
    </row>
    <row r="152" spans="2:4" hidden="1" x14ac:dyDescent="0.35">
      <c r="B152" t="str">
        <f>IF(Table242[[#This Row],[Branch Name]]="","",(_xlfn.XLOOKUP(Table242[[#This Row],[Branch Name]],'Lookup Values'!G:G,'Lookup Values'!I:I,0)))</f>
        <v/>
      </c>
      <c r="D152" s="2" t="str">
        <f>IF(Table242[[#This Row],[Journal Description (Service Description)]]="","",VLOOKUP(Table242[[#This Row],[Journal Description (Service Description)]],'Lookup Values'!$A:$B,2,FALSE))</f>
        <v/>
      </c>
    </row>
    <row r="153" spans="2:4" hidden="1" x14ac:dyDescent="0.35">
      <c r="B153" t="str">
        <f>IF(Table242[[#This Row],[Branch Name]]="","",(_xlfn.XLOOKUP(Table242[[#This Row],[Branch Name]],'Lookup Values'!G:G,'Lookup Values'!I:I,0)))</f>
        <v/>
      </c>
      <c r="D153" s="2" t="str">
        <f>IF(Table242[[#This Row],[Journal Description (Service Description)]]="","",VLOOKUP(Table242[[#This Row],[Journal Description (Service Description)]],'Lookup Values'!$A:$B,2,FALSE))</f>
        <v/>
      </c>
    </row>
    <row r="154" spans="2:4" hidden="1" x14ac:dyDescent="0.35">
      <c r="B154" t="str">
        <f>IF(Table242[[#This Row],[Branch Name]]="","",(_xlfn.XLOOKUP(Table242[[#This Row],[Branch Name]],'Lookup Values'!G:G,'Lookup Values'!I:I,0)))</f>
        <v/>
      </c>
      <c r="D154" s="2" t="str">
        <f>IF(Table242[[#This Row],[Journal Description (Service Description)]]="","",VLOOKUP(Table242[[#This Row],[Journal Description (Service Description)]],'Lookup Values'!$A:$B,2,FALSE))</f>
        <v/>
      </c>
    </row>
    <row r="155" spans="2:4" hidden="1" x14ac:dyDescent="0.35">
      <c r="B155" t="str">
        <f>IF(Table242[[#This Row],[Branch Name]]="","",(_xlfn.XLOOKUP(Table242[[#This Row],[Branch Name]],'Lookup Values'!G:G,'Lookup Values'!I:I,0)))</f>
        <v/>
      </c>
      <c r="D155" s="2" t="str">
        <f>IF(Table242[[#This Row],[Journal Description (Service Description)]]="","",VLOOKUP(Table242[[#This Row],[Journal Description (Service Description)]],'Lookup Values'!$A:$B,2,FALSE))</f>
        <v/>
      </c>
    </row>
    <row r="156" spans="2:4" hidden="1" x14ac:dyDescent="0.35">
      <c r="B156" t="str">
        <f>IF(Table242[[#This Row],[Branch Name]]="","",(_xlfn.XLOOKUP(Table242[[#This Row],[Branch Name]],'Lookup Values'!G:G,'Lookup Values'!I:I,0)))</f>
        <v/>
      </c>
      <c r="D156" s="2" t="str">
        <f>IF(Table242[[#This Row],[Journal Description (Service Description)]]="","",VLOOKUP(Table242[[#This Row],[Journal Description (Service Description)]],'Lookup Values'!$A:$B,2,FALSE))</f>
        <v/>
      </c>
    </row>
    <row r="157" spans="2:4" hidden="1" x14ac:dyDescent="0.35">
      <c r="B157" t="str">
        <f>IF(Table242[[#This Row],[Branch Name]]="","",(_xlfn.XLOOKUP(Table242[[#This Row],[Branch Name]],'Lookup Values'!G:G,'Lookup Values'!I:I,0)))</f>
        <v/>
      </c>
      <c r="D157" s="2" t="str">
        <f>IF(Table242[[#This Row],[Journal Description (Service Description)]]="","",VLOOKUP(Table242[[#This Row],[Journal Description (Service Description)]],'Lookup Values'!$A:$B,2,FALSE))</f>
        <v/>
      </c>
    </row>
    <row r="158" spans="2:4" hidden="1" x14ac:dyDescent="0.35">
      <c r="B158" t="str">
        <f>IF(Table242[[#This Row],[Branch Name]]="","",(_xlfn.XLOOKUP(Table242[[#This Row],[Branch Name]],'Lookup Values'!G:G,'Lookup Values'!I:I,0)))</f>
        <v/>
      </c>
      <c r="D158" s="2" t="str">
        <f>IF(Table242[[#This Row],[Journal Description (Service Description)]]="","",VLOOKUP(Table242[[#This Row],[Journal Description (Service Description)]],'Lookup Values'!$A:$B,2,FALSE))</f>
        <v/>
      </c>
    </row>
    <row r="159" spans="2:4" hidden="1" x14ac:dyDescent="0.35">
      <c r="B159" t="str">
        <f>IF(Table242[[#This Row],[Branch Name]]="","",(_xlfn.XLOOKUP(Table242[[#This Row],[Branch Name]],'Lookup Values'!G:G,'Lookup Values'!I:I,0)))</f>
        <v/>
      </c>
      <c r="D159" s="2" t="str">
        <f>IF(Table242[[#This Row],[Journal Description (Service Description)]]="","",VLOOKUP(Table242[[#This Row],[Journal Description (Service Description)]],'Lookup Values'!$A:$B,2,FALSE))</f>
        <v/>
      </c>
    </row>
    <row r="160" spans="2:4" hidden="1" x14ac:dyDescent="0.35">
      <c r="B160" t="str">
        <f>IF(Table242[[#This Row],[Branch Name]]="","",(_xlfn.XLOOKUP(Table242[[#This Row],[Branch Name]],'Lookup Values'!G:G,'Lookup Values'!I:I,0)))</f>
        <v/>
      </c>
      <c r="D160" s="2" t="str">
        <f>IF(Table242[[#This Row],[Journal Description (Service Description)]]="","",VLOOKUP(Table242[[#This Row],[Journal Description (Service Description)]],'Lookup Values'!$A:$B,2,FALSE))</f>
        <v/>
      </c>
    </row>
    <row r="161" spans="2:4" hidden="1" x14ac:dyDescent="0.35">
      <c r="B161" t="str">
        <f>IF(Table242[[#This Row],[Branch Name]]="","",(_xlfn.XLOOKUP(Table242[[#This Row],[Branch Name]],'Lookup Values'!G:G,'Lookup Values'!I:I,0)))</f>
        <v/>
      </c>
      <c r="D161" s="2" t="str">
        <f>IF(Table242[[#This Row],[Journal Description (Service Description)]]="","",VLOOKUP(Table242[[#This Row],[Journal Description (Service Description)]],'Lookup Values'!$A:$B,2,FALSE))</f>
        <v/>
      </c>
    </row>
    <row r="162" spans="2:4" hidden="1" x14ac:dyDescent="0.35">
      <c r="B162" t="str">
        <f>IF(Table242[[#This Row],[Branch Name]]="","",(_xlfn.XLOOKUP(Table242[[#This Row],[Branch Name]],'Lookup Values'!G:G,'Lookup Values'!I:I,0)))</f>
        <v/>
      </c>
      <c r="D162" s="2" t="str">
        <f>IF(Table242[[#This Row],[Journal Description (Service Description)]]="","",VLOOKUP(Table242[[#This Row],[Journal Description (Service Description)]],'Lookup Values'!$A:$B,2,FALSE))</f>
        <v/>
      </c>
    </row>
    <row r="163" spans="2:4" hidden="1" x14ac:dyDescent="0.35">
      <c r="B163" t="str">
        <f>IF(Table242[[#This Row],[Branch Name]]="","",(_xlfn.XLOOKUP(Table242[[#This Row],[Branch Name]],'Lookup Values'!G:G,'Lookup Values'!I:I,0)))</f>
        <v/>
      </c>
      <c r="D163" s="2" t="str">
        <f>IF(Table242[[#This Row],[Journal Description (Service Description)]]="","",VLOOKUP(Table242[[#This Row],[Journal Description (Service Description)]],'Lookup Values'!$A:$B,2,FALSE))</f>
        <v/>
      </c>
    </row>
    <row r="164" spans="2:4" hidden="1" x14ac:dyDescent="0.35">
      <c r="B164" t="str">
        <f>IF(Table242[[#This Row],[Branch Name]]="","",(_xlfn.XLOOKUP(Table242[[#This Row],[Branch Name]],'Lookup Values'!G:G,'Lookup Values'!I:I,0)))</f>
        <v/>
      </c>
      <c r="D164" s="2" t="str">
        <f>IF(Table242[[#This Row],[Journal Description (Service Description)]]="","",VLOOKUP(Table242[[#This Row],[Journal Description (Service Description)]],'Lookup Values'!$A:$B,2,FALSE))</f>
        <v/>
      </c>
    </row>
    <row r="165" spans="2:4" hidden="1" x14ac:dyDescent="0.35">
      <c r="B165" t="str">
        <f>IF(Table242[[#This Row],[Branch Name]]="","",(_xlfn.XLOOKUP(Table242[[#This Row],[Branch Name]],'Lookup Values'!G:G,'Lookup Values'!I:I,0)))</f>
        <v/>
      </c>
      <c r="D165" s="2" t="str">
        <f>IF(Table242[[#This Row],[Journal Description (Service Description)]]="","",VLOOKUP(Table242[[#This Row],[Journal Description (Service Description)]],'Lookup Values'!$A:$B,2,FALSE))</f>
        <v/>
      </c>
    </row>
    <row r="166" spans="2:4" hidden="1" x14ac:dyDescent="0.35">
      <c r="B166" t="str">
        <f>IF(Table242[[#This Row],[Branch Name]]="","",(_xlfn.XLOOKUP(Table242[[#This Row],[Branch Name]],'Lookup Values'!G:G,'Lookup Values'!I:I,0)))</f>
        <v/>
      </c>
      <c r="D166" s="2" t="str">
        <f>IF(Table242[[#This Row],[Journal Description (Service Description)]]="","",VLOOKUP(Table242[[#This Row],[Journal Description (Service Description)]],'Lookup Values'!$A:$B,2,FALSE))</f>
        <v/>
      </c>
    </row>
    <row r="167" spans="2:4" hidden="1" x14ac:dyDescent="0.35">
      <c r="B167" t="str">
        <f>IF(Table242[[#This Row],[Branch Name]]="","",(_xlfn.XLOOKUP(Table242[[#This Row],[Branch Name]],'Lookup Values'!G:G,'Lookup Values'!I:I,0)))</f>
        <v/>
      </c>
      <c r="D167" s="2" t="str">
        <f>IF(Table242[[#This Row],[Journal Description (Service Description)]]="","",VLOOKUP(Table242[[#This Row],[Journal Description (Service Description)]],'Lookup Values'!$A:$B,2,FALSE))</f>
        <v/>
      </c>
    </row>
    <row r="168" spans="2:4" hidden="1" x14ac:dyDescent="0.35">
      <c r="B168" t="str">
        <f>IF(Table242[[#This Row],[Branch Name]]="","",(_xlfn.XLOOKUP(Table242[[#This Row],[Branch Name]],'Lookup Values'!G:G,'Lookup Values'!I:I,0)))</f>
        <v/>
      </c>
      <c r="D168" s="2" t="str">
        <f>IF(Table242[[#This Row],[Journal Description (Service Description)]]="","",VLOOKUP(Table242[[#This Row],[Journal Description (Service Description)]],'Lookup Values'!$A:$B,2,FALSE))</f>
        <v/>
      </c>
    </row>
    <row r="169" spans="2:4" hidden="1" x14ac:dyDescent="0.35">
      <c r="B169" t="str">
        <f>IF(Table242[[#This Row],[Branch Name]]="","",(_xlfn.XLOOKUP(Table242[[#This Row],[Branch Name]],'Lookup Values'!G:G,'Lookup Values'!I:I,0)))</f>
        <v/>
      </c>
      <c r="D169" s="2" t="str">
        <f>IF(Table242[[#This Row],[Journal Description (Service Description)]]="","",VLOOKUP(Table242[[#This Row],[Journal Description (Service Description)]],'Lookup Values'!$A:$B,2,FALSE))</f>
        <v/>
      </c>
    </row>
    <row r="170" spans="2:4" hidden="1" x14ac:dyDescent="0.35">
      <c r="B170" t="str">
        <f>IF(Table242[[#This Row],[Branch Name]]="","",(_xlfn.XLOOKUP(Table242[[#This Row],[Branch Name]],'Lookup Values'!G:G,'Lookup Values'!I:I,0)))</f>
        <v/>
      </c>
      <c r="D170" s="2" t="str">
        <f>IF(Table242[[#This Row],[Journal Description (Service Description)]]="","",VLOOKUP(Table242[[#This Row],[Journal Description (Service Description)]],'Lookup Values'!$A:$B,2,FALSE))</f>
        <v/>
      </c>
    </row>
    <row r="171" spans="2:4" hidden="1" x14ac:dyDescent="0.35">
      <c r="B171" t="str">
        <f>IF(Table242[[#This Row],[Branch Name]]="","",(_xlfn.XLOOKUP(Table242[[#This Row],[Branch Name]],'Lookup Values'!G:G,'Lookup Values'!I:I,0)))</f>
        <v/>
      </c>
      <c r="D171" s="2" t="str">
        <f>IF(Table242[[#This Row],[Journal Description (Service Description)]]="","",VLOOKUP(Table242[[#This Row],[Journal Description (Service Description)]],'Lookup Values'!$A:$B,2,FALSE))</f>
        <v/>
      </c>
    </row>
    <row r="172" spans="2:4" hidden="1" x14ac:dyDescent="0.35">
      <c r="B172" t="str">
        <f>IF(Table242[[#This Row],[Branch Name]]="","",(_xlfn.XLOOKUP(Table242[[#This Row],[Branch Name]],'Lookup Values'!G:G,'Lookup Values'!I:I,0)))</f>
        <v/>
      </c>
      <c r="D172" s="2" t="str">
        <f>IF(Table242[[#This Row],[Journal Description (Service Description)]]="","",VLOOKUP(Table242[[#This Row],[Journal Description (Service Description)]],'Lookup Values'!$A:$B,2,FALSE))</f>
        <v/>
      </c>
    </row>
    <row r="173" spans="2:4" hidden="1" x14ac:dyDescent="0.35">
      <c r="B173" t="str">
        <f>IF(Table242[[#This Row],[Branch Name]]="","",(_xlfn.XLOOKUP(Table242[[#This Row],[Branch Name]],'Lookup Values'!G:G,'Lookup Values'!I:I,0)))</f>
        <v/>
      </c>
      <c r="D173" s="2" t="str">
        <f>IF(Table242[[#This Row],[Journal Description (Service Description)]]="","",VLOOKUP(Table242[[#This Row],[Journal Description (Service Description)]],'Lookup Values'!$A:$B,2,FALSE))</f>
        <v/>
      </c>
    </row>
    <row r="174" spans="2:4" hidden="1" x14ac:dyDescent="0.35">
      <c r="B174" t="str">
        <f>IF(Table242[[#This Row],[Branch Name]]="","",(_xlfn.XLOOKUP(Table242[[#This Row],[Branch Name]],'Lookup Values'!G:G,'Lookup Values'!I:I,0)))</f>
        <v/>
      </c>
      <c r="D174" s="2" t="str">
        <f>IF(Table242[[#This Row],[Journal Description (Service Description)]]="","",VLOOKUP(Table242[[#This Row],[Journal Description (Service Description)]],'Lookup Values'!$A:$B,2,FALSE))</f>
        <v/>
      </c>
    </row>
    <row r="175" spans="2:4" hidden="1" x14ac:dyDescent="0.35">
      <c r="B175" t="str">
        <f>IF(Table242[[#This Row],[Branch Name]]="","",(_xlfn.XLOOKUP(Table242[[#This Row],[Branch Name]],'Lookup Values'!G:G,'Lookup Values'!I:I,0)))</f>
        <v/>
      </c>
      <c r="D175" s="2" t="str">
        <f>IF(Table242[[#This Row],[Journal Description (Service Description)]]="","",VLOOKUP(Table242[[#This Row],[Journal Description (Service Description)]],'Lookup Values'!$A:$B,2,FALSE))</f>
        <v/>
      </c>
    </row>
    <row r="176" spans="2:4" hidden="1" x14ac:dyDescent="0.35">
      <c r="B176" t="str">
        <f>IF(Table242[[#This Row],[Branch Name]]="","",(_xlfn.XLOOKUP(Table242[[#This Row],[Branch Name]],'Lookup Values'!G:G,'Lookup Values'!I:I,0)))</f>
        <v/>
      </c>
      <c r="D176" s="2" t="str">
        <f>IF(Table242[[#This Row],[Journal Description (Service Description)]]="","",VLOOKUP(Table242[[#This Row],[Journal Description (Service Description)]],'Lookup Values'!$A:$B,2,FALSE))</f>
        <v/>
      </c>
    </row>
    <row r="177" spans="2:4" hidden="1" x14ac:dyDescent="0.35">
      <c r="B177" t="str">
        <f>IF(Table242[[#This Row],[Branch Name]]="","",(_xlfn.XLOOKUP(Table242[[#This Row],[Branch Name]],'Lookup Values'!G:G,'Lookup Values'!I:I,0)))</f>
        <v/>
      </c>
      <c r="D177" s="2" t="str">
        <f>IF(Table242[[#This Row],[Journal Description (Service Description)]]="","",VLOOKUP(Table242[[#This Row],[Journal Description (Service Description)]],'Lookup Values'!$A:$B,2,FALSE))</f>
        <v/>
      </c>
    </row>
    <row r="178" spans="2:4" hidden="1" x14ac:dyDescent="0.35">
      <c r="B178" t="str">
        <f>IF(Table242[[#This Row],[Branch Name]]="","",(_xlfn.XLOOKUP(Table242[[#This Row],[Branch Name]],'Lookup Values'!G:G,'Lookup Values'!I:I,0)))</f>
        <v/>
      </c>
      <c r="D178" s="2" t="str">
        <f>IF(Table242[[#This Row],[Journal Description (Service Description)]]="","",VLOOKUP(Table242[[#This Row],[Journal Description (Service Description)]],'Lookup Values'!$A:$B,2,FALSE))</f>
        <v/>
      </c>
    </row>
    <row r="179" spans="2:4" hidden="1" x14ac:dyDescent="0.35">
      <c r="B179" t="str">
        <f>IF(Table242[[#This Row],[Branch Name]]="","",(_xlfn.XLOOKUP(Table242[[#This Row],[Branch Name]],'Lookup Values'!G:G,'Lookup Values'!I:I,0)))</f>
        <v/>
      </c>
      <c r="D179" s="2" t="str">
        <f>IF(Table242[[#This Row],[Journal Description (Service Description)]]="","",VLOOKUP(Table242[[#This Row],[Journal Description (Service Description)]],'Lookup Values'!$A:$B,2,FALSE))</f>
        <v/>
      </c>
    </row>
    <row r="180" spans="2:4" hidden="1" x14ac:dyDescent="0.35">
      <c r="B180" t="str">
        <f>IF(Table242[[#This Row],[Branch Name]]="","",(_xlfn.XLOOKUP(Table242[[#This Row],[Branch Name]],'Lookup Values'!G:G,'Lookup Values'!I:I,0)))</f>
        <v/>
      </c>
      <c r="D180" s="2" t="str">
        <f>IF(Table242[[#This Row],[Journal Description (Service Description)]]="","",VLOOKUP(Table242[[#This Row],[Journal Description (Service Description)]],'Lookup Values'!$A:$B,2,FALSE))</f>
        <v/>
      </c>
    </row>
    <row r="181" spans="2:4" hidden="1" x14ac:dyDescent="0.35">
      <c r="B181" t="str">
        <f>IF(Table242[[#This Row],[Branch Name]]="","",(_xlfn.XLOOKUP(Table242[[#This Row],[Branch Name]],'Lookup Values'!G:G,'Lookup Values'!I:I,0)))</f>
        <v/>
      </c>
      <c r="D181" s="2" t="str">
        <f>IF(Table242[[#This Row],[Journal Description (Service Description)]]="","",VLOOKUP(Table242[[#This Row],[Journal Description (Service Description)]],'Lookup Values'!$A:$B,2,FALSE))</f>
        <v/>
      </c>
    </row>
    <row r="182" spans="2:4" hidden="1" x14ac:dyDescent="0.35">
      <c r="B182" t="str">
        <f>IF(Table242[[#This Row],[Branch Name]]="","",(_xlfn.XLOOKUP(Table242[[#This Row],[Branch Name]],'Lookup Values'!G:G,'Lookup Values'!I:I,0)))</f>
        <v/>
      </c>
      <c r="D182" s="2" t="str">
        <f>IF(Table242[[#This Row],[Journal Description (Service Description)]]="","",VLOOKUP(Table242[[#This Row],[Journal Description (Service Description)]],'Lookup Values'!$A:$B,2,FALSE))</f>
        <v/>
      </c>
    </row>
    <row r="183" spans="2:4" hidden="1" x14ac:dyDescent="0.35">
      <c r="B183" t="str">
        <f>IF(Table242[[#This Row],[Branch Name]]="","",(_xlfn.XLOOKUP(Table242[[#This Row],[Branch Name]],'Lookup Values'!G:G,'Lookup Values'!I:I,0)))</f>
        <v/>
      </c>
      <c r="D183" s="2" t="str">
        <f>IF(Table242[[#This Row],[Journal Description (Service Description)]]="","",VLOOKUP(Table242[[#This Row],[Journal Description (Service Description)]],'Lookup Values'!$A:$B,2,FALSE))</f>
        <v/>
      </c>
    </row>
    <row r="184" spans="2:4" hidden="1" x14ac:dyDescent="0.35">
      <c r="B184" t="str">
        <f>IF(Table242[[#This Row],[Branch Name]]="","",(_xlfn.XLOOKUP(Table242[[#This Row],[Branch Name]],'Lookup Values'!G:G,'Lookup Values'!I:I,0)))</f>
        <v/>
      </c>
      <c r="D184" s="2" t="str">
        <f>IF(Table242[[#This Row],[Journal Description (Service Description)]]="","",VLOOKUP(Table242[[#This Row],[Journal Description (Service Description)]],'Lookup Values'!$A:$B,2,FALSE))</f>
        <v/>
      </c>
    </row>
    <row r="185" spans="2:4" hidden="1" x14ac:dyDescent="0.35">
      <c r="B185" t="str">
        <f>IF(Table242[[#This Row],[Branch Name]]="","",(_xlfn.XLOOKUP(Table242[[#This Row],[Branch Name]],'Lookup Values'!G:G,'Lookup Values'!I:I,0)))</f>
        <v/>
      </c>
      <c r="D185" s="2" t="str">
        <f>IF(Table242[[#This Row],[Journal Description (Service Description)]]="","",VLOOKUP(Table242[[#This Row],[Journal Description (Service Description)]],'Lookup Values'!$A:$B,2,FALSE))</f>
        <v/>
      </c>
    </row>
    <row r="186" spans="2:4" hidden="1" x14ac:dyDescent="0.35">
      <c r="B186" t="str">
        <f>IF(Table242[[#This Row],[Branch Name]]="","",(_xlfn.XLOOKUP(Table242[[#This Row],[Branch Name]],'Lookup Values'!G:G,'Lookup Values'!I:I,0)))</f>
        <v/>
      </c>
      <c r="D186" s="2" t="str">
        <f>IF(Table242[[#This Row],[Journal Description (Service Description)]]="","",VLOOKUP(Table242[[#This Row],[Journal Description (Service Description)]],'Lookup Values'!$A:$B,2,FALSE))</f>
        <v/>
      </c>
    </row>
    <row r="187" spans="2:4" hidden="1" x14ac:dyDescent="0.35">
      <c r="B187" t="str">
        <f>IF(Table242[[#This Row],[Branch Name]]="","",(_xlfn.XLOOKUP(Table242[[#This Row],[Branch Name]],'Lookup Values'!G:G,'Lookup Values'!I:I,0)))</f>
        <v/>
      </c>
      <c r="D187" s="2" t="str">
        <f>IF(Table242[[#This Row],[Journal Description (Service Description)]]="","",VLOOKUP(Table242[[#This Row],[Journal Description (Service Description)]],'Lookup Values'!$A:$B,2,FALSE))</f>
        <v/>
      </c>
    </row>
    <row r="188" spans="2:4" hidden="1" x14ac:dyDescent="0.35">
      <c r="B188" t="str">
        <f>IF(Table242[[#This Row],[Branch Name]]="","",(_xlfn.XLOOKUP(Table242[[#This Row],[Branch Name]],'Lookup Values'!G:G,'Lookup Values'!I:I,0)))</f>
        <v/>
      </c>
      <c r="D188" s="2" t="str">
        <f>IF(Table242[[#This Row],[Journal Description (Service Description)]]="","",VLOOKUP(Table242[[#This Row],[Journal Description (Service Description)]],'Lookup Values'!$A:$B,2,FALSE))</f>
        <v/>
      </c>
    </row>
    <row r="189" spans="2:4" hidden="1" x14ac:dyDescent="0.35">
      <c r="B189" t="str">
        <f>IF(Table242[[#This Row],[Branch Name]]="","",(_xlfn.XLOOKUP(Table242[[#This Row],[Branch Name]],'Lookup Values'!G:G,'Lookup Values'!I:I,0)))</f>
        <v/>
      </c>
      <c r="D189" s="2" t="str">
        <f>IF(Table242[[#This Row],[Journal Description (Service Description)]]="","",VLOOKUP(Table242[[#This Row],[Journal Description (Service Description)]],'Lookup Values'!$A:$B,2,FALSE))</f>
        <v/>
      </c>
    </row>
    <row r="190" spans="2:4" hidden="1" x14ac:dyDescent="0.35">
      <c r="B190" t="str">
        <f>IF(Table242[[#This Row],[Branch Name]]="","",(_xlfn.XLOOKUP(Table242[[#This Row],[Branch Name]],'Lookup Values'!G:G,'Lookup Values'!I:I,0)))</f>
        <v/>
      </c>
      <c r="D190" s="2" t="str">
        <f>IF(Table242[[#This Row],[Journal Description (Service Description)]]="","",VLOOKUP(Table242[[#This Row],[Journal Description (Service Description)]],'Lookup Values'!$A:$B,2,FALSE))</f>
        <v/>
      </c>
    </row>
    <row r="191" spans="2:4" hidden="1" x14ac:dyDescent="0.35">
      <c r="B191" t="str">
        <f>IF(Table242[[#This Row],[Branch Name]]="","",(_xlfn.XLOOKUP(Table242[[#This Row],[Branch Name]],'Lookup Values'!G:G,'Lookup Values'!I:I,0)))</f>
        <v/>
      </c>
      <c r="D191" s="2" t="str">
        <f>IF(Table242[[#This Row],[Journal Description (Service Description)]]="","",VLOOKUP(Table242[[#This Row],[Journal Description (Service Description)]],'Lookup Values'!$A:$B,2,FALSE))</f>
        <v/>
      </c>
    </row>
    <row r="192" spans="2:4" hidden="1" x14ac:dyDescent="0.35">
      <c r="B192" t="str">
        <f>IF(Table242[[#This Row],[Branch Name]]="","",(_xlfn.XLOOKUP(Table242[[#This Row],[Branch Name]],'Lookup Values'!G:G,'Lookup Values'!I:I,0)))</f>
        <v/>
      </c>
      <c r="D192" s="2" t="str">
        <f>IF(Table242[[#This Row],[Journal Description (Service Description)]]="","",VLOOKUP(Table242[[#This Row],[Journal Description (Service Description)]],'Lookup Values'!$A:$B,2,FALSE))</f>
        <v/>
      </c>
    </row>
    <row r="193" spans="2:4" hidden="1" x14ac:dyDescent="0.35">
      <c r="B193" t="str">
        <f>IF(Table242[[#This Row],[Branch Name]]="","",(_xlfn.XLOOKUP(Table242[[#This Row],[Branch Name]],'Lookup Values'!G:G,'Lookup Values'!I:I,0)))</f>
        <v/>
      </c>
      <c r="D193" s="2" t="str">
        <f>IF(Table242[[#This Row],[Journal Description (Service Description)]]="","",VLOOKUP(Table242[[#This Row],[Journal Description (Service Description)]],'Lookup Values'!$A:$B,2,FALSE))</f>
        <v/>
      </c>
    </row>
    <row r="194" spans="2:4" hidden="1" x14ac:dyDescent="0.35">
      <c r="B194" t="str">
        <f>IF(Table242[[#This Row],[Branch Name]]="","",(_xlfn.XLOOKUP(Table242[[#This Row],[Branch Name]],'Lookup Values'!G:G,'Lookup Values'!I:I,0)))</f>
        <v/>
      </c>
      <c r="D194" s="2" t="str">
        <f>IF(Table242[[#This Row],[Journal Description (Service Description)]]="","",VLOOKUP(Table242[[#This Row],[Journal Description (Service Description)]],'Lookup Values'!$A:$B,2,FALSE))</f>
        <v/>
      </c>
    </row>
    <row r="195" spans="2:4" hidden="1" x14ac:dyDescent="0.35">
      <c r="B195" t="str">
        <f>IF(Table242[[#This Row],[Branch Name]]="","",(_xlfn.XLOOKUP(Table242[[#This Row],[Branch Name]],'Lookup Values'!G:G,'Lookup Values'!I:I,0)))</f>
        <v/>
      </c>
      <c r="D195" s="2" t="str">
        <f>IF(Table242[[#This Row],[Journal Description (Service Description)]]="","",VLOOKUP(Table242[[#This Row],[Journal Description (Service Description)]],'Lookup Values'!$A:$B,2,FALSE))</f>
        <v/>
      </c>
    </row>
    <row r="196" spans="2:4" hidden="1" x14ac:dyDescent="0.35">
      <c r="B196" t="str">
        <f>IF(Table242[[#This Row],[Branch Name]]="","",(_xlfn.XLOOKUP(Table242[[#This Row],[Branch Name]],'Lookup Values'!G:G,'Lookup Values'!I:I,0)))</f>
        <v/>
      </c>
      <c r="D196" s="2" t="str">
        <f>IF(Table242[[#This Row],[Journal Description (Service Description)]]="","",VLOOKUP(Table242[[#This Row],[Journal Description (Service Description)]],'Lookup Values'!$A:$B,2,FALSE))</f>
        <v/>
      </c>
    </row>
    <row r="197" spans="2:4" hidden="1" x14ac:dyDescent="0.35">
      <c r="B197" t="str">
        <f>IF(Table242[[#This Row],[Branch Name]]="","",(_xlfn.XLOOKUP(Table242[[#This Row],[Branch Name]],'Lookup Values'!G:G,'Lookup Values'!I:I,0)))</f>
        <v/>
      </c>
      <c r="D197" s="2" t="str">
        <f>IF(Table242[[#This Row],[Journal Description (Service Description)]]="","",VLOOKUP(Table242[[#This Row],[Journal Description (Service Description)]],'Lookup Values'!$A:$B,2,FALSE))</f>
        <v/>
      </c>
    </row>
    <row r="198" spans="2:4" hidden="1" x14ac:dyDescent="0.35">
      <c r="B198" t="str">
        <f>IF(Table242[[#This Row],[Branch Name]]="","",(_xlfn.XLOOKUP(Table242[[#This Row],[Branch Name]],'Lookup Values'!G:G,'Lookup Values'!I:I,0)))</f>
        <v/>
      </c>
      <c r="D198" s="2" t="str">
        <f>IF(Table242[[#This Row],[Journal Description (Service Description)]]="","",VLOOKUP(Table242[[#This Row],[Journal Description (Service Description)]],'Lookup Values'!$A:$B,2,FALSE))</f>
        <v/>
      </c>
    </row>
    <row r="199" spans="2:4" hidden="1" x14ac:dyDescent="0.35">
      <c r="B199" t="str">
        <f>IF(Table242[[#This Row],[Branch Name]]="","",(_xlfn.XLOOKUP(Table242[[#This Row],[Branch Name]],'Lookup Values'!G:G,'Lookup Values'!I:I,0)))</f>
        <v/>
      </c>
      <c r="D199" s="2" t="str">
        <f>IF(Table242[[#This Row],[Journal Description (Service Description)]]="","",VLOOKUP(Table242[[#This Row],[Journal Description (Service Description)]],'Lookup Values'!$A:$B,2,FALSE))</f>
        <v/>
      </c>
    </row>
    <row r="200" spans="2:4" hidden="1" x14ac:dyDescent="0.35">
      <c r="B200" t="str">
        <f>IF(Table242[[#This Row],[Branch Name]]="","",(_xlfn.XLOOKUP(Table242[[#This Row],[Branch Name]],'Lookup Values'!G:G,'Lookup Values'!I:I,0)))</f>
        <v/>
      </c>
      <c r="D200" s="2" t="str">
        <f>IF(Table242[[#This Row],[Journal Description (Service Description)]]="","",VLOOKUP(Table242[[#This Row],[Journal Description (Service Description)]],'Lookup Values'!$A:$B,2,FALSE))</f>
        <v/>
      </c>
    </row>
    <row r="201" spans="2:4" hidden="1" x14ac:dyDescent="0.35">
      <c r="B201" t="str">
        <f>IF(Table242[[#This Row],[Branch Name]]="","",(_xlfn.XLOOKUP(Table242[[#This Row],[Branch Name]],'Lookup Values'!G:G,'Lookup Values'!I:I,0)))</f>
        <v/>
      </c>
      <c r="D201" s="2" t="str">
        <f>IF(Table242[[#This Row],[Journal Description (Service Description)]]="","",VLOOKUP(Table242[[#This Row],[Journal Description (Service Description)]],'Lookup Values'!$A:$B,2,FALSE))</f>
        <v/>
      </c>
    </row>
    <row r="202" spans="2:4" hidden="1" x14ac:dyDescent="0.35">
      <c r="B202" t="str">
        <f>IF(Table242[[#This Row],[Branch Name]]="","",(_xlfn.XLOOKUP(Table242[[#This Row],[Branch Name]],'Lookup Values'!G:G,'Lookup Values'!I:I,0)))</f>
        <v/>
      </c>
      <c r="D202" s="2" t="str">
        <f>IF(Table242[[#This Row],[Journal Description (Service Description)]]="","",VLOOKUP(Table242[[#This Row],[Journal Description (Service Description)]],'Lookup Values'!$A:$B,2,FALSE))</f>
        <v/>
      </c>
    </row>
    <row r="203" spans="2:4" hidden="1" x14ac:dyDescent="0.35">
      <c r="B203" t="str">
        <f>IF(Table242[[#This Row],[Branch Name]]="","",(_xlfn.XLOOKUP(Table242[[#This Row],[Branch Name]],'Lookup Values'!G:G,'Lookup Values'!I:I,0)))</f>
        <v/>
      </c>
      <c r="D203" s="2" t="str">
        <f>IF(Table242[[#This Row],[Journal Description (Service Description)]]="","",VLOOKUP(Table242[[#This Row],[Journal Description (Service Description)]],'Lookup Values'!$A:$B,2,FALSE))</f>
        <v/>
      </c>
    </row>
    <row r="204" spans="2:4" hidden="1" x14ac:dyDescent="0.35">
      <c r="B204" t="str">
        <f>IF(Table242[[#This Row],[Branch Name]]="","",(_xlfn.XLOOKUP(Table242[[#This Row],[Branch Name]],'Lookup Values'!G:G,'Lookup Values'!I:I,0)))</f>
        <v/>
      </c>
      <c r="D204" s="2" t="str">
        <f>IF(Table242[[#This Row],[Journal Description (Service Description)]]="","",VLOOKUP(Table242[[#This Row],[Journal Description (Service Description)]],'Lookup Values'!$A:$B,2,FALSE))</f>
        <v/>
      </c>
    </row>
    <row r="205" spans="2:4" hidden="1" x14ac:dyDescent="0.35">
      <c r="B205" t="str">
        <f>IF(Table242[[#This Row],[Branch Name]]="","",(_xlfn.XLOOKUP(Table242[[#This Row],[Branch Name]],'Lookup Values'!G:G,'Lookup Values'!I:I,0)))</f>
        <v/>
      </c>
      <c r="D205" s="2" t="str">
        <f>IF(Table242[[#This Row],[Journal Description (Service Description)]]="","",VLOOKUP(Table242[[#This Row],[Journal Description (Service Description)]],'Lookup Values'!$A:$B,2,FALSE))</f>
        <v/>
      </c>
    </row>
    <row r="206" spans="2:4" hidden="1" x14ac:dyDescent="0.35">
      <c r="B206" t="str">
        <f>IF(Table242[[#This Row],[Branch Name]]="","",(_xlfn.XLOOKUP(Table242[[#This Row],[Branch Name]],'Lookup Values'!G:G,'Lookup Values'!I:I,0)))</f>
        <v/>
      </c>
      <c r="D206" s="2" t="str">
        <f>IF(Table242[[#This Row],[Journal Description (Service Description)]]="","",VLOOKUP(Table242[[#This Row],[Journal Description (Service Description)]],'Lookup Values'!$A:$B,2,FALSE))</f>
        <v/>
      </c>
    </row>
    <row r="207" spans="2:4" hidden="1" x14ac:dyDescent="0.35">
      <c r="B207" t="str">
        <f>IF(Table242[[#This Row],[Branch Name]]="","",(_xlfn.XLOOKUP(Table242[[#This Row],[Branch Name]],'Lookup Values'!G:G,'Lookup Values'!I:I,0)))</f>
        <v/>
      </c>
      <c r="D207" s="2" t="str">
        <f>IF(Table242[[#This Row],[Journal Description (Service Description)]]="","",VLOOKUP(Table242[[#This Row],[Journal Description (Service Description)]],'Lookup Values'!$A:$B,2,FALSE))</f>
        <v/>
      </c>
    </row>
    <row r="208" spans="2:4" hidden="1" x14ac:dyDescent="0.35">
      <c r="B208" t="str">
        <f>IF(Table242[[#This Row],[Branch Name]]="","",(_xlfn.XLOOKUP(Table242[[#This Row],[Branch Name]],'Lookup Values'!G:G,'Lookup Values'!I:I,0)))</f>
        <v/>
      </c>
      <c r="D208" s="2" t="str">
        <f>IF(Table242[[#This Row],[Journal Description (Service Description)]]="","",VLOOKUP(Table242[[#This Row],[Journal Description (Service Description)]],'Lookup Values'!$A:$B,2,FALSE))</f>
        <v/>
      </c>
    </row>
    <row r="209" spans="2:4" hidden="1" x14ac:dyDescent="0.35">
      <c r="B209" t="str">
        <f>IF(Table242[[#This Row],[Branch Name]]="","",(_xlfn.XLOOKUP(Table242[[#This Row],[Branch Name]],'Lookup Values'!G:G,'Lookup Values'!I:I,0)))</f>
        <v/>
      </c>
      <c r="D209" s="2" t="str">
        <f>IF(Table242[[#This Row],[Journal Description (Service Description)]]="","",VLOOKUP(Table242[[#This Row],[Journal Description (Service Description)]],'Lookup Values'!$A:$B,2,FALSE))</f>
        <v/>
      </c>
    </row>
    <row r="210" spans="2:4" hidden="1" x14ac:dyDescent="0.35">
      <c r="B210" t="str">
        <f>IF(Table242[[#This Row],[Branch Name]]="","",(_xlfn.XLOOKUP(Table242[[#This Row],[Branch Name]],'Lookup Values'!G:G,'Lookup Values'!I:I,0)))</f>
        <v/>
      </c>
      <c r="D210" s="2" t="str">
        <f>IF(Table242[[#This Row],[Journal Description (Service Description)]]="","",VLOOKUP(Table242[[#This Row],[Journal Description (Service Description)]],'Lookup Values'!$A:$B,2,FALSE))</f>
        <v/>
      </c>
    </row>
    <row r="211" spans="2:4" hidden="1" x14ac:dyDescent="0.35">
      <c r="B211" t="str">
        <f>IF(Table242[[#This Row],[Branch Name]]="","",(_xlfn.XLOOKUP(Table242[[#This Row],[Branch Name]],'Lookup Values'!G:G,'Lookup Values'!I:I,0)))</f>
        <v/>
      </c>
      <c r="D211" s="2" t="str">
        <f>IF(Table242[[#This Row],[Journal Description (Service Description)]]="","",VLOOKUP(Table242[[#This Row],[Journal Description (Service Description)]],'Lookup Values'!$A:$B,2,FALSE))</f>
        <v/>
      </c>
    </row>
    <row r="212" spans="2:4" hidden="1" x14ac:dyDescent="0.35">
      <c r="B212" t="str">
        <f>IF(Table242[[#This Row],[Branch Name]]="","",(_xlfn.XLOOKUP(Table242[[#This Row],[Branch Name]],'Lookup Values'!G:G,'Lookup Values'!I:I,0)))</f>
        <v/>
      </c>
      <c r="D212" s="2" t="str">
        <f>IF(Table242[[#This Row],[Journal Description (Service Description)]]="","",VLOOKUP(Table242[[#This Row],[Journal Description (Service Description)]],'Lookup Values'!$A:$B,2,FALSE))</f>
        <v/>
      </c>
    </row>
    <row r="213" spans="2:4" hidden="1" x14ac:dyDescent="0.35">
      <c r="B213" t="str">
        <f>IF(Table242[[#This Row],[Branch Name]]="","",(_xlfn.XLOOKUP(Table242[[#This Row],[Branch Name]],'Lookup Values'!G:G,'Lookup Values'!I:I,0)))</f>
        <v/>
      </c>
      <c r="D213" s="2" t="str">
        <f>IF(Table242[[#This Row],[Journal Description (Service Description)]]="","",VLOOKUP(Table242[[#This Row],[Journal Description (Service Description)]],'Lookup Values'!$A:$B,2,FALSE))</f>
        <v/>
      </c>
    </row>
    <row r="214" spans="2:4" hidden="1" x14ac:dyDescent="0.35">
      <c r="B214" t="str">
        <f>IF(Table242[[#This Row],[Branch Name]]="","",(_xlfn.XLOOKUP(Table242[[#This Row],[Branch Name]],'Lookup Values'!G:G,'Lookup Values'!I:I,0)))</f>
        <v/>
      </c>
      <c r="D214" s="2" t="str">
        <f>IF(Table242[[#This Row],[Journal Description (Service Description)]]="","",VLOOKUP(Table242[[#This Row],[Journal Description (Service Description)]],'Lookup Values'!$A:$B,2,FALSE))</f>
        <v/>
      </c>
    </row>
    <row r="215" spans="2:4" hidden="1" x14ac:dyDescent="0.35">
      <c r="B215" t="str">
        <f>IF(Table242[[#This Row],[Branch Name]]="","",(_xlfn.XLOOKUP(Table242[[#This Row],[Branch Name]],'Lookup Values'!G:G,'Lookup Values'!I:I,0)))</f>
        <v/>
      </c>
      <c r="D215" s="2" t="str">
        <f>IF(Table242[[#This Row],[Journal Description (Service Description)]]="","",VLOOKUP(Table242[[#This Row],[Journal Description (Service Description)]],'Lookup Values'!$A:$B,2,FALSE))</f>
        <v/>
      </c>
    </row>
    <row r="216" spans="2:4" hidden="1" x14ac:dyDescent="0.35">
      <c r="B216" t="str">
        <f>IF(Table242[[#This Row],[Branch Name]]="","",(_xlfn.XLOOKUP(Table242[[#This Row],[Branch Name]],'Lookup Values'!G:G,'Lookup Values'!I:I,0)))</f>
        <v/>
      </c>
      <c r="D216" s="2" t="str">
        <f>IF(Table242[[#This Row],[Journal Description (Service Description)]]="","",VLOOKUP(Table242[[#This Row],[Journal Description (Service Description)]],'Lookup Values'!$A:$B,2,FALSE))</f>
        <v/>
      </c>
    </row>
    <row r="217" spans="2:4" hidden="1" x14ac:dyDescent="0.35">
      <c r="B217" t="str">
        <f>IF(Table242[[#This Row],[Branch Name]]="","",(_xlfn.XLOOKUP(Table242[[#This Row],[Branch Name]],'Lookup Values'!G:G,'Lookup Values'!I:I,0)))</f>
        <v/>
      </c>
      <c r="D217" s="2" t="str">
        <f>IF(Table242[[#This Row],[Journal Description (Service Description)]]="","",VLOOKUP(Table242[[#This Row],[Journal Description (Service Description)]],'Lookup Values'!$A:$B,2,FALSE))</f>
        <v/>
      </c>
    </row>
    <row r="218" spans="2:4" hidden="1" x14ac:dyDescent="0.35">
      <c r="B218" t="str">
        <f>IF(Table242[[#This Row],[Branch Name]]="","",(_xlfn.XLOOKUP(Table242[[#This Row],[Branch Name]],'Lookup Values'!G:G,'Lookup Values'!I:I,0)))</f>
        <v/>
      </c>
      <c r="D218" s="2" t="str">
        <f>IF(Table242[[#This Row],[Journal Description (Service Description)]]="","",VLOOKUP(Table242[[#This Row],[Journal Description (Service Description)]],'Lookup Values'!$A:$B,2,FALSE))</f>
        <v/>
      </c>
    </row>
    <row r="219" spans="2:4" hidden="1" x14ac:dyDescent="0.35">
      <c r="B219" t="str">
        <f>IF(Table242[[#This Row],[Branch Name]]="","",(_xlfn.XLOOKUP(Table242[[#This Row],[Branch Name]],'Lookup Values'!G:G,'Lookup Values'!I:I,0)))</f>
        <v/>
      </c>
      <c r="D219" s="2" t="str">
        <f>IF(Table242[[#This Row],[Journal Description (Service Description)]]="","",VLOOKUP(Table242[[#This Row],[Journal Description (Service Description)]],'Lookup Values'!$A:$B,2,FALSE))</f>
        <v/>
      </c>
    </row>
    <row r="220" spans="2:4" hidden="1" x14ac:dyDescent="0.35">
      <c r="B220" t="str">
        <f>IF(Table242[[#This Row],[Branch Name]]="","",(_xlfn.XLOOKUP(Table242[[#This Row],[Branch Name]],'Lookup Values'!G:G,'Lookup Values'!I:I,0)))</f>
        <v/>
      </c>
      <c r="D220" s="2" t="str">
        <f>IF(Table242[[#This Row],[Journal Description (Service Description)]]="","",VLOOKUP(Table242[[#This Row],[Journal Description (Service Description)]],'Lookup Values'!$A:$B,2,FALSE))</f>
        <v/>
      </c>
    </row>
    <row r="221" spans="2:4" hidden="1" x14ac:dyDescent="0.35">
      <c r="B221" t="str">
        <f>IF(Table242[[#This Row],[Branch Name]]="","",(_xlfn.XLOOKUP(Table242[[#This Row],[Branch Name]],'Lookup Values'!G:G,'Lookup Values'!I:I,0)))</f>
        <v/>
      </c>
      <c r="D221" s="2" t="str">
        <f>IF(Table242[[#This Row],[Journal Description (Service Description)]]="","",VLOOKUP(Table242[[#This Row],[Journal Description (Service Description)]],'Lookup Values'!$A:$B,2,FALSE))</f>
        <v/>
      </c>
    </row>
    <row r="222" spans="2:4" hidden="1" x14ac:dyDescent="0.35">
      <c r="B222" t="str">
        <f>IF(Table242[[#This Row],[Branch Name]]="","",(_xlfn.XLOOKUP(Table242[[#This Row],[Branch Name]],'Lookup Values'!G:G,'Lookup Values'!I:I,0)))</f>
        <v/>
      </c>
      <c r="D222" s="2" t="str">
        <f>IF(Table242[[#This Row],[Journal Description (Service Description)]]="","",VLOOKUP(Table242[[#This Row],[Journal Description (Service Description)]],'Lookup Values'!$A:$B,2,FALSE))</f>
        <v/>
      </c>
    </row>
    <row r="223" spans="2:4" hidden="1" x14ac:dyDescent="0.35">
      <c r="B223" t="str">
        <f>IF(Table242[[#This Row],[Branch Name]]="","",(_xlfn.XLOOKUP(Table242[[#This Row],[Branch Name]],'Lookup Values'!G:G,'Lookup Values'!I:I,0)))</f>
        <v/>
      </c>
      <c r="D223" s="2" t="str">
        <f>IF(Table242[[#This Row],[Journal Description (Service Description)]]="","",VLOOKUP(Table242[[#This Row],[Journal Description (Service Description)]],'Lookup Values'!$A:$B,2,FALSE))</f>
        <v/>
      </c>
    </row>
    <row r="224" spans="2:4" hidden="1" x14ac:dyDescent="0.35">
      <c r="B224" t="str">
        <f>IF(Table242[[#This Row],[Branch Name]]="","",(_xlfn.XLOOKUP(Table242[[#This Row],[Branch Name]],'Lookup Values'!G:G,'Lookup Values'!I:I,0)))</f>
        <v/>
      </c>
      <c r="D224" s="2" t="str">
        <f>IF(Table242[[#This Row],[Journal Description (Service Description)]]="","",VLOOKUP(Table242[[#This Row],[Journal Description (Service Description)]],'Lookup Values'!$A:$B,2,FALSE))</f>
        <v/>
      </c>
    </row>
    <row r="225" spans="2:4" hidden="1" x14ac:dyDescent="0.35">
      <c r="B225" t="str">
        <f>IF(Table242[[#This Row],[Branch Name]]="","",(_xlfn.XLOOKUP(Table242[[#This Row],[Branch Name]],'Lookup Values'!G:G,'Lookup Values'!I:I,0)))</f>
        <v/>
      </c>
      <c r="D225" s="2" t="str">
        <f>IF(Table242[[#This Row],[Journal Description (Service Description)]]="","",VLOOKUP(Table242[[#This Row],[Journal Description (Service Description)]],'Lookup Values'!$A:$B,2,FALSE))</f>
        <v/>
      </c>
    </row>
    <row r="226" spans="2:4" hidden="1" x14ac:dyDescent="0.35">
      <c r="B226" t="str">
        <f>IF(Table242[[#This Row],[Branch Name]]="","",(_xlfn.XLOOKUP(Table242[[#This Row],[Branch Name]],'Lookup Values'!G:G,'Lookup Values'!I:I,0)))</f>
        <v/>
      </c>
      <c r="D226" s="2" t="str">
        <f>IF(Table242[[#This Row],[Journal Description (Service Description)]]="","",VLOOKUP(Table242[[#This Row],[Journal Description (Service Description)]],'Lookup Values'!$A:$B,2,FALSE))</f>
        <v/>
      </c>
    </row>
    <row r="227" spans="2:4" hidden="1" x14ac:dyDescent="0.35">
      <c r="B227" t="str">
        <f>IF(Table242[[#This Row],[Branch Name]]="","",(_xlfn.XLOOKUP(Table242[[#This Row],[Branch Name]],'Lookup Values'!G:G,'Lookup Values'!I:I,0)))</f>
        <v/>
      </c>
      <c r="D227" s="2" t="str">
        <f>IF(Table242[[#This Row],[Journal Description (Service Description)]]="","",VLOOKUP(Table242[[#This Row],[Journal Description (Service Description)]],'Lookup Values'!$A:$B,2,FALSE))</f>
        <v/>
      </c>
    </row>
    <row r="228" spans="2:4" hidden="1" x14ac:dyDescent="0.35">
      <c r="B228" t="str">
        <f>IF(Table242[[#This Row],[Branch Name]]="","",(_xlfn.XLOOKUP(Table242[[#This Row],[Branch Name]],'Lookup Values'!G:G,'Lookup Values'!I:I,0)))</f>
        <v/>
      </c>
      <c r="D228" s="2" t="str">
        <f>IF(Table242[[#This Row],[Journal Description (Service Description)]]="","",VLOOKUP(Table242[[#This Row],[Journal Description (Service Description)]],'Lookup Values'!$A:$B,2,FALSE))</f>
        <v/>
      </c>
    </row>
    <row r="229" spans="2:4" hidden="1" x14ac:dyDescent="0.35">
      <c r="B229" t="str">
        <f>IF(Table242[[#This Row],[Branch Name]]="","",(_xlfn.XLOOKUP(Table242[[#This Row],[Branch Name]],'Lookup Values'!G:G,'Lookup Values'!I:I,0)))</f>
        <v/>
      </c>
      <c r="D229" s="2" t="str">
        <f>IF(Table242[[#This Row],[Journal Description (Service Description)]]="","",VLOOKUP(Table242[[#This Row],[Journal Description (Service Description)]],'Lookup Values'!$A:$B,2,FALSE))</f>
        <v/>
      </c>
    </row>
    <row r="230" spans="2:4" hidden="1" x14ac:dyDescent="0.35">
      <c r="B230" t="str">
        <f>IF(Table242[[#This Row],[Branch Name]]="","",(_xlfn.XLOOKUP(Table242[[#This Row],[Branch Name]],'Lookup Values'!G:G,'Lookup Values'!I:I,0)))</f>
        <v/>
      </c>
      <c r="D230" s="2" t="str">
        <f>IF(Table242[[#This Row],[Journal Description (Service Description)]]="","",VLOOKUP(Table242[[#This Row],[Journal Description (Service Description)]],'Lookup Values'!$A:$B,2,FALSE))</f>
        <v/>
      </c>
    </row>
    <row r="231" spans="2:4" hidden="1" x14ac:dyDescent="0.35">
      <c r="B231" t="str">
        <f>IF(Table242[[#This Row],[Branch Name]]="","",(_xlfn.XLOOKUP(Table242[[#This Row],[Branch Name]],'Lookup Values'!G:G,'Lookup Values'!I:I,0)))</f>
        <v/>
      </c>
      <c r="D231" s="2" t="str">
        <f>IF(Table242[[#This Row],[Journal Description (Service Description)]]="","",VLOOKUP(Table242[[#This Row],[Journal Description (Service Description)]],'Lookup Values'!$A:$B,2,FALSE))</f>
        <v/>
      </c>
    </row>
    <row r="232" spans="2:4" hidden="1" x14ac:dyDescent="0.35">
      <c r="B232" t="str">
        <f>IF(Table242[[#This Row],[Branch Name]]="","",(_xlfn.XLOOKUP(Table242[[#This Row],[Branch Name]],'Lookup Values'!G:G,'Lookup Values'!I:I,0)))</f>
        <v/>
      </c>
      <c r="D232" s="2" t="str">
        <f>IF(Table242[[#This Row],[Journal Description (Service Description)]]="","",VLOOKUP(Table242[[#This Row],[Journal Description (Service Description)]],'Lookup Values'!$A:$B,2,FALSE))</f>
        <v/>
      </c>
    </row>
    <row r="233" spans="2:4" hidden="1" x14ac:dyDescent="0.35">
      <c r="B233" t="str">
        <f>IF(Table242[[#This Row],[Branch Name]]="","",(_xlfn.XLOOKUP(Table242[[#This Row],[Branch Name]],'Lookup Values'!G:G,'Lookup Values'!I:I,0)))</f>
        <v/>
      </c>
      <c r="D233" s="2" t="str">
        <f>IF(Table242[[#This Row],[Journal Description (Service Description)]]="","",VLOOKUP(Table242[[#This Row],[Journal Description (Service Description)]],'Lookup Values'!$A:$B,2,FALSE))</f>
        <v/>
      </c>
    </row>
    <row r="234" spans="2:4" hidden="1" x14ac:dyDescent="0.35">
      <c r="B234" t="str">
        <f>IF(Table242[[#This Row],[Branch Name]]="","",(_xlfn.XLOOKUP(Table242[[#This Row],[Branch Name]],'Lookup Values'!G:G,'Lookup Values'!I:I,0)))</f>
        <v/>
      </c>
      <c r="D234" s="2" t="str">
        <f>IF(Table242[[#This Row],[Journal Description (Service Description)]]="","",VLOOKUP(Table242[[#This Row],[Journal Description (Service Description)]],'Lookup Values'!$A:$B,2,FALSE))</f>
        <v/>
      </c>
    </row>
    <row r="235" spans="2:4" hidden="1" x14ac:dyDescent="0.35">
      <c r="B235" t="str">
        <f>IF(Table242[[#This Row],[Branch Name]]="","",(_xlfn.XLOOKUP(Table242[[#This Row],[Branch Name]],'Lookup Values'!G:G,'Lookup Values'!I:I,0)))</f>
        <v/>
      </c>
      <c r="D235" s="2" t="str">
        <f>IF(Table242[[#This Row],[Journal Description (Service Description)]]="","",VLOOKUP(Table242[[#This Row],[Journal Description (Service Description)]],'Lookup Values'!$A:$B,2,FALSE))</f>
        <v/>
      </c>
    </row>
    <row r="236" spans="2:4" hidden="1" x14ac:dyDescent="0.35">
      <c r="B236" t="str">
        <f>IF(Table242[[#This Row],[Branch Name]]="","",(_xlfn.XLOOKUP(Table242[[#This Row],[Branch Name]],'Lookup Values'!G:G,'Lookup Values'!I:I,0)))</f>
        <v/>
      </c>
      <c r="D236" s="2" t="str">
        <f>IF(Table242[[#This Row],[Journal Description (Service Description)]]="","",VLOOKUP(Table242[[#This Row],[Journal Description (Service Description)]],'Lookup Values'!$A:$B,2,FALSE))</f>
        <v/>
      </c>
    </row>
    <row r="237" spans="2:4" hidden="1" x14ac:dyDescent="0.35">
      <c r="B237" t="str">
        <f>IF(Table242[[#This Row],[Branch Name]]="","",(_xlfn.XLOOKUP(Table242[[#This Row],[Branch Name]],'Lookup Values'!G:G,'Lookup Values'!I:I,0)))</f>
        <v/>
      </c>
      <c r="D237" s="2" t="str">
        <f>IF(Table242[[#This Row],[Journal Description (Service Description)]]="","",VLOOKUP(Table242[[#This Row],[Journal Description (Service Description)]],'Lookup Values'!$A:$B,2,FALSE))</f>
        <v/>
      </c>
    </row>
    <row r="238" spans="2:4" hidden="1" x14ac:dyDescent="0.35">
      <c r="B238" t="str">
        <f>IF(Table242[[#This Row],[Branch Name]]="","",(_xlfn.XLOOKUP(Table242[[#This Row],[Branch Name]],'Lookup Values'!G:G,'Lookup Values'!I:I,0)))</f>
        <v/>
      </c>
      <c r="D238" s="2" t="str">
        <f>IF(Table242[[#This Row],[Journal Description (Service Description)]]="","",VLOOKUP(Table242[[#This Row],[Journal Description (Service Description)]],'Lookup Values'!$A:$B,2,FALSE))</f>
        <v/>
      </c>
    </row>
    <row r="239" spans="2:4" hidden="1" x14ac:dyDescent="0.35">
      <c r="B239" t="str">
        <f>IF(Table242[[#This Row],[Branch Name]]="","",(_xlfn.XLOOKUP(Table242[[#This Row],[Branch Name]],'Lookup Values'!G:G,'Lookup Values'!I:I,0)))</f>
        <v/>
      </c>
      <c r="D239" s="2" t="str">
        <f>IF(Table242[[#This Row],[Journal Description (Service Description)]]="","",VLOOKUP(Table242[[#This Row],[Journal Description (Service Description)]],'Lookup Values'!$A:$B,2,FALSE))</f>
        <v/>
      </c>
    </row>
    <row r="240" spans="2:4" hidden="1" x14ac:dyDescent="0.35">
      <c r="B240" t="str">
        <f>IF(Table242[[#This Row],[Branch Name]]="","",(_xlfn.XLOOKUP(Table242[[#This Row],[Branch Name]],'Lookup Values'!G:G,'Lookup Values'!I:I,0)))</f>
        <v/>
      </c>
      <c r="D240" s="2" t="str">
        <f>IF(Table242[[#This Row],[Journal Description (Service Description)]]="","",VLOOKUP(Table242[[#This Row],[Journal Description (Service Description)]],'Lookup Values'!$A:$B,2,FALSE))</f>
        <v/>
      </c>
    </row>
    <row r="241" spans="2:4" hidden="1" x14ac:dyDescent="0.35">
      <c r="B241" t="str">
        <f>IF(Table242[[#This Row],[Branch Name]]="","",(_xlfn.XLOOKUP(Table242[[#This Row],[Branch Name]],'Lookup Values'!G:G,'Lookup Values'!I:I,0)))</f>
        <v/>
      </c>
      <c r="D241" s="2" t="str">
        <f>IF(Table242[[#This Row],[Journal Description (Service Description)]]="","",VLOOKUP(Table242[[#This Row],[Journal Description (Service Description)]],'Lookup Values'!$A:$B,2,FALSE))</f>
        <v/>
      </c>
    </row>
    <row r="242" spans="2:4" hidden="1" x14ac:dyDescent="0.35">
      <c r="B242" t="str">
        <f>IF(Table242[[#This Row],[Branch Name]]="","",(_xlfn.XLOOKUP(Table242[[#This Row],[Branch Name]],'Lookup Values'!G:G,'Lookup Values'!I:I,0)))</f>
        <v/>
      </c>
      <c r="D242" s="2" t="str">
        <f>IF(Table242[[#This Row],[Journal Description (Service Description)]]="","",VLOOKUP(Table242[[#This Row],[Journal Description (Service Description)]],'Lookup Values'!$A:$B,2,FALSE))</f>
        <v/>
      </c>
    </row>
    <row r="243" spans="2:4" hidden="1" x14ac:dyDescent="0.35">
      <c r="B243" t="str">
        <f>IF(Table242[[#This Row],[Branch Name]]="","",(_xlfn.XLOOKUP(Table242[[#This Row],[Branch Name]],'Lookup Values'!G:G,'Lookup Values'!I:I,0)))</f>
        <v/>
      </c>
      <c r="D243" s="2" t="str">
        <f>IF(Table242[[#This Row],[Journal Description (Service Description)]]="","",VLOOKUP(Table242[[#This Row],[Journal Description (Service Description)]],'Lookup Values'!$A:$B,2,FALSE))</f>
        <v/>
      </c>
    </row>
    <row r="244" spans="2:4" hidden="1" x14ac:dyDescent="0.35">
      <c r="B244" t="str">
        <f>IF(Table242[[#This Row],[Branch Name]]="","",(_xlfn.XLOOKUP(Table242[[#This Row],[Branch Name]],'Lookup Values'!G:G,'Lookup Values'!I:I,0)))</f>
        <v/>
      </c>
      <c r="D244" s="2" t="str">
        <f>IF(Table242[[#This Row],[Journal Description (Service Description)]]="","",VLOOKUP(Table242[[#This Row],[Journal Description (Service Description)]],'Lookup Values'!$A:$B,2,FALSE))</f>
        <v/>
      </c>
    </row>
    <row r="245" spans="2:4" hidden="1" x14ac:dyDescent="0.35">
      <c r="B245" t="str">
        <f>IF(Table242[[#This Row],[Branch Name]]="","",(_xlfn.XLOOKUP(Table242[[#This Row],[Branch Name]],'Lookup Values'!G:G,'Lookup Values'!I:I,0)))</f>
        <v/>
      </c>
      <c r="D245" s="2" t="str">
        <f>IF(Table242[[#This Row],[Journal Description (Service Description)]]="","",VLOOKUP(Table242[[#This Row],[Journal Description (Service Description)]],'Lookup Values'!$A:$B,2,FALSE))</f>
        <v/>
      </c>
    </row>
    <row r="246" spans="2:4" hidden="1" x14ac:dyDescent="0.35">
      <c r="B246" t="str">
        <f>IF(Table242[[#This Row],[Branch Name]]="","",(_xlfn.XLOOKUP(Table242[[#This Row],[Branch Name]],'Lookup Values'!G:G,'Lookup Values'!I:I,0)))</f>
        <v/>
      </c>
      <c r="D246" s="2" t="str">
        <f>IF(Table242[[#This Row],[Journal Description (Service Description)]]="","",VLOOKUP(Table242[[#This Row],[Journal Description (Service Description)]],'Lookup Values'!$A:$B,2,FALSE))</f>
        <v/>
      </c>
    </row>
    <row r="247" spans="2:4" hidden="1" x14ac:dyDescent="0.35">
      <c r="B247" t="str">
        <f>IF(Table242[[#This Row],[Branch Name]]="","",(_xlfn.XLOOKUP(Table242[[#This Row],[Branch Name]],'Lookup Values'!G:G,'Lookup Values'!I:I,0)))</f>
        <v/>
      </c>
      <c r="D247" s="2" t="str">
        <f>IF(Table242[[#This Row],[Journal Description (Service Description)]]="","",VLOOKUP(Table242[[#This Row],[Journal Description (Service Description)]],'Lookup Values'!$A:$B,2,FALSE))</f>
        <v/>
      </c>
    </row>
    <row r="248" spans="2:4" hidden="1" x14ac:dyDescent="0.35">
      <c r="B248" t="str">
        <f>IF(Table242[[#This Row],[Branch Name]]="","",(_xlfn.XLOOKUP(Table242[[#This Row],[Branch Name]],'Lookup Values'!G:G,'Lookup Values'!I:I,0)))</f>
        <v/>
      </c>
      <c r="D248" s="2" t="str">
        <f>IF(Table242[[#This Row],[Journal Description (Service Description)]]="","",VLOOKUP(Table242[[#This Row],[Journal Description (Service Description)]],'Lookup Values'!$A:$B,2,FALSE))</f>
        <v/>
      </c>
    </row>
    <row r="249" spans="2:4" hidden="1" x14ac:dyDescent="0.35">
      <c r="B249" t="str">
        <f>IF(Table242[[#This Row],[Branch Name]]="","",(_xlfn.XLOOKUP(Table242[[#This Row],[Branch Name]],'Lookup Values'!G:G,'Lookup Values'!I:I,0)))</f>
        <v/>
      </c>
      <c r="D249" s="2" t="str">
        <f>IF(Table242[[#This Row],[Journal Description (Service Description)]]="","",VLOOKUP(Table242[[#This Row],[Journal Description (Service Description)]],'Lookup Values'!$A:$B,2,FALSE))</f>
        <v/>
      </c>
    </row>
    <row r="250" spans="2:4" hidden="1" x14ac:dyDescent="0.35">
      <c r="B250" t="str">
        <f>IF(Table242[[#This Row],[Branch Name]]="","",(_xlfn.XLOOKUP(Table242[[#This Row],[Branch Name]],'Lookup Values'!G:G,'Lookup Values'!I:I,0)))</f>
        <v/>
      </c>
      <c r="D250" s="2" t="str">
        <f>IF(Table242[[#This Row],[Journal Description (Service Description)]]="","",VLOOKUP(Table242[[#This Row],[Journal Description (Service Description)]],'Lookup Values'!$A:$B,2,FALSE))</f>
        <v/>
      </c>
    </row>
    <row r="251" spans="2:4" hidden="1" x14ac:dyDescent="0.35">
      <c r="B251" t="str">
        <f>IF(Table242[[#This Row],[Branch Name]]="","",(_xlfn.XLOOKUP(Table242[[#This Row],[Branch Name]],'Lookup Values'!G:G,'Lookup Values'!I:I,0)))</f>
        <v/>
      </c>
      <c r="D251" s="2" t="str">
        <f>IF(Table242[[#This Row],[Journal Description (Service Description)]]="","",VLOOKUP(Table242[[#This Row],[Journal Description (Service Description)]],'Lookup Values'!$A:$B,2,FALSE))</f>
        <v/>
      </c>
    </row>
    <row r="252" spans="2:4" hidden="1" x14ac:dyDescent="0.35">
      <c r="B252" t="str">
        <f>IF(Table242[[#This Row],[Branch Name]]="","",(_xlfn.XLOOKUP(Table242[[#This Row],[Branch Name]],'Lookup Values'!G:G,'Lookup Values'!I:I,0)))</f>
        <v/>
      </c>
      <c r="D252" s="2" t="str">
        <f>IF(Table242[[#This Row],[Journal Description (Service Description)]]="","",VLOOKUP(Table242[[#This Row],[Journal Description (Service Description)]],'Lookup Values'!$A:$B,2,FALSE))</f>
        <v/>
      </c>
    </row>
    <row r="253" spans="2:4" hidden="1" x14ac:dyDescent="0.35">
      <c r="B253" t="str">
        <f>IF(Table242[[#This Row],[Branch Name]]="","",(_xlfn.XLOOKUP(Table242[[#This Row],[Branch Name]],'Lookup Values'!G:G,'Lookup Values'!I:I,0)))</f>
        <v/>
      </c>
      <c r="D253" s="2" t="str">
        <f>IF(Table242[[#This Row],[Journal Description (Service Description)]]="","",VLOOKUP(Table242[[#This Row],[Journal Description (Service Description)]],'Lookup Values'!$A:$B,2,FALSE))</f>
        <v/>
      </c>
    </row>
    <row r="254" spans="2:4" hidden="1" x14ac:dyDescent="0.35">
      <c r="B254" t="str">
        <f>IF(Table242[[#This Row],[Branch Name]]="","",(_xlfn.XLOOKUP(Table242[[#This Row],[Branch Name]],'Lookup Values'!G:G,'Lookup Values'!I:I,0)))</f>
        <v/>
      </c>
      <c r="D254" s="2" t="str">
        <f>IF(Table242[[#This Row],[Journal Description (Service Description)]]="","",VLOOKUP(Table242[[#This Row],[Journal Description (Service Description)]],'Lookup Values'!$A:$B,2,FALSE))</f>
        <v/>
      </c>
    </row>
    <row r="255" spans="2:4" hidden="1" x14ac:dyDescent="0.35">
      <c r="B255" t="str">
        <f>IF(Table242[[#This Row],[Branch Name]]="","",(_xlfn.XLOOKUP(Table242[[#This Row],[Branch Name]],'Lookup Values'!G:G,'Lookup Values'!I:I,0)))</f>
        <v/>
      </c>
      <c r="D255" s="2" t="str">
        <f>IF(Table242[[#This Row],[Journal Description (Service Description)]]="","",VLOOKUP(Table242[[#This Row],[Journal Description (Service Description)]],'Lookup Values'!$A:$B,2,FALSE))</f>
        <v/>
      </c>
    </row>
    <row r="256" spans="2:4" hidden="1" x14ac:dyDescent="0.35">
      <c r="B256" t="str">
        <f>IF(Table242[[#This Row],[Branch Name]]="","",(_xlfn.XLOOKUP(Table242[[#This Row],[Branch Name]],'Lookup Values'!G:G,'Lookup Values'!I:I,0)))</f>
        <v/>
      </c>
      <c r="D256" s="2" t="str">
        <f>IF(Table242[[#This Row],[Journal Description (Service Description)]]="","",VLOOKUP(Table242[[#This Row],[Journal Description (Service Description)]],'Lookup Values'!$A:$B,2,FALSE))</f>
        <v/>
      </c>
    </row>
    <row r="257" spans="2:4" hidden="1" x14ac:dyDescent="0.35">
      <c r="B257" t="str">
        <f>IF(Table242[[#This Row],[Branch Name]]="","",(_xlfn.XLOOKUP(Table242[[#This Row],[Branch Name]],'Lookup Values'!G:G,'Lookup Values'!I:I,0)))</f>
        <v/>
      </c>
      <c r="D257" s="2" t="str">
        <f>IF(Table242[[#This Row],[Journal Description (Service Description)]]="","",VLOOKUP(Table242[[#This Row],[Journal Description (Service Description)]],'Lookup Values'!$A:$B,2,FALSE))</f>
        <v/>
      </c>
    </row>
    <row r="258" spans="2:4" hidden="1" x14ac:dyDescent="0.35">
      <c r="B258" t="str">
        <f>IF(Table242[[#This Row],[Branch Name]]="","",(_xlfn.XLOOKUP(Table242[[#This Row],[Branch Name]],'Lookup Values'!G:G,'Lookup Values'!I:I,0)))</f>
        <v/>
      </c>
      <c r="D258" s="2" t="str">
        <f>IF(Table242[[#This Row],[Journal Description (Service Description)]]="","",VLOOKUP(Table242[[#This Row],[Journal Description (Service Description)]],'Lookup Values'!$A:$B,2,FALSE))</f>
        <v/>
      </c>
    </row>
    <row r="259" spans="2:4" hidden="1" x14ac:dyDescent="0.35">
      <c r="B259" t="str">
        <f>IF(Table242[[#This Row],[Branch Name]]="","",(_xlfn.XLOOKUP(Table242[[#This Row],[Branch Name]],'Lookup Values'!G:G,'Lookup Values'!I:I,0)))</f>
        <v/>
      </c>
      <c r="D259" s="2" t="str">
        <f>IF(Table242[[#This Row],[Journal Description (Service Description)]]="","",VLOOKUP(Table242[[#This Row],[Journal Description (Service Description)]],'Lookup Values'!$A:$B,2,FALSE))</f>
        <v/>
      </c>
    </row>
    <row r="260" spans="2:4" hidden="1" x14ac:dyDescent="0.35">
      <c r="B260" t="str">
        <f>IF(Table242[[#This Row],[Branch Name]]="","",(_xlfn.XLOOKUP(Table242[[#This Row],[Branch Name]],'Lookup Values'!G:G,'Lookup Values'!I:I,0)))</f>
        <v/>
      </c>
      <c r="D260" s="2" t="str">
        <f>IF(Table242[[#This Row],[Journal Description (Service Description)]]="","",VLOOKUP(Table242[[#This Row],[Journal Description (Service Description)]],'Lookup Values'!$A:$B,2,FALSE))</f>
        <v/>
      </c>
    </row>
    <row r="261" spans="2:4" hidden="1" x14ac:dyDescent="0.35">
      <c r="B261" t="str">
        <f>IF(Table242[[#This Row],[Branch Name]]="","",(_xlfn.XLOOKUP(Table242[[#This Row],[Branch Name]],'Lookup Values'!G:G,'Lookup Values'!I:I,0)))</f>
        <v/>
      </c>
      <c r="D261" s="2" t="str">
        <f>IF(Table242[[#This Row],[Journal Description (Service Description)]]="","",VLOOKUP(Table242[[#This Row],[Journal Description (Service Description)]],'Lookup Values'!$A:$B,2,FALSE))</f>
        <v/>
      </c>
    </row>
    <row r="262" spans="2:4" hidden="1" x14ac:dyDescent="0.35">
      <c r="B262" t="str">
        <f>IF(Table242[[#This Row],[Branch Name]]="","",(_xlfn.XLOOKUP(Table242[[#This Row],[Branch Name]],'Lookup Values'!G:G,'Lookup Values'!I:I,0)))</f>
        <v/>
      </c>
      <c r="D262" s="2" t="str">
        <f>IF(Table242[[#This Row],[Journal Description (Service Description)]]="","",VLOOKUP(Table242[[#This Row],[Journal Description (Service Description)]],'Lookup Values'!$A:$B,2,FALSE))</f>
        <v/>
      </c>
    </row>
    <row r="263" spans="2:4" hidden="1" x14ac:dyDescent="0.35">
      <c r="B263" t="str">
        <f>IF(Table242[[#This Row],[Branch Name]]="","",(_xlfn.XLOOKUP(Table242[[#This Row],[Branch Name]],'Lookup Values'!G:G,'Lookup Values'!I:I,0)))</f>
        <v/>
      </c>
      <c r="D263" s="2" t="str">
        <f>IF(Table242[[#This Row],[Journal Description (Service Description)]]="","",VLOOKUP(Table242[[#This Row],[Journal Description (Service Description)]],'Lookup Values'!$A:$B,2,FALSE))</f>
        <v/>
      </c>
    </row>
    <row r="264" spans="2:4" hidden="1" x14ac:dyDescent="0.35">
      <c r="B264" t="str">
        <f>IF(Table242[[#This Row],[Branch Name]]="","",(_xlfn.XLOOKUP(Table242[[#This Row],[Branch Name]],'Lookup Values'!G:G,'Lookup Values'!I:I,0)))</f>
        <v/>
      </c>
      <c r="D264" s="2" t="str">
        <f>IF(Table242[[#This Row],[Journal Description (Service Description)]]="","",VLOOKUP(Table242[[#This Row],[Journal Description (Service Description)]],'Lookup Values'!$A:$B,2,FALSE))</f>
        <v/>
      </c>
    </row>
    <row r="265" spans="2:4" hidden="1" x14ac:dyDescent="0.35">
      <c r="B265" t="str">
        <f>IF(Table242[[#This Row],[Branch Name]]="","",(_xlfn.XLOOKUP(Table242[[#This Row],[Branch Name]],'Lookup Values'!G:G,'Lookup Values'!I:I,0)))</f>
        <v/>
      </c>
      <c r="D265" s="2" t="str">
        <f>IF(Table242[[#This Row],[Journal Description (Service Description)]]="","",VLOOKUP(Table242[[#This Row],[Journal Description (Service Description)]],'Lookup Values'!$A:$B,2,FALSE))</f>
        <v/>
      </c>
    </row>
    <row r="266" spans="2:4" hidden="1" x14ac:dyDescent="0.35">
      <c r="B266" t="str">
        <f>IF(Table242[[#This Row],[Branch Name]]="","",(_xlfn.XLOOKUP(Table242[[#This Row],[Branch Name]],'Lookup Values'!G:G,'Lookup Values'!I:I,0)))</f>
        <v/>
      </c>
      <c r="D266" s="2" t="str">
        <f>IF(Table242[[#This Row],[Journal Description (Service Description)]]="","",VLOOKUP(Table242[[#This Row],[Journal Description (Service Description)]],'Lookup Values'!$A:$B,2,FALSE))</f>
        <v/>
      </c>
    </row>
    <row r="267" spans="2:4" hidden="1" x14ac:dyDescent="0.35">
      <c r="B267" t="str">
        <f>IF(Table242[[#This Row],[Branch Name]]="","",(_xlfn.XLOOKUP(Table242[[#This Row],[Branch Name]],'Lookup Values'!G:G,'Lookup Values'!I:I,0)))</f>
        <v/>
      </c>
      <c r="D267" s="2" t="str">
        <f>IF(Table242[[#This Row],[Journal Description (Service Description)]]="","",VLOOKUP(Table242[[#This Row],[Journal Description (Service Description)]],'Lookup Values'!$A:$B,2,FALSE))</f>
        <v/>
      </c>
    </row>
    <row r="268" spans="2:4" hidden="1" x14ac:dyDescent="0.35">
      <c r="B268" t="str">
        <f>IF(Table242[[#This Row],[Branch Name]]="","",(_xlfn.XLOOKUP(Table242[[#This Row],[Branch Name]],'Lookup Values'!G:G,'Lookup Values'!I:I,0)))</f>
        <v/>
      </c>
      <c r="D268" s="2" t="str">
        <f>IF(Table242[[#This Row],[Journal Description (Service Description)]]="","",VLOOKUP(Table242[[#This Row],[Journal Description (Service Description)]],'Lookup Values'!$A:$B,2,FALSE))</f>
        <v/>
      </c>
    </row>
    <row r="269" spans="2:4" hidden="1" x14ac:dyDescent="0.35">
      <c r="B269" t="str">
        <f>IF(Table242[[#This Row],[Branch Name]]="","",(_xlfn.XLOOKUP(Table242[[#This Row],[Branch Name]],'Lookup Values'!G:G,'Lookup Values'!I:I,0)))</f>
        <v/>
      </c>
      <c r="D269" s="2" t="str">
        <f>IF(Table242[[#This Row],[Journal Description (Service Description)]]="","",VLOOKUP(Table242[[#This Row],[Journal Description (Service Description)]],'Lookup Values'!$A:$B,2,FALSE))</f>
        <v/>
      </c>
    </row>
    <row r="270" spans="2:4" hidden="1" x14ac:dyDescent="0.35">
      <c r="B270" t="str">
        <f>IF(Table242[[#This Row],[Branch Name]]="","",(_xlfn.XLOOKUP(Table242[[#This Row],[Branch Name]],'Lookup Values'!G:G,'Lookup Values'!I:I,0)))</f>
        <v/>
      </c>
      <c r="D270" s="2" t="str">
        <f>IF(Table242[[#This Row],[Journal Description (Service Description)]]="","",VLOOKUP(Table242[[#This Row],[Journal Description (Service Description)]],'Lookup Values'!$A:$B,2,FALSE))</f>
        <v/>
      </c>
    </row>
    <row r="271" spans="2:4" hidden="1" x14ac:dyDescent="0.35">
      <c r="B271" t="str">
        <f>IF(Table242[[#This Row],[Branch Name]]="","",(_xlfn.XLOOKUP(Table242[[#This Row],[Branch Name]],'Lookup Values'!G:G,'Lookup Values'!I:I,0)))</f>
        <v/>
      </c>
      <c r="D271" s="2" t="str">
        <f>IF(Table242[[#This Row],[Journal Description (Service Description)]]="","",VLOOKUP(Table242[[#This Row],[Journal Description (Service Description)]],'Lookup Values'!$A:$B,2,FALSE))</f>
        <v/>
      </c>
    </row>
    <row r="272" spans="2:4" hidden="1" x14ac:dyDescent="0.35">
      <c r="B272" t="str">
        <f>IF(Table242[[#This Row],[Branch Name]]="","",(_xlfn.XLOOKUP(Table242[[#This Row],[Branch Name]],'Lookup Values'!G:G,'Lookup Values'!I:I,0)))</f>
        <v/>
      </c>
      <c r="D272" s="2" t="str">
        <f>IF(Table242[[#This Row],[Journal Description (Service Description)]]="","",VLOOKUP(Table242[[#This Row],[Journal Description (Service Description)]],'Lookup Values'!$A:$B,2,FALSE))</f>
        <v/>
      </c>
    </row>
    <row r="273" spans="1:4" hidden="1" x14ac:dyDescent="0.35">
      <c r="B273" t="str">
        <f>IF(Table242[[#This Row],[Branch Name]]="","",(_xlfn.XLOOKUP(Table242[[#This Row],[Branch Name]],'Lookup Values'!G:G,'Lookup Values'!I:I,0)))</f>
        <v/>
      </c>
      <c r="D273" s="2" t="str">
        <f>IF(Table242[[#This Row],[Journal Description (Service Description)]]="","",VLOOKUP(Table242[[#This Row],[Journal Description (Service Description)]],'Lookup Values'!$A:$B,2,FALSE))</f>
        <v/>
      </c>
    </row>
    <row r="274" spans="1:4" hidden="1" x14ac:dyDescent="0.35">
      <c r="B274" t="str">
        <f>IF(Table242[[#This Row],[Branch Name]]="","",(_xlfn.XLOOKUP(Table242[[#This Row],[Branch Name]],'Lookup Values'!G:G,'Lookup Values'!I:I,0)))</f>
        <v/>
      </c>
      <c r="D274" s="2" t="str">
        <f>IF(Table242[[#This Row],[Journal Description (Service Description)]]="","",VLOOKUP(Table242[[#This Row],[Journal Description (Service Description)]],'Lookup Values'!$A:$B,2,FALSE))</f>
        <v/>
      </c>
    </row>
    <row r="275" spans="1:4" hidden="1" x14ac:dyDescent="0.35">
      <c r="B275" t="str">
        <f>IF(Table242[[#This Row],[Branch Name]]="","",(_xlfn.XLOOKUP(Table242[[#This Row],[Branch Name]],'Lookup Values'!G:G,'Lookup Values'!I:I,0)))</f>
        <v/>
      </c>
      <c r="D275" s="2" t="str">
        <f>IF(Table242[[#This Row],[Journal Description (Service Description)]]="","",VLOOKUP(Table242[[#This Row],[Journal Description (Service Description)]],'Lookup Values'!$A:$B,2,FALSE))</f>
        <v/>
      </c>
    </row>
    <row r="276" spans="1:4" hidden="1" x14ac:dyDescent="0.35">
      <c r="B276" t="str">
        <f>IF(Table242[[#This Row],[Branch Name]]="","",(_xlfn.XLOOKUP(Table242[[#This Row],[Branch Name]],'Lookup Values'!G:G,'Lookup Values'!I:I,0)))</f>
        <v/>
      </c>
      <c r="D276" s="2" t="str">
        <f>IF(Table242[[#This Row],[Journal Description (Service Description)]]="","",VLOOKUP(Table242[[#This Row],[Journal Description (Service Description)]],'Lookup Values'!$A:$B,2,FALSE))</f>
        <v/>
      </c>
    </row>
    <row r="277" spans="1:4" hidden="1" x14ac:dyDescent="0.35">
      <c r="B277" t="str">
        <f>IF(Table242[[#This Row],[Branch Name]]="","",(_xlfn.XLOOKUP(Table242[[#This Row],[Branch Name]],'Lookup Values'!G:G,'Lookup Values'!I:I,0)))</f>
        <v/>
      </c>
      <c r="D277" s="2" t="str">
        <f>IF(Table242[[#This Row],[Journal Description (Service Description)]]="","",VLOOKUP(Table242[[#This Row],[Journal Description (Service Description)]],'Lookup Values'!$A:$B,2,FALSE))</f>
        <v/>
      </c>
    </row>
    <row r="278" spans="1:4" hidden="1" x14ac:dyDescent="0.35">
      <c r="B278" t="str">
        <f>IF(Table242[[#This Row],[Branch Name]]="","",(_xlfn.XLOOKUP(Table242[[#This Row],[Branch Name]],'Lookup Values'!G:G,'Lookup Values'!I:I,0)))</f>
        <v/>
      </c>
      <c r="D278" s="2" t="str">
        <f>IF(Table242[[#This Row],[Journal Description (Service Description)]]="","",VLOOKUP(Table242[[#This Row],[Journal Description (Service Description)]],'Lookup Values'!$A:$B,2,FALSE))</f>
        <v/>
      </c>
    </row>
    <row r="279" spans="1:4" hidden="1" x14ac:dyDescent="0.35">
      <c r="A279" t="str">
        <f>IF(Table242[[#This Row],[Branch Name]]="","",(_xlfn.XLOOKUP(Table242[[#This Row],[Branch Name]],'Lookup Values'!G:G,'Lookup Values'!H:H,0)))</f>
        <v/>
      </c>
      <c r="B279" t="str">
        <f>IF(Table242[[#This Row],[Branch Name]]="","",(_xlfn.XLOOKUP(Table242[[#This Row],[Branch Name]],'Lookup Values'!G:G,'Lookup Values'!I:I,0)))</f>
        <v/>
      </c>
      <c r="C279" t="str">
        <f>IF(Table242[[#This Row],[Journal Description (Service Description)]]="","",1)</f>
        <v/>
      </c>
      <c r="D279" s="2" t="str">
        <f>IF(Table242[[#This Row],[Journal Description (Service Description)]]="","",VLOOKUP(Table242[[#This Row],[Journal Description (Service Description)]],'Lookup Values'!$A:$B,2,FALSE))</f>
        <v/>
      </c>
    </row>
    <row r="280" spans="1:4" hidden="1" x14ac:dyDescent="0.35">
      <c r="A280" t="str">
        <f>IF(Table242[[#This Row],[Branch Name]]="","",(_xlfn.XLOOKUP(Table242[[#This Row],[Branch Name]],'Lookup Values'!G:G,'Lookup Values'!H:H,0)))</f>
        <v/>
      </c>
      <c r="B280" t="str">
        <f>IF(Table242[[#This Row],[Branch Name]]="","",(_xlfn.XLOOKUP(Table242[[#This Row],[Branch Name]],'Lookup Values'!G:G,'Lookup Values'!I:I,0)))</f>
        <v/>
      </c>
      <c r="C280" t="str">
        <f>IF(Table242[[#This Row],[Journal Description (Service Description)]]="","",1)</f>
        <v/>
      </c>
      <c r="D280" s="2" t="str">
        <f>IF(Table242[[#This Row],[Journal Description (Service Description)]]="","",VLOOKUP(Table242[[#This Row],[Journal Description (Service Description)]],'Lookup Values'!$A:$B,2,FALSE))</f>
        <v/>
      </c>
    </row>
    <row r="281" spans="1:4" hidden="1" x14ac:dyDescent="0.35">
      <c r="A281" t="str">
        <f>IF(Table242[[#This Row],[Branch Name]]="","",(_xlfn.XLOOKUP(Table242[[#This Row],[Branch Name]],'Lookup Values'!G:G,'Lookup Values'!H:H,0)))</f>
        <v/>
      </c>
      <c r="B281" t="str">
        <f>IF(Table242[[#This Row],[Branch Name]]="","",(_xlfn.XLOOKUP(Table242[[#This Row],[Branch Name]],'Lookup Values'!G:G,'Lookup Values'!I:I,0)))</f>
        <v/>
      </c>
      <c r="C281" t="str">
        <f>IF(Table242[[#This Row],[Journal Description (Service Description)]]="","",1)</f>
        <v/>
      </c>
      <c r="D281" s="2" t="str">
        <f>IF(Table242[[#This Row],[Journal Description (Service Description)]]="","",VLOOKUP(Table242[[#This Row],[Journal Description (Service Description)]],'Lookup Values'!$A:$B,2,FALSE))</f>
        <v/>
      </c>
    </row>
    <row r="282" spans="1:4" hidden="1" x14ac:dyDescent="0.35">
      <c r="A282" t="str">
        <f>IF(Table242[[#This Row],[Branch Name]]="","",(_xlfn.XLOOKUP(Table242[[#This Row],[Branch Name]],'Lookup Values'!G:G,'Lookup Values'!H:H,0)))</f>
        <v/>
      </c>
      <c r="B282" t="str">
        <f>IF(Table242[[#This Row],[Branch Name]]="","",(_xlfn.XLOOKUP(Table242[[#This Row],[Branch Name]],'Lookup Values'!G:G,'Lookup Values'!I:I,0)))</f>
        <v/>
      </c>
      <c r="C282" t="str">
        <f>IF(Table242[[#This Row],[Journal Description (Service Description)]]="","",1)</f>
        <v/>
      </c>
      <c r="D282" s="2" t="str">
        <f>IF(Table242[[#This Row],[Journal Description (Service Description)]]="","",VLOOKUP(Table242[[#This Row],[Journal Description (Service Description)]],'Lookup Values'!$A:$B,2,FALSE))</f>
        <v/>
      </c>
    </row>
    <row r="283" spans="1:4" hidden="1" x14ac:dyDescent="0.35">
      <c r="A283" t="str">
        <f>IF(Table242[[#This Row],[Branch Name]]="","",(_xlfn.XLOOKUP(Table242[[#This Row],[Branch Name]],'Lookup Values'!G:G,'Lookup Values'!H:H,0)))</f>
        <v/>
      </c>
      <c r="B283" t="str">
        <f>IF(Table242[[#This Row],[Branch Name]]="","",(_xlfn.XLOOKUP(Table242[[#This Row],[Branch Name]],'Lookup Values'!G:G,'Lookup Values'!I:I,0)))</f>
        <v/>
      </c>
      <c r="C283" t="str">
        <f>IF(Table242[[#This Row],[Journal Description (Service Description)]]="","",1)</f>
        <v/>
      </c>
      <c r="D283" s="2" t="str">
        <f>IF(Table242[[#This Row],[Journal Description (Service Description)]]="","",VLOOKUP(Table242[[#This Row],[Journal Description (Service Description)]],'Lookup Values'!$A:$B,2,FALSE))</f>
        <v/>
      </c>
    </row>
    <row r="284" spans="1:4" hidden="1" x14ac:dyDescent="0.35">
      <c r="A284" t="str">
        <f>IF(Table242[[#This Row],[Branch Name]]="","",(_xlfn.XLOOKUP(Table242[[#This Row],[Branch Name]],'Lookup Values'!G:G,'Lookup Values'!H:H,0)))</f>
        <v/>
      </c>
      <c r="B284" t="str">
        <f>IF(Table242[[#This Row],[Branch Name]]="","",(_xlfn.XLOOKUP(Table242[[#This Row],[Branch Name]],'Lookup Values'!G:G,'Lookup Values'!I:I,0)))</f>
        <v/>
      </c>
      <c r="C284" t="str">
        <f>IF(Table242[[#This Row],[Journal Description (Service Description)]]="","",1)</f>
        <v/>
      </c>
      <c r="D284" s="2" t="str">
        <f>IF(Table242[[#This Row],[Journal Description (Service Description)]]="","",VLOOKUP(Table242[[#This Row],[Journal Description (Service Description)]],'Lookup Values'!$A:$B,2,FALSE))</f>
        <v/>
      </c>
    </row>
    <row r="285" spans="1:4" hidden="1" x14ac:dyDescent="0.35">
      <c r="A285" t="str">
        <f>IF(Table242[[#This Row],[Branch Name]]="","",(_xlfn.XLOOKUP(Table242[[#This Row],[Branch Name]],'Lookup Values'!G:G,'Lookup Values'!H:H,0)))</f>
        <v/>
      </c>
      <c r="B285" t="str">
        <f>IF(Table242[[#This Row],[Branch Name]]="","",(_xlfn.XLOOKUP(Table242[[#This Row],[Branch Name]],'Lookup Values'!G:G,'Lookup Values'!I:I,0)))</f>
        <v/>
      </c>
      <c r="C285" t="str">
        <f>IF(Table242[[#This Row],[Journal Description (Service Description)]]="","",1)</f>
        <v/>
      </c>
      <c r="D285" s="2" t="str">
        <f>IF(Table242[[#This Row],[Journal Description (Service Description)]]="","",VLOOKUP(Table242[[#This Row],[Journal Description (Service Description)]],'Lookup Values'!$A:$B,2,FALSE))</f>
        <v/>
      </c>
    </row>
    <row r="286" spans="1:4" hidden="1" x14ac:dyDescent="0.35">
      <c r="A286" t="str">
        <f>IF(Table242[[#This Row],[Branch Name]]="","",(_xlfn.XLOOKUP(Table242[[#This Row],[Branch Name]],'Lookup Values'!G:G,'Lookup Values'!H:H,0)))</f>
        <v/>
      </c>
      <c r="B286" t="str">
        <f>IF(Table242[[#This Row],[Branch Name]]="","",(_xlfn.XLOOKUP(Table242[[#This Row],[Branch Name]],'Lookup Values'!G:G,'Lookup Values'!I:I,0)))</f>
        <v/>
      </c>
      <c r="C286" t="str">
        <f>IF(Table242[[#This Row],[Journal Description (Service Description)]]="","",1)</f>
        <v/>
      </c>
      <c r="D286" s="2" t="str">
        <f>IF(Table242[[#This Row],[Journal Description (Service Description)]]="","",VLOOKUP(Table242[[#This Row],[Journal Description (Service Description)]],'Lookup Values'!$A:$B,2,FALSE))</f>
        <v/>
      </c>
    </row>
    <row r="287" spans="1:4" hidden="1" x14ac:dyDescent="0.35">
      <c r="A287" t="str">
        <f>IF(Table242[[#This Row],[Branch Name]]="","",(_xlfn.XLOOKUP(Table242[[#This Row],[Branch Name]],'Lookup Values'!G:G,'Lookup Values'!H:H,0)))</f>
        <v/>
      </c>
      <c r="B287" t="str">
        <f>IF(Table242[[#This Row],[Branch Name]]="","",(_xlfn.XLOOKUP(Table242[[#This Row],[Branch Name]],'Lookup Values'!G:G,'Lookup Values'!I:I,0)))</f>
        <v/>
      </c>
      <c r="C287" t="str">
        <f>IF(Table242[[#This Row],[Journal Description (Service Description)]]="","",1)</f>
        <v/>
      </c>
      <c r="D287" s="2" t="str">
        <f>IF(Table242[[#This Row],[Journal Description (Service Description)]]="","",VLOOKUP(Table242[[#This Row],[Journal Description (Service Description)]],'Lookup Values'!$A:$B,2,FALSE))</f>
        <v/>
      </c>
    </row>
    <row r="288" spans="1:4" hidden="1" x14ac:dyDescent="0.35">
      <c r="A288" t="str">
        <f>IF(Table242[[#This Row],[Branch Name]]="","",(_xlfn.XLOOKUP(Table242[[#This Row],[Branch Name]],'Lookup Values'!G:G,'Lookup Values'!H:H,0)))</f>
        <v/>
      </c>
      <c r="B288" t="str">
        <f>IF(Table242[[#This Row],[Branch Name]]="","",(_xlfn.XLOOKUP(Table242[[#This Row],[Branch Name]],'Lookup Values'!G:G,'Lookup Values'!I:I,0)))</f>
        <v/>
      </c>
      <c r="C288" t="str">
        <f>IF(Table242[[#This Row],[Journal Description (Service Description)]]="","",1)</f>
        <v/>
      </c>
      <c r="D288" s="2" t="str">
        <f>IF(Table242[[#This Row],[Journal Description (Service Description)]]="","",VLOOKUP(Table242[[#This Row],[Journal Description (Service Description)]],'Lookup Values'!$A:$B,2,FALSE))</f>
        <v/>
      </c>
    </row>
    <row r="289" spans="1:4" hidden="1" x14ac:dyDescent="0.35">
      <c r="A289" t="str">
        <f>IF(Table242[[#This Row],[Branch Name]]="","",(_xlfn.XLOOKUP(Table242[[#This Row],[Branch Name]],'Lookup Values'!G:G,'Lookup Values'!H:H,0)))</f>
        <v/>
      </c>
      <c r="B289" t="str">
        <f>IF(Table242[[#This Row],[Branch Name]]="","",(_xlfn.XLOOKUP(Table242[[#This Row],[Branch Name]],'Lookup Values'!G:G,'Lookup Values'!I:I,0)))</f>
        <v/>
      </c>
      <c r="C289" t="str">
        <f>IF(Table242[[#This Row],[Journal Description (Service Description)]]="","",1)</f>
        <v/>
      </c>
      <c r="D289" s="2" t="str">
        <f>IF(Table242[[#This Row],[Journal Description (Service Description)]]="","",VLOOKUP(Table242[[#This Row],[Journal Description (Service Description)]],'Lookup Values'!$A:$B,2,FALSE))</f>
        <v/>
      </c>
    </row>
    <row r="290" spans="1:4" hidden="1" x14ac:dyDescent="0.35">
      <c r="A290" t="str">
        <f>IF(Table242[[#This Row],[Branch Name]]="","",(_xlfn.XLOOKUP(Table242[[#This Row],[Branch Name]],'Lookup Values'!G:G,'Lookup Values'!H:H,0)))</f>
        <v/>
      </c>
      <c r="B290" t="str">
        <f>IF(Table242[[#This Row],[Branch Name]]="","",(_xlfn.XLOOKUP(Table242[[#This Row],[Branch Name]],'Lookup Values'!G:G,'Lookup Values'!I:I,0)))</f>
        <v/>
      </c>
      <c r="C290" t="str">
        <f>IF(Table242[[#This Row],[Journal Description (Service Description)]]="","",1)</f>
        <v/>
      </c>
      <c r="D290" s="2" t="str">
        <f>IF(Table242[[#This Row],[Journal Description (Service Description)]]="","",VLOOKUP(Table242[[#This Row],[Journal Description (Service Description)]],'Lookup Values'!$A:$B,2,FALSE))</f>
        <v/>
      </c>
    </row>
    <row r="291" spans="1:4" hidden="1" x14ac:dyDescent="0.35">
      <c r="A291" t="str">
        <f>IF(Table242[[#This Row],[Branch Name]]="","",(_xlfn.XLOOKUP(Table242[[#This Row],[Branch Name]],'Lookup Values'!G:G,'Lookup Values'!H:H,0)))</f>
        <v/>
      </c>
      <c r="B291" t="str">
        <f>IF(Table242[[#This Row],[Branch Name]]="","",(_xlfn.XLOOKUP(Table242[[#This Row],[Branch Name]],'Lookup Values'!G:G,'Lookup Values'!I:I,0)))</f>
        <v/>
      </c>
      <c r="C291" t="str">
        <f>IF(Table242[[#This Row],[Journal Description (Service Description)]]="","",1)</f>
        <v/>
      </c>
      <c r="D291" s="2" t="str">
        <f>IF(Table242[[#This Row],[Journal Description (Service Description)]]="","",VLOOKUP(Table242[[#This Row],[Journal Description (Service Description)]],'Lookup Values'!$A:$B,2,FALSE))</f>
        <v/>
      </c>
    </row>
    <row r="292" spans="1:4" hidden="1" x14ac:dyDescent="0.35">
      <c r="A292" t="str">
        <f>IF(Table242[[#This Row],[Branch Name]]="","",(_xlfn.XLOOKUP(Table242[[#This Row],[Branch Name]],'Lookup Values'!G:G,'Lookup Values'!H:H,0)))</f>
        <v/>
      </c>
      <c r="B292" t="str">
        <f>IF(Table242[[#This Row],[Branch Name]]="","",(_xlfn.XLOOKUP(Table242[[#This Row],[Branch Name]],'Lookup Values'!G:G,'Lookup Values'!I:I,0)))</f>
        <v/>
      </c>
      <c r="C292" t="str">
        <f>IF(Table242[[#This Row],[Journal Description (Service Description)]]="","",1)</f>
        <v/>
      </c>
      <c r="D292" s="2" t="str">
        <f>IF(Table242[[#This Row],[Journal Description (Service Description)]]="","",VLOOKUP(Table242[[#This Row],[Journal Description (Service Description)]],'Lookup Values'!$A:$B,2,FALSE))</f>
        <v/>
      </c>
    </row>
    <row r="293" spans="1:4" hidden="1" x14ac:dyDescent="0.35">
      <c r="A293" t="str">
        <f>IF(Table242[[#This Row],[Branch Name]]="","",(_xlfn.XLOOKUP(Table242[[#This Row],[Branch Name]],'Lookup Values'!G:G,'Lookup Values'!H:H,0)))</f>
        <v/>
      </c>
      <c r="B293" t="str">
        <f>IF(Table242[[#This Row],[Branch Name]]="","",(_xlfn.XLOOKUP(Table242[[#This Row],[Branch Name]],'Lookup Values'!G:G,'Lookup Values'!I:I,0)))</f>
        <v/>
      </c>
      <c r="C293" t="str">
        <f>IF(Table242[[#This Row],[Journal Description (Service Description)]]="","",1)</f>
        <v/>
      </c>
      <c r="D293" s="2" t="str">
        <f>IF(Table242[[#This Row],[Journal Description (Service Description)]]="","",VLOOKUP(Table242[[#This Row],[Journal Description (Service Description)]],'Lookup Values'!$A:$B,2,FALSE))</f>
        <v/>
      </c>
    </row>
    <row r="294" spans="1:4" hidden="1" x14ac:dyDescent="0.35">
      <c r="A294" t="str">
        <f>IF(Table242[[#This Row],[Branch Name]]="","",(_xlfn.XLOOKUP(Table242[[#This Row],[Branch Name]],'Lookup Values'!G:G,'Lookup Values'!H:H,0)))</f>
        <v/>
      </c>
      <c r="B294" t="str">
        <f>IF(Table242[[#This Row],[Branch Name]]="","",(_xlfn.XLOOKUP(Table242[[#This Row],[Branch Name]],'Lookup Values'!G:G,'Lookup Values'!I:I,0)))</f>
        <v/>
      </c>
      <c r="C294" t="str">
        <f>IF(Table242[[#This Row],[Journal Description (Service Description)]]="","",1)</f>
        <v/>
      </c>
      <c r="D294" s="2" t="str">
        <f>IF(Table242[[#This Row],[Journal Description (Service Description)]]="","",VLOOKUP(Table242[[#This Row],[Journal Description (Service Description)]],'Lookup Values'!$A:$B,2,FALSE))</f>
        <v/>
      </c>
    </row>
    <row r="295" spans="1:4" hidden="1" x14ac:dyDescent="0.35">
      <c r="A295" t="str">
        <f>IF(Table242[[#This Row],[Branch Name]]="","",(_xlfn.XLOOKUP(Table242[[#This Row],[Branch Name]],'Lookup Values'!G:G,'Lookup Values'!H:H,0)))</f>
        <v/>
      </c>
      <c r="B295" t="str">
        <f>IF(Table242[[#This Row],[Branch Name]]="","",(_xlfn.XLOOKUP(Table242[[#This Row],[Branch Name]],'Lookup Values'!G:G,'Lookup Values'!I:I,0)))</f>
        <v/>
      </c>
      <c r="C295" t="str">
        <f>IF(Table242[[#This Row],[Journal Description (Service Description)]]="","",1)</f>
        <v/>
      </c>
      <c r="D295" s="2" t="str">
        <f>IF(Table242[[#This Row],[Journal Description (Service Description)]]="","",VLOOKUP(Table242[[#This Row],[Journal Description (Service Description)]],'Lookup Values'!$A:$B,2,FALSE))</f>
        <v/>
      </c>
    </row>
    <row r="296" spans="1:4" hidden="1" x14ac:dyDescent="0.35">
      <c r="A296" t="str">
        <f>IF(Table242[[#This Row],[Branch Name]]="","",(_xlfn.XLOOKUP(Table242[[#This Row],[Branch Name]],'Lookup Values'!G:G,'Lookup Values'!H:H,0)))</f>
        <v/>
      </c>
      <c r="B296" t="str">
        <f>IF(Table242[[#This Row],[Branch Name]]="","",(_xlfn.XLOOKUP(Table242[[#This Row],[Branch Name]],'Lookup Values'!G:G,'Lookup Values'!I:I,0)))</f>
        <v/>
      </c>
      <c r="C296" t="str">
        <f>IF(Table242[[#This Row],[Journal Description (Service Description)]]="","",1)</f>
        <v/>
      </c>
      <c r="D296" s="2" t="str">
        <f>IF(Table242[[#This Row],[Journal Description (Service Description)]]="","",VLOOKUP(Table242[[#This Row],[Journal Description (Service Description)]],'Lookup Values'!$A:$B,2,FALSE))</f>
        <v/>
      </c>
    </row>
    <row r="297" spans="1:4" hidden="1" x14ac:dyDescent="0.35">
      <c r="A297" t="str">
        <f>IF(Table242[[#This Row],[Branch Name]]="","",(_xlfn.XLOOKUP(Table242[[#This Row],[Branch Name]],'Lookup Values'!G:G,'Lookup Values'!H:H,0)))</f>
        <v/>
      </c>
      <c r="B297" t="str">
        <f>IF(Table242[[#This Row],[Branch Name]]="","",(_xlfn.XLOOKUP(Table242[[#This Row],[Branch Name]],'Lookup Values'!G:G,'Lookup Values'!I:I,0)))</f>
        <v/>
      </c>
      <c r="C297" t="str">
        <f>IF(Table242[[#This Row],[Journal Description (Service Description)]]="","",1)</f>
        <v/>
      </c>
      <c r="D297" s="2" t="str">
        <f>IF(Table242[[#This Row],[Journal Description (Service Description)]]="","",VLOOKUP(Table242[[#This Row],[Journal Description (Service Description)]],'Lookup Values'!$A:$B,2,FALSE))</f>
        <v/>
      </c>
    </row>
    <row r="298" spans="1:4" hidden="1" x14ac:dyDescent="0.35">
      <c r="A298" t="str">
        <f>IF(Table242[[#This Row],[Branch Name]]="","",(_xlfn.XLOOKUP(Table242[[#This Row],[Branch Name]],'Lookup Values'!G:G,'Lookup Values'!H:H,0)))</f>
        <v/>
      </c>
      <c r="B298" t="str">
        <f>IF(Table242[[#This Row],[Branch Name]]="","",(_xlfn.XLOOKUP(Table242[[#This Row],[Branch Name]],'Lookup Values'!G:G,'Lookup Values'!I:I,0)))</f>
        <v/>
      </c>
      <c r="C298" t="str">
        <f>IF(Table242[[#This Row],[Journal Description (Service Description)]]="","",1)</f>
        <v/>
      </c>
      <c r="D298" s="2" t="str">
        <f>IF(Table242[[#This Row],[Journal Description (Service Description)]]="","",VLOOKUP(Table242[[#This Row],[Journal Description (Service Description)]],'Lookup Values'!$A:$B,2,FALSE))</f>
        <v/>
      </c>
    </row>
    <row r="299" spans="1:4" hidden="1" x14ac:dyDescent="0.35">
      <c r="A299" t="str">
        <f>IF(Table242[[#This Row],[Branch Name]]="","",(_xlfn.XLOOKUP(Table242[[#This Row],[Branch Name]],'Lookup Values'!G:G,'Lookup Values'!H:H,0)))</f>
        <v/>
      </c>
      <c r="B299" t="str">
        <f>IF(Table242[[#This Row],[Branch Name]]="","",(_xlfn.XLOOKUP(Table242[[#This Row],[Branch Name]],'Lookup Values'!G:G,'Lookup Values'!I:I,0)))</f>
        <v/>
      </c>
      <c r="C299" t="str">
        <f>IF(Table242[[#This Row],[Journal Description (Service Description)]]="","",1)</f>
        <v/>
      </c>
      <c r="D299" s="2" t="str">
        <f>IF(Table242[[#This Row],[Journal Description (Service Description)]]="","",VLOOKUP(Table242[[#This Row],[Journal Description (Service Description)]],'Lookup Values'!$A:$B,2,FALSE))</f>
        <v/>
      </c>
    </row>
    <row r="300" spans="1:4" hidden="1" x14ac:dyDescent="0.35">
      <c r="A300" t="str">
        <f>IF(Table242[[#This Row],[Branch Name]]="","",(_xlfn.XLOOKUP(Table242[[#This Row],[Branch Name]],'Lookup Values'!G:G,'Lookup Values'!H:H,0)))</f>
        <v/>
      </c>
      <c r="B300" t="str">
        <f>IF(Table242[[#This Row],[Branch Name]]="","",(_xlfn.XLOOKUP(Table242[[#This Row],[Branch Name]],'Lookup Values'!G:G,'Lookup Values'!I:I,0)))</f>
        <v/>
      </c>
      <c r="C300" t="str">
        <f>IF(Table242[[#This Row],[Journal Description (Service Description)]]="","",1)</f>
        <v/>
      </c>
      <c r="D300" s="2" t="str">
        <f>IF(Table242[[#This Row],[Journal Description (Service Description)]]="","",VLOOKUP(Table242[[#This Row],[Journal Description (Service Description)]],'Lookup Values'!$A:$B,2,FALSE))</f>
        <v/>
      </c>
    </row>
    <row r="301" spans="1:4" hidden="1" x14ac:dyDescent="0.35">
      <c r="A301" t="str">
        <f>IF(Table242[[#This Row],[Branch Name]]="","",(_xlfn.XLOOKUP(Table242[[#This Row],[Branch Name]],'Lookup Values'!G:G,'Lookup Values'!H:H,0)))</f>
        <v/>
      </c>
      <c r="B301" t="str">
        <f>IF(Table242[[#This Row],[Branch Name]]="","",(_xlfn.XLOOKUP(Table242[[#This Row],[Branch Name]],'Lookup Values'!G:G,'Lookup Values'!I:I,0)))</f>
        <v/>
      </c>
      <c r="C301" t="str">
        <f>IF(Table242[[#This Row],[Journal Description (Service Description)]]="","",1)</f>
        <v/>
      </c>
      <c r="D301" s="2" t="str">
        <f>IF(Table242[[#This Row],[Journal Description (Service Description)]]="","",VLOOKUP(Table242[[#This Row],[Journal Description (Service Description)]],'Lookup Values'!$A:$B,2,FALSE))</f>
        <v/>
      </c>
    </row>
    <row r="302" spans="1:4" hidden="1" x14ac:dyDescent="0.35">
      <c r="A302" t="str">
        <f>IF(Table242[[#This Row],[Branch Name]]="","",(_xlfn.XLOOKUP(Table242[[#This Row],[Branch Name]],'Lookup Values'!G:G,'Lookup Values'!H:H,0)))</f>
        <v/>
      </c>
      <c r="B302" t="str">
        <f>IF(Table242[[#This Row],[Branch Name]]="","",(_xlfn.XLOOKUP(Table242[[#This Row],[Branch Name]],'Lookup Values'!G:G,'Lookup Values'!I:I,0)))</f>
        <v/>
      </c>
      <c r="C302" t="str">
        <f>IF(Table242[[#This Row],[Journal Description (Service Description)]]="","",1)</f>
        <v/>
      </c>
      <c r="D302" s="2" t="str">
        <f>IF(Table242[[#This Row],[Journal Description (Service Description)]]="","",VLOOKUP(Table242[[#This Row],[Journal Description (Service Description)]],'Lookup Values'!$A:$B,2,FALSE))</f>
        <v/>
      </c>
    </row>
    <row r="303" spans="1:4" hidden="1" x14ac:dyDescent="0.35">
      <c r="A303" t="str">
        <f>IF(Table242[[#This Row],[Branch Name]]="","",(_xlfn.XLOOKUP(Table242[[#This Row],[Branch Name]],'Lookup Values'!G:G,'Lookup Values'!H:H,0)))</f>
        <v/>
      </c>
      <c r="B303" t="str">
        <f>IF(Table242[[#This Row],[Branch Name]]="","",(_xlfn.XLOOKUP(Table242[[#This Row],[Branch Name]],'Lookup Values'!G:G,'Lookup Values'!I:I,0)))</f>
        <v/>
      </c>
      <c r="C303" t="str">
        <f>IF(Table242[[#This Row],[Journal Description (Service Description)]]="","",1)</f>
        <v/>
      </c>
      <c r="D303" s="2" t="str">
        <f>IF(Table242[[#This Row],[Journal Description (Service Description)]]="","",VLOOKUP(Table242[[#This Row],[Journal Description (Service Description)]],'Lookup Values'!$A:$B,2,FALSE))</f>
        <v/>
      </c>
    </row>
    <row r="304" spans="1:4" hidden="1" x14ac:dyDescent="0.35">
      <c r="A304" t="str">
        <f>IF(Table242[[#This Row],[Branch Name]]="","",(_xlfn.XLOOKUP(Table242[[#This Row],[Branch Name]],'Lookup Values'!G:G,'Lookup Values'!H:H,0)))</f>
        <v/>
      </c>
      <c r="B304" t="str">
        <f>IF(Table242[[#This Row],[Branch Name]]="","",(_xlfn.XLOOKUP(Table242[[#This Row],[Branch Name]],'Lookup Values'!G:G,'Lookup Values'!I:I,0)))</f>
        <v/>
      </c>
      <c r="C304" t="str">
        <f>IF(Table242[[#This Row],[Journal Description (Service Description)]]="","",1)</f>
        <v/>
      </c>
      <c r="D304" s="2" t="str">
        <f>IF(Table242[[#This Row],[Journal Description (Service Description)]]="","",VLOOKUP(Table242[[#This Row],[Journal Description (Service Description)]],'Lookup Values'!$A:$B,2,FALSE))</f>
        <v/>
      </c>
    </row>
    <row r="305" spans="1:4" hidden="1" x14ac:dyDescent="0.35">
      <c r="A305" t="str">
        <f>IF(Table242[[#This Row],[Branch Name]]="","",(_xlfn.XLOOKUP(Table242[[#This Row],[Branch Name]],'Lookup Values'!G:G,'Lookup Values'!H:H,0)))</f>
        <v/>
      </c>
      <c r="B305" t="str">
        <f>IF(Table242[[#This Row],[Branch Name]]="","",(_xlfn.XLOOKUP(Table242[[#This Row],[Branch Name]],'Lookup Values'!G:G,'Lookup Values'!I:I,0)))</f>
        <v/>
      </c>
      <c r="C305" t="str">
        <f>IF(Table242[[#This Row],[Journal Description (Service Description)]]="","",1)</f>
        <v/>
      </c>
      <c r="D305" s="2" t="str">
        <f>IF(Table242[[#This Row],[Journal Description (Service Description)]]="","",VLOOKUP(Table242[[#This Row],[Journal Description (Service Description)]],'Lookup Values'!$A:$B,2,FALSE))</f>
        <v/>
      </c>
    </row>
    <row r="306" spans="1:4" hidden="1" x14ac:dyDescent="0.35">
      <c r="A306" t="str">
        <f>IF(Table242[[#This Row],[Branch Name]]="","",(_xlfn.XLOOKUP(Table242[[#This Row],[Branch Name]],'Lookup Values'!G:G,'Lookup Values'!H:H,0)))</f>
        <v/>
      </c>
      <c r="B306" t="str">
        <f>IF(Table242[[#This Row],[Branch Name]]="","",(_xlfn.XLOOKUP(Table242[[#This Row],[Branch Name]],'Lookup Values'!G:G,'Lookup Values'!I:I,0)))</f>
        <v/>
      </c>
      <c r="C306" t="str">
        <f>IF(Table242[[#This Row],[Journal Description (Service Description)]]="","",1)</f>
        <v/>
      </c>
      <c r="D306" s="2" t="str">
        <f>IF(Table242[[#This Row],[Journal Description (Service Description)]]="","",VLOOKUP(Table242[[#This Row],[Journal Description (Service Description)]],'Lookup Values'!$A:$B,2,FALSE))</f>
        <v/>
      </c>
    </row>
    <row r="307" spans="1:4" hidden="1" x14ac:dyDescent="0.35">
      <c r="A307" t="str">
        <f>IF(Table242[[#This Row],[Branch Name]]="","",(_xlfn.XLOOKUP(Table242[[#This Row],[Branch Name]],'Lookup Values'!G:G,'Lookup Values'!H:H,0)))</f>
        <v/>
      </c>
      <c r="B307" t="str">
        <f>IF(Table242[[#This Row],[Branch Name]]="","",(_xlfn.XLOOKUP(Table242[[#This Row],[Branch Name]],'Lookup Values'!G:G,'Lookup Values'!I:I,0)))</f>
        <v/>
      </c>
      <c r="C307" t="str">
        <f>IF(Table242[[#This Row],[Journal Description (Service Description)]]="","",1)</f>
        <v/>
      </c>
      <c r="D307" s="2" t="str">
        <f>IF(Table242[[#This Row],[Journal Description (Service Description)]]="","",VLOOKUP(Table242[[#This Row],[Journal Description (Service Description)]],'Lookup Values'!$A:$B,2,FALSE))</f>
        <v/>
      </c>
    </row>
    <row r="308" spans="1:4" hidden="1" x14ac:dyDescent="0.35">
      <c r="A308" t="str">
        <f>IF(Table242[[#This Row],[Branch Name]]="","",(_xlfn.XLOOKUP(Table242[[#This Row],[Branch Name]],'Lookup Values'!G:G,'Lookup Values'!H:H,0)))</f>
        <v/>
      </c>
      <c r="B308" t="str">
        <f>IF(Table242[[#This Row],[Branch Name]]="","",(_xlfn.XLOOKUP(Table242[[#This Row],[Branch Name]],'Lookup Values'!G:G,'Lookup Values'!I:I,0)))</f>
        <v/>
      </c>
      <c r="C308" t="str">
        <f>IF(Table242[[#This Row],[Journal Description (Service Description)]]="","",1)</f>
        <v/>
      </c>
      <c r="D308" s="2" t="str">
        <f>IF(Table242[[#This Row],[Journal Description (Service Description)]]="","",VLOOKUP(Table242[[#This Row],[Journal Description (Service Description)]],'Lookup Values'!$A:$B,2,FALSE))</f>
        <v/>
      </c>
    </row>
    <row r="309" spans="1:4" hidden="1" x14ac:dyDescent="0.35">
      <c r="A309" t="str">
        <f>IF(Table242[[#This Row],[Branch Name]]="","",(_xlfn.XLOOKUP(Table242[[#This Row],[Branch Name]],'Lookup Values'!G:G,'Lookup Values'!H:H,0)))</f>
        <v/>
      </c>
      <c r="B309" t="str">
        <f>IF(Table242[[#This Row],[Branch Name]]="","",(_xlfn.XLOOKUP(Table242[[#This Row],[Branch Name]],'Lookup Values'!G:G,'Lookup Values'!I:I,0)))</f>
        <v/>
      </c>
      <c r="C309" t="str">
        <f>IF(Table242[[#This Row],[Journal Description (Service Description)]]="","",1)</f>
        <v/>
      </c>
      <c r="D309" s="2" t="str">
        <f>IF(Table242[[#This Row],[Journal Description (Service Description)]]="","",VLOOKUP(Table242[[#This Row],[Journal Description (Service Description)]],'Lookup Values'!$A:$B,2,FALSE))</f>
        <v/>
      </c>
    </row>
    <row r="310" spans="1:4" hidden="1" x14ac:dyDescent="0.35">
      <c r="A310" t="str">
        <f>IF(Table242[[#This Row],[Branch Name]]="","",(_xlfn.XLOOKUP(Table242[[#This Row],[Branch Name]],'Lookup Values'!G:G,'Lookup Values'!H:H,0)))</f>
        <v/>
      </c>
      <c r="B310" t="str">
        <f>IF(Table242[[#This Row],[Branch Name]]="","",(_xlfn.XLOOKUP(Table242[[#This Row],[Branch Name]],'Lookup Values'!G:G,'Lookup Values'!I:I,0)))</f>
        <v/>
      </c>
      <c r="C310" t="str">
        <f>IF(Table242[[#This Row],[Journal Description (Service Description)]]="","",1)</f>
        <v/>
      </c>
      <c r="D310" s="2" t="str">
        <f>IF(Table242[[#This Row],[Journal Description (Service Description)]]="","",VLOOKUP(Table242[[#This Row],[Journal Description (Service Description)]],'Lookup Values'!$A:$B,2,FALSE))</f>
        <v/>
      </c>
    </row>
    <row r="311" spans="1:4" hidden="1" x14ac:dyDescent="0.35">
      <c r="A311" t="str">
        <f>IF(Table242[[#This Row],[Branch Name]]="","",(_xlfn.XLOOKUP(Table242[[#This Row],[Branch Name]],'Lookup Values'!G:G,'Lookup Values'!H:H,0)))</f>
        <v/>
      </c>
      <c r="B311" t="str">
        <f>IF(Table242[[#This Row],[Branch Name]]="","",(_xlfn.XLOOKUP(Table242[[#This Row],[Branch Name]],'Lookup Values'!G:G,'Lookup Values'!I:I,0)))</f>
        <v/>
      </c>
      <c r="C311" t="str">
        <f>IF(Table242[[#This Row],[Journal Description (Service Description)]]="","",1)</f>
        <v/>
      </c>
      <c r="D311" s="2" t="str">
        <f>IF(Table242[[#This Row],[Journal Description (Service Description)]]="","",VLOOKUP(Table242[[#This Row],[Journal Description (Service Description)]],'Lookup Values'!$A:$B,2,FALSE))</f>
        <v/>
      </c>
    </row>
    <row r="312" spans="1:4" hidden="1" x14ac:dyDescent="0.35">
      <c r="A312" t="str">
        <f>IF(Table242[[#This Row],[Branch Name]]="","",(_xlfn.XLOOKUP(Table242[[#This Row],[Branch Name]],'Lookup Values'!G:G,'Lookup Values'!H:H,0)))</f>
        <v/>
      </c>
      <c r="B312" t="str">
        <f>IF(Table242[[#This Row],[Branch Name]]="","",(_xlfn.XLOOKUP(Table242[[#This Row],[Branch Name]],'Lookup Values'!G:G,'Lookup Values'!I:I,0)))</f>
        <v/>
      </c>
      <c r="C312" t="str">
        <f>IF(Table242[[#This Row],[Journal Description (Service Description)]]="","",1)</f>
        <v/>
      </c>
      <c r="D312" s="2" t="str">
        <f>IF(Table242[[#This Row],[Journal Description (Service Description)]]="","",VLOOKUP(Table242[[#This Row],[Journal Description (Service Description)]],'Lookup Values'!$A:$B,2,FALSE))</f>
        <v/>
      </c>
    </row>
    <row r="313" spans="1:4" hidden="1" x14ac:dyDescent="0.35">
      <c r="A313" t="str">
        <f>IF(Table242[[#This Row],[Branch Name]]="","",(_xlfn.XLOOKUP(Table242[[#This Row],[Branch Name]],'Lookup Values'!G:G,'Lookup Values'!H:H,0)))</f>
        <v/>
      </c>
      <c r="B313" t="str">
        <f>IF(Table242[[#This Row],[Branch Name]]="","",(_xlfn.XLOOKUP(Table242[[#This Row],[Branch Name]],'Lookup Values'!G:G,'Lookup Values'!I:I,0)))</f>
        <v/>
      </c>
      <c r="C313" t="str">
        <f>IF(Table242[[#This Row],[Journal Description (Service Description)]]="","",1)</f>
        <v/>
      </c>
      <c r="D313" s="2" t="str">
        <f>IF(Table242[[#This Row],[Journal Description (Service Description)]]="","",VLOOKUP(Table242[[#This Row],[Journal Description (Service Description)]],'Lookup Values'!$A:$B,2,FALSE))</f>
        <v/>
      </c>
    </row>
    <row r="314" spans="1:4" hidden="1" x14ac:dyDescent="0.35">
      <c r="A314" t="str">
        <f>IF(Table242[[#This Row],[Branch Name]]="","",(_xlfn.XLOOKUP(Table242[[#This Row],[Branch Name]],'Lookup Values'!G:G,'Lookup Values'!H:H,0)))</f>
        <v/>
      </c>
      <c r="B314" t="str">
        <f>IF(Table242[[#This Row],[Branch Name]]="","",(_xlfn.XLOOKUP(Table242[[#This Row],[Branch Name]],'Lookup Values'!G:G,'Lookup Values'!I:I,0)))</f>
        <v/>
      </c>
      <c r="C314" t="str">
        <f>IF(Table242[[#This Row],[Journal Description (Service Description)]]="","",1)</f>
        <v/>
      </c>
      <c r="D314" s="2" t="str">
        <f>IF(Table242[[#This Row],[Journal Description (Service Description)]]="","",VLOOKUP(Table242[[#This Row],[Journal Description (Service Description)]],'Lookup Values'!$A:$B,2,FALSE))</f>
        <v/>
      </c>
    </row>
    <row r="315" spans="1:4" hidden="1" x14ac:dyDescent="0.35">
      <c r="A315" t="str">
        <f>IF(Table242[[#This Row],[Branch Name]]="","",(_xlfn.XLOOKUP(Table242[[#This Row],[Branch Name]],'Lookup Values'!G:G,'Lookup Values'!H:H,0)))</f>
        <v/>
      </c>
      <c r="B315" t="str">
        <f>IF(Table242[[#This Row],[Branch Name]]="","",(_xlfn.XLOOKUP(Table242[[#This Row],[Branch Name]],'Lookup Values'!G:G,'Lookup Values'!I:I,0)))</f>
        <v/>
      </c>
      <c r="C315" t="str">
        <f>IF(Table242[[#This Row],[Journal Description (Service Description)]]="","",1)</f>
        <v/>
      </c>
      <c r="D315" s="2" t="str">
        <f>IF(Table242[[#This Row],[Journal Description (Service Description)]]="","",VLOOKUP(Table242[[#This Row],[Journal Description (Service Description)]],'Lookup Values'!$A:$B,2,FALSE))</f>
        <v/>
      </c>
    </row>
    <row r="316" spans="1:4" hidden="1" x14ac:dyDescent="0.35">
      <c r="A316" t="str">
        <f>IF(Table242[[#This Row],[Branch Name]]="","",(_xlfn.XLOOKUP(Table242[[#This Row],[Branch Name]],'Lookup Values'!G:G,'Lookup Values'!H:H,0)))</f>
        <v/>
      </c>
      <c r="B316" t="str">
        <f>IF(Table242[[#This Row],[Branch Name]]="","",(_xlfn.XLOOKUP(Table242[[#This Row],[Branch Name]],'Lookup Values'!G:G,'Lookup Values'!I:I,0)))</f>
        <v/>
      </c>
      <c r="C316" t="str">
        <f>IF(Table242[[#This Row],[Journal Description (Service Description)]]="","",1)</f>
        <v/>
      </c>
      <c r="D316" s="2" t="str">
        <f>IF(Table242[[#This Row],[Journal Description (Service Description)]]="","",VLOOKUP(Table242[[#This Row],[Journal Description (Service Description)]],'Lookup Values'!$A:$B,2,FALSE))</f>
        <v/>
      </c>
    </row>
    <row r="317" spans="1:4" hidden="1" x14ac:dyDescent="0.35">
      <c r="A317" t="str">
        <f>IF(Table242[[#This Row],[Branch Name]]="","",(_xlfn.XLOOKUP(Table242[[#This Row],[Branch Name]],'Lookup Values'!G:G,'Lookup Values'!H:H,0)))</f>
        <v/>
      </c>
      <c r="B317" t="str">
        <f>IF(Table242[[#This Row],[Branch Name]]="","",(_xlfn.XLOOKUP(Table242[[#This Row],[Branch Name]],'Lookup Values'!G:G,'Lookup Values'!I:I,0)))</f>
        <v/>
      </c>
      <c r="C317" t="str">
        <f>IF(Table242[[#This Row],[Journal Description (Service Description)]]="","",1)</f>
        <v/>
      </c>
      <c r="D317" s="2" t="str">
        <f>IF(Table242[[#This Row],[Journal Description (Service Description)]]="","",VLOOKUP(Table242[[#This Row],[Journal Description (Service Description)]],'Lookup Values'!$A:$B,2,FALSE))</f>
        <v/>
      </c>
    </row>
    <row r="318" spans="1:4" hidden="1" x14ac:dyDescent="0.35">
      <c r="A318" t="str">
        <f>IF(Table242[[#This Row],[Branch Name]]="","",(_xlfn.XLOOKUP(Table242[[#This Row],[Branch Name]],'Lookup Values'!G:G,'Lookup Values'!H:H,0)))</f>
        <v/>
      </c>
      <c r="B318" t="str">
        <f>IF(Table242[[#This Row],[Branch Name]]="","",(_xlfn.XLOOKUP(Table242[[#This Row],[Branch Name]],'Lookup Values'!G:G,'Lookup Values'!I:I,0)))</f>
        <v/>
      </c>
      <c r="C318" t="str">
        <f>IF(Table242[[#This Row],[Journal Description (Service Description)]]="","",1)</f>
        <v/>
      </c>
      <c r="D318" s="2" t="str">
        <f>IF(Table242[[#This Row],[Journal Description (Service Description)]]="","",VLOOKUP(Table242[[#This Row],[Journal Description (Service Description)]],'Lookup Values'!$A:$B,2,FALSE))</f>
        <v/>
      </c>
    </row>
    <row r="319" spans="1:4" hidden="1" x14ac:dyDescent="0.35">
      <c r="A319" t="str">
        <f>IF(Table242[[#This Row],[Branch Name]]="","",(_xlfn.XLOOKUP(Table242[[#This Row],[Branch Name]],'Lookup Values'!G:G,'Lookup Values'!H:H,0)))</f>
        <v/>
      </c>
      <c r="B319" t="str">
        <f>IF(Table242[[#This Row],[Branch Name]]="","",(_xlfn.XLOOKUP(Table242[[#This Row],[Branch Name]],'Lookup Values'!G:G,'Lookup Values'!I:I,0)))</f>
        <v/>
      </c>
      <c r="C319" t="str">
        <f>IF(Table242[[#This Row],[Journal Description (Service Description)]]="","",1)</f>
        <v/>
      </c>
      <c r="D319" s="2" t="str">
        <f>IF(Table242[[#This Row],[Journal Description (Service Description)]]="","",VLOOKUP(Table242[[#This Row],[Journal Description (Service Description)]],'Lookup Values'!$A:$B,2,FALSE))</f>
        <v/>
      </c>
    </row>
    <row r="320" spans="1:4" hidden="1" x14ac:dyDescent="0.35">
      <c r="A320" t="str">
        <f>IF(Table242[[#This Row],[Branch Name]]="","",(_xlfn.XLOOKUP(Table242[[#This Row],[Branch Name]],'Lookup Values'!G:G,'Lookup Values'!H:H,0)))</f>
        <v/>
      </c>
      <c r="B320" t="str">
        <f>IF(Table242[[#This Row],[Branch Name]]="","",(_xlfn.XLOOKUP(Table242[[#This Row],[Branch Name]],'Lookup Values'!G:G,'Lookup Values'!I:I,0)))</f>
        <v/>
      </c>
      <c r="C320" t="str">
        <f>IF(Table242[[#This Row],[Journal Description (Service Description)]]="","",1)</f>
        <v/>
      </c>
      <c r="D320" s="2" t="str">
        <f>IF(Table242[[#This Row],[Journal Description (Service Description)]]="","",VLOOKUP(Table242[[#This Row],[Journal Description (Service Description)]],'Lookup Values'!$A:$B,2,FALSE))</f>
        <v/>
      </c>
    </row>
    <row r="321" spans="1:4" hidden="1" x14ac:dyDescent="0.35">
      <c r="A321" t="str">
        <f>IF(Table242[[#This Row],[Branch Name]]="","",(_xlfn.XLOOKUP(Table242[[#This Row],[Branch Name]],'Lookup Values'!G:G,'Lookup Values'!H:H,0)))</f>
        <v/>
      </c>
      <c r="B321" t="str">
        <f>IF(Table242[[#This Row],[Branch Name]]="","",(_xlfn.XLOOKUP(Table242[[#This Row],[Branch Name]],'Lookup Values'!G:G,'Lookup Values'!I:I,0)))</f>
        <v/>
      </c>
      <c r="C321" t="str">
        <f>IF(Table242[[#This Row],[Journal Description (Service Description)]]="","",1)</f>
        <v/>
      </c>
      <c r="D321" s="2" t="str">
        <f>IF(Table242[[#This Row],[Journal Description (Service Description)]]="","",VLOOKUP(Table242[[#This Row],[Journal Description (Service Description)]],'Lookup Values'!$A:$B,2,FALSE))</f>
        <v/>
      </c>
    </row>
    <row r="322" spans="1:4" hidden="1" x14ac:dyDescent="0.35">
      <c r="A322" t="str">
        <f>IF(Table242[[#This Row],[Branch Name]]="","",(_xlfn.XLOOKUP(Table242[[#This Row],[Branch Name]],'Lookup Values'!G:G,'Lookup Values'!H:H,0)))</f>
        <v/>
      </c>
      <c r="B322" t="str">
        <f>IF(Table242[[#This Row],[Branch Name]]="","",(_xlfn.XLOOKUP(Table242[[#This Row],[Branch Name]],'Lookup Values'!G:G,'Lookup Values'!I:I,0)))</f>
        <v/>
      </c>
      <c r="C322" t="str">
        <f>IF(Table242[[#This Row],[Journal Description (Service Description)]]="","",1)</f>
        <v/>
      </c>
      <c r="D322" s="2" t="str">
        <f>IF(Table242[[#This Row],[Journal Description (Service Description)]]="","",VLOOKUP(Table242[[#This Row],[Journal Description (Service Description)]],'Lookup Values'!$A:$B,2,FALSE))</f>
        <v/>
      </c>
    </row>
    <row r="323" spans="1:4" hidden="1" x14ac:dyDescent="0.35">
      <c r="A323" t="str">
        <f>IF(Table242[[#This Row],[Branch Name]]="","",(_xlfn.XLOOKUP(Table242[[#This Row],[Branch Name]],'Lookup Values'!G:G,'Lookup Values'!H:H,0)))</f>
        <v/>
      </c>
      <c r="B323" t="str">
        <f>IF(Table242[[#This Row],[Branch Name]]="","",(_xlfn.XLOOKUP(Table242[[#This Row],[Branch Name]],'Lookup Values'!G:G,'Lookup Values'!I:I,0)))</f>
        <v/>
      </c>
      <c r="C323" t="str">
        <f>IF(Table242[[#This Row],[Journal Description (Service Description)]]="","",1)</f>
        <v/>
      </c>
      <c r="D323" s="2" t="str">
        <f>IF(Table242[[#This Row],[Journal Description (Service Description)]]="","",VLOOKUP(Table242[[#This Row],[Journal Description (Service Description)]],'Lookup Values'!$A:$B,2,FALSE))</f>
        <v/>
      </c>
    </row>
    <row r="324" spans="1:4" hidden="1" x14ac:dyDescent="0.35">
      <c r="A324" t="str">
        <f>IF(Table242[[#This Row],[Branch Name]]="","",(_xlfn.XLOOKUP(Table242[[#This Row],[Branch Name]],'Lookup Values'!G:G,'Lookup Values'!H:H,0)))</f>
        <v/>
      </c>
      <c r="B324" t="str">
        <f>IF(Table242[[#This Row],[Branch Name]]="","",(_xlfn.XLOOKUP(Table242[[#This Row],[Branch Name]],'Lookup Values'!G:G,'Lookup Values'!I:I,0)))</f>
        <v/>
      </c>
      <c r="C324" t="str">
        <f>IF(Table242[[#This Row],[Journal Description (Service Description)]]="","",1)</f>
        <v/>
      </c>
      <c r="D324" s="2" t="str">
        <f>IF(Table242[[#This Row],[Journal Description (Service Description)]]="","",VLOOKUP(Table242[[#This Row],[Journal Description (Service Description)]],'Lookup Values'!$A:$B,2,FALSE))</f>
        <v/>
      </c>
    </row>
    <row r="325" spans="1:4" hidden="1" x14ac:dyDescent="0.35">
      <c r="A325" t="str">
        <f>IF(Table242[[#This Row],[Branch Name]]="","",(_xlfn.XLOOKUP(Table242[[#This Row],[Branch Name]],'Lookup Values'!G:G,'Lookup Values'!H:H,0)))</f>
        <v/>
      </c>
      <c r="B325" t="str">
        <f>IF(Table242[[#This Row],[Branch Name]]="","",(_xlfn.XLOOKUP(Table242[[#This Row],[Branch Name]],'Lookup Values'!G:G,'Lookup Values'!I:I,0)))</f>
        <v/>
      </c>
      <c r="C325" t="str">
        <f>IF(Table242[[#This Row],[Journal Description (Service Description)]]="","",1)</f>
        <v/>
      </c>
      <c r="D325" s="2" t="str">
        <f>IF(Table242[[#This Row],[Journal Description (Service Description)]]="","",VLOOKUP(Table242[[#This Row],[Journal Description (Service Description)]],'Lookup Values'!$A:$B,2,FALSE))</f>
        <v/>
      </c>
    </row>
    <row r="326" spans="1:4" hidden="1" x14ac:dyDescent="0.35">
      <c r="A326" t="str">
        <f>IF(Table242[[#This Row],[Branch Name]]="","",(_xlfn.XLOOKUP(Table242[[#This Row],[Branch Name]],'Lookup Values'!G:G,'Lookup Values'!H:H,0)))</f>
        <v/>
      </c>
      <c r="B326" t="str">
        <f>IF(Table242[[#This Row],[Branch Name]]="","",(_xlfn.XLOOKUP(Table242[[#This Row],[Branch Name]],'Lookup Values'!G:G,'Lookup Values'!I:I,0)))</f>
        <v/>
      </c>
      <c r="C326" t="str">
        <f>IF(Table242[[#This Row],[Journal Description (Service Description)]]="","",1)</f>
        <v/>
      </c>
      <c r="D326" s="2" t="str">
        <f>IF(Table242[[#This Row],[Journal Description (Service Description)]]="","",VLOOKUP(Table242[[#This Row],[Journal Description (Service Description)]],'Lookup Values'!$A:$B,2,FALSE))</f>
        <v/>
      </c>
    </row>
    <row r="327" spans="1:4" hidden="1" x14ac:dyDescent="0.35">
      <c r="A327" t="str">
        <f>IF(Table242[[#This Row],[Branch Name]]="","",(_xlfn.XLOOKUP(Table242[[#This Row],[Branch Name]],'Lookup Values'!G:G,'Lookup Values'!H:H,0)))</f>
        <v/>
      </c>
      <c r="B327" t="str">
        <f>IF(Table242[[#This Row],[Branch Name]]="","",(_xlfn.XLOOKUP(Table242[[#This Row],[Branch Name]],'Lookup Values'!G:G,'Lookup Values'!I:I,0)))</f>
        <v/>
      </c>
      <c r="C327" t="str">
        <f>IF(Table242[[#This Row],[Journal Description (Service Description)]]="","",1)</f>
        <v/>
      </c>
      <c r="D327" s="2" t="str">
        <f>IF(Table242[[#This Row],[Journal Description (Service Description)]]="","",VLOOKUP(Table242[[#This Row],[Journal Description (Service Description)]],'Lookup Values'!$A:$B,2,FALSE))</f>
        <v/>
      </c>
    </row>
    <row r="328" spans="1:4" hidden="1" x14ac:dyDescent="0.35">
      <c r="A328" t="str">
        <f>IF(Table242[[#This Row],[Branch Name]]="","",(_xlfn.XLOOKUP(Table242[[#This Row],[Branch Name]],'Lookup Values'!G:G,'Lookup Values'!H:H,0)))</f>
        <v/>
      </c>
      <c r="B328" t="str">
        <f>IF(Table242[[#This Row],[Branch Name]]="","",(_xlfn.XLOOKUP(Table242[[#This Row],[Branch Name]],'Lookup Values'!G:G,'Lookup Values'!I:I,0)))</f>
        <v/>
      </c>
      <c r="C328" t="str">
        <f>IF(Table242[[#This Row],[Journal Description (Service Description)]]="","",1)</f>
        <v/>
      </c>
      <c r="D328" s="2" t="str">
        <f>IF(Table242[[#This Row],[Journal Description (Service Description)]]="","",VLOOKUP(Table242[[#This Row],[Journal Description (Service Description)]],'Lookup Values'!$A:$B,2,FALSE))</f>
        <v/>
      </c>
    </row>
    <row r="329" spans="1:4" hidden="1" x14ac:dyDescent="0.35">
      <c r="A329" t="str">
        <f>IF(Table242[[#This Row],[Branch Name]]="","",(_xlfn.XLOOKUP(Table242[[#This Row],[Branch Name]],'Lookup Values'!G:G,'Lookup Values'!H:H,0)))</f>
        <v/>
      </c>
      <c r="B329" t="str">
        <f>IF(Table242[[#This Row],[Branch Name]]="","",(_xlfn.XLOOKUP(Table242[[#This Row],[Branch Name]],'Lookup Values'!G:G,'Lookup Values'!I:I,0)))</f>
        <v/>
      </c>
      <c r="C329" t="str">
        <f>IF(Table242[[#This Row],[Journal Description (Service Description)]]="","",1)</f>
        <v/>
      </c>
      <c r="D329" s="2" t="str">
        <f>IF(Table242[[#This Row],[Journal Description (Service Description)]]="","",VLOOKUP(Table242[[#This Row],[Journal Description (Service Description)]],'Lookup Values'!$A:$B,2,FALSE))</f>
        <v/>
      </c>
    </row>
    <row r="330" spans="1:4" hidden="1" x14ac:dyDescent="0.35">
      <c r="A330" t="str">
        <f>IF(Table242[[#This Row],[Branch Name]]="","",(_xlfn.XLOOKUP(Table242[[#This Row],[Branch Name]],'Lookup Values'!G:G,'Lookup Values'!H:H,0)))</f>
        <v/>
      </c>
      <c r="B330" t="str">
        <f>IF(Table242[[#This Row],[Branch Name]]="","",(_xlfn.XLOOKUP(Table242[[#This Row],[Branch Name]],'Lookup Values'!G:G,'Lookup Values'!I:I,0)))</f>
        <v/>
      </c>
      <c r="C330" t="str">
        <f>IF(Table242[[#This Row],[Journal Description (Service Description)]]="","",1)</f>
        <v/>
      </c>
      <c r="D330" s="2" t="str">
        <f>IF(Table242[[#This Row],[Journal Description (Service Description)]]="","",VLOOKUP(Table242[[#This Row],[Journal Description (Service Description)]],'Lookup Values'!$A:$B,2,FALSE))</f>
        <v/>
      </c>
    </row>
    <row r="331" spans="1:4" hidden="1" x14ac:dyDescent="0.35">
      <c r="A331" t="str">
        <f>IF(Table242[[#This Row],[Branch Name]]="","",(_xlfn.XLOOKUP(Table242[[#This Row],[Branch Name]],'Lookup Values'!G:G,'Lookup Values'!H:H,0)))</f>
        <v/>
      </c>
      <c r="B331" t="str">
        <f>IF(Table242[[#This Row],[Branch Name]]="","",(_xlfn.XLOOKUP(Table242[[#This Row],[Branch Name]],'Lookup Values'!G:G,'Lookup Values'!I:I,0)))</f>
        <v/>
      </c>
      <c r="C331" t="str">
        <f>IF(Table242[[#This Row],[Journal Description (Service Description)]]="","",1)</f>
        <v/>
      </c>
      <c r="D331" s="2" t="str">
        <f>IF(Table242[[#This Row],[Journal Description (Service Description)]]="","",VLOOKUP(Table242[[#This Row],[Journal Description (Service Description)]],'Lookup Values'!$A:$B,2,FALSE))</f>
        <v/>
      </c>
    </row>
    <row r="332" spans="1:4" hidden="1" x14ac:dyDescent="0.35">
      <c r="A332" t="str">
        <f>IF(Table242[[#This Row],[Branch Name]]="","",(_xlfn.XLOOKUP(Table242[[#This Row],[Branch Name]],'Lookup Values'!G:G,'Lookup Values'!H:H,0)))</f>
        <v/>
      </c>
      <c r="B332" t="str">
        <f>IF(Table242[[#This Row],[Branch Name]]="","",(_xlfn.XLOOKUP(Table242[[#This Row],[Branch Name]],'Lookup Values'!G:G,'Lookup Values'!I:I,0)))</f>
        <v/>
      </c>
      <c r="C332" t="str">
        <f>IF(Table242[[#This Row],[Journal Description (Service Description)]]="","",1)</f>
        <v/>
      </c>
      <c r="D332" s="2" t="str">
        <f>IF(Table242[[#This Row],[Journal Description (Service Description)]]="","",VLOOKUP(Table242[[#This Row],[Journal Description (Service Description)]],'Lookup Values'!$A:$B,2,FALSE))</f>
        <v/>
      </c>
    </row>
    <row r="333" spans="1:4" hidden="1" x14ac:dyDescent="0.35">
      <c r="A333" t="str">
        <f>IF(Table242[[#This Row],[Branch Name]]="","",(_xlfn.XLOOKUP(Table242[[#This Row],[Branch Name]],'Lookup Values'!G:G,'Lookup Values'!H:H,0)))</f>
        <v/>
      </c>
      <c r="B333" t="str">
        <f>IF(Table242[[#This Row],[Branch Name]]="","",(_xlfn.XLOOKUP(Table242[[#This Row],[Branch Name]],'Lookup Values'!G:G,'Lookup Values'!I:I,0)))</f>
        <v/>
      </c>
      <c r="C333" t="str">
        <f>IF(Table242[[#This Row],[Journal Description (Service Description)]]="","",1)</f>
        <v/>
      </c>
      <c r="D333" s="2" t="str">
        <f>IF(Table242[[#This Row],[Journal Description (Service Description)]]="","",VLOOKUP(Table242[[#This Row],[Journal Description (Service Description)]],'Lookup Values'!$A:$B,2,FALSE))</f>
        <v/>
      </c>
    </row>
    <row r="334" spans="1:4" hidden="1" x14ac:dyDescent="0.35">
      <c r="A334" t="str">
        <f>IF(Table242[[#This Row],[Branch Name]]="","",(_xlfn.XLOOKUP(Table242[[#This Row],[Branch Name]],'Lookup Values'!G:G,'Lookup Values'!H:H,0)))</f>
        <v/>
      </c>
      <c r="B334" t="str">
        <f>IF(Table242[[#This Row],[Branch Name]]="","",(_xlfn.XLOOKUP(Table242[[#This Row],[Branch Name]],'Lookup Values'!G:G,'Lookup Values'!I:I,0)))</f>
        <v/>
      </c>
      <c r="C334" t="str">
        <f>IF(Table242[[#This Row],[Journal Description (Service Description)]]="","",1)</f>
        <v/>
      </c>
      <c r="D334" s="2" t="str">
        <f>IF(Table242[[#This Row],[Journal Description (Service Description)]]="","",VLOOKUP(Table242[[#This Row],[Journal Description (Service Description)]],'Lookup Values'!$A:$B,2,FALSE))</f>
        <v/>
      </c>
    </row>
    <row r="335" spans="1:4" hidden="1" x14ac:dyDescent="0.35">
      <c r="A335" t="str">
        <f>IF(Table242[[#This Row],[Branch Name]]="","",(_xlfn.XLOOKUP(Table242[[#This Row],[Branch Name]],'Lookup Values'!G:G,'Lookup Values'!H:H,0)))</f>
        <v/>
      </c>
      <c r="B335" t="str">
        <f>IF(Table242[[#This Row],[Branch Name]]="","",(_xlfn.XLOOKUP(Table242[[#This Row],[Branch Name]],'Lookup Values'!G:G,'Lookup Values'!I:I,0)))</f>
        <v/>
      </c>
      <c r="C335" t="str">
        <f>IF(Table242[[#This Row],[Journal Description (Service Description)]]="","",1)</f>
        <v/>
      </c>
      <c r="D335" s="2" t="str">
        <f>IF(Table242[[#This Row],[Journal Description (Service Description)]]="","",VLOOKUP(Table242[[#This Row],[Journal Description (Service Description)]],'Lookup Values'!$A:$B,2,FALSE))</f>
        <v/>
      </c>
    </row>
    <row r="336" spans="1:4" hidden="1" x14ac:dyDescent="0.35">
      <c r="A336" t="str">
        <f>IF(Table242[[#This Row],[Branch Name]]="","",(_xlfn.XLOOKUP(Table242[[#This Row],[Branch Name]],'Lookup Values'!G:G,'Lookup Values'!H:H,0)))</f>
        <v/>
      </c>
      <c r="B336" t="str">
        <f>IF(Table242[[#This Row],[Branch Name]]="","",(_xlfn.XLOOKUP(Table242[[#This Row],[Branch Name]],'Lookup Values'!G:G,'Lookup Values'!I:I,0)))</f>
        <v/>
      </c>
      <c r="C336" t="str">
        <f>IF(Table242[[#This Row],[Journal Description (Service Description)]]="","",1)</f>
        <v/>
      </c>
      <c r="D336" s="2" t="str">
        <f>IF(Table242[[#This Row],[Journal Description (Service Description)]]="","",VLOOKUP(Table242[[#This Row],[Journal Description (Service Description)]],'Lookup Values'!$A:$B,2,FALSE))</f>
        <v/>
      </c>
    </row>
    <row r="337" spans="1:4" hidden="1" x14ac:dyDescent="0.35">
      <c r="A337" t="str">
        <f>IF(Table242[[#This Row],[Branch Name]]="","",(_xlfn.XLOOKUP(Table242[[#This Row],[Branch Name]],'Lookup Values'!G:G,'Lookup Values'!H:H,0)))</f>
        <v/>
      </c>
      <c r="B337" t="str">
        <f>IF(Table242[[#This Row],[Branch Name]]="","",(_xlfn.XLOOKUP(Table242[[#This Row],[Branch Name]],'Lookup Values'!G:G,'Lookup Values'!I:I,0)))</f>
        <v/>
      </c>
      <c r="C337" t="str">
        <f>IF(Table242[[#This Row],[Journal Description (Service Description)]]="","",1)</f>
        <v/>
      </c>
      <c r="D337" s="2" t="str">
        <f>IF(Table242[[#This Row],[Journal Description (Service Description)]]="","",VLOOKUP(Table242[[#This Row],[Journal Description (Service Description)]],'Lookup Values'!$A:$B,2,FALSE))</f>
        <v/>
      </c>
    </row>
    <row r="338" spans="1:4" hidden="1" x14ac:dyDescent="0.35">
      <c r="A338" t="str">
        <f>IF(Table242[[#This Row],[Branch Name]]="","",(_xlfn.XLOOKUP(Table242[[#This Row],[Branch Name]],'Lookup Values'!G:G,'Lookup Values'!H:H,0)))</f>
        <v/>
      </c>
      <c r="B338" t="str">
        <f>IF(Table242[[#This Row],[Branch Name]]="","",(_xlfn.XLOOKUP(Table242[[#This Row],[Branch Name]],'Lookup Values'!G:G,'Lookup Values'!I:I,0)))</f>
        <v/>
      </c>
      <c r="C338" t="str">
        <f>IF(Table242[[#This Row],[Journal Description (Service Description)]]="","",1)</f>
        <v/>
      </c>
      <c r="D338" s="2" t="str">
        <f>IF(Table242[[#This Row],[Journal Description (Service Description)]]="","",VLOOKUP(Table242[[#This Row],[Journal Description (Service Description)]],'Lookup Values'!$A:$B,2,FALSE))</f>
        <v/>
      </c>
    </row>
    <row r="339" spans="1:4" hidden="1" x14ac:dyDescent="0.35">
      <c r="A339" t="str">
        <f>IF(Table242[[#This Row],[Branch Name]]="","",(_xlfn.XLOOKUP(Table242[[#This Row],[Branch Name]],'Lookup Values'!G:G,'Lookup Values'!H:H,0)))</f>
        <v/>
      </c>
      <c r="B339" t="str">
        <f>IF(Table242[[#This Row],[Branch Name]]="","",(_xlfn.XLOOKUP(Table242[[#This Row],[Branch Name]],'Lookup Values'!G:G,'Lookup Values'!I:I,0)))</f>
        <v/>
      </c>
      <c r="C339" t="str">
        <f>IF(Table242[[#This Row],[Journal Description (Service Description)]]="","",1)</f>
        <v/>
      </c>
      <c r="D339" s="2" t="str">
        <f>IF(Table242[[#This Row],[Journal Description (Service Description)]]="","",VLOOKUP(Table242[[#This Row],[Journal Description (Service Description)]],'Lookup Values'!$A:$B,2,FALSE))</f>
        <v/>
      </c>
    </row>
    <row r="340" spans="1:4" hidden="1" x14ac:dyDescent="0.35">
      <c r="A340" t="str">
        <f>IF(Table242[[#This Row],[Branch Name]]="","",(_xlfn.XLOOKUP(Table242[[#This Row],[Branch Name]],'Lookup Values'!G:G,'Lookup Values'!H:H,0)))</f>
        <v/>
      </c>
      <c r="B340" t="str">
        <f>IF(Table242[[#This Row],[Branch Name]]="","",(_xlfn.XLOOKUP(Table242[[#This Row],[Branch Name]],'Lookup Values'!G:G,'Lookup Values'!I:I,0)))</f>
        <v/>
      </c>
      <c r="C340" t="str">
        <f>IF(Table242[[#This Row],[Journal Description (Service Description)]]="","",1)</f>
        <v/>
      </c>
      <c r="D340" s="2" t="str">
        <f>IF(Table242[[#This Row],[Journal Description (Service Description)]]="","",VLOOKUP(Table242[[#This Row],[Journal Description (Service Description)]],'Lookup Values'!$A:$B,2,FALSE))</f>
        <v/>
      </c>
    </row>
    <row r="341" spans="1:4" hidden="1" x14ac:dyDescent="0.35">
      <c r="A341" t="str">
        <f>IF(Table242[[#This Row],[Branch Name]]="","",(_xlfn.XLOOKUP(Table242[[#This Row],[Branch Name]],'Lookup Values'!G:G,'Lookup Values'!H:H,0)))</f>
        <v/>
      </c>
      <c r="B341" t="str">
        <f>IF(Table242[[#This Row],[Branch Name]]="","",(_xlfn.XLOOKUP(Table242[[#This Row],[Branch Name]],'Lookup Values'!G:G,'Lookup Values'!I:I,0)))</f>
        <v/>
      </c>
      <c r="C341" t="str">
        <f>IF(Table242[[#This Row],[Journal Description (Service Description)]]="","",1)</f>
        <v/>
      </c>
      <c r="D341" s="2" t="str">
        <f>IF(Table242[[#This Row],[Journal Description (Service Description)]]="","",VLOOKUP(Table242[[#This Row],[Journal Description (Service Description)]],'Lookup Values'!$A:$B,2,FALSE))</f>
        <v/>
      </c>
    </row>
    <row r="342" spans="1:4" hidden="1" x14ac:dyDescent="0.35">
      <c r="A342" t="str">
        <f>IF(Table242[[#This Row],[Branch Name]]="","",(_xlfn.XLOOKUP(Table242[[#This Row],[Branch Name]],'Lookup Values'!G:G,'Lookup Values'!H:H,0)))</f>
        <v/>
      </c>
      <c r="B342" t="str">
        <f>IF(Table242[[#This Row],[Branch Name]]="","",(_xlfn.XLOOKUP(Table242[[#This Row],[Branch Name]],'Lookup Values'!G:G,'Lookup Values'!I:I,0)))</f>
        <v/>
      </c>
      <c r="C342" t="str">
        <f>IF(Table242[[#This Row],[Journal Description (Service Description)]]="","",1)</f>
        <v/>
      </c>
      <c r="D342" s="2" t="str">
        <f>IF(Table242[[#This Row],[Journal Description (Service Description)]]="","",VLOOKUP(Table242[[#This Row],[Journal Description (Service Description)]],'Lookup Values'!$A:$B,2,FALSE))</f>
        <v/>
      </c>
    </row>
    <row r="343" spans="1:4" hidden="1" x14ac:dyDescent="0.35">
      <c r="A343" t="str">
        <f>IF(Table242[[#This Row],[Branch Name]]="","",(_xlfn.XLOOKUP(Table242[[#This Row],[Branch Name]],'Lookup Values'!G:G,'Lookup Values'!H:H,0)))</f>
        <v/>
      </c>
      <c r="B343" t="str">
        <f>IF(Table242[[#This Row],[Branch Name]]="","",(_xlfn.XLOOKUP(Table242[[#This Row],[Branch Name]],'Lookup Values'!G:G,'Lookup Values'!I:I,0)))</f>
        <v/>
      </c>
      <c r="C343" t="str">
        <f>IF(Table242[[#This Row],[Journal Description (Service Description)]]="","",1)</f>
        <v/>
      </c>
      <c r="D343" s="2" t="str">
        <f>IF(Table242[[#This Row],[Journal Description (Service Description)]]="","",VLOOKUP(Table242[[#This Row],[Journal Description (Service Description)]],'Lookup Values'!$A:$B,2,FALSE))</f>
        <v/>
      </c>
    </row>
    <row r="344" spans="1:4" hidden="1" x14ac:dyDescent="0.35">
      <c r="A344" t="str">
        <f>IF(Table242[[#This Row],[Branch Name]]="","",(_xlfn.XLOOKUP(Table242[[#This Row],[Branch Name]],'Lookup Values'!G:G,'Lookup Values'!H:H,0)))</f>
        <v/>
      </c>
      <c r="B344" t="str">
        <f>IF(Table242[[#This Row],[Branch Name]]="","",(_xlfn.XLOOKUP(Table242[[#This Row],[Branch Name]],'Lookup Values'!G:G,'Lookup Values'!I:I,0)))</f>
        <v/>
      </c>
      <c r="C344" t="str">
        <f>IF(Table242[[#This Row],[Journal Description (Service Description)]]="","",1)</f>
        <v/>
      </c>
      <c r="D344" s="2" t="str">
        <f>IF(Table242[[#This Row],[Journal Description (Service Description)]]="","",VLOOKUP(Table242[[#This Row],[Journal Description (Service Description)]],'Lookup Values'!$A:$B,2,FALSE))</f>
        <v/>
      </c>
    </row>
    <row r="345" spans="1:4" hidden="1" x14ac:dyDescent="0.35">
      <c r="A345" t="str">
        <f>IF(Table242[[#This Row],[Branch Name]]="","",(_xlfn.XLOOKUP(Table242[[#This Row],[Branch Name]],'Lookup Values'!G:G,'Lookup Values'!H:H,0)))</f>
        <v/>
      </c>
      <c r="B345" t="str">
        <f>IF(Table242[[#This Row],[Branch Name]]="","",(_xlfn.XLOOKUP(Table242[[#This Row],[Branch Name]],'Lookup Values'!G:G,'Lookup Values'!I:I,0)))</f>
        <v/>
      </c>
      <c r="C345" t="str">
        <f>IF(Table242[[#This Row],[Journal Description (Service Description)]]="","",1)</f>
        <v/>
      </c>
      <c r="D345" s="2" t="str">
        <f>IF(Table242[[#This Row],[Journal Description (Service Description)]]="","",VLOOKUP(Table242[[#This Row],[Journal Description (Service Description)]],'Lookup Values'!$A:$B,2,FALSE))</f>
        <v/>
      </c>
    </row>
    <row r="346" spans="1:4" hidden="1" x14ac:dyDescent="0.35">
      <c r="A346" t="str">
        <f>IF(Table242[[#This Row],[Branch Name]]="","",(_xlfn.XLOOKUP(Table242[[#This Row],[Branch Name]],'Lookup Values'!G:G,'Lookup Values'!H:H,0)))</f>
        <v/>
      </c>
      <c r="B346" t="str">
        <f>IF(Table242[[#This Row],[Branch Name]]="","",(_xlfn.XLOOKUP(Table242[[#This Row],[Branch Name]],'Lookup Values'!G:G,'Lookup Values'!I:I,0)))</f>
        <v/>
      </c>
      <c r="C346" t="str">
        <f>IF(Table242[[#This Row],[Journal Description (Service Description)]]="","",1)</f>
        <v/>
      </c>
      <c r="D346" s="2" t="str">
        <f>IF(Table242[[#This Row],[Journal Description (Service Description)]]="","",VLOOKUP(Table242[[#This Row],[Journal Description (Service Description)]],'Lookup Values'!$A:$B,2,FALSE))</f>
        <v/>
      </c>
    </row>
    <row r="347" spans="1:4" hidden="1" x14ac:dyDescent="0.35">
      <c r="A347" t="str">
        <f>IF(Table242[[#This Row],[Branch Name]]="","",(_xlfn.XLOOKUP(Table242[[#This Row],[Branch Name]],'Lookup Values'!G:G,'Lookup Values'!H:H,0)))</f>
        <v/>
      </c>
      <c r="B347" t="str">
        <f>IF(Table242[[#This Row],[Branch Name]]="","",(_xlfn.XLOOKUP(Table242[[#This Row],[Branch Name]],'Lookup Values'!G:G,'Lookup Values'!I:I,0)))</f>
        <v/>
      </c>
      <c r="C347" t="str">
        <f>IF(Table242[[#This Row],[Journal Description (Service Description)]]="","",1)</f>
        <v/>
      </c>
      <c r="D347" s="2" t="str">
        <f>IF(Table242[[#This Row],[Journal Description (Service Description)]]="","",VLOOKUP(Table242[[#This Row],[Journal Description (Service Description)]],'Lookup Values'!$A:$B,2,FALSE))</f>
        <v/>
      </c>
    </row>
    <row r="348" spans="1:4" hidden="1" x14ac:dyDescent="0.35">
      <c r="A348" t="str">
        <f>IF(Table242[[#This Row],[Branch Name]]="","",(_xlfn.XLOOKUP(Table242[[#This Row],[Branch Name]],'Lookup Values'!G:G,'Lookup Values'!H:H,0)))</f>
        <v/>
      </c>
      <c r="B348" t="str">
        <f>IF(Table242[[#This Row],[Branch Name]]="","",(_xlfn.XLOOKUP(Table242[[#This Row],[Branch Name]],'Lookup Values'!G:G,'Lookup Values'!I:I,0)))</f>
        <v/>
      </c>
      <c r="C348" t="str">
        <f>IF(Table242[[#This Row],[Journal Description (Service Description)]]="","",1)</f>
        <v/>
      </c>
      <c r="D348" s="2" t="str">
        <f>IF(Table242[[#This Row],[Journal Description (Service Description)]]="","",VLOOKUP(Table242[[#This Row],[Journal Description (Service Description)]],'Lookup Values'!$A:$B,2,FALSE))</f>
        <v/>
      </c>
    </row>
    <row r="349" spans="1:4" hidden="1" x14ac:dyDescent="0.35">
      <c r="A349" t="str">
        <f>IF(Table242[[#This Row],[Branch Name]]="","",(_xlfn.XLOOKUP(Table242[[#This Row],[Branch Name]],'Lookup Values'!G:G,'Lookup Values'!H:H,0)))</f>
        <v/>
      </c>
      <c r="B349" t="str">
        <f>IF(Table242[[#This Row],[Branch Name]]="","",(_xlfn.XLOOKUP(Table242[[#This Row],[Branch Name]],'Lookup Values'!G:G,'Lookup Values'!I:I,0)))</f>
        <v/>
      </c>
      <c r="C349" t="str">
        <f>IF(Table242[[#This Row],[Journal Description (Service Description)]]="","",1)</f>
        <v/>
      </c>
      <c r="D349" s="2" t="str">
        <f>IF(Table242[[#This Row],[Journal Description (Service Description)]]="","",VLOOKUP(Table242[[#This Row],[Journal Description (Service Description)]],'Lookup Values'!$A:$B,2,FALSE))</f>
        <v/>
      </c>
    </row>
    <row r="350" spans="1:4" hidden="1" x14ac:dyDescent="0.35">
      <c r="A350" t="str">
        <f>IF(Table242[[#This Row],[Branch Name]]="","",(_xlfn.XLOOKUP(Table242[[#This Row],[Branch Name]],'Lookup Values'!G:G,'Lookup Values'!H:H,0)))</f>
        <v/>
      </c>
      <c r="B350" t="str">
        <f>IF(Table242[[#This Row],[Branch Name]]="","",(_xlfn.XLOOKUP(Table242[[#This Row],[Branch Name]],'Lookup Values'!G:G,'Lookup Values'!I:I,0)))</f>
        <v/>
      </c>
      <c r="C350" t="str">
        <f>IF(Table242[[#This Row],[Journal Description (Service Description)]]="","",1)</f>
        <v/>
      </c>
      <c r="D350" s="2" t="str">
        <f>IF(Table242[[#This Row],[Journal Description (Service Description)]]="","",VLOOKUP(Table242[[#This Row],[Journal Description (Service Description)]],'Lookup Values'!$A:$B,2,FALSE))</f>
        <v/>
      </c>
    </row>
    <row r="351" spans="1:4" hidden="1" x14ac:dyDescent="0.35">
      <c r="A351" t="str">
        <f>IF(Table242[[#This Row],[Branch Name]]="","",(_xlfn.XLOOKUP(Table242[[#This Row],[Branch Name]],'Lookup Values'!G:G,'Lookup Values'!H:H,0)))</f>
        <v/>
      </c>
      <c r="B351" t="str">
        <f>IF(Table242[[#This Row],[Branch Name]]="","",(_xlfn.XLOOKUP(Table242[[#This Row],[Branch Name]],'Lookup Values'!G:G,'Lookup Values'!I:I,0)))</f>
        <v/>
      </c>
      <c r="C351" t="str">
        <f>IF(Table242[[#This Row],[Journal Description (Service Description)]]="","",1)</f>
        <v/>
      </c>
      <c r="D351" s="2" t="str">
        <f>IF(Table242[[#This Row],[Journal Description (Service Description)]]="","",VLOOKUP(Table242[[#This Row],[Journal Description (Service Description)]],'Lookup Values'!$A:$B,2,FALSE))</f>
        <v/>
      </c>
    </row>
    <row r="352" spans="1:4" hidden="1" x14ac:dyDescent="0.35">
      <c r="A352" t="str">
        <f>IF(Table242[[#This Row],[Branch Name]]="","",(_xlfn.XLOOKUP(Table242[[#This Row],[Branch Name]],'Lookup Values'!G:G,'Lookup Values'!H:H,0)))</f>
        <v/>
      </c>
      <c r="B352" t="str">
        <f>IF(Table242[[#This Row],[Branch Name]]="","",(_xlfn.XLOOKUP(Table242[[#This Row],[Branch Name]],'Lookup Values'!G:G,'Lookup Values'!I:I,0)))</f>
        <v/>
      </c>
      <c r="C352" t="str">
        <f>IF(Table242[[#This Row],[Journal Description (Service Description)]]="","",1)</f>
        <v/>
      </c>
      <c r="D352" s="2" t="str">
        <f>IF(Table242[[#This Row],[Journal Description (Service Description)]]="","",VLOOKUP(Table242[[#This Row],[Journal Description (Service Description)]],'Lookup Values'!$A:$B,2,FALSE))</f>
        <v/>
      </c>
    </row>
    <row r="353" spans="1:4" hidden="1" x14ac:dyDescent="0.35">
      <c r="A353" t="str">
        <f>IF(Table242[[#This Row],[Branch Name]]="","",(_xlfn.XLOOKUP(Table242[[#This Row],[Branch Name]],'Lookup Values'!G:G,'Lookup Values'!H:H,0)))</f>
        <v/>
      </c>
      <c r="B353" t="str">
        <f>IF(Table242[[#This Row],[Branch Name]]="","",(_xlfn.XLOOKUP(Table242[[#This Row],[Branch Name]],'Lookup Values'!G:G,'Lookup Values'!I:I,0)))</f>
        <v/>
      </c>
      <c r="C353" t="str">
        <f>IF(Table242[[#This Row],[Journal Description (Service Description)]]="","",1)</f>
        <v/>
      </c>
      <c r="D353" s="2" t="str">
        <f>IF(Table242[[#This Row],[Journal Description (Service Description)]]="","",VLOOKUP(Table242[[#This Row],[Journal Description (Service Description)]],'Lookup Values'!$A:$B,2,FALSE))</f>
        <v/>
      </c>
    </row>
    <row r="354" spans="1:4" hidden="1" x14ac:dyDescent="0.35">
      <c r="A354" t="str">
        <f>IF(Table242[[#This Row],[Branch Name]]="","",(_xlfn.XLOOKUP(Table242[[#This Row],[Branch Name]],'Lookup Values'!G:G,'Lookup Values'!H:H,0)))</f>
        <v/>
      </c>
      <c r="B354" t="str">
        <f>IF(Table242[[#This Row],[Branch Name]]="","",(_xlfn.XLOOKUP(Table242[[#This Row],[Branch Name]],'Lookup Values'!G:G,'Lookup Values'!I:I,0)))</f>
        <v/>
      </c>
      <c r="C354" t="str">
        <f>IF(Table242[[#This Row],[Journal Description (Service Description)]]="","",1)</f>
        <v/>
      </c>
      <c r="D354" s="2" t="str">
        <f>IF(Table242[[#This Row],[Journal Description (Service Description)]]="","",VLOOKUP(Table242[[#This Row],[Journal Description (Service Description)]],'Lookup Values'!$A:$B,2,FALSE))</f>
        <v/>
      </c>
    </row>
    <row r="355" spans="1:4" hidden="1" x14ac:dyDescent="0.35">
      <c r="A355" t="str">
        <f>IF(Table242[[#This Row],[Branch Name]]="","",(_xlfn.XLOOKUP(Table242[[#This Row],[Branch Name]],'Lookup Values'!G:G,'Lookup Values'!H:H,0)))</f>
        <v/>
      </c>
      <c r="B355" t="str">
        <f>IF(Table242[[#This Row],[Branch Name]]="","",(_xlfn.XLOOKUP(Table242[[#This Row],[Branch Name]],'Lookup Values'!G:G,'Lookup Values'!I:I,0)))</f>
        <v/>
      </c>
      <c r="C355" t="str">
        <f>IF(Table242[[#This Row],[Journal Description (Service Description)]]="","",1)</f>
        <v/>
      </c>
      <c r="D355" s="2" t="str">
        <f>IF(Table242[[#This Row],[Journal Description (Service Description)]]="","",VLOOKUP(Table242[[#This Row],[Journal Description (Service Description)]],'Lookup Values'!$A:$B,2,FALSE))</f>
        <v/>
      </c>
    </row>
    <row r="356" spans="1:4" hidden="1" x14ac:dyDescent="0.35">
      <c r="A356" t="str">
        <f>IF(Table242[[#This Row],[Branch Name]]="","",(_xlfn.XLOOKUP(Table242[[#This Row],[Branch Name]],'Lookup Values'!G:G,'Lookup Values'!H:H,0)))</f>
        <v/>
      </c>
      <c r="B356" t="str">
        <f>IF(Table242[[#This Row],[Branch Name]]="","",(_xlfn.XLOOKUP(Table242[[#This Row],[Branch Name]],'Lookup Values'!G:G,'Lookup Values'!I:I,0)))</f>
        <v/>
      </c>
      <c r="C356" t="str">
        <f>IF(Table242[[#This Row],[Journal Description (Service Description)]]="","",1)</f>
        <v/>
      </c>
      <c r="D356" s="2" t="str">
        <f>IF(Table242[[#This Row],[Journal Description (Service Description)]]="","",VLOOKUP(Table242[[#This Row],[Journal Description (Service Description)]],'Lookup Values'!$A:$B,2,FALSE))</f>
        <v/>
      </c>
    </row>
    <row r="357" spans="1:4" hidden="1" x14ac:dyDescent="0.35">
      <c r="A357" t="str">
        <f>IF(Table242[[#This Row],[Branch Name]]="","",(_xlfn.XLOOKUP(Table242[[#This Row],[Branch Name]],'Lookup Values'!G:G,'Lookup Values'!H:H,0)))</f>
        <v/>
      </c>
      <c r="B357" t="str">
        <f>IF(Table242[[#This Row],[Branch Name]]="","",(_xlfn.XLOOKUP(Table242[[#This Row],[Branch Name]],'Lookup Values'!G:G,'Lookup Values'!I:I,0)))</f>
        <v/>
      </c>
      <c r="C357" t="str">
        <f>IF(Table242[[#This Row],[Journal Description (Service Description)]]="","",1)</f>
        <v/>
      </c>
      <c r="D357" s="2" t="str">
        <f>IF(Table242[[#This Row],[Journal Description (Service Description)]]="","",VLOOKUP(Table242[[#This Row],[Journal Description (Service Description)]],'Lookup Values'!$A:$B,2,FALSE))</f>
        <v/>
      </c>
    </row>
    <row r="358" spans="1:4" hidden="1" x14ac:dyDescent="0.35">
      <c r="A358" t="str">
        <f>IF(Table242[[#This Row],[Branch Name]]="","",(_xlfn.XLOOKUP(Table242[[#This Row],[Branch Name]],'Lookup Values'!G:G,'Lookup Values'!H:H,0)))</f>
        <v/>
      </c>
      <c r="B358" t="str">
        <f>IF(Table242[[#This Row],[Branch Name]]="","",(_xlfn.XLOOKUP(Table242[[#This Row],[Branch Name]],'Lookup Values'!G:G,'Lookup Values'!I:I,0)))</f>
        <v/>
      </c>
      <c r="C358" t="str">
        <f>IF(Table242[[#This Row],[Journal Description (Service Description)]]="","",1)</f>
        <v/>
      </c>
      <c r="D358" s="2" t="str">
        <f>IF(Table242[[#This Row],[Journal Description (Service Description)]]="","",VLOOKUP(Table242[[#This Row],[Journal Description (Service Description)]],'Lookup Values'!$A:$B,2,FALSE))</f>
        <v/>
      </c>
    </row>
    <row r="359" spans="1:4" hidden="1" x14ac:dyDescent="0.35">
      <c r="A359" t="str">
        <f>IF(Table242[[#This Row],[Branch Name]]="","",(_xlfn.XLOOKUP(Table242[[#This Row],[Branch Name]],'Lookup Values'!G:G,'Lookup Values'!H:H,0)))</f>
        <v/>
      </c>
      <c r="B359" t="str">
        <f>IF(Table242[[#This Row],[Branch Name]]="","",(_xlfn.XLOOKUP(Table242[[#This Row],[Branch Name]],'Lookup Values'!G:G,'Lookup Values'!I:I,0)))</f>
        <v/>
      </c>
      <c r="C359" t="str">
        <f>IF(Table242[[#This Row],[Journal Description (Service Description)]]="","",1)</f>
        <v/>
      </c>
      <c r="D359" s="2" t="str">
        <f>IF(Table242[[#This Row],[Journal Description (Service Description)]]="","",VLOOKUP(Table242[[#This Row],[Journal Description (Service Description)]],'Lookup Values'!$A:$B,2,FALSE))</f>
        <v/>
      </c>
    </row>
    <row r="360" spans="1:4" hidden="1" x14ac:dyDescent="0.35">
      <c r="A360" t="str">
        <f>IF(Table242[[#This Row],[Branch Name]]="","",(_xlfn.XLOOKUP(Table242[[#This Row],[Branch Name]],'Lookup Values'!G:G,'Lookup Values'!H:H,0)))</f>
        <v/>
      </c>
      <c r="B360" t="str">
        <f>IF(Table242[[#This Row],[Branch Name]]="","",(_xlfn.XLOOKUP(Table242[[#This Row],[Branch Name]],'Lookup Values'!G:G,'Lookup Values'!I:I,0)))</f>
        <v/>
      </c>
      <c r="C360" t="str">
        <f>IF(Table242[[#This Row],[Journal Description (Service Description)]]="","",1)</f>
        <v/>
      </c>
      <c r="D360" s="2" t="str">
        <f>IF(Table242[[#This Row],[Journal Description (Service Description)]]="","",VLOOKUP(Table242[[#This Row],[Journal Description (Service Description)]],'Lookup Values'!$A:$B,2,FALSE))</f>
        <v/>
      </c>
    </row>
    <row r="361" spans="1:4" hidden="1" x14ac:dyDescent="0.35">
      <c r="A361" t="str">
        <f>IF(Table242[[#This Row],[Branch Name]]="","",(_xlfn.XLOOKUP(Table242[[#This Row],[Branch Name]],'Lookup Values'!G:G,'Lookup Values'!H:H,0)))</f>
        <v/>
      </c>
      <c r="B361" t="str">
        <f>IF(Table242[[#This Row],[Branch Name]]="","",(_xlfn.XLOOKUP(Table242[[#This Row],[Branch Name]],'Lookup Values'!G:G,'Lookup Values'!I:I,0)))</f>
        <v/>
      </c>
      <c r="C361" t="str">
        <f>IF(Table242[[#This Row],[Journal Description (Service Description)]]="","",1)</f>
        <v/>
      </c>
      <c r="D361" s="2" t="str">
        <f>IF(Table242[[#This Row],[Journal Description (Service Description)]]="","",VLOOKUP(Table242[[#This Row],[Journal Description (Service Description)]],'Lookup Values'!$A:$B,2,FALSE))</f>
        <v/>
      </c>
    </row>
    <row r="362" spans="1:4" hidden="1" x14ac:dyDescent="0.35">
      <c r="A362" t="str">
        <f>IF(Table242[[#This Row],[Branch Name]]="","",(_xlfn.XLOOKUP(Table242[[#This Row],[Branch Name]],'Lookup Values'!G:G,'Lookup Values'!H:H,0)))</f>
        <v/>
      </c>
      <c r="B362" t="str">
        <f>IF(Table242[[#This Row],[Branch Name]]="","",(_xlfn.XLOOKUP(Table242[[#This Row],[Branch Name]],'Lookup Values'!G:G,'Lookup Values'!I:I,0)))</f>
        <v/>
      </c>
      <c r="C362" t="str">
        <f>IF(Table242[[#This Row],[Journal Description (Service Description)]]="","",1)</f>
        <v/>
      </c>
      <c r="D362" s="2" t="str">
        <f>IF(Table242[[#This Row],[Journal Description (Service Description)]]="","",VLOOKUP(Table242[[#This Row],[Journal Description (Service Description)]],'Lookup Values'!$A:$B,2,FALSE))</f>
        <v/>
      </c>
    </row>
    <row r="363" spans="1:4" hidden="1" x14ac:dyDescent="0.35">
      <c r="A363" t="str">
        <f>IF(Table242[[#This Row],[Branch Name]]="","",(_xlfn.XLOOKUP(Table242[[#This Row],[Branch Name]],'Lookup Values'!G:G,'Lookup Values'!H:H,0)))</f>
        <v/>
      </c>
      <c r="B363" t="str">
        <f>IF(Table242[[#This Row],[Branch Name]]="","",(_xlfn.XLOOKUP(Table242[[#This Row],[Branch Name]],'Lookup Values'!G:G,'Lookup Values'!I:I,0)))</f>
        <v/>
      </c>
      <c r="C363" t="str">
        <f>IF(Table242[[#This Row],[Journal Description (Service Description)]]="","",1)</f>
        <v/>
      </c>
      <c r="D363" s="2" t="str">
        <f>IF(Table242[[#This Row],[Journal Description (Service Description)]]="","",VLOOKUP(Table242[[#This Row],[Journal Description (Service Description)]],'Lookup Values'!$A:$B,2,FALSE))</f>
        <v/>
      </c>
    </row>
    <row r="364" spans="1:4" hidden="1" x14ac:dyDescent="0.35">
      <c r="A364" t="str">
        <f>IF(Table242[[#This Row],[Branch Name]]="","",(_xlfn.XLOOKUP(Table242[[#This Row],[Branch Name]],'Lookup Values'!G:G,'Lookup Values'!H:H,0)))</f>
        <v/>
      </c>
      <c r="B364" t="str">
        <f>IF(Table242[[#This Row],[Branch Name]]="","",(_xlfn.XLOOKUP(Table242[[#This Row],[Branch Name]],'Lookup Values'!G:G,'Lookup Values'!I:I,0)))</f>
        <v/>
      </c>
      <c r="C364" t="str">
        <f>IF(Table242[[#This Row],[Journal Description (Service Description)]]="","",1)</f>
        <v/>
      </c>
      <c r="D364" s="2" t="str">
        <f>IF(Table242[[#This Row],[Journal Description (Service Description)]]="","",VLOOKUP(Table242[[#This Row],[Journal Description (Service Description)]],'Lookup Values'!$A:$B,2,FALSE))</f>
        <v/>
      </c>
    </row>
    <row r="365" spans="1:4" hidden="1" x14ac:dyDescent="0.35">
      <c r="A365" t="str">
        <f>IF(Table242[[#This Row],[Branch Name]]="","",(_xlfn.XLOOKUP(Table242[[#This Row],[Branch Name]],'Lookup Values'!G:G,'Lookup Values'!H:H,0)))</f>
        <v/>
      </c>
      <c r="B365" t="str">
        <f>IF(Table242[[#This Row],[Branch Name]]="","",(_xlfn.XLOOKUP(Table242[[#This Row],[Branch Name]],'Lookup Values'!G:G,'Lookup Values'!I:I,0)))</f>
        <v/>
      </c>
      <c r="C365" t="str">
        <f>IF(Table242[[#This Row],[Journal Description (Service Description)]]="","",1)</f>
        <v/>
      </c>
      <c r="D365" s="2" t="str">
        <f>IF(Table242[[#This Row],[Journal Description (Service Description)]]="","",VLOOKUP(Table242[[#This Row],[Journal Description (Service Description)]],'Lookup Values'!$A:$B,2,FALSE))</f>
        <v/>
      </c>
    </row>
    <row r="366" spans="1:4" hidden="1" x14ac:dyDescent="0.35">
      <c r="A366" t="str">
        <f>IF(Table242[[#This Row],[Branch Name]]="","",(_xlfn.XLOOKUP(Table242[[#This Row],[Branch Name]],'Lookup Values'!G:G,'Lookup Values'!H:H,0)))</f>
        <v/>
      </c>
      <c r="B366" t="str">
        <f>IF(Table242[[#This Row],[Branch Name]]="","",(_xlfn.XLOOKUP(Table242[[#This Row],[Branch Name]],'Lookup Values'!G:G,'Lookup Values'!I:I,0)))</f>
        <v/>
      </c>
      <c r="C366" t="str">
        <f>IF(Table242[[#This Row],[Journal Description (Service Description)]]="","",1)</f>
        <v/>
      </c>
      <c r="D366" s="2" t="str">
        <f>IF(Table242[[#This Row],[Journal Description (Service Description)]]="","",VLOOKUP(Table242[[#This Row],[Journal Description (Service Description)]],'Lookup Values'!$A:$B,2,FALSE))</f>
        <v/>
      </c>
    </row>
    <row r="367" spans="1:4" hidden="1" x14ac:dyDescent="0.35">
      <c r="A367" t="str">
        <f>IF(Table242[[#This Row],[Branch Name]]="","",(_xlfn.XLOOKUP(Table242[[#This Row],[Branch Name]],'Lookup Values'!G:G,'Lookup Values'!H:H,0)))</f>
        <v/>
      </c>
      <c r="B367" t="str">
        <f>IF(Table242[[#This Row],[Branch Name]]="","",(_xlfn.XLOOKUP(Table242[[#This Row],[Branch Name]],'Lookup Values'!G:G,'Lookup Values'!I:I,0)))</f>
        <v/>
      </c>
      <c r="C367" t="str">
        <f>IF(Table242[[#This Row],[Journal Description (Service Description)]]="","",1)</f>
        <v/>
      </c>
      <c r="D367" s="2" t="str">
        <f>IF(Table242[[#This Row],[Journal Description (Service Description)]]="","",VLOOKUP(Table242[[#This Row],[Journal Description (Service Description)]],'Lookup Values'!$A:$B,2,FALSE))</f>
        <v/>
      </c>
    </row>
    <row r="368" spans="1:4" hidden="1" x14ac:dyDescent="0.35">
      <c r="A368" t="str">
        <f>IF(Table242[[#This Row],[Branch Name]]="","",(_xlfn.XLOOKUP(Table242[[#This Row],[Branch Name]],'Lookup Values'!G:G,'Lookup Values'!H:H,0)))</f>
        <v/>
      </c>
      <c r="B368" t="str">
        <f>IF(Table242[[#This Row],[Branch Name]]="","",(_xlfn.XLOOKUP(Table242[[#This Row],[Branch Name]],'Lookup Values'!G:G,'Lookup Values'!I:I,0)))</f>
        <v/>
      </c>
      <c r="C368" t="str">
        <f>IF(Table242[[#This Row],[Journal Description (Service Description)]]="","",1)</f>
        <v/>
      </c>
      <c r="D368" s="2" t="str">
        <f>IF(Table242[[#This Row],[Journal Description (Service Description)]]="","",VLOOKUP(Table242[[#This Row],[Journal Description (Service Description)]],'Lookup Values'!$A:$B,2,FALSE))</f>
        <v/>
      </c>
    </row>
    <row r="369" spans="1:4" hidden="1" x14ac:dyDescent="0.35">
      <c r="A369" t="str">
        <f>IF(Table242[[#This Row],[Branch Name]]="","",(_xlfn.XLOOKUP(Table242[[#This Row],[Branch Name]],'Lookup Values'!G:G,'Lookup Values'!H:H,0)))</f>
        <v/>
      </c>
      <c r="B369" t="str">
        <f>IF(Table242[[#This Row],[Branch Name]]="","",(_xlfn.XLOOKUP(Table242[[#This Row],[Branch Name]],'Lookup Values'!G:G,'Lookup Values'!I:I,0)))</f>
        <v/>
      </c>
      <c r="C369" t="str">
        <f>IF(Table242[[#This Row],[Journal Description (Service Description)]]="","",1)</f>
        <v/>
      </c>
      <c r="D369" s="2" t="str">
        <f>IF(Table242[[#This Row],[Journal Description (Service Description)]]="","",VLOOKUP(Table242[[#This Row],[Journal Description (Service Description)]],'Lookup Values'!$A:$B,2,FALSE))</f>
        <v/>
      </c>
    </row>
    <row r="370" spans="1:4" hidden="1" x14ac:dyDescent="0.35">
      <c r="A370" t="str">
        <f>IF(Table242[[#This Row],[Branch Name]]="","",(_xlfn.XLOOKUP(Table242[[#This Row],[Branch Name]],'Lookup Values'!G:G,'Lookup Values'!H:H,0)))</f>
        <v/>
      </c>
      <c r="B370" t="str">
        <f>IF(Table242[[#This Row],[Branch Name]]="","",(_xlfn.XLOOKUP(Table242[[#This Row],[Branch Name]],'Lookup Values'!G:G,'Lookup Values'!I:I,0)))</f>
        <v/>
      </c>
      <c r="C370" t="str">
        <f>IF(Table242[[#This Row],[Journal Description (Service Description)]]="","",1)</f>
        <v/>
      </c>
      <c r="D370" s="2" t="str">
        <f>IF(Table242[[#This Row],[Journal Description (Service Description)]]="","",VLOOKUP(Table242[[#This Row],[Journal Description (Service Description)]],'Lookup Values'!$A:$B,2,FALSE))</f>
        <v/>
      </c>
    </row>
    <row r="371" spans="1:4" hidden="1" x14ac:dyDescent="0.35">
      <c r="A371" t="str">
        <f>IF(Table242[[#This Row],[Branch Name]]="","",(_xlfn.XLOOKUP(Table242[[#This Row],[Branch Name]],'Lookup Values'!G:G,'Lookup Values'!H:H,0)))</f>
        <v/>
      </c>
      <c r="B371" t="str">
        <f>IF(Table242[[#This Row],[Branch Name]]="","",(_xlfn.XLOOKUP(Table242[[#This Row],[Branch Name]],'Lookup Values'!G:G,'Lookup Values'!I:I,0)))</f>
        <v/>
      </c>
      <c r="C371" t="str">
        <f>IF(Table242[[#This Row],[Journal Description (Service Description)]]="","",1)</f>
        <v/>
      </c>
      <c r="D371" s="2" t="str">
        <f>IF(Table242[[#This Row],[Journal Description (Service Description)]]="","",VLOOKUP(Table242[[#This Row],[Journal Description (Service Description)]],'Lookup Values'!$A:$B,2,FALSE))</f>
        <v/>
      </c>
    </row>
    <row r="372" spans="1:4" hidden="1" x14ac:dyDescent="0.35">
      <c r="A372" t="str">
        <f>IF(Table242[[#This Row],[Branch Name]]="","",(_xlfn.XLOOKUP(Table242[[#This Row],[Branch Name]],'Lookup Values'!G:G,'Lookup Values'!H:H,0)))</f>
        <v/>
      </c>
      <c r="B372" t="str">
        <f>IF(Table242[[#This Row],[Branch Name]]="","",(_xlfn.XLOOKUP(Table242[[#This Row],[Branch Name]],'Lookup Values'!G:G,'Lookup Values'!I:I,0)))</f>
        <v/>
      </c>
      <c r="C372" t="str">
        <f>IF(Table242[[#This Row],[Journal Description (Service Description)]]="","",1)</f>
        <v/>
      </c>
      <c r="D372" s="2" t="str">
        <f>IF(Table242[[#This Row],[Journal Description (Service Description)]]="","",VLOOKUP(Table242[[#This Row],[Journal Description (Service Description)]],'Lookup Values'!$A:$B,2,FALSE))</f>
        <v/>
      </c>
    </row>
    <row r="373" spans="1:4" hidden="1" x14ac:dyDescent="0.35">
      <c r="A373" t="str">
        <f>IF(Table242[[#This Row],[Branch Name]]="","",(_xlfn.XLOOKUP(Table242[[#This Row],[Branch Name]],'Lookup Values'!G:G,'Lookup Values'!H:H,0)))</f>
        <v/>
      </c>
      <c r="B373" t="str">
        <f>IF(Table242[[#This Row],[Branch Name]]="","",(_xlfn.XLOOKUP(Table242[[#This Row],[Branch Name]],'Lookup Values'!G:G,'Lookup Values'!I:I,0)))</f>
        <v/>
      </c>
      <c r="C373" t="str">
        <f>IF(Table242[[#This Row],[Journal Description (Service Description)]]="","",1)</f>
        <v/>
      </c>
      <c r="D373" s="2" t="str">
        <f>IF(Table242[[#This Row],[Journal Description (Service Description)]]="","",VLOOKUP(Table242[[#This Row],[Journal Description (Service Description)]],'Lookup Values'!$A:$B,2,FALSE))</f>
        <v/>
      </c>
    </row>
    <row r="374" spans="1:4" hidden="1" x14ac:dyDescent="0.35">
      <c r="A374" t="str">
        <f>IF(Table242[[#This Row],[Branch Name]]="","",(_xlfn.XLOOKUP(Table242[[#This Row],[Branch Name]],'Lookup Values'!G:G,'Lookup Values'!H:H,0)))</f>
        <v/>
      </c>
      <c r="B374" t="str">
        <f>IF(Table242[[#This Row],[Branch Name]]="","",(_xlfn.XLOOKUP(Table242[[#This Row],[Branch Name]],'Lookup Values'!G:G,'Lookup Values'!I:I,0)))</f>
        <v/>
      </c>
      <c r="C374" t="str">
        <f>IF(Table242[[#This Row],[Journal Description (Service Description)]]="","",1)</f>
        <v/>
      </c>
      <c r="D374" s="2" t="str">
        <f>IF(Table242[[#This Row],[Journal Description (Service Description)]]="","",VLOOKUP(Table242[[#This Row],[Journal Description (Service Description)]],'Lookup Values'!$A:$B,2,FALSE))</f>
        <v/>
      </c>
    </row>
    <row r="375" spans="1:4" hidden="1" x14ac:dyDescent="0.35">
      <c r="A375" t="str">
        <f>IF(Table242[[#This Row],[Branch Name]]="","",(_xlfn.XLOOKUP(Table242[[#This Row],[Branch Name]],'Lookup Values'!G:G,'Lookup Values'!H:H,0)))</f>
        <v/>
      </c>
      <c r="B375" t="str">
        <f>IF(Table242[[#This Row],[Branch Name]]="","",(_xlfn.XLOOKUP(Table242[[#This Row],[Branch Name]],'Lookup Values'!G:G,'Lookup Values'!I:I,0)))</f>
        <v/>
      </c>
      <c r="C375" t="str">
        <f>IF(Table242[[#This Row],[Journal Description (Service Description)]]="","",1)</f>
        <v/>
      </c>
      <c r="D375" s="2" t="str">
        <f>IF(Table242[[#This Row],[Journal Description (Service Description)]]="","",VLOOKUP(Table242[[#This Row],[Journal Description (Service Description)]],'Lookup Values'!$A:$B,2,FALSE))</f>
        <v/>
      </c>
    </row>
    <row r="376" spans="1:4" hidden="1" x14ac:dyDescent="0.35">
      <c r="A376" t="str">
        <f>IF(Table242[[#This Row],[Branch Name]]="","",(_xlfn.XLOOKUP(Table242[[#This Row],[Branch Name]],'Lookup Values'!G:G,'Lookup Values'!H:H,0)))</f>
        <v/>
      </c>
      <c r="B376" t="str">
        <f>IF(Table242[[#This Row],[Branch Name]]="","",(_xlfn.XLOOKUP(Table242[[#This Row],[Branch Name]],'Lookup Values'!G:G,'Lookup Values'!I:I,0)))</f>
        <v/>
      </c>
      <c r="C376" t="str">
        <f>IF(Table242[[#This Row],[Journal Description (Service Description)]]="","",1)</f>
        <v/>
      </c>
      <c r="D376" s="2" t="str">
        <f>IF(Table242[[#This Row],[Journal Description (Service Description)]]="","",VLOOKUP(Table242[[#This Row],[Journal Description (Service Description)]],'Lookup Values'!$A:$B,2,FALSE))</f>
        <v/>
      </c>
    </row>
    <row r="377" spans="1:4" hidden="1" x14ac:dyDescent="0.35">
      <c r="A377" t="str">
        <f>IF(Table242[[#This Row],[Branch Name]]="","",(_xlfn.XLOOKUP(Table242[[#This Row],[Branch Name]],'Lookup Values'!G:G,'Lookup Values'!H:H,0)))</f>
        <v/>
      </c>
      <c r="B377" t="str">
        <f>IF(Table242[[#This Row],[Branch Name]]="","",(_xlfn.XLOOKUP(Table242[[#This Row],[Branch Name]],'Lookup Values'!G:G,'Lookup Values'!I:I,0)))</f>
        <v/>
      </c>
      <c r="C377" t="str">
        <f>IF(Table242[[#This Row],[Journal Description (Service Description)]]="","",1)</f>
        <v/>
      </c>
      <c r="D377" s="2" t="str">
        <f>IF(Table242[[#This Row],[Journal Description (Service Description)]]="","",VLOOKUP(Table242[[#This Row],[Journal Description (Service Description)]],'Lookup Values'!$A:$B,2,FALSE))</f>
        <v/>
      </c>
    </row>
    <row r="378" spans="1:4" hidden="1" x14ac:dyDescent="0.35">
      <c r="A378" t="str">
        <f>IF(Table242[[#This Row],[Branch Name]]="","",(_xlfn.XLOOKUP(Table242[[#This Row],[Branch Name]],'Lookup Values'!G:G,'Lookup Values'!H:H,0)))</f>
        <v/>
      </c>
      <c r="B378" t="str">
        <f>IF(Table242[[#This Row],[Branch Name]]="","",(_xlfn.XLOOKUP(Table242[[#This Row],[Branch Name]],'Lookup Values'!G:G,'Lookup Values'!I:I,0)))</f>
        <v/>
      </c>
      <c r="C378" t="str">
        <f>IF(Table242[[#This Row],[Journal Description (Service Description)]]="","",1)</f>
        <v/>
      </c>
      <c r="D378" s="2" t="str">
        <f>IF(Table242[[#This Row],[Journal Description (Service Description)]]="","",VLOOKUP(Table242[[#This Row],[Journal Description (Service Description)]],'Lookup Values'!$A:$B,2,FALSE))</f>
        <v/>
      </c>
    </row>
    <row r="379" spans="1:4" hidden="1" x14ac:dyDescent="0.35">
      <c r="A379" t="str">
        <f>IF(Table242[[#This Row],[Branch Name]]="","",(_xlfn.XLOOKUP(Table242[[#This Row],[Branch Name]],'Lookup Values'!G:G,'Lookup Values'!H:H,0)))</f>
        <v/>
      </c>
      <c r="B379" t="str">
        <f>IF(Table242[[#This Row],[Branch Name]]="","",(_xlfn.XLOOKUP(Table242[[#This Row],[Branch Name]],'Lookup Values'!G:G,'Lookup Values'!I:I,0)))</f>
        <v/>
      </c>
      <c r="C379" t="str">
        <f>IF(Table242[[#This Row],[Journal Description (Service Description)]]="","",1)</f>
        <v/>
      </c>
      <c r="D379" s="2" t="str">
        <f>IF(Table242[[#This Row],[Journal Description (Service Description)]]="","",VLOOKUP(Table242[[#This Row],[Journal Description (Service Description)]],'Lookup Values'!$A:$B,2,FALSE))</f>
        <v/>
      </c>
    </row>
    <row r="380" spans="1:4" hidden="1" x14ac:dyDescent="0.35">
      <c r="A380" t="str">
        <f>IF(Table242[[#This Row],[Branch Name]]="","",(_xlfn.XLOOKUP(Table242[[#This Row],[Branch Name]],'Lookup Values'!G:G,'Lookup Values'!H:H,0)))</f>
        <v/>
      </c>
      <c r="B380" t="str">
        <f>IF(Table242[[#This Row],[Branch Name]]="","",(_xlfn.XLOOKUP(Table242[[#This Row],[Branch Name]],'Lookup Values'!G:G,'Lookup Values'!I:I,0)))</f>
        <v/>
      </c>
      <c r="C380" t="str">
        <f>IF(Table242[[#This Row],[Journal Description (Service Description)]]="","",1)</f>
        <v/>
      </c>
      <c r="D380" s="2" t="str">
        <f>IF(Table242[[#This Row],[Journal Description (Service Description)]]="","",VLOOKUP(Table242[[#This Row],[Journal Description (Service Description)]],'Lookup Values'!$A:$B,2,FALSE))</f>
        <v/>
      </c>
    </row>
    <row r="381" spans="1:4" hidden="1" x14ac:dyDescent="0.35">
      <c r="A381" t="str">
        <f>IF(Table242[[#This Row],[Branch Name]]="","",(_xlfn.XLOOKUP(Table242[[#This Row],[Branch Name]],'Lookup Values'!G:G,'Lookup Values'!H:H,0)))</f>
        <v/>
      </c>
      <c r="B381" t="str">
        <f>IF(Table242[[#This Row],[Branch Name]]="","",(_xlfn.XLOOKUP(Table242[[#This Row],[Branch Name]],'Lookup Values'!G:G,'Lookup Values'!I:I,0)))</f>
        <v/>
      </c>
      <c r="C381" t="str">
        <f>IF(Table242[[#This Row],[Journal Description (Service Description)]]="","",1)</f>
        <v/>
      </c>
      <c r="D381" s="2" t="str">
        <f>IF(Table242[[#This Row],[Journal Description (Service Description)]]="","",VLOOKUP(Table242[[#This Row],[Journal Description (Service Description)]],'Lookup Values'!$A:$B,2,FALSE))</f>
        <v/>
      </c>
    </row>
    <row r="382" spans="1:4" hidden="1" x14ac:dyDescent="0.35">
      <c r="A382" t="str">
        <f>IF(Table242[[#This Row],[Branch Name]]="","",(_xlfn.XLOOKUP(Table242[[#This Row],[Branch Name]],'Lookup Values'!G:G,'Lookup Values'!H:H,0)))</f>
        <v/>
      </c>
      <c r="B382" t="str">
        <f>IF(Table242[[#This Row],[Branch Name]]="","",(_xlfn.XLOOKUP(Table242[[#This Row],[Branch Name]],'Lookup Values'!G:G,'Lookup Values'!I:I,0)))</f>
        <v/>
      </c>
      <c r="C382" t="str">
        <f>IF(Table242[[#This Row],[Journal Description (Service Description)]]="","",1)</f>
        <v/>
      </c>
      <c r="D382" s="2" t="str">
        <f>IF(Table242[[#This Row],[Journal Description (Service Description)]]="","",VLOOKUP(Table242[[#This Row],[Journal Description (Service Description)]],'Lookup Values'!$A:$B,2,FALSE))</f>
        <v/>
      </c>
    </row>
    <row r="383" spans="1:4" hidden="1" x14ac:dyDescent="0.35">
      <c r="A383" t="str">
        <f>IF(Table242[[#This Row],[Branch Name]]="","",(_xlfn.XLOOKUP(Table242[[#This Row],[Branch Name]],'Lookup Values'!G:G,'Lookup Values'!H:H,0)))</f>
        <v/>
      </c>
      <c r="B383" t="str">
        <f>IF(Table242[[#This Row],[Branch Name]]="","",(_xlfn.XLOOKUP(Table242[[#This Row],[Branch Name]],'Lookup Values'!G:G,'Lookup Values'!I:I,0)))</f>
        <v/>
      </c>
      <c r="C383" t="str">
        <f>IF(Table242[[#This Row],[Journal Description (Service Description)]]="","",1)</f>
        <v/>
      </c>
      <c r="D383" s="2" t="str">
        <f>IF(Table242[[#This Row],[Journal Description (Service Description)]]="","",VLOOKUP(Table242[[#This Row],[Journal Description (Service Description)]],'Lookup Values'!$A:$B,2,FALSE))</f>
        <v/>
      </c>
    </row>
    <row r="384" spans="1:4" hidden="1" x14ac:dyDescent="0.35">
      <c r="A384" t="str">
        <f>IF(Table242[[#This Row],[Branch Name]]="","",(_xlfn.XLOOKUP(Table242[[#This Row],[Branch Name]],'Lookup Values'!G:G,'Lookup Values'!H:H,0)))</f>
        <v/>
      </c>
      <c r="B384" t="str">
        <f>IF(Table242[[#This Row],[Branch Name]]="","",(_xlfn.XLOOKUP(Table242[[#This Row],[Branch Name]],'Lookup Values'!G:G,'Lookup Values'!I:I,0)))</f>
        <v/>
      </c>
      <c r="C384" t="str">
        <f>IF(Table242[[#This Row],[Journal Description (Service Description)]]="","",1)</f>
        <v/>
      </c>
      <c r="D384" s="2" t="str">
        <f>IF(Table242[[#This Row],[Journal Description (Service Description)]]="","",VLOOKUP(Table242[[#This Row],[Journal Description (Service Description)]],'Lookup Values'!$A:$B,2,FALSE))</f>
        <v/>
      </c>
    </row>
    <row r="385" spans="1:4" hidden="1" x14ac:dyDescent="0.35">
      <c r="A385" t="str">
        <f>IF(Table242[[#This Row],[Branch Name]]="","",(_xlfn.XLOOKUP(Table242[[#This Row],[Branch Name]],'Lookup Values'!G:G,'Lookup Values'!H:H,0)))</f>
        <v/>
      </c>
      <c r="B385" t="str">
        <f>IF(Table242[[#This Row],[Branch Name]]="","",(_xlfn.XLOOKUP(Table242[[#This Row],[Branch Name]],'Lookup Values'!G:G,'Lookup Values'!I:I,0)))</f>
        <v/>
      </c>
      <c r="C385" t="str">
        <f>IF(Table242[[#This Row],[Journal Description (Service Description)]]="","",1)</f>
        <v/>
      </c>
      <c r="D385" s="2" t="str">
        <f>IF(Table242[[#This Row],[Journal Description (Service Description)]]="","",VLOOKUP(Table242[[#This Row],[Journal Description (Service Description)]],'Lookup Values'!$A:$B,2,FALSE))</f>
        <v/>
      </c>
    </row>
    <row r="386" spans="1:4" hidden="1" x14ac:dyDescent="0.35">
      <c r="A386" t="str">
        <f>IF(Table242[[#This Row],[Branch Name]]="","",(_xlfn.XLOOKUP(Table242[[#This Row],[Branch Name]],'Lookup Values'!G:G,'Lookup Values'!H:H,0)))</f>
        <v/>
      </c>
      <c r="B386" t="str">
        <f>IF(Table242[[#This Row],[Branch Name]]="","",(_xlfn.XLOOKUP(Table242[[#This Row],[Branch Name]],'Lookup Values'!G:G,'Lookup Values'!I:I,0)))</f>
        <v/>
      </c>
      <c r="C386" t="str">
        <f>IF(Table242[[#This Row],[Journal Description (Service Description)]]="","",1)</f>
        <v/>
      </c>
      <c r="D386" s="2" t="str">
        <f>IF(Table242[[#This Row],[Journal Description (Service Description)]]="","",VLOOKUP(Table242[[#This Row],[Journal Description (Service Description)]],'Lookup Values'!$A:$B,2,FALSE))</f>
        <v/>
      </c>
    </row>
    <row r="387" spans="1:4" hidden="1" x14ac:dyDescent="0.35">
      <c r="A387" t="str">
        <f>IF(Table242[[#This Row],[Branch Name]]="","",(_xlfn.XLOOKUP(Table242[[#This Row],[Branch Name]],'Lookup Values'!G:G,'Lookup Values'!H:H,0)))</f>
        <v/>
      </c>
      <c r="B387" t="str">
        <f>IF(Table242[[#This Row],[Branch Name]]="","",(_xlfn.XLOOKUP(Table242[[#This Row],[Branch Name]],'Lookup Values'!G:G,'Lookup Values'!I:I,0)))</f>
        <v/>
      </c>
      <c r="C387" t="str">
        <f>IF(Table242[[#This Row],[Journal Description (Service Description)]]="","",1)</f>
        <v/>
      </c>
      <c r="D387" s="2" t="str">
        <f>IF(Table242[[#This Row],[Journal Description (Service Description)]]="","",VLOOKUP(Table242[[#This Row],[Journal Description (Service Description)]],'Lookup Values'!$A:$B,2,FALSE))</f>
        <v/>
      </c>
    </row>
    <row r="388" spans="1:4" hidden="1" x14ac:dyDescent="0.35">
      <c r="A388" t="str">
        <f>IF(Table242[[#This Row],[Branch Name]]="","",(_xlfn.XLOOKUP(Table242[[#This Row],[Branch Name]],'Lookup Values'!G:G,'Lookup Values'!H:H,0)))</f>
        <v/>
      </c>
      <c r="B388" t="str">
        <f>IF(Table242[[#This Row],[Branch Name]]="","",(_xlfn.XLOOKUP(Table242[[#This Row],[Branch Name]],'Lookup Values'!G:G,'Lookup Values'!I:I,0)))</f>
        <v/>
      </c>
      <c r="C388" t="str">
        <f>IF(Table242[[#This Row],[Journal Description (Service Description)]]="","",1)</f>
        <v/>
      </c>
      <c r="D388" s="2" t="str">
        <f>IF(Table242[[#This Row],[Journal Description (Service Description)]]="","",VLOOKUP(Table242[[#This Row],[Journal Description (Service Description)]],'Lookup Values'!$A:$B,2,FALSE))</f>
        <v/>
      </c>
    </row>
    <row r="389" spans="1:4" hidden="1" x14ac:dyDescent="0.35">
      <c r="A389" t="str">
        <f>IF(Table242[[#This Row],[Branch Name]]="","",(_xlfn.XLOOKUP(Table242[[#This Row],[Branch Name]],'Lookup Values'!G:G,'Lookup Values'!H:H,0)))</f>
        <v/>
      </c>
      <c r="B389" t="str">
        <f>IF(Table242[[#This Row],[Branch Name]]="","",(_xlfn.XLOOKUP(Table242[[#This Row],[Branch Name]],'Lookup Values'!G:G,'Lookup Values'!I:I,0)))</f>
        <v/>
      </c>
      <c r="C389" t="str">
        <f>IF(Table242[[#This Row],[Journal Description (Service Description)]]="","",1)</f>
        <v/>
      </c>
      <c r="D389" s="2" t="str">
        <f>IF(Table242[[#This Row],[Journal Description (Service Description)]]="","",VLOOKUP(Table242[[#This Row],[Journal Description (Service Description)]],'Lookup Values'!$A:$B,2,FALSE))</f>
        <v/>
      </c>
    </row>
    <row r="390" spans="1:4" hidden="1" x14ac:dyDescent="0.35">
      <c r="A390" t="str">
        <f>IF(Table242[[#This Row],[Branch Name]]="","",(_xlfn.XLOOKUP(Table242[[#This Row],[Branch Name]],'Lookup Values'!G:G,'Lookup Values'!H:H,0)))</f>
        <v/>
      </c>
      <c r="B390" t="str">
        <f>IF(Table242[[#This Row],[Branch Name]]="","",(_xlfn.XLOOKUP(Table242[[#This Row],[Branch Name]],'Lookup Values'!G:G,'Lookup Values'!I:I,0)))</f>
        <v/>
      </c>
      <c r="C390" t="str">
        <f>IF(Table242[[#This Row],[Journal Description (Service Description)]]="","",1)</f>
        <v/>
      </c>
      <c r="D390" s="2" t="str">
        <f>IF(Table242[[#This Row],[Journal Description (Service Description)]]="","",VLOOKUP(Table242[[#This Row],[Journal Description (Service Description)]],'Lookup Values'!$A:$B,2,FALSE))</f>
        <v/>
      </c>
    </row>
    <row r="391" spans="1:4" hidden="1" x14ac:dyDescent="0.35">
      <c r="A391" t="str">
        <f>IF(Table242[[#This Row],[Branch Name]]="","",(_xlfn.XLOOKUP(Table242[[#This Row],[Branch Name]],'Lookup Values'!G:G,'Lookup Values'!H:H,0)))</f>
        <v/>
      </c>
      <c r="B391" t="str">
        <f>IF(Table242[[#This Row],[Branch Name]]="","",(_xlfn.XLOOKUP(Table242[[#This Row],[Branch Name]],'Lookup Values'!G:G,'Lookup Values'!I:I,0)))</f>
        <v/>
      </c>
      <c r="C391" t="str">
        <f>IF(Table242[[#This Row],[Journal Description (Service Description)]]="","",1)</f>
        <v/>
      </c>
      <c r="D391" s="2" t="str">
        <f>IF(Table242[[#This Row],[Journal Description (Service Description)]]="","",VLOOKUP(Table242[[#This Row],[Journal Description (Service Description)]],'Lookup Values'!$A:$B,2,FALSE))</f>
        <v/>
      </c>
    </row>
    <row r="392" spans="1:4" hidden="1" x14ac:dyDescent="0.35">
      <c r="A392" t="str">
        <f>IF(Table242[[#This Row],[Branch Name]]="","",(_xlfn.XLOOKUP(Table242[[#This Row],[Branch Name]],'Lookup Values'!G:G,'Lookup Values'!H:H,0)))</f>
        <v/>
      </c>
      <c r="B392" t="str">
        <f>IF(Table242[[#This Row],[Branch Name]]="","",(_xlfn.XLOOKUP(Table242[[#This Row],[Branch Name]],'Lookup Values'!G:G,'Lookup Values'!I:I,0)))</f>
        <v/>
      </c>
      <c r="C392" t="str">
        <f>IF(Table242[[#This Row],[Journal Description (Service Description)]]="","",1)</f>
        <v/>
      </c>
      <c r="D392" s="2" t="str">
        <f>IF(Table242[[#This Row],[Journal Description (Service Description)]]="","",VLOOKUP(Table242[[#This Row],[Journal Description (Service Description)]],'Lookup Values'!$A:$B,2,FALSE))</f>
        <v/>
      </c>
    </row>
    <row r="393" spans="1:4" hidden="1" x14ac:dyDescent="0.35">
      <c r="A393" t="str">
        <f>IF(Table242[[#This Row],[Branch Name]]="","",(_xlfn.XLOOKUP(Table242[[#This Row],[Branch Name]],'Lookup Values'!G:G,'Lookup Values'!H:H,0)))</f>
        <v/>
      </c>
      <c r="B393" t="str">
        <f>IF(Table242[[#This Row],[Branch Name]]="","",(_xlfn.XLOOKUP(Table242[[#This Row],[Branch Name]],'Lookup Values'!G:G,'Lookup Values'!I:I,0)))</f>
        <v/>
      </c>
      <c r="C393" t="str">
        <f>IF(Table242[[#This Row],[Journal Description (Service Description)]]="","",1)</f>
        <v/>
      </c>
      <c r="D393" s="2" t="str">
        <f>IF(Table242[[#This Row],[Journal Description (Service Description)]]="","",VLOOKUP(Table242[[#This Row],[Journal Description (Service Description)]],'Lookup Values'!$A:$B,2,FALSE))</f>
        <v/>
      </c>
    </row>
    <row r="394" spans="1:4" hidden="1" x14ac:dyDescent="0.35">
      <c r="A394" t="str">
        <f>IF(Table242[[#This Row],[Branch Name]]="","",(_xlfn.XLOOKUP(Table242[[#This Row],[Branch Name]],'Lookup Values'!G:G,'Lookup Values'!H:H,0)))</f>
        <v/>
      </c>
      <c r="B394" t="str">
        <f>IF(Table242[[#This Row],[Branch Name]]="","",(_xlfn.XLOOKUP(Table242[[#This Row],[Branch Name]],'Lookup Values'!G:G,'Lookup Values'!I:I,0)))</f>
        <v/>
      </c>
      <c r="C394" t="str">
        <f>IF(Table242[[#This Row],[Journal Description (Service Description)]]="","",1)</f>
        <v/>
      </c>
      <c r="D394" s="2" t="str">
        <f>IF(Table242[[#This Row],[Journal Description (Service Description)]]="","",VLOOKUP(Table242[[#This Row],[Journal Description (Service Description)]],'Lookup Values'!$A:$B,2,FALSE))</f>
        <v/>
      </c>
    </row>
    <row r="395" spans="1:4" hidden="1" x14ac:dyDescent="0.35">
      <c r="A395" t="str">
        <f>IF(Table242[[#This Row],[Branch Name]]="","",(_xlfn.XLOOKUP(Table242[[#This Row],[Branch Name]],'Lookup Values'!G:G,'Lookup Values'!H:H,0)))</f>
        <v/>
      </c>
      <c r="B395" t="str">
        <f>IF(Table242[[#This Row],[Branch Name]]="","",(_xlfn.XLOOKUP(Table242[[#This Row],[Branch Name]],'Lookup Values'!G:G,'Lookup Values'!I:I,0)))</f>
        <v/>
      </c>
      <c r="C395" t="str">
        <f>IF(Table242[[#This Row],[Journal Description (Service Description)]]="","",1)</f>
        <v/>
      </c>
      <c r="D395" s="2" t="str">
        <f>IF(Table242[[#This Row],[Journal Description (Service Description)]]="","",VLOOKUP(Table242[[#This Row],[Journal Description (Service Description)]],'Lookup Values'!$A:$B,2,FALSE))</f>
        <v/>
      </c>
    </row>
    <row r="396" spans="1:4" hidden="1" x14ac:dyDescent="0.35">
      <c r="A396" t="str">
        <f>IF(Table242[[#This Row],[Branch Name]]="","",(_xlfn.XLOOKUP(Table242[[#This Row],[Branch Name]],'Lookup Values'!G:G,'Lookup Values'!H:H,0)))</f>
        <v/>
      </c>
      <c r="B396" t="str">
        <f>IF(Table242[[#This Row],[Branch Name]]="","",(_xlfn.XLOOKUP(Table242[[#This Row],[Branch Name]],'Lookup Values'!G:G,'Lookup Values'!I:I,0)))</f>
        <v/>
      </c>
      <c r="C396" t="str">
        <f>IF(Table242[[#This Row],[Journal Description (Service Description)]]="","",1)</f>
        <v/>
      </c>
      <c r="D396" s="2" t="str">
        <f>IF(Table242[[#This Row],[Journal Description (Service Description)]]="","",VLOOKUP(Table242[[#This Row],[Journal Description (Service Description)]],'Lookup Values'!$A:$B,2,FALSE))</f>
        <v/>
      </c>
    </row>
    <row r="397" spans="1:4" hidden="1" x14ac:dyDescent="0.35">
      <c r="A397" t="str">
        <f>IF(Table242[[#This Row],[Branch Name]]="","",(_xlfn.XLOOKUP(Table242[[#This Row],[Branch Name]],'Lookup Values'!G:G,'Lookup Values'!H:H,0)))</f>
        <v/>
      </c>
      <c r="B397" t="str">
        <f>IF(Table242[[#This Row],[Branch Name]]="","",(_xlfn.XLOOKUP(Table242[[#This Row],[Branch Name]],'Lookup Values'!G:G,'Lookup Values'!I:I,0)))</f>
        <v/>
      </c>
      <c r="C397" t="str">
        <f>IF(Table242[[#This Row],[Journal Description (Service Description)]]="","",1)</f>
        <v/>
      </c>
      <c r="D397" s="2" t="str">
        <f>IF(Table242[[#This Row],[Journal Description (Service Description)]]="","",VLOOKUP(Table242[[#This Row],[Journal Description (Service Description)]],'Lookup Values'!$A:$B,2,FALSE))</f>
        <v/>
      </c>
    </row>
    <row r="398" spans="1:4" hidden="1" x14ac:dyDescent="0.35">
      <c r="A398" t="str">
        <f>IF(Table242[[#This Row],[Branch Name]]="","",(_xlfn.XLOOKUP(Table242[[#This Row],[Branch Name]],'Lookup Values'!G:G,'Lookup Values'!H:H,0)))</f>
        <v/>
      </c>
      <c r="B398" t="str">
        <f>IF(Table242[[#This Row],[Branch Name]]="","",(_xlfn.XLOOKUP(Table242[[#This Row],[Branch Name]],'Lookup Values'!G:G,'Lookup Values'!I:I,0)))</f>
        <v/>
      </c>
      <c r="C398" t="str">
        <f>IF(Table242[[#This Row],[Journal Description (Service Description)]]="","",1)</f>
        <v/>
      </c>
      <c r="D398" s="2" t="str">
        <f>IF(Table242[[#This Row],[Journal Description (Service Description)]]="","",VLOOKUP(Table242[[#This Row],[Journal Description (Service Description)]],'Lookup Values'!$A:$B,2,FALSE))</f>
        <v/>
      </c>
    </row>
    <row r="399" spans="1:4" hidden="1" x14ac:dyDescent="0.35">
      <c r="A399" t="str">
        <f>IF(Table242[[#This Row],[Branch Name]]="","",(_xlfn.XLOOKUP(Table242[[#This Row],[Branch Name]],'Lookup Values'!G:G,'Lookup Values'!H:H,0)))</f>
        <v/>
      </c>
      <c r="B399" t="str">
        <f>IF(Table242[[#This Row],[Branch Name]]="","",(_xlfn.XLOOKUP(Table242[[#This Row],[Branch Name]],'Lookup Values'!G:G,'Lookup Values'!I:I,0)))</f>
        <v/>
      </c>
      <c r="C399" t="str">
        <f>IF(Table242[[#This Row],[Journal Description (Service Description)]]="","",1)</f>
        <v/>
      </c>
      <c r="D399" s="2" t="str">
        <f>IF(Table242[[#This Row],[Journal Description (Service Description)]]="","",VLOOKUP(Table242[[#This Row],[Journal Description (Service Description)]],'Lookup Values'!$A:$B,2,FALSE))</f>
        <v/>
      </c>
    </row>
    <row r="400" spans="1:4" hidden="1" x14ac:dyDescent="0.35">
      <c r="A400" t="str">
        <f>IF(Table242[[#This Row],[Branch Name]]="","",(_xlfn.XLOOKUP(Table242[[#This Row],[Branch Name]],'Lookup Values'!G:G,'Lookup Values'!H:H,0)))</f>
        <v/>
      </c>
      <c r="B400" t="str">
        <f>IF(Table242[[#This Row],[Branch Name]]="","",(_xlfn.XLOOKUP(Table242[[#This Row],[Branch Name]],'Lookup Values'!G:G,'Lookup Values'!I:I,0)))</f>
        <v/>
      </c>
      <c r="C400" t="str">
        <f>IF(Table242[[#This Row],[Journal Description (Service Description)]]="","",1)</f>
        <v/>
      </c>
      <c r="D400" s="2" t="str">
        <f>IF(Table242[[#This Row],[Journal Description (Service Description)]]="","",VLOOKUP(Table242[[#This Row],[Journal Description (Service Description)]],'Lookup Values'!$A:$B,2,FALSE))</f>
        <v/>
      </c>
    </row>
    <row r="401" spans="1:4" hidden="1" x14ac:dyDescent="0.35">
      <c r="A401" t="str">
        <f>IF(Table242[[#This Row],[Branch Name]]="","",(_xlfn.XLOOKUP(Table242[[#This Row],[Branch Name]],'Lookup Values'!G:G,'Lookup Values'!H:H,0)))</f>
        <v/>
      </c>
      <c r="B401" t="str">
        <f>IF(Table242[[#This Row],[Branch Name]]="","",(_xlfn.XLOOKUP(Table242[[#This Row],[Branch Name]],'Lookup Values'!G:G,'Lookup Values'!I:I,0)))</f>
        <v/>
      </c>
      <c r="C401" t="str">
        <f>IF(Table242[[#This Row],[Journal Description (Service Description)]]="","",1)</f>
        <v/>
      </c>
      <c r="D401" s="2" t="str">
        <f>IF(Table242[[#This Row],[Journal Description (Service Description)]]="","",VLOOKUP(Table242[[#This Row],[Journal Description (Service Description)]],'Lookup Values'!$A:$B,2,FALSE))</f>
        <v/>
      </c>
    </row>
    <row r="402" spans="1:4" hidden="1" x14ac:dyDescent="0.35">
      <c r="A402" t="str">
        <f>IF(Table242[[#This Row],[Branch Name]]="","",(_xlfn.XLOOKUP(Table242[[#This Row],[Branch Name]],'Lookup Values'!G:G,'Lookup Values'!H:H,0)))</f>
        <v/>
      </c>
      <c r="B402" t="str">
        <f>IF(Table242[[#This Row],[Branch Name]]="","",(_xlfn.XLOOKUP(Table242[[#This Row],[Branch Name]],'Lookup Values'!G:G,'Lookup Values'!I:I,0)))</f>
        <v/>
      </c>
      <c r="C402" t="str">
        <f>IF(Table242[[#This Row],[Journal Description (Service Description)]]="","",1)</f>
        <v/>
      </c>
      <c r="D402" s="2" t="str">
        <f>IF(Table242[[#This Row],[Journal Description (Service Description)]]="","",VLOOKUP(Table242[[#This Row],[Journal Description (Service Description)]],'Lookup Values'!$A:$B,2,FALSE))</f>
        <v/>
      </c>
    </row>
    <row r="403" spans="1:4" hidden="1" x14ac:dyDescent="0.35">
      <c r="A403" t="str">
        <f>IF(Table242[[#This Row],[Branch Name]]="","",(_xlfn.XLOOKUP(Table242[[#This Row],[Branch Name]],'Lookup Values'!G:G,'Lookup Values'!H:H,0)))</f>
        <v/>
      </c>
      <c r="B403" t="str">
        <f>IF(Table242[[#This Row],[Branch Name]]="","",(_xlfn.XLOOKUP(Table242[[#This Row],[Branch Name]],'Lookup Values'!G:G,'Lookup Values'!I:I,0)))</f>
        <v/>
      </c>
      <c r="C403" t="str">
        <f>IF(Table242[[#This Row],[Journal Description (Service Description)]]="","",1)</f>
        <v/>
      </c>
      <c r="D403" s="2" t="str">
        <f>IF(Table242[[#This Row],[Journal Description (Service Description)]]="","",VLOOKUP(Table242[[#This Row],[Journal Description (Service Description)]],'Lookup Values'!$A:$B,2,FALSE))</f>
        <v/>
      </c>
    </row>
    <row r="404" spans="1:4" hidden="1" x14ac:dyDescent="0.35">
      <c r="A404" t="str">
        <f>IF(Table242[[#This Row],[Branch Name]]="","",(_xlfn.XLOOKUP(Table242[[#This Row],[Branch Name]],'Lookup Values'!G:G,'Lookup Values'!H:H,0)))</f>
        <v/>
      </c>
      <c r="B404" t="str">
        <f>IF(Table242[[#This Row],[Branch Name]]="","",(_xlfn.XLOOKUP(Table242[[#This Row],[Branch Name]],'Lookup Values'!G:G,'Lookup Values'!I:I,0)))</f>
        <v/>
      </c>
      <c r="C404" t="str">
        <f>IF(Table242[[#This Row],[Journal Description (Service Description)]]="","",1)</f>
        <v/>
      </c>
      <c r="D404" s="2" t="str">
        <f>IF(Table242[[#This Row],[Journal Description (Service Description)]]="","",VLOOKUP(Table242[[#This Row],[Journal Description (Service Description)]],'Lookup Values'!$A:$B,2,FALSE))</f>
        <v/>
      </c>
    </row>
    <row r="405" spans="1:4" hidden="1" x14ac:dyDescent="0.35">
      <c r="A405" t="str">
        <f>IF(Table242[[#This Row],[Branch Name]]="","",(_xlfn.XLOOKUP(Table242[[#This Row],[Branch Name]],'Lookup Values'!G:G,'Lookup Values'!H:H,0)))</f>
        <v/>
      </c>
      <c r="B405" t="str">
        <f>IF(Table242[[#This Row],[Branch Name]]="","",(_xlfn.XLOOKUP(Table242[[#This Row],[Branch Name]],'Lookup Values'!G:G,'Lookup Values'!I:I,0)))</f>
        <v/>
      </c>
      <c r="C405" t="str">
        <f>IF(Table242[[#This Row],[Journal Description (Service Description)]]="","",1)</f>
        <v/>
      </c>
      <c r="D405" s="2" t="str">
        <f>IF(Table242[[#This Row],[Journal Description (Service Description)]]="","",VLOOKUP(Table242[[#This Row],[Journal Description (Service Description)]],'Lookup Values'!$A:$B,2,FALSE))</f>
        <v/>
      </c>
    </row>
    <row r="406" spans="1:4" hidden="1" x14ac:dyDescent="0.35">
      <c r="A406" t="str">
        <f>IF(Table242[[#This Row],[Branch Name]]="","",(_xlfn.XLOOKUP(Table242[[#This Row],[Branch Name]],'Lookup Values'!G:G,'Lookup Values'!H:H,0)))</f>
        <v/>
      </c>
      <c r="B406" t="str">
        <f>IF(Table242[[#This Row],[Branch Name]]="","",(_xlfn.XLOOKUP(Table242[[#This Row],[Branch Name]],'Lookup Values'!G:G,'Lookup Values'!I:I,0)))</f>
        <v/>
      </c>
      <c r="C406" t="str">
        <f>IF(Table242[[#This Row],[Journal Description (Service Description)]]="","",1)</f>
        <v/>
      </c>
      <c r="D406" s="2" t="str">
        <f>IF(Table242[[#This Row],[Journal Description (Service Description)]]="","",VLOOKUP(Table242[[#This Row],[Journal Description (Service Description)]],'Lookup Values'!$A:$B,2,FALSE))</f>
        <v/>
      </c>
    </row>
    <row r="407" spans="1:4" hidden="1" x14ac:dyDescent="0.35">
      <c r="A407" t="str">
        <f>IF(Table242[[#This Row],[Branch Name]]="","",(_xlfn.XLOOKUP(Table242[[#This Row],[Branch Name]],'Lookup Values'!G:G,'Lookup Values'!H:H,0)))</f>
        <v/>
      </c>
      <c r="B407" t="str">
        <f>IF(Table242[[#This Row],[Branch Name]]="","",(_xlfn.XLOOKUP(Table242[[#This Row],[Branch Name]],'Lookup Values'!G:G,'Lookup Values'!I:I,0)))</f>
        <v/>
      </c>
      <c r="C407" t="str">
        <f>IF(Table242[[#This Row],[Journal Description (Service Description)]]="","",1)</f>
        <v/>
      </c>
      <c r="D407" s="2" t="str">
        <f>IF(Table242[[#This Row],[Journal Description (Service Description)]]="","",VLOOKUP(Table242[[#This Row],[Journal Description (Service Description)]],'Lookup Values'!$A:$B,2,FALSE))</f>
        <v/>
      </c>
    </row>
    <row r="408" spans="1:4" hidden="1" x14ac:dyDescent="0.35">
      <c r="A408" t="str">
        <f>IF(Table242[[#This Row],[Branch Name]]="","",(_xlfn.XLOOKUP(Table242[[#This Row],[Branch Name]],'Lookup Values'!G:G,'Lookup Values'!H:H,0)))</f>
        <v/>
      </c>
      <c r="B408" t="str">
        <f>IF(Table242[[#This Row],[Branch Name]]="","",(_xlfn.XLOOKUP(Table242[[#This Row],[Branch Name]],'Lookup Values'!G:G,'Lookup Values'!I:I,0)))</f>
        <v/>
      </c>
      <c r="C408" t="str">
        <f>IF(Table242[[#This Row],[Journal Description (Service Description)]]="","",1)</f>
        <v/>
      </c>
      <c r="D408" s="2" t="str">
        <f>IF(Table242[[#This Row],[Journal Description (Service Description)]]="","",VLOOKUP(Table242[[#This Row],[Journal Description (Service Description)]],'Lookup Values'!$A:$B,2,FALSE))</f>
        <v/>
      </c>
    </row>
    <row r="409" spans="1:4" hidden="1" x14ac:dyDescent="0.35">
      <c r="A409" t="str">
        <f>IF(Table242[[#This Row],[Branch Name]]="","",(_xlfn.XLOOKUP(Table242[[#This Row],[Branch Name]],'Lookup Values'!G:G,'Lookup Values'!H:H,0)))</f>
        <v/>
      </c>
      <c r="B409" t="str">
        <f>IF(Table242[[#This Row],[Branch Name]]="","",(_xlfn.XLOOKUP(Table242[[#This Row],[Branch Name]],'Lookup Values'!G:G,'Lookup Values'!I:I,0)))</f>
        <v/>
      </c>
      <c r="C409" t="str">
        <f>IF(Table242[[#This Row],[Journal Description (Service Description)]]="","",1)</f>
        <v/>
      </c>
      <c r="D409" s="2" t="str">
        <f>IF(Table242[[#This Row],[Journal Description (Service Description)]]="","",VLOOKUP(Table242[[#This Row],[Journal Description (Service Description)]],'Lookup Values'!$A:$B,2,FALSE))</f>
        <v/>
      </c>
    </row>
    <row r="410" spans="1:4" hidden="1" x14ac:dyDescent="0.35">
      <c r="A410" t="str">
        <f>IF(Table242[[#This Row],[Branch Name]]="","",(_xlfn.XLOOKUP(Table242[[#This Row],[Branch Name]],'Lookup Values'!G:G,'Lookup Values'!H:H,0)))</f>
        <v/>
      </c>
      <c r="B410" t="str">
        <f>IF(Table242[[#This Row],[Branch Name]]="","",(_xlfn.XLOOKUP(Table242[[#This Row],[Branch Name]],'Lookup Values'!G:G,'Lookup Values'!I:I,0)))</f>
        <v/>
      </c>
      <c r="C410" t="str">
        <f>IF(Table242[[#This Row],[Journal Description (Service Description)]]="","",1)</f>
        <v/>
      </c>
      <c r="D410" s="2" t="str">
        <f>IF(Table242[[#This Row],[Journal Description (Service Description)]]="","",VLOOKUP(Table242[[#This Row],[Journal Description (Service Description)]],'Lookup Values'!$A:$B,2,FALSE))</f>
        <v/>
      </c>
    </row>
    <row r="411" spans="1:4" hidden="1" x14ac:dyDescent="0.35">
      <c r="A411" t="str">
        <f>IF(Table242[[#This Row],[Branch Name]]="","",(_xlfn.XLOOKUP(Table242[[#This Row],[Branch Name]],'Lookup Values'!G:G,'Lookup Values'!H:H,0)))</f>
        <v/>
      </c>
      <c r="B411" t="str">
        <f>IF(Table242[[#This Row],[Branch Name]]="","",(_xlfn.XLOOKUP(Table242[[#This Row],[Branch Name]],'Lookup Values'!G:G,'Lookup Values'!I:I,0)))</f>
        <v/>
      </c>
      <c r="C411" t="str">
        <f>IF(Table242[[#This Row],[Journal Description (Service Description)]]="","",1)</f>
        <v/>
      </c>
      <c r="D411" s="2" t="str">
        <f>IF(Table242[[#This Row],[Journal Description (Service Description)]]="","",VLOOKUP(Table242[[#This Row],[Journal Description (Service Description)]],'Lookup Values'!$A:$B,2,FALSE))</f>
        <v/>
      </c>
    </row>
    <row r="412" spans="1:4" hidden="1" x14ac:dyDescent="0.35">
      <c r="A412" t="str">
        <f>IF(Table242[[#This Row],[Branch Name]]="","",(_xlfn.XLOOKUP(Table242[[#This Row],[Branch Name]],'Lookup Values'!G:G,'Lookup Values'!H:H,0)))</f>
        <v/>
      </c>
      <c r="B412" t="str">
        <f>IF(Table242[[#This Row],[Branch Name]]="","",(_xlfn.XLOOKUP(Table242[[#This Row],[Branch Name]],'Lookup Values'!G:G,'Lookup Values'!I:I,0)))</f>
        <v/>
      </c>
      <c r="C412" t="str">
        <f>IF(Table242[[#This Row],[Journal Description (Service Description)]]="","",1)</f>
        <v/>
      </c>
      <c r="D412" s="2" t="str">
        <f>IF(Table242[[#This Row],[Journal Description (Service Description)]]="","",VLOOKUP(Table242[[#This Row],[Journal Description (Service Description)]],'Lookup Values'!$A:$B,2,FALSE))</f>
        <v/>
      </c>
    </row>
    <row r="413" spans="1:4" hidden="1" x14ac:dyDescent="0.35">
      <c r="A413" t="str">
        <f>IF(Table242[[#This Row],[Branch Name]]="","",(_xlfn.XLOOKUP(Table242[[#This Row],[Branch Name]],'Lookup Values'!G:G,'Lookup Values'!H:H,0)))</f>
        <v/>
      </c>
      <c r="B413" t="str">
        <f>IF(Table242[[#This Row],[Branch Name]]="","",(_xlfn.XLOOKUP(Table242[[#This Row],[Branch Name]],'Lookup Values'!G:G,'Lookup Values'!I:I,0)))</f>
        <v/>
      </c>
      <c r="C413" t="str">
        <f>IF(Table242[[#This Row],[Journal Description (Service Description)]]="","",1)</f>
        <v/>
      </c>
      <c r="D413" s="2" t="str">
        <f>IF(Table242[[#This Row],[Journal Description (Service Description)]]="","",VLOOKUP(Table242[[#This Row],[Journal Description (Service Description)]],'Lookup Values'!$A:$B,2,FALSE))</f>
        <v/>
      </c>
    </row>
    <row r="414" spans="1:4" hidden="1" x14ac:dyDescent="0.35">
      <c r="A414" t="str">
        <f>IF(Table242[[#This Row],[Branch Name]]="","",(_xlfn.XLOOKUP(Table242[[#This Row],[Branch Name]],'Lookup Values'!G:G,'Lookup Values'!H:H,0)))</f>
        <v/>
      </c>
      <c r="B414" t="str">
        <f>IF(Table242[[#This Row],[Branch Name]]="","",(_xlfn.XLOOKUP(Table242[[#This Row],[Branch Name]],'Lookup Values'!G:G,'Lookup Values'!I:I,0)))</f>
        <v/>
      </c>
      <c r="C414" t="str">
        <f>IF(Table242[[#This Row],[Journal Description (Service Description)]]="","",1)</f>
        <v/>
      </c>
      <c r="D414" s="2" t="str">
        <f>IF(Table242[[#This Row],[Journal Description (Service Description)]]="","",VLOOKUP(Table242[[#This Row],[Journal Description (Service Description)]],'Lookup Values'!$A:$B,2,FALSE))</f>
        <v/>
      </c>
    </row>
    <row r="415" spans="1:4" hidden="1" x14ac:dyDescent="0.35">
      <c r="A415" t="str">
        <f>IF(Table242[[#This Row],[Branch Name]]="","",(_xlfn.XLOOKUP(Table242[[#This Row],[Branch Name]],'Lookup Values'!G:G,'Lookup Values'!H:H,0)))</f>
        <v/>
      </c>
      <c r="B415" t="str">
        <f>IF(Table242[[#This Row],[Branch Name]]="","",(_xlfn.XLOOKUP(Table242[[#This Row],[Branch Name]],'Lookup Values'!G:G,'Lookup Values'!I:I,0)))</f>
        <v/>
      </c>
      <c r="C415" t="str">
        <f>IF(Table242[[#This Row],[Journal Description (Service Description)]]="","",1)</f>
        <v/>
      </c>
      <c r="D415" s="2" t="str">
        <f>IF(Table242[[#This Row],[Journal Description (Service Description)]]="","",VLOOKUP(Table242[[#This Row],[Journal Description (Service Description)]],'Lookup Values'!$A:$B,2,FALSE))</f>
        <v/>
      </c>
    </row>
    <row r="416" spans="1:4" hidden="1" x14ac:dyDescent="0.35">
      <c r="A416" t="str">
        <f>IF(Table242[[#This Row],[Branch Name]]="","",(_xlfn.XLOOKUP(Table242[[#This Row],[Branch Name]],'Lookup Values'!G:G,'Lookup Values'!H:H,0)))</f>
        <v/>
      </c>
      <c r="B416" t="str">
        <f>IF(Table242[[#This Row],[Branch Name]]="","",(_xlfn.XLOOKUP(Table242[[#This Row],[Branch Name]],'Lookup Values'!G:G,'Lookup Values'!I:I,0)))</f>
        <v/>
      </c>
      <c r="C416" t="str">
        <f>IF(Table242[[#This Row],[Journal Description (Service Description)]]="","",1)</f>
        <v/>
      </c>
      <c r="D416" s="2" t="str">
        <f>IF(Table242[[#This Row],[Journal Description (Service Description)]]="","",VLOOKUP(Table242[[#This Row],[Journal Description (Service Description)]],'Lookup Values'!$A:$B,2,FALSE))</f>
        <v/>
      </c>
    </row>
    <row r="417" spans="1:4" hidden="1" x14ac:dyDescent="0.35">
      <c r="A417" t="str">
        <f>IF(Table242[[#This Row],[Branch Name]]="","",(_xlfn.XLOOKUP(Table242[[#This Row],[Branch Name]],'Lookup Values'!G:G,'Lookup Values'!H:H,0)))</f>
        <v/>
      </c>
      <c r="B417" t="str">
        <f>IF(Table242[[#This Row],[Branch Name]]="","",(_xlfn.XLOOKUP(Table242[[#This Row],[Branch Name]],'Lookup Values'!G:G,'Lookup Values'!I:I,0)))</f>
        <v/>
      </c>
      <c r="C417" t="str">
        <f>IF(Table242[[#This Row],[Journal Description (Service Description)]]="","",1)</f>
        <v/>
      </c>
      <c r="D417" s="2" t="str">
        <f>IF(Table242[[#This Row],[Journal Description (Service Description)]]="","",VLOOKUP(Table242[[#This Row],[Journal Description (Service Description)]],'Lookup Values'!$A:$B,2,FALSE))</f>
        <v/>
      </c>
    </row>
    <row r="418" spans="1:4" hidden="1" x14ac:dyDescent="0.35">
      <c r="A418" t="str">
        <f>IF(Table242[[#This Row],[Branch Name]]="","",(_xlfn.XLOOKUP(Table242[[#This Row],[Branch Name]],'Lookup Values'!G:G,'Lookup Values'!H:H,0)))</f>
        <v/>
      </c>
      <c r="B418" t="str">
        <f>IF(Table242[[#This Row],[Branch Name]]="","",(_xlfn.XLOOKUP(Table242[[#This Row],[Branch Name]],'Lookup Values'!G:G,'Lookup Values'!I:I,0)))</f>
        <v/>
      </c>
      <c r="C418" t="str">
        <f>IF(Table242[[#This Row],[Journal Description (Service Description)]]="","",1)</f>
        <v/>
      </c>
      <c r="D418" s="2" t="str">
        <f>IF(Table242[[#This Row],[Journal Description (Service Description)]]="","",VLOOKUP(Table242[[#This Row],[Journal Description (Service Description)]],'Lookup Values'!$A:$B,2,FALSE))</f>
        <v/>
      </c>
    </row>
    <row r="419" spans="1:4" hidden="1" x14ac:dyDescent="0.35">
      <c r="A419" t="str">
        <f>IF(Table242[[#This Row],[Branch Name]]="","",(_xlfn.XLOOKUP(Table242[[#This Row],[Branch Name]],'Lookup Values'!G:G,'Lookup Values'!H:H,0)))</f>
        <v/>
      </c>
      <c r="B419" t="str">
        <f>IF(Table242[[#This Row],[Branch Name]]="","",(_xlfn.XLOOKUP(Table242[[#This Row],[Branch Name]],'Lookup Values'!G:G,'Lookup Values'!I:I,0)))</f>
        <v/>
      </c>
      <c r="C419" t="str">
        <f>IF(Table242[[#This Row],[Journal Description (Service Description)]]="","",1)</f>
        <v/>
      </c>
      <c r="D419" s="2" t="str">
        <f>IF(Table242[[#This Row],[Journal Description (Service Description)]]="","",VLOOKUP(Table242[[#This Row],[Journal Description (Service Description)]],'Lookup Values'!$A:$B,2,FALSE))</f>
        <v/>
      </c>
    </row>
    <row r="420" spans="1:4" hidden="1" x14ac:dyDescent="0.35">
      <c r="A420" t="str">
        <f>IF(Table242[[#This Row],[Branch Name]]="","",(_xlfn.XLOOKUP(Table242[[#This Row],[Branch Name]],'Lookup Values'!G:G,'Lookup Values'!H:H,0)))</f>
        <v/>
      </c>
      <c r="B420" t="str">
        <f>IF(Table242[[#This Row],[Branch Name]]="","",(_xlfn.XLOOKUP(Table242[[#This Row],[Branch Name]],'Lookup Values'!G:G,'Lookup Values'!I:I,0)))</f>
        <v/>
      </c>
      <c r="C420" t="str">
        <f>IF(Table242[[#This Row],[Journal Description (Service Description)]]="","",1)</f>
        <v/>
      </c>
      <c r="D420" s="2" t="str">
        <f>IF(Table242[[#This Row],[Journal Description (Service Description)]]="","",VLOOKUP(Table242[[#This Row],[Journal Description (Service Description)]],'Lookup Values'!$A:$B,2,FALSE))</f>
        <v/>
      </c>
    </row>
    <row r="421" spans="1:4" hidden="1" x14ac:dyDescent="0.35">
      <c r="A421" t="str">
        <f>IF(Table242[[#This Row],[Branch Name]]="","",(_xlfn.XLOOKUP(Table242[[#This Row],[Branch Name]],'Lookup Values'!G:G,'Lookup Values'!H:H,0)))</f>
        <v/>
      </c>
      <c r="B421" t="str">
        <f>IF(Table242[[#This Row],[Branch Name]]="","",(_xlfn.XLOOKUP(Table242[[#This Row],[Branch Name]],'Lookup Values'!G:G,'Lookup Values'!I:I,0)))</f>
        <v/>
      </c>
      <c r="C421" t="str">
        <f>IF(Table242[[#This Row],[Journal Description (Service Description)]]="","",1)</f>
        <v/>
      </c>
      <c r="D421" s="2" t="str">
        <f>IF(Table242[[#This Row],[Journal Description (Service Description)]]="","",VLOOKUP(Table242[[#This Row],[Journal Description (Service Description)]],'Lookup Values'!$A:$B,2,FALSE))</f>
        <v/>
      </c>
    </row>
    <row r="422" spans="1:4" hidden="1" x14ac:dyDescent="0.35">
      <c r="A422" t="str">
        <f>IF(Table242[[#This Row],[Branch Name]]="","",(_xlfn.XLOOKUP(Table242[[#This Row],[Branch Name]],'Lookup Values'!G:G,'Lookup Values'!H:H,0)))</f>
        <v/>
      </c>
      <c r="B422" t="str">
        <f>IF(Table242[[#This Row],[Branch Name]]="","",(_xlfn.XLOOKUP(Table242[[#This Row],[Branch Name]],'Lookup Values'!G:G,'Lookup Values'!I:I,0)))</f>
        <v/>
      </c>
      <c r="C422" t="str">
        <f>IF(Table242[[#This Row],[Journal Description (Service Description)]]="","",1)</f>
        <v/>
      </c>
      <c r="D422" s="2" t="str">
        <f>IF(Table242[[#This Row],[Journal Description (Service Description)]]="","",VLOOKUP(Table242[[#This Row],[Journal Description (Service Description)]],'Lookup Values'!$A:$B,2,FALSE))</f>
        <v/>
      </c>
    </row>
    <row r="423" spans="1:4" hidden="1" x14ac:dyDescent="0.35">
      <c r="A423" t="str">
        <f>IF(Table242[[#This Row],[Branch Name]]="","",(_xlfn.XLOOKUP(Table242[[#This Row],[Branch Name]],'Lookup Values'!G:G,'Lookup Values'!H:H,0)))</f>
        <v/>
      </c>
      <c r="B423" t="str">
        <f>IF(Table242[[#This Row],[Branch Name]]="","",(_xlfn.XLOOKUP(Table242[[#This Row],[Branch Name]],'Lookup Values'!G:G,'Lookup Values'!I:I,0)))</f>
        <v/>
      </c>
      <c r="C423" t="str">
        <f>IF(Table242[[#This Row],[Journal Description (Service Description)]]="","",1)</f>
        <v/>
      </c>
      <c r="D423" s="2" t="str">
        <f>IF(Table242[[#This Row],[Journal Description (Service Description)]]="","",VLOOKUP(Table242[[#This Row],[Journal Description (Service Description)]],'Lookup Values'!$A:$B,2,FALSE))</f>
        <v/>
      </c>
    </row>
    <row r="424" spans="1:4" hidden="1" x14ac:dyDescent="0.35">
      <c r="A424" t="str">
        <f>IF(Table242[[#This Row],[Branch Name]]="","",(_xlfn.XLOOKUP(Table242[[#This Row],[Branch Name]],'Lookup Values'!G:G,'Lookup Values'!H:H,0)))</f>
        <v/>
      </c>
      <c r="B424" t="str">
        <f>IF(Table242[[#This Row],[Branch Name]]="","",(_xlfn.XLOOKUP(Table242[[#This Row],[Branch Name]],'Lookup Values'!G:G,'Lookup Values'!I:I,0)))</f>
        <v/>
      </c>
      <c r="C424" t="str">
        <f>IF(Table242[[#This Row],[Journal Description (Service Description)]]="","",1)</f>
        <v/>
      </c>
      <c r="D424" s="2" t="str">
        <f>IF(Table242[[#This Row],[Journal Description (Service Description)]]="","",VLOOKUP(Table242[[#This Row],[Journal Description (Service Description)]],'Lookup Values'!$A:$B,2,FALSE))</f>
        <v/>
      </c>
    </row>
    <row r="425" spans="1:4" hidden="1" x14ac:dyDescent="0.35">
      <c r="A425" t="str">
        <f>IF(Table242[[#This Row],[Branch Name]]="","",(_xlfn.XLOOKUP(Table242[[#This Row],[Branch Name]],'Lookup Values'!G:G,'Lookup Values'!H:H,0)))</f>
        <v/>
      </c>
      <c r="B425" t="str">
        <f>IF(Table242[[#This Row],[Branch Name]]="","",(_xlfn.XLOOKUP(Table242[[#This Row],[Branch Name]],'Lookup Values'!G:G,'Lookup Values'!I:I,0)))</f>
        <v/>
      </c>
      <c r="C425" t="str">
        <f>IF(Table242[[#This Row],[Journal Description (Service Description)]]="","",1)</f>
        <v/>
      </c>
      <c r="D425" s="2" t="str">
        <f>IF(Table242[[#This Row],[Journal Description (Service Description)]]="","",VLOOKUP(Table242[[#This Row],[Journal Description (Service Description)]],'Lookup Values'!$A:$B,2,FALSE))</f>
        <v/>
      </c>
    </row>
    <row r="426" spans="1:4" hidden="1" x14ac:dyDescent="0.35">
      <c r="A426" t="str">
        <f>IF(Table242[[#This Row],[Branch Name]]="","",(_xlfn.XLOOKUP(Table242[[#This Row],[Branch Name]],'Lookup Values'!G:G,'Lookup Values'!H:H,0)))</f>
        <v/>
      </c>
      <c r="B426" t="str">
        <f>IF(Table242[[#This Row],[Branch Name]]="","",(_xlfn.XLOOKUP(Table242[[#This Row],[Branch Name]],'Lookup Values'!G:G,'Lookup Values'!I:I,0)))</f>
        <v/>
      </c>
      <c r="C426" t="str">
        <f>IF(Table242[[#This Row],[Journal Description (Service Description)]]="","",1)</f>
        <v/>
      </c>
      <c r="D426" s="2" t="str">
        <f>IF(Table242[[#This Row],[Journal Description (Service Description)]]="","",VLOOKUP(Table242[[#This Row],[Journal Description (Service Description)]],'Lookup Values'!$A:$B,2,FALSE))</f>
        <v/>
      </c>
    </row>
    <row r="427" spans="1:4" hidden="1" x14ac:dyDescent="0.35">
      <c r="A427" t="str">
        <f>IF(Table242[[#This Row],[Branch Name]]="","",(_xlfn.XLOOKUP(Table242[[#This Row],[Branch Name]],'Lookup Values'!G:G,'Lookup Values'!H:H,0)))</f>
        <v/>
      </c>
      <c r="B427" t="str">
        <f>IF(Table242[[#This Row],[Branch Name]]="","",(_xlfn.XLOOKUP(Table242[[#This Row],[Branch Name]],'Lookup Values'!G:G,'Lookup Values'!I:I,0)))</f>
        <v/>
      </c>
      <c r="C427" t="str">
        <f>IF(Table242[[#This Row],[Journal Description (Service Description)]]="","",1)</f>
        <v/>
      </c>
      <c r="D427" s="2" t="str">
        <f>IF(Table242[[#This Row],[Journal Description (Service Description)]]="","",VLOOKUP(Table242[[#This Row],[Journal Description (Service Description)]],'Lookup Values'!$A:$B,2,FALSE))</f>
        <v/>
      </c>
    </row>
    <row r="428" spans="1:4" hidden="1" x14ac:dyDescent="0.35">
      <c r="A428" t="str">
        <f>IF(Table242[[#This Row],[Branch Name]]="","",(_xlfn.XLOOKUP(Table242[[#This Row],[Branch Name]],'Lookup Values'!G:G,'Lookup Values'!H:H,0)))</f>
        <v/>
      </c>
      <c r="B428" t="str">
        <f>IF(Table242[[#This Row],[Branch Name]]="","",(_xlfn.XLOOKUP(Table242[[#This Row],[Branch Name]],'Lookup Values'!G:G,'Lookup Values'!I:I,0)))</f>
        <v/>
      </c>
      <c r="C428" t="str">
        <f>IF(Table242[[#This Row],[Journal Description (Service Description)]]="","",1)</f>
        <v/>
      </c>
      <c r="D428" s="2" t="str">
        <f>IF(Table242[[#This Row],[Journal Description (Service Description)]]="","",VLOOKUP(Table242[[#This Row],[Journal Description (Service Description)]],'Lookup Values'!$A:$B,2,FALSE))</f>
        <v/>
      </c>
    </row>
    <row r="429" spans="1:4" hidden="1" x14ac:dyDescent="0.35">
      <c r="A429" t="str">
        <f>IF(Table242[[#This Row],[Branch Name]]="","",(_xlfn.XLOOKUP(Table242[[#This Row],[Branch Name]],'Lookup Values'!G:G,'Lookup Values'!H:H,0)))</f>
        <v/>
      </c>
      <c r="B429" t="str">
        <f>IF(Table242[[#This Row],[Branch Name]]="","",(_xlfn.XLOOKUP(Table242[[#This Row],[Branch Name]],'Lookup Values'!G:G,'Lookup Values'!I:I,0)))</f>
        <v/>
      </c>
      <c r="C429" t="str">
        <f>IF(Table242[[#This Row],[Journal Description (Service Description)]]="","",1)</f>
        <v/>
      </c>
      <c r="D429" s="2" t="str">
        <f>IF(Table242[[#This Row],[Journal Description (Service Description)]]="","",VLOOKUP(Table242[[#This Row],[Journal Description (Service Description)]],'Lookup Values'!$A:$B,2,FALSE))</f>
        <v/>
      </c>
    </row>
    <row r="430" spans="1:4" hidden="1" x14ac:dyDescent="0.35">
      <c r="A430" t="str">
        <f>IF(Table242[[#This Row],[Branch Name]]="","",(_xlfn.XLOOKUP(Table242[[#This Row],[Branch Name]],'Lookup Values'!G:G,'Lookup Values'!H:H,0)))</f>
        <v/>
      </c>
      <c r="B430" t="str">
        <f>IF(Table242[[#This Row],[Branch Name]]="","",(_xlfn.XLOOKUP(Table242[[#This Row],[Branch Name]],'Lookup Values'!G:G,'Lookup Values'!I:I,0)))</f>
        <v/>
      </c>
      <c r="C430" t="str">
        <f>IF(Table242[[#This Row],[Journal Description (Service Description)]]="","",1)</f>
        <v/>
      </c>
      <c r="D430" s="2" t="str">
        <f>IF(Table242[[#This Row],[Journal Description (Service Description)]]="","",VLOOKUP(Table242[[#This Row],[Journal Description (Service Description)]],'Lookup Values'!$A:$B,2,FALSE))</f>
        <v/>
      </c>
    </row>
    <row r="431" spans="1:4" hidden="1" x14ac:dyDescent="0.35">
      <c r="A431" t="str">
        <f>IF(Table242[[#This Row],[Branch Name]]="","",(_xlfn.XLOOKUP(Table242[[#This Row],[Branch Name]],'Lookup Values'!G:G,'Lookup Values'!H:H,0)))</f>
        <v/>
      </c>
      <c r="B431" t="str">
        <f>IF(Table242[[#This Row],[Branch Name]]="","",(_xlfn.XLOOKUP(Table242[[#This Row],[Branch Name]],'Lookup Values'!G:G,'Lookup Values'!I:I,0)))</f>
        <v/>
      </c>
      <c r="C431" t="str">
        <f>IF(Table242[[#This Row],[Journal Description (Service Description)]]="","",1)</f>
        <v/>
      </c>
      <c r="D431" s="2" t="str">
        <f>IF(Table242[[#This Row],[Journal Description (Service Description)]]="","",VLOOKUP(Table242[[#This Row],[Journal Description (Service Description)]],'Lookup Values'!$A:$B,2,FALSE))</f>
        <v/>
      </c>
    </row>
    <row r="432" spans="1:4" hidden="1" x14ac:dyDescent="0.35">
      <c r="A432" t="str">
        <f>IF(Table242[[#This Row],[Branch Name]]="","",(_xlfn.XLOOKUP(Table242[[#This Row],[Branch Name]],'Lookup Values'!G:G,'Lookup Values'!H:H,0)))</f>
        <v/>
      </c>
      <c r="B432" t="str">
        <f>IF(Table242[[#This Row],[Branch Name]]="","",(_xlfn.XLOOKUP(Table242[[#This Row],[Branch Name]],'Lookup Values'!G:G,'Lookup Values'!I:I,0)))</f>
        <v/>
      </c>
      <c r="C432" t="str">
        <f>IF(Table242[[#This Row],[Journal Description (Service Description)]]="","",1)</f>
        <v/>
      </c>
      <c r="D432" s="2" t="str">
        <f>IF(Table242[[#This Row],[Journal Description (Service Description)]]="","",VLOOKUP(Table242[[#This Row],[Journal Description (Service Description)]],'Lookup Values'!$A:$B,2,FALSE))</f>
        <v/>
      </c>
    </row>
    <row r="433" spans="1:4" hidden="1" x14ac:dyDescent="0.35">
      <c r="A433" t="str">
        <f>IF(Table242[[#This Row],[Branch Name]]="","",(_xlfn.XLOOKUP(Table242[[#This Row],[Branch Name]],'Lookup Values'!G:G,'Lookup Values'!H:H,0)))</f>
        <v/>
      </c>
      <c r="B433" t="str">
        <f>IF(Table242[[#This Row],[Branch Name]]="","",(_xlfn.XLOOKUP(Table242[[#This Row],[Branch Name]],'Lookup Values'!G:G,'Lookup Values'!I:I,0)))</f>
        <v/>
      </c>
      <c r="C433" t="str">
        <f>IF(Table242[[#This Row],[Journal Description (Service Description)]]="","",1)</f>
        <v/>
      </c>
      <c r="D433" s="2" t="str">
        <f>IF(Table242[[#This Row],[Journal Description (Service Description)]]="","",VLOOKUP(Table242[[#This Row],[Journal Description (Service Description)]],'Lookup Values'!$A:$B,2,FALSE))</f>
        <v/>
      </c>
    </row>
    <row r="434" spans="1:4" hidden="1" x14ac:dyDescent="0.35">
      <c r="A434" t="str">
        <f>IF(Table242[[#This Row],[Branch Name]]="","",(_xlfn.XLOOKUP(Table242[[#This Row],[Branch Name]],'Lookup Values'!G:G,'Lookup Values'!H:H,0)))</f>
        <v/>
      </c>
      <c r="B434" t="str">
        <f>IF(Table242[[#This Row],[Branch Name]]="","",(_xlfn.XLOOKUP(Table242[[#This Row],[Branch Name]],'Lookup Values'!G:G,'Lookup Values'!I:I,0)))</f>
        <v/>
      </c>
      <c r="C434" t="str">
        <f>IF(Table242[[#This Row],[Journal Description (Service Description)]]="","",1)</f>
        <v/>
      </c>
      <c r="D434" s="2" t="str">
        <f>IF(Table242[[#This Row],[Journal Description (Service Description)]]="","",VLOOKUP(Table242[[#This Row],[Journal Description (Service Description)]],'Lookup Values'!$A:$B,2,FALSE))</f>
        <v/>
      </c>
    </row>
    <row r="435" spans="1:4" hidden="1" x14ac:dyDescent="0.35">
      <c r="A435" t="str">
        <f>IF(Table242[[#This Row],[Branch Name]]="","",(_xlfn.XLOOKUP(Table242[[#This Row],[Branch Name]],'Lookup Values'!G:G,'Lookup Values'!H:H,0)))</f>
        <v/>
      </c>
      <c r="B435" t="str">
        <f>IF(Table242[[#This Row],[Branch Name]]="","",(_xlfn.XLOOKUP(Table242[[#This Row],[Branch Name]],'Lookup Values'!G:G,'Lookup Values'!I:I,0)))</f>
        <v/>
      </c>
      <c r="C435" t="str">
        <f>IF(Table242[[#This Row],[Journal Description (Service Description)]]="","",1)</f>
        <v/>
      </c>
      <c r="D435" s="2" t="str">
        <f>IF(Table242[[#This Row],[Journal Description (Service Description)]]="","",VLOOKUP(Table242[[#This Row],[Journal Description (Service Description)]],'Lookup Values'!$A:$B,2,FALSE))</f>
        <v/>
      </c>
    </row>
    <row r="436" spans="1:4" hidden="1" x14ac:dyDescent="0.35">
      <c r="A436" t="str">
        <f>IF(Table242[[#This Row],[Branch Name]]="","",(_xlfn.XLOOKUP(Table242[[#This Row],[Branch Name]],'Lookup Values'!G:G,'Lookup Values'!H:H,0)))</f>
        <v/>
      </c>
      <c r="B436" t="str">
        <f>IF(Table242[[#This Row],[Branch Name]]="","",(_xlfn.XLOOKUP(Table242[[#This Row],[Branch Name]],'Lookup Values'!G:G,'Lookup Values'!I:I,0)))</f>
        <v/>
      </c>
      <c r="C436" t="str">
        <f>IF(Table242[[#This Row],[Journal Description (Service Description)]]="","",1)</f>
        <v/>
      </c>
      <c r="D436" s="2" t="str">
        <f>IF(Table242[[#This Row],[Journal Description (Service Description)]]="","",VLOOKUP(Table242[[#This Row],[Journal Description (Service Description)]],'Lookup Values'!$A:$B,2,FALSE))</f>
        <v/>
      </c>
    </row>
    <row r="437" spans="1:4" hidden="1" x14ac:dyDescent="0.35">
      <c r="A437" t="str">
        <f>IF(Table242[[#This Row],[Branch Name]]="","",(_xlfn.XLOOKUP(Table242[[#This Row],[Branch Name]],'Lookup Values'!G:G,'Lookup Values'!H:H,0)))</f>
        <v/>
      </c>
      <c r="B437" t="str">
        <f>IF(Table242[[#This Row],[Branch Name]]="","",(_xlfn.XLOOKUP(Table242[[#This Row],[Branch Name]],'Lookup Values'!G:G,'Lookup Values'!I:I,0)))</f>
        <v/>
      </c>
      <c r="C437" t="str">
        <f>IF(Table242[[#This Row],[Journal Description (Service Description)]]="","",1)</f>
        <v/>
      </c>
      <c r="D437" s="2" t="str">
        <f>IF(Table242[[#This Row],[Journal Description (Service Description)]]="","",VLOOKUP(Table242[[#This Row],[Journal Description (Service Description)]],'Lookup Values'!$A:$B,2,FALSE))</f>
        <v/>
      </c>
    </row>
    <row r="438" spans="1:4" hidden="1" x14ac:dyDescent="0.35">
      <c r="A438" t="str">
        <f>IF(Table242[[#This Row],[Branch Name]]="","",(_xlfn.XLOOKUP(Table242[[#This Row],[Branch Name]],'Lookup Values'!G:G,'Lookup Values'!H:H,0)))</f>
        <v/>
      </c>
      <c r="B438" t="str">
        <f>IF(Table242[[#This Row],[Branch Name]]="","",(_xlfn.XLOOKUP(Table242[[#This Row],[Branch Name]],'Lookup Values'!G:G,'Lookup Values'!I:I,0)))</f>
        <v/>
      </c>
      <c r="C438" t="str">
        <f>IF(Table242[[#This Row],[Journal Description (Service Description)]]="","",1)</f>
        <v/>
      </c>
      <c r="D438" s="2" t="str">
        <f>IF(Table242[[#This Row],[Journal Description (Service Description)]]="","",VLOOKUP(Table242[[#This Row],[Journal Description (Service Description)]],'Lookup Values'!$A:$B,2,FALSE))</f>
        <v/>
      </c>
    </row>
    <row r="439" spans="1:4" hidden="1" x14ac:dyDescent="0.35">
      <c r="A439" t="str">
        <f>IF(Table242[[#This Row],[Branch Name]]="","",(_xlfn.XLOOKUP(Table242[[#This Row],[Branch Name]],'Lookup Values'!G:G,'Lookup Values'!H:H,0)))</f>
        <v/>
      </c>
      <c r="B439" t="str">
        <f>IF(Table242[[#This Row],[Branch Name]]="","",(_xlfn.XLOOKUP(Table242[[#This Row],[Branch Name]],'Lookup Values'!G:G,'Lookup Values'!I:I,0)))</f>
        <v/>
      </c>
      <c r="C439" t="str">
        <f>IF(Table242[[#This Row],[Journal Description (Service Description)]]="","",1)</f>
        <v/>
      </c>
      <c r="D439" s="2" t="str">
        <f>IF(Table242[[#This Row],[Journal Description (Service Description)]]="","",VLOOKUP(Table242[[#This Row],[Journal Description (Service Description)]],'Lookup Values'!$A:$B,2,FALSE))</f>
        <v/>
      </c>
    </row>
    <row r="440" spans="1:4" hidden="1" x14ac:dyDescent="0.35">
      <c r="A440" t="str">
        <f>IF(Table242[[#This Row],[Branch Name]]="","",(_xlfn.XLOOKUP(Table242[[#This Row],[Branch Name]],'Lookup Values'!G:G,'Lookup Values'!H:H,0)))</f>
        <v/>
      </c>
      <c r="B440" t="str">
        <f>IF(Table242[[#This Row],[Branch Name]]="","",(_xlfn.XLOOKUP(Table242[[#This Row],[Branch Name]],'Lookup Values'!G:G,'Lookup Values'!I:I,0)))</f>
        <v/>
      </c>
      <c r="C440" t="str">
        <f>IF(Table242[[#This Row],[Journal Description (Service Description)]]="","",1)</f>
        <v/>
      </c>
      <c r="D440" s="2" t="str">
        <f>IF(Table242[[#This Row],[Journal Description (Service Description)]]="","",VLOOKUP(Table242[[#This Row],[Journal Description (Service Description)]],'Lookup Values'!$A:$B,2,FALSE))</f>
        <v/>
      </c>
    </row>
    <row r="441" spans="1:4" hidden="1" x14ac:dyDescent="0.35">
      <c r="A441" t="str">
        <f>IF(Table242[[#This Row],[Branch Name]]="","",(_xlfn.XLOOKUP(Table242[[#This Row],[Branch Name]],'Lookup Values'!G:G,'Lookup Values'!H:H,0)))</f>
        <v/>
      </c>
      <c r="B441" t="str">
        <f>IF(Table242[[#This Row],[Branch Name]]="","",(_xlfn.XLOOKUP(Table242[[#This Row],[Branch Name]],'Lookup Values'!G:G,'Lookup Values'!I:I,0)))</f>
        <v/>
      </c>
      <c r="C441" t="str">
        <f>IF(Table242[[#This Row],[Journal Description (Service Description)]]="","",1)</f>
        <v/>
      </c>
      <c r="D441" s="2" t="str">
        <f>IF(Table242[[#This Row],[Journal Description (Service Description)]]="","",VLOOKUP(Table242[[#This Row],[Journal Description (Service Description)]],'Lookup Values'!$A:$B,2,FALSE))</f>
        <v/>
      </c>
    </row>
    <row r="442" spans="1:4" hidden="1" x14ac:dyDescent="0.35">
      <c r="A442" t="str">
        <f>IF(Table242[[#This Row],[Branch Name]]="","",(_xlfn.XLOOKUP(Table242[[#This Row],[Branch Name]],'Lookup Values'!G:G,'Lookup Values'!H:H,0)))</f>
        <v/>
      </c>
      <c r="B442" t="str">
        <f>IF(Table242[[#This Row],[Branch Name]]="","",(_xlfn.XLOOKUP(Table242[[#This Row],[Branch Name]],'Lookup Values'!G:G,'Lookup Values'!I:I,0)))</f>
        <v/>
      </c>
      <c r="C442" t="str">
        <f>IF(Table242[[#This Row],[Journal Description (Service Description)]]="","",1)</f>
        <v/>
      </c>
      <c r="D442" s="2" t="str">
        <f>IF(Table242[[#This Row],[Journal Description (Service Description)]]="","",VLOOKUP(Table242[[#This Row],[Journal Description (Service Description)]],'Lookup Values'!$A:$B,2,FALSE))</f>
        <v/>
      </c>
    </row>
    <row r="443" spans="1:4" hidden="1" x14ac:dyDescent="0.35">
      <c r="A443" t="str">
        <f>IF(Table242[[#This Row],[Branch Name]]="","",(_xlfn.XLOOKUP(Table242[[#This Row],[Branch Name]],'Lookup Values'!G:G,'Lookup Values'!H:H,0)))</f>
        <v/>
      </c>
      <c r="B443" t="str">
        <f>IF(Table242[[#This Row],[Branch Name]]="","",(_xlfn.XLOOKUP(Table242[[#This Row],[Branch Name]],'Lookup Values'!G:G,'Lookup Values'!I:I,0)))</f>
        <v/>
      </c>
      <c r="C443" t="str">
        <f>IF(Table242[[#This Row],[Journal Description (Service Description)]]="","",1)</f>
        <v/>
      </c>
      <c r="D443" s="2" t="str">
        <f>IF(Table242[[#This Row],[Journal Description (Service Description)]]="","",VLOOKUP(Table242[[#This Row],[Journal Description (Service Description)]],'Lookup Values'!$A:$B,2,FALSE))</f>
        <v/>
      </c>
    </row>
    <row r="444" spans="1:4" hidden="1" x14ac:dyDescent="0.35">
      <c r="A444" t="str">
        <f>IF(Table242[[#This Row],[Branch Name]]="","",(_xlfn.XLOOKUP(Table242[[#This Row],[Branch Name]],'Lookup Values'!G:G,'Lookup Values'!H:H,0)))</f>
        <v/>
      </c>
      <c r="B444" t="str">
        <f>IF(Table242[[#This Row],[Branch Name]]="","",(_xlfn.XLOOKUP(Table242[[#This Row],[Branch Name]],'Lookup Values'!G:G,'Lookup Values'!I:I,0)))</f>
        <v/>
      </c>
      <c r="C444" t="str">
        <f>IF(Table242[[#This Row],[Journal Description (Service Description)]]="","",1)</f>
        <v/>
      </c>
      <c r="D444" s="2" t="str">
        <f>IF(Table242[[#This Row],[Journal Description (Service Description)]]="","",VLOOKUP(Table242[[#This Row],[Journal Description (Service Description)]],'Lookup Values'!$A:$B,2,FALSE))</f>
        <v/>
      </c>
    </row>
    <row r="445" spans="1:4" hidden="1" x14ac:dyDescent="0.35">
      <c r="A445" t="str">
        <f>IF(Table242[[#This Row],[Branch Name]]="","",(_xlfn.XLOOKUP(Table242[[#This Row],[Branch Name]],'Lookup Values'!G:G,'Lookup Values'!H:H,0)))</f>
        <v/>
      </c>
      <c r="B445" t="str">
        <f>IF(Table242[[#This Row],[Branch Name]]="","",(_xlfn.XLOOKUP(Table242[[#This Row],[Branch Name]],'Lookup Values'!G:G,'Lookup Values'!I:I,0)))</f>
        <v/>
      </c>
      <c r="C445" t="str">
        <f>IF(Table242[[#This Row],[Journal Description (Service Description)]]="","",1)</f>
        <v/>
      </c>
      <c r="D445" s="2" t="str">
        <f>IF(Table242[[#This Row],[Journal Description (Service Description)]]="","",VLOOKUP(Table242[[#This Row],[Journal Description (Service Description)]],'Lookup Values'!$A:$B,2,FALSE))</f>
        <v/>
      </c>
    </row>
    <row r="446" spans="1:4" hidden="1" x14ac:dyDescent="0.35">
      <c r="A446" t="str">
        <f>IF(Table242[[#This Row],[Branch Name]]="","",(_xlfn.XLOOKUP(Table242[[#This Row],[Branch Name]],'Lookup Values'!G:G,'Lookup Values'!H:H,0)))</f>
        <v/>
      </c>
      <c r="B446" t="str">
        <f>IF(Table242[[#This Row],[Branch Name]]="","",(_xlfn.XLOOKUP(Table242[[#This Row],[Branch Name]],'Lookup Values'!G:G,'Lookup Values'!I:I,0)))</f>
        <v/>
      </c>
      <c r="C446" t="str">
        <f>IF(Table242[[#This Row],[Journal Description (Service Description)]]="","",1)</f>
        <v/>
      </c>
      <c r="D446" s="2" t="str">
        <f>IF(Table242[[#This Row],[Journal Description (Service Description)]]="","",VLOOKUP(Table242[[#This Row],[Journal Description (Service Description)]],'Lookup Values'!$A:$B,2,FALSE))</f>
        <v/>
      </c>
    </row>
    <row r="447" spans="1:4" hidden="1" x14ac:dyDescent="0.35">
      <c r="A447" t="str">
        <f>IF(Table242[[#This Row],[Branch Name]]="","",(_xlfn.XLOOKUP(Table242[[#This Row],[Branch Name]],'Lookup Values'!G:G,'Lookup Values'!H:H,0)))</f>
        <v/>
      </c>
      <c r="B447" t="str">
        <f>IF(Table242[[#This Row],[Branch Name]]="","",(_xlfn.XLOOKUP(Table242[[#This Row],[Branch Name]],'Lookup Values'!G:G,'Lookup Values'!I:I,0)))</f>
        <v/>
      </c>
      <c r="C447" t="str">
        <f>IF(Table242[[#This Row],[Journal Description (Service Description)]]="","",1)</f>
        <v/>
      </c>
      <c r="D447" s="2" t="str">
        <f>IF(Table242[[#This Row],[Journal Description (Service Description)]]="","",VLOOKUP(Table242[[#This Row],[Journal Description (Service Description)]],'Lookup Values'!$A:$B,2,FALSE))</f>
        <v/>
      </c>
    </row>
    <row r="448" spans="1:4" hidden="1" x14ac:dyDescent="0.35">
      <c r="A448" t="str">
        <f>IF(Table242[[#This Row],[Branch Name]]="","",(_xlfn.XLOOKUP(Table242[[#This Row],[Branch Name]],'Lookup Values'!G:G,'Lookup Values'!H:H,0)))</f>
        <v/>
      </c>
      <c r="B448" t="str">
        <f>IF(Table242[[#This Row],[Branch Name]]="","",(_xlfn.XLOOKUP(Table242[[#This Row],[Branch Name]],'Lookup Values'!G:G,'Lookup Values'!I:I,0)))</f>
        <v/>
      </c>
      <c r="C448" t="str">
        <f>IF(Table242[[#This Row],[Journal Description (Service Description)]]="","",1)</f>
        <v/>
      </c>
      <c r="D448" s="2" t="str">
        <f>IF(Table242[[#This Row],[Journal Description (Service Description)]]="","",VLOOKUP(Table242[[#This Row],[Journal Description (Service Description)]],'Lookup Values'!$A:$B,2,FALSE))</f>
        <v/>
      </c>
    </row>
    <row r="449" spans="1:4" hidden="1" x14ac:dyDescent="0.35">
      <c r="A449" t="str">
        <f>IF(Table242[[#This Row],[Branch Name]]="","",(_xlfn.XLOOKUP(Table242[[#This Row],[Branch Name]],'Lookup Values'!G:G,'Lookup Values'!H:H,0)))</f>
        <v/>
      </c>
      <c r="B449" t="str">
        <f>IF(Table242[[#This Row],[Branch Name]]="","",(_xlfn.XLOOKUP(Table242[[#This Row],[Branch Name]],'Lookup Values'!G:G,'Lookup Values'!I:I,0)))</f>
        <v/>
      </c>
      <c r="C449" t="str">
        <f>IF(Table242[[#This Row],[Journal Description (Service Description)]]="","",1)</f>
        <v/>
      </c>
      <c r="D449" s="2" t="str">
        <f>IF(Table242[[#This Row],[Journal Description (Service Description)]]="","",VLOOKUP(Table242[[#This Row],[Journal Description (Service Description)]],'Lookup Values'!$A:$B,2,FALSE))</f>
        <v/>
      </c>
    </row>
    <row r="450" spans="1:4" hidden="1" x14ac:dyDescent="0.35">
      <c r="A450" t="str">
        <f>IF(Table242[[#This Row],[Branch Name]]="","",(_xlfn.XLOOKUP(Table242[[#This Row],[Branch Name]],'Lookup Values'!G:G,'Lookup Values'!H:H,0)))</f>
        <v/>
      </c>
      <c r="B450" t="str">
        <f>IF(Table242[[#This Row],[Branch Name]]="","",(_xlfn.XLOOKUP(Table242[[#This Row],[Branch Name]],'Lookup Values'!G:G,'Lookup Values'!I:I,0)))</f>
        <v/>
      </c>
      <c r="C450" t="str">
        <f>IF(Table242[[#This Row],[Journal Description (Service Description)]]="","",1)</f>
        <v/>
      </c>
      <c r="D450" s="2" t="str">
        <f>IF(Table242[[#This Row],[Journal Description (Service Description)]]="","",VLOOKUP(Table242[[#This Row],[Journal Description (Service Description)]],'Lookup Values'!$A:$B,2,FALSE))</f>
        <v/>
      </c>
    </row>
    <row r="451" spans="1:4" hidden="1" x14ac:dyDescent="0.35">
      <c r="A451" t="str">
        <f>IF(Table242[[#This Row],[Branch Name]]="","",(_xlfn.XLOOKUP(Table242[[#This Row],[Branch Name]],'Lookup Values'!G:G,'Lookup Values'!H:H,0)))</f>
        <v/>
      </c>
      <c r="B451" t="str">
        <f>IF(Table242[[#This Row],[Branch Name]]="","",(_xlfn.XLOOKUP(Table242[[#This Row],[Branch Name]],'Lookup Values'!G:G,'Lookup Values'!I:I,0)))</f>
        <v/>
      </c>
      <c r="C451" t="str">
        <f>IF(Table242[[#This Row],[Journal Description (Service Description)]]="","",1)</f>
        <v/>
      </c>
      <c r="D451" s="2" t="str">
        <f>IF(Table242[[#This Row],[Journal Description (Service Description)]]="","",VLOOKUP(Table242[[#This Row],[Journal Description (Service Description)]],'Lookup Values'!$A:$B,2,FALSE))</f>
        <v/>
      </c>
    </row>
    <row r="452" spans="1:4" hidden="1" x14ac:dyDescent="0.35">
      <c r="A452" t="str">
        <f>IF(Table242[[#This Row],[Branch Name]]="","",(_xlfn.XLOOKUP(Table242[[#This Row],[Branch Name]],'Lookup Values'!G:G,'Lookup Values'!H:H,0)))</f>
        <v/>
      </c>
      <c r="B452" t="str">
        <f>IF(Table242[[#This Row],[Branch Name]]="","",(_xlfn.XLOOKUP(Table242[[#This Row],[Branch Name]],'Lookup Values'!G:G,'Lookup Values'!I:I,0)))</f>
        <v/>
      </c>
      <c r="C452" t="str">
        <f>IF(Table242[[#This Row],[Journal Description (Service Description)]]="","",1)</f>
        <v/>
      </c>
      <c r="D452" s="2" t="str">
        <f>IF(Table242[[#This Row],[Journal Description (Service Description)]]="","",VLOOKUP(Table242[[#This Row],[Journal Description (Service Description)]],'Lookup Values'!$A:$B,2,FALSE))</f>
        <v/>
      </c>
    </row>
    <row r="453" spans="1:4" hidden="1" x14ac:dyDescent="0.35">
      <c r="A453" t="str">
        <f>IF(Table242[[#This Row],[Branch Name]]="","",(_xlfn.XLOOKUP(Table242[[#This Row],[Branch Name]],'Lookup Values'!G:G,'Lookup Values'!H:H,0)))</f>
        <v/>
      </c>
      <c r="B453" t="str">
        <f>IF(Table242[[#This Row],[Branch Name]]="","",(_xlfn.XLOOKUP(Table242[[#This Row],[Branch Name]],'Lookup Values'!G:G,'Lookup Values'!I:I,0)))</f>
        <v/>
      </c>
      <c r="C453" t="str">
        <f>IF(Table242[[#This Row],[Journal Description (Service Description)]]="","",1)</f>
        <v/>
      </c>
      <c r="D453" s="2" t="str">
        <f>IF(Table242[[#This Row],[Journal Description (Service Description)]]="","",VLOOKUP(Table242[[#This Row],[Journal Description (Service Description)]],'Lookup Values'!$A:$B,2,FALSE))</f>
        <v/>
      </c>
    </row>
    <row r="454" spans="1:4" hidden="1" x14ac:dyDescent="0.35">
      <c r="A454" t="str">
        <f>IF(Table242[[#This Row],[Branch Name]]="","",(_xlfn.XLOOKUP(Table242[[#This Row],[Branch Name]],'Lookup Values'!G:G,'Lookup Values'!H:H,0)))</f>
        <v/>
      </c>
      <c r="B454" t="str">
        <f>IF(Table242[[#This Row],[Branch Name]]="","",(_xlfn.XLOOKUP(Table242[[#This Row],[Branch Name]],'Lookup Values'!G:G,'Lookup Values'!I:I,0)))</f>
        <v/>
      </c>
      <c r="C454" t="str">
        <f>IF(Table242[[#This Row],[Journal Description (Service Description)]]="","",1)</f>
        <v/>
      </c>
      <c r="D454" s="2" t="str">
        <f>IF(Table242[[#This Row],[Journal Description (Service Description)]]="","",VLOOKUP(Table242[[#This Row],[Journal Description (Service Description)]],'Lookup Values'!$A:$B,2,FALSE))</f>
        <v/>
      </c>
    </row>
    <row r="455" spans="1:4" hidden="1" x14ac:dyDescent="0.35">
      <c r="A455" t="str">
        <f>IF(Table242[[#This Row],[Branch Name]]="","",(_xlfn.XLOOKUP(Table242[[#This Row],[Branch Name]],'Lookup Values'!G:G,'Lookup Values'!H:H,0)))</f>
        <v/>
      </c>
      <c r="B455" t="str">
        <f>IF(Table242[[#This Row],[Branch Name]]="","",(_xlfn.XLOOKUP(Table242[[#This Row],[Branch Name]],'Lookup Values'!G:G,'Lookup Values'!I:I,0)))</f>
        <v/>
      </c>
      <c r="C455" t="str">
        <f>IF(Table242[[#This Row],[Journal Description (Service Description)]]="","",1)</f>
        <v/>
      </c>
      <c r="D455" s="2" t="str">
        <f>IF(Table242[[#This Row],[Journal Description (Service Description)]]="","",VLOOKUP(Table242[[#This Row],[Journal Description (Service Description)]],'Lookup Values'!$A:$B,2,FALSE))</f>
        <v/>
      </c>
    </row>
    <row r="456" spans="1:4" hidden="1" x14ac:dyDescent="0.35">
      <c r="A456" t="str">
        <f>IF(Table242[[#This Row],[Branch Name]]="","",(_xlfn.XLOOKUP(Table242[[#This Row],[Branch Name]],'Lookup Values'!G:G,'Lookup Values'!H:H,0)))</f>
        <v/>
      </c>
      <c r="B456" t="str">
        <f>IF(Table242[[#This Row],[Branch Name]]="","",(_xlfn.XLOOKUP(Table242[[#This Row],[Branch Name]],'Lookup Values'!G:G,'Lookup Values'!I:I,0)))</f>
        <v/>
      </c>
      <c r="C456" t="str">
        <f>IF(Table242[[#This Row],[Journal Description (Service Description)]]="","",1)</f>
        <v/>
      </c>
      <c r="D456" s="2" t="str">
        <f>IF(Table242[[#This Row],[Journal Description (Service Description)]]="","",VLOOKUP(Table242[[#This Row],[Journal Description (Service Description)]],'Lookup Values'!$A:$B,2,FALSE))</f>
        <v/>
      </c>
    </row>
    <row r="457" spans="1:4" hidden="1" x14ac:dyDescent="0.35">
      <c r="A457" t="str">
        <f>IF(Table242[[#This Row],[Branch Name]]="","",(_xlfn.XLOOKUP(Table242[[#This Row],[Branch Name]],'Lookup Values'!G:G,'Lookup Values'!H:H,0)))</f>
        <v/>
      </c>
      <c r="B457" t="str">
        <f>IF(Table242[[#This Row],[Branch Name]]="","",(_xlfn.XLOOKUP(Table242[[#This Row],[Branch Name]],'Lookup Values'!G:G,'Lookup Values'!I:I,0)))</f>
        <v/>
      </c>
      <c r="C457" t="str">
        <f>IF(Table242[[#This Row],[Journal Description (Service Description)]]="","",1)</f>
        <v/>
      </c>
      <c r="D457" s="2" t="str">
        <f>IF(Table242[[#This Row],[Journal Description (Service Description)]]="","",VLOOKUP(Table242[[#This Row],[Journal Description (Service Description)]],'Lookup Values'!$A:$B,2,FALSE))</f>
        <v/>
      </c>
    </row>
    <row r="458" spans="1:4" hidden="1" x14ac:dyDescent="0.35">
      <c r="A458" t="str">
        <f>IF(Table242[[#This Row],[Branch Name]]="","",(_xlfn.XLOOKUP(Table242[[#This Row],[Branch Name]],'Lookup Values'!G:G,'Lookup Values'!H:H,0)))</f>
        <v/>
      </c>
      <c r="B458" t="str">
        <f>IF(Table242[[#This Row],[Branch Name]]="","",(_xlfn.XLOOKUP(Table242[[#This Row],[Branch Name]],'Lookup Values'!G:G,'Lookup Values'!I:I,0)))</f>
        <v/>
      </c>
      <c r="C458" t="str">
        <f>IF(Table242[[#This Row],[Journal Description (Service Description)]]="","",1)</f>
        <v/>
      </c>
      <c r="D458" s="2" t="str">
        <f>IF(Table242[[#This Row],[Journal Description (Service Description)]]="","",VLOOKUP(Table242[[#This Row],[Journal Description (Service Description)]],'Lookup Values'!$A:$B,2,FALSE))</f>
        <v/>
      </c>
    </row>
    <row r="459" spans="1:4" hidden="1" x14ac:dyDescent="0.35">
      <c r="A459" t="str">
        <f>IF(Table242[[#This Row],[Branch Name]]="","",(_xlfn.XLOOKUP(Table242[[#This Row],[Branch Name]],'Lookup Values'!G:G,'Lookup Values'!H:H,0)))</f>
        <v/>
      </c>
      <c r="B459" t="str">
        <f>IF(Table242[[#This Row],[Branch Name]]="","",(_xlfn.XLOOKUP(Table242[[#This Row],[Branch Name]],'Lookup Values'!G:G,'Lookup Values'!I:I,0)))</f>
        <v/>
      </c>
      <c r="C459" t="str">
        <f>IF(Table242[[#This Row],[Journal Description (Service Description)]]="","",1)</f>
        <v/>
      </c>
      <c r="D459" s="2" t="str">
        <f>IF(Table242[[#This Row],[Journal Description (Service Description)]]="","",VLOOKUP(Table242[[#This Row],[Journal Description (Service Description)]],'Lookup Values'!$A:$B,2,FALSE))</f>
        <v/>
      </c>
    </row>
    <row r="460" spans="1:4" hidden="1" x14ac:dyDescent="0.35">
      <c r="A460" t="str">
        <f>IF(Table242[[#This Row],[Branch Name]]="","",(_xlfn.XLOOKUP(Table242[[#This Row],[Branch Name]],'Lookup Values'!G:G,'Lookup Values'!H:H,0)))</f>
        <v/>
      </c>
      <c r="B460" t="str">
        <f>IF(Table242[[#This Row],[Branch Name]]="","",(_xlfn.XLOOKUP(Table242[[#This Row],[Branch Name]],'Lookup Values'!G:G,'Lookup Values'!I:I,0)))</f>
        <v/>
      </c>
      <c r="C460" t="str">
        <f>IF(Table242[[#This Row],[Journal Description (Service Description)]]="","",1)</f>
        <v/>
      </c>
      <c r="D460" s="2" t="str">
        <f>IF(Table242[[#This Row],[Journal Description (Service Description)]]="","",VLOOKUP(Table242[[#This Row],[Journal Description (Service Description)]],'Lookup Values'!$A:$B,2,FALSE))</f>
        <v/>
      </c>
    </row>
    <row r="461" spans="1:4" hidden="1" x14ac:dyDescent="0.35">
      <c r="A461" t="str">
        <f>IF(Table242[[#This Row],[Branch Name]]="","",(_xlfn.XLOOKUP(Table242[[#This Row],[Branch Name]],'Lookup Values'!G:G,'Lookup Values'!H:H,0)))</f>
        <v/>
      </c>
      <c r="B461" t="str">
        <f>IF(Table242[[#This Row],[Branch Name]]="","",(_xlfn.XLOOKUP(Table242[[#This Row],[Branch Name]],'Lookup Values'!G:G,'Lookup Values'!I:I,0)))</f>
        <v/>
      </c>
      <c r="C461" t="str">
        <f>IF(Table242[[#This Row],[Journal Description (Service Description)]]="","",1)</f>
        <v/>
      </c>
      <c r="D461" s="2" t="str">
        <f>IF(Table242[[#This Row],[Journal Description (Service Description)]]="","",VLOOKUP(Table242[[#This Row],[Journal Description (Service Description)]],'Lookup Values'!$A:$B,2,FALSE))</f>
        <v/>
      </c>
    </row>
    <row r="462" spans="1:4" hidden="1" x14ac:dyDescent="0.35">
      <c r="A462" t="str">
        <f>IF(Table242[[#This Row],[Branch Name]]="","",(_xlfn.XLOOKUP(Table242[[#This Row],[Branch Name]],'Lookup Values'!G:G,'Lookup Values'!H:H,0)))</f>
        <v/>
      </c>
      <c r="B462" t="str">
        <f>IF(Table242[[#This Row],[Branch Name]]="","",(_xlfn.XLOOKUP(Table242[[#This Row],[Branch Name]],'Lookup Values'!G:G,'Lookup Values'!I:I,0)))</f>
        <v/>
      </c>
      <c r="C462" t="str">
        <f>IF(Table242[[#This Row],[Journal Description (Service Description)]]="","",1)</f>
        <v/>
      </c>
      <c r="D462" s="2" t="str">
        <f>IF(Table242[[#This Row],[Journal Description (Service Description)]]="","",VLOOKUP(Table242[[#This Row],[Journal Description (Service Description)]],'Lookup Values'!$A:$B,2,FALSE))</f>
        <v/>
      </c>
    </row>
    <row r="463" spans="1:4" hidden="1" x14ac:dyDescent="0.35">
      <c r="A463" t="str">
        <f>IF(Table242[[#This Row],[Branch Name]]="","",(_xlfn.XLOOKUP(Table242[[#This Row],[Branch Name]],'Lookup Values'!G:G,'Lookup Values'!H:H,0)))</f>
        <v/>
      </c>
      <c r="B463" t="str">
        <f>IF(Table242[[#This Row],[Branch Name]]="","",(_xlfn.XLOOKUP(Table242[[#This Row],[Branch Name]],'Lookup Values'!G:G,'Lookup Values'!I:I,0)))</f>
        <v/>
      </c>
      <c r="C463" t="str">
        <f>IF(Table242[[#This Row],[Journal Description (Service Description)]]="","",1)</f>
        <v/>
      </c>
      <c r="D463" s="2" t="str">
        <f>IF(Table242[[#This Row],[Journal Description (Service Description)]]="","",VLOOKUP(Table242[[#This Row],[Journal Description (Service Description)]],'Lookup Values'!$A:$B,2,FALSE))</f>
        <v/>
      </c>
    </row>
    <row r="464" spans="1:4" hidden="1" x14ac:dyDescent="0.35">
      <c r="A464" t="str">
        <f>IF(Table242[[#This Row],[Branch Name]]="","",(_xlfn.XLOOKUP(Table242[[#This Row],[Branch Name]],'Lookup Values'!G:G,'Lookup Values'!H:H,0)))</f>
        <v/>
      </c>
      <c r="B464" t="str">
        <f>IF(Table242[[#This Row],[Branch Name]]="","",(_xlfn.XLOOKUP(Table242[[#This Row],[Branch Name]],'Lookup Values'!G:G,'Lookup Values'!I:I,0)))</f>
        <v/>
      </c>
      <c r="C464" t="str">
        <f>IF(Table242[[#This Row],[Journal Description (Service Description)]]="","",1)</f>
        <v/>
      </c>
      <c r="D464" s="2" t="str">
        <f>IF(Table242[[#This Row],[Journal Description (Service Description)]]="","",VLOOKUP(Table242[[#This Row],[Journal Description (Service Description)]],'Lookup Values'!$A:$B,2,FALSE))</f>
        <v/>
      </c>
    </row>
    <row r="465" spans="1:4" hidden="1" x14ac:dyDescent="0.35">
      <c r="A465" t="str">
        <f>IF(Table242[[#This Row],[Branch Name]]="","",(_xlfn.XLOOKUP(Table242[[#This Row],[Branch Name]],'Lookup Values'!G:G,'Lookup Values'!H:H,0)))</f>
        <v/>
      </c>
      <c r="B465" t="str">
        <f>IF(Table242[[#This Row],[Branch Name]]="","",(_xlfn.XLOOKUP(Table242[[#This Row],[Branch Name]],'Lookup Values'!G:G,'Lookup Values'!I:I,0)))</f>
        <v/>
      </c>
      <c r="C465" t="str">
        <f>IF(Table242[[#This Row],[Journal Description (Service Description)]]="","",1)</f>
        <v/>
      </c>
      <c r="D465" s="2" t="str">
        <f>IF(Table242[[#This Row],[Journal Description (Service Description)]]="","",VLOOKUP(Table242[[#This Row],[Journal Description (Service Description)]],'Lookup Values'!$A:$B,2,FALSE))</f>
        <v/>
      </c>
    </row>
    <row r="466" spans="1:4" hidden="1" x14ac:dyDescent="0.35">
      <c r="A466" t="str">
        <f>IF(Table242[[#This Row],[Branch Name]]="","",(_xlfn.XLOOKUP(Table242[[#This Row],[Branch Name]],'Lookup Values'!G:G,'Lookup Values'!H:H,0)))</f>
        <v/>
      </c>
      <c r="B466" t="str">
        <f>IF(Table242[[#This Row],[Branch Name]]="","",(_xlfn.XLOOKUP(Table242[[#This Row],[Branch Name]],'Lookup Values'!G:G,'Lookup Values'!I:I,0)))</f>
        <v/>
      </c>
      <c r="C466" t="str">
        <f>IF(Table242[[#This Row],[Journal Description (Service Description)]]="","",1)</f>
        <v/>
      </c>
      <c r="D466" s="2" t="str">
        <f>IF(Table242[[#This Row],[Journal Description (Service Description)]]="","",VLOOKUP(Table242[[#This Row],[Journal Description (Service Description)]],'Lookup Values'!$A:$B,2,FALSE))</f>
        <v/>
      </c>
    </row>
    <row r="467" spans="1:4" hidden="1" x14ac:dyDescent="0.35">
      <c r="A467" t="str">
        <f>IF(Table242[[#This Row],[Branch Name]]="","",(_xlfn.XLOOKUP(Table242[[#This Row],[Branch Name]],'Lookup Values'!G:G,'Lookup Values'!H:H,0)))</f>
        <v/>
      </c>
      <c r="B467" t="str">
        <f>IF(Table242[[#This Row],[Branch Name]]="","",(_xlfn.XLOOKUP(Table242[[#This Row],[Branch Name]],'Lookup Values'!G:G,'Lookup Values'!I:I,0)))</f>
        <v/>
      </c>
      <c r="C467" t="str">
        <f>IF(Table242[[#This Row],[Journal Description (Service Description)]]="","",1)</f>
        <v/>
      </c>
      <c r="D467" s="2" t="str">
        <f>IF(Table242[[#This Row],[Journal Description (Service Description)]]="","",VLOOKUP(Table242[[#This Row],[Journal Description (Service Description)]],'Lookup Values'!$A:$B,2,FALSE))</f>
        <v/>
      </c>
    </row>
    <row r="468" spans="1:4" hidden="1" x14ac:dyDescent="0.35">
      <c r="A468" t="str">
        <f>IF(Table242[[#This Row],[Branch Name]]="","",(_xlfn.XLOOKUP(Table242[[#This Row],[Branch Name]],'Lookup Values'!G:G,'Lookup Values'!H:H,0)))</f>
        <v/>
      </c>
      <c r="B468" t="str">
        <f>IF(Table242[[#This Row],[Branch Name]]="","",(_xlfn.XLOOKUP(Table242[[#This Row],[Branch Name]],'Lookup Values'!G:G,'Lookup Values'!I:I,0)))</f>
        <v/>
      </c>
      <c r="C468" t="str">
        <f>IF(Table242[[#This Row],[Journal Description (Service Description)]]="","",1)</f>
        <v/>
      </c>
      <c r="D468" s="2" t="str">
        <f>IF(Table242[[#This Row],[Journal Description (Service Description)]]="","",VLOOKUP(Table242[[#This Row],[Journal Description (Service Description)]],'Lookup Values'!$A:$B,2,FALSE))</f>
        <v/>
      </c>
    </row>
    <row r="469" spans="1:4" hidden="1" x14ac:dyDescent="0.35">
      <c r="A469" t="str">
        <f>IF(Table242[[#This Row],[Branch Name]]="","",(_xlfn.XLOOKUP(Table242[[#This Row],[Branch Name]],'Lookup Values'!G:G,'Lookup Values'!H:H,0)))</f>
        <v/>
      </c>
      <c r="B469" t="str">
        <f>IF(Table242[[#This Row],[Branch Name]]="","",(_xlfn.XLOOKUP(Table242[[#This Row],[Branch Name]],'Lookup Values'!G:G,'Lookup Values'!I:I,0)))</f>
        <v/>
      </c>
      <c r="C469" t="str">
        <f>IF(Table242[[#This Row],[Journal Description (Service Description)]]="","",1)</f>
        <v/>
      </c>
      <c r="D469" s="2" t="str">
        <f>IF(Table242[[#This Row],[Journal Description (Service Description)]]="","",VLOOKUP(Table242[[#This Row],[Journal Description (Service Description)]],'Lookup Values'!$A:$B,2,FALSE))</f>
        <v/>
      </c>
    </row>
    <row r="470" spans="1:4" hidden="1" x14ac:dyDescent="0.35">
      <c r="A470" t="str">
        <f>IF(Table242[[#This Row],[Branch Name]]="","",(_xlfn.XLOOKUP(Table242[[#This Row],[Branch Name]],'Lookup Values'!G:G,'Lookup Values'!H:H,0)))</f>
        <v/>
      </c>
      <c r="B470" t="str">
        <f>IF(Table242[[#This Row],[Branch Name]]="","",(_xlfn.XLOOKUP(Table242[[#This Row],[Branch Name]],'Lookup Values'!G:G,'Lookup Values'!I:I,0)))</f>
        <v/>
      </c>
      <c r="C470" t="str">
        <f>IF(Table242[[#This Row],[Journal Description (Service Description)]]="","",1)</f>
        <v/>
      </c>
      <c r="D470" s="2" t="str">
        <f>IF(Table242[[#This Row],[Journal Description (Service Description)]]="","",VLOOKUP(Table242[[#This Row],[Journal Description (Service Description)]],'Lookup Values'!$A:$B,2,FALSE))</f>
        <v/>
      </c>
    </row>
    <row r="471" spans="1:4" hidden="1" x14ac:dyDescent="0.35">
      <c r="A471" t="str">
        <f>IF(Table242[[#This Row],[Branch Name]]="","",(_xlfn.XLOOKUP(Table242[[#This Row],[Branch Name]],'Lookup Values'!G:G,'Lookup Values'!H:H,0)))</f>
        <v/>
      </c>
      <c r="B471" t="str">
        <f>IF(Table242[[#This Row],[Branch Name]]="","",(_xlfn.XLOOKUP(Table242[[#This Row],[Branch Name]],'Lookup Values'!G:G,'Lookup Values'!I:I,0)))</f>
        <v/>
      </c>
      <c r="C471" t="str">
        <f>IF(Table242[[#This Row],[Journal Description (Service Description)]]="","",1)</f>
        <v/>
      </c>
      <c r="D471" s="2" t="str">
        <f>IF(Table242[[#This Row],[Journal Description (Service Description)]]="","",VLOOKUP(Table242[[#This Row],[Journal Description (Service Description)]],'Lookup Values'!$A:$B,2,FALSE))</f>
        <v/>
      </c>
    </row>
    <row r="472" spans="1:4" hidden="1" x14ac:dyDescent="0.35">
      <c r="A472" t="str">
        <f>IF(Table242[[#This Row],[Branch Name]]="","",(_xlfn.XLOOKUP(Table242[[#This Row],[Branch Name]],'Lookup Values'!G:G,'Lookup Values'!H:H,0)))</f>
        <v/>
      </c>
      <c r="B472" t="str">
        <f>IF(Table242[[#This Row],[Branch Name]]="","",(_xlfn.XLOOKUP(Table242[[#This Row],[Branch Name]],'Lookup Values'!G:G,'Lookup Values'!I:I,0)))</f>
        <v/>
      </c>
      <c r="C472" t="str">
        <f>IF(Table242[[#This Row],[Journal Description (Service Description)]]="","",1)</f>
        <v/>
      </c>
      <c r="D472" s="2" t="str">
        <f>IF(Table242[[#This Row],[Journal Description (Service Description)]]="","",VLOOKUP(Table242[[#This Row],[Journal Description (Service Description)]],'Lookup Values'!$A:$B,2,FALSE))</f>
        <v/>
      </c>
    </row>
    <row r="473" spans="1:4" hidden="1" x14ac:dyDescent="0.35">
      <c r="A473" t="str">
        <f>IF(Table242[[#This Row],[Branch Name]]="","",(_xlfn.XLOOKUP(Table242[[#This Row],[Branch Name]],'Lookup Values'!G:G,'Lookup Values'!H:H,0)))</f>
        <v/>
      </c>
      <c r="B473" t="str">
        <f>IF(Table242[[#This Row],[Branch Name]]="","",(_xlfn.XLOOKUP(Table242[[#This Row],[Branch Name]],'Lookup Values'!G:G,'Lookup Values'!I:I,0)))</f>
        <v/>
      </c>
      <c r="C473" t="str">
        <f>IF(Table242[[#This Row],[Journal Description (Service Description)]]="","",1)</f>
        <v/>
      </c>
      <c r="D473" s="2" t="str">
        <f>IF(Table242[[#This Row],[Journal Description (Service Description)]]="","",VLOOKUP(Table242[[#This Row],[Journal Description (Service Description)]],'Lookup Values'!$A:$B,2,FALSE))</f>
        <v/>
      </c>
    </row>
    <row r="474" spans="1:4" hidden="1" x14ac:dyDescent="0.35">
      <c r="A474" t="str">
        <f>IF(Table242[[#This Row],[Branch Name]]="","",(_xlfn.XLOOKUP(Table242[[#This Row],[Branch Name]],'Lookup Values'!G:G,'Lookup Values'!H:H,0)))</f>
        <v/>
      </c>
      <c r="B474" t="str">
        <f>IF(Table242[[#This Row],[Branch Name]]="","",(_xlfn.XLOOKUP(Table242[[#This Row],[Branch Name]],'Lookup Values'!G:G,'Lookup Values'!I:I,0)))</f>
        <v/>
      </c>
      <c r="C474" t="str">
        <f>IF(Table242[[#This Row],[Journal Description (Service Description)]]="","",1)</f>
        <v/>
      </c>
      <c r="D474" s="2" t="str">
        <f>IF(Table242[[#This Row],[Journal Description (Service Description)]]="","",VLOOKUP(Table242[[#This Row],[Journal Description (Service Description)]],'Lookup Values'!$A:$B,2,FALSE))</f>
        <v/>
      </c>
    </row>
    <row r="475" spans="1:4" hidden="1" x14ac:dyDescent="0.35">
      <c r="A475" t="str">
        <f>IF(Table242[[#This Row],[Branch Name]]="","",(_xlfn.XLOOKUP(Table242[[#This Row],[Branch Name]],'Lookup Values'!G:G,'Lookup Values'!H:H,0)))</f>
        <v/>
      </c>
      <c r="B475" t="str">
        <f>IF(Table242[[#This Row],[Branch Name]]="","",(_xlfn.XLOOKUP(Table242[[#This Row],[Branch Name]],'Lookup Values'!G:G,'Lookup Values'!I:I,0)))</f>
        <v/>
      </c>
      <c r="C475" t="str">
        <f>IF(Table242[[#This Row],[Journal Description (Service Description)]]="","",1)</f>
        <v/>
      </c>
      <c r="D475" s="2" t="str">
        <f>IF(Table242[[#This Row],[Journal Description (Service Description)]]="","",VLOOKUP(Table242[[#This Row],[Journal Description (Service Description)]],'Lookup Values'!$A:$B,2,FALSE))</f>
        <v/>
      </c>
    </row>
    <row r="476" spans="1:4" hidden="1" x14ac:dyDescent="0.35">
      <c r="A476" t="str">
        <f>IF(Table242[[#This Row],[Branch Name]]="","",(_xlfn.XLOOKUP(Table242[[#This Row],[Branch Name]],'Lookup Values'!G:G,'Lookup Values'!H:H,0)))</f>
        <v/>
      </c>
      <c r="B476" t="str">
        <f>IF(Table242[[#This Row],[Branch Name]]="","",(_xlfn.XLOOKUP(Table242[[#This Row],[Branch Name]],'Lookup Values'!G:G,'Lookup Values'!I:I,0)))</f>
        <v/>
      </c>
      <c r="C476" t="str">
        <f>IF(Table242[[#This Row],[Journal Description (Service Description)]]="","",1)</f>
        <v/>
      </c>
      <c r="D476" s="2" t="str">
        <f>IF(Table242[[#This Row],[Journal Description (Service Description)]]="","",VLOOKUP(Table242[[#This Row],[Journal Description (Service Description)]],'Lookup Values'!$A:$B,2,FALSE))</f>
        <v/>
      </c>
    </row>
    <row r="477" spans="1:4" hidden="1" x14ac:dyDescent="0.35">
      <c r="A477" t="str">
        <f>IF(Table242[[#This Row],[Branch Name]]="","",(_xlfn.XLOOKUP(Table242[[#This Row],[Branch Name]],'Lookup Values'!G:G,'Lookup Values'!H:H,0)))</f>
        <v/>
      </c>
      <c r="B477" t="str">
        <f>IF(Table242[[#This Row],[Branch Name]]="","",(_xlfn.XLOOKUP(Table242[[#This Row],[Branch Name]],'Lookup Values'!G:G,'Lookup Values'!I:I,0)))</f>
        <v/>
      </c>
      <c r="C477" t="str">
        <f>IF(Table242[[#This Row],[Journal Description (Service Description)]]="","",1)</f>
        <v/>
      </c>
      <c r="D477" s="2" t="str">
        <f>IF(Table242[[#This Row],[Journal Description (Service Description)]]="","",VLOOKUP(Table242[[#This Row],[Journal Description (Service Description)]],'Lookup Values'!$A:$B,2,FALSE))</f>
        <v/>
      </c>
    </row>
    <row r="478" spans="1:4" hidden="1" x14ac:dyDescent="0.35">
      <c r="A478" t="str">
        <f>IF(Table242[[#This Row],[Branch Name]]="","",(_xlfn.XLOOKUP(Table242[[#This Row],[Branch Name]],'Lookup Values'!G:G,'Lookup Values'!H:H,0)))</f>
        <v/>
      </c>
      <c r="B478" t="str">
        <f>IF(Table242[[#This Row],[Branch Name]]="","",(_xlfn.XLOOKUP(Table242[[#This Row],[Branch Name]],'Lookup Values'!G:G,'Lookup Values'!I:I,0)))</f>
        <v/>
      </c>
      <c r="C478" t="str">
        <f>IF(Table242[[#This Row],[Journal Description (Service Description)]]="","",1)</f>
        <v/>
      </c>
      <c r="D478" s="2" t="str">
        <f>IF(Table242[[#This Row],[Journal Description (Service Description)]]="","",VLOOKUP(Table242[[#This Row],[Journal Description (Service Description)]],'Lookup Values'!$A:$B,2,FALSE))</f>
        <v/>
      </c>
    </row>
    <row r="479" spans="1:4" hidden="1" x14ac:dyDescent="0.35">
      <c r="A479" t="str">
        <f>IF(Table242[[#This Row],[Branch Name]]="","",(_xlfn.XLOOKUP(Table242[[#This Row],[Branch Name]],'Lookup Values'!G:G,'Lookup Values'!H:H,0)))</f>
        <v/>
      </c>
      <c r="B479" t="str">
        <f>IF(Table242[[#This Row],[Branch Name]]="","",(_xlfn.XLOOKUP(Table242[[#This Row],[Branch Name]],'Lookup Values'!G:G,'Lookup Values'!I:I,0)))</f>
        <v/>
      </c>
      <c r="C479" t="str">
        <f>IF(Table242[[#This Row],[Journal Description (Service Description)]]="","",1)</f>
        <v/>
      </c>
      <c r="D479" s="2" t="str">
        <f>IF(Table242[[#This Row],[Journal Description (Service Description)]]="","",VLOOKUP(Table242[[#This Row],[Journal Description (Service Description)]],'Lookup Values'!$A:$B,2,FALSE))</f>
        <v/>
      </c>
    </row>
    <row r="480" spans="1:4" hidden="1" x14ac:dyDescent="0.35">
      <c r="A480" t="str">
        <f>IF(Table242[[#This Row],[Branch Name]]="","",(_xlfn.XLOOKUP(Table242[[#This Row],[Branch Name]],'Lookup Values'!G:G,'Lookup Values'!H:H,0)))</f>
        <v/>
      </c>
      <c r="B480" t="str">
        <f>IF(Table242[[#This Row],[Branch Name]]="","",(_xlfn.XLOOKUP(Table242[[#This Row],[Branch Name]],'Lookup Values'!G:G,'Lookup Values'!I:I,0)))</f>
        <v/>
      </c>
      <c r="C480" t="str">
        <f>IF(Table242[[#This Row],[Journal Description (Service Description)]]="","",1)</f>
        <v/>
      </c>
      <c r="D480" s="2" t="str">
        <f>IF(Table242[[#This Row],[Journal Description (Service Description)]]="","",VLOOKUP(Table242[[#This Row],[Journal Description (Service Description)]],'Lookup Values'!$A:$B,2,FALSE))</f>
        <v/>
      </c>
    </row>
    <row r="481" spans="1:4" hidden="1" x14ac:dyDescent="0.35">
      <c r="A481" t="str">
        <f>IF(Table242[[#This Row],[Branch Name]]="","",(_xlfn.XLOOKUP(Table242[[#This Row],[Branch Name]],'Lookup Values'!G:G,'Lookup Values'!H:H,0)))</f>
        <v/>
      </c>
      <c r="B481" t="str">
        <f>IF(Table242[[#This Row],[Branch Name]]="","",(_xlfn.XLOOKUP(Table242[[#This Row],[Branch Name]],'Lookup Values'!G:G,'Lookup Values'!I:I,0)))</f>
        <v/>
      </c>
      <c r="C481" t="str">
        <f>IF(Table242[[#This Row],[Journal Description (Service Description)]]="","",1)</f>
        <v/>
      </c>
      <c r="D481" s="2" t="str">
        <f>IF(Table242[[#This Row],[Journal Description (Service Description)]]="","",VLOOKUP(Table242[[#This Row],[Journal Description (Service Description)]],'Lookup Values'!$A:$B,2,FALSE))</f>
        <v/>
      </c>
    </row>
    <row r="482" spans="1:4" hidden="1" x14ac:dyDescent="0.35">
      <c r="A482" t="str">
        <f>IF(Table242[[#This Row],[Branch Name]]="","",(_xlfn.XLOOKUP(Table242[[#This Row],[Branch Name]],'Lookup Values'!G:G,'Lookup Values'!H:H,0)))</f>
        <v/>
      </c>
      <c r="B482" t="str">
        <f>IF(Table242[[#This Row],[Branch Name]]="","",(_xlfn.XLOOKUP(Table242[[#This Row],[Branch Name]],'Lookup Values'!G:G,'Lookup Values'!I:I,0)))</f>
        <v/>
      </c>
      <c r="C482" t="str">
        <f>IF(Table242[[#This Row],[Journal Description (Service Description)]]="","",1)</f>
        <v/>
      </c>
      <c r="D482" s="2" t="str">
        <f>IF(Table242[[#This Row],[Journal Description (Service Description)]]="","",VLOOKUP(Table242[[#This Row],[Journal Description (Service Description)]],'Lookup Values'!$A:$B,2,FALSE))</f>
        <v/>
      </c>
    </row>
    <row r="483" spans="1:4" hidden="1" x14ac:dyDescent="0.35">
      <c r="A483" t="str">
        <f>IF(Table242[[#This Row],[Branch Name]]="","",(_xlfn.XLOOKUP(Table242[[#This Row],[Branch Name]],'Lookup Values'!G:G,'Lookup Values'!H:H,0)))</f>
        <v/>
      </c>
      <c r="B483" t="str">
        <f>IF(Table242[[#This Row],[Branch Name]]="","",(_xlfn.XLOOKUP(Table242[[#This Row],[Branch Name]],'Lookup Values'!G:G,'Lookup Values'!I:I,0)))</f>
        <v/>
      </c>
      <c r="C483" t="str">
        <f>IF(Table242[[#This Row],[Journal Description (Service Description)]]="","",1)</f>
        <v/>
      </c>
      <c r="D483" s="2" t="str">
        <f>IF(Table242[[#This Row],[Journal Description (Service Description)]]="","",VLOOKUP(Table242[[#This Row],[Journal Description (Service Description)]],'Lookup Values'!$A:$B,2,FALSE))</f>
        <v/>
      </c>
    </row>
    <row r="484" spans="1:4" hidden="1" x14ac:dyDescent="0.35">
      <c r="A484" t="str">
        <f>IF(Table242[[#This Row],[Branch Name]]="","",(_xlfn.XLOOKUP(Table242[[#This Row],[Branch Name]],'Lookup Values'!G:G,'Lookup Values'!H:H,0)))</f>
        <v/>
      </c>
      <c r="B484" t="str">
        <f>IF(Table242[[#This Row],[Branch Name]]="","",(_xlfn.XLOOKUP(Table242[[#This Row],[Branch Name]],'Lookup Values'!G:G,'Lookup Values'!I:I,0)))</f>
        <v/>
      </c>
      <c r="C484" t="str">
        <f>IF(Table242[[#This Row],[Journal Description (Service Description)]]="","",1)</f>
        <v/>
      </c>
      <c r="D484" s="2" t="str">
        <f>IF(Table242[[#This Row],[Journal Description (Service Description)]]="","",VLOOKUP(Table242[[#This Row],[Journal Description (Service Description)]],'Lookup Values'!$A:$B,2,FALSE))</f>
        <v/>
      </c>
    </row>
    <row r="485" spans="1:4" hidden="1" x14ac:dyDescent="0.35">
      <c r="A485" t="str">
        <f>IF(Table242[[#This Row],[Branch Name]]="","",(_xlfn.XLOOKUP(Table242[[#This Row],[Branch Name]],'Lookup Values'!G:G,'Lookup Values'!H:H,0)))</f>
        <v/>
      </c>
      <c r="B485" t="str">
        <f>IF(Table242[[#This Row],[Branch Name]]="","",(_xlfn.XLOOKUP(Table242[[#This Row],[Branch Name]],'Lookup Values'!G:G,'Lookup Values'!I:I,0)))</f>
        <v/>
      </c>
      <c r="C485" t="str">
        <f>IF(Table242[[#This Row],[Journal Description (Service Description)]]="","",1)</f>
        <v/>
      </c>
      <c r="D485" s="2" t="str">
        <f>IF(Table242[[#This Row],[Journal Description (Service Description)]]="","",VLOOKUP(Table242[[#This Row],[Journal Description (Service Description)]],'Lookup Values'!$A:$B,2,FALSE))</f>
        <v/>
      </c>
    </row>
    <row r="486" spans="1:4" hidden="1" x14ac:dyDescent="0.35">
      <c r="A486" t="str">
        <f>IF(Table242[[#This Row],[Branch Name]]="","",(_xlfn.XLOOKUP(Table242[[#This Row],[Branch Name]],'Lookup Values'!G:G,'Lookup Values'!H:H,0)))</f>
        <v/>
      </c>
      <c r="B486" t="str">
        <f>IF(Table242[[#This Row],[Branch Name]]="","",(_xlfn.XLOOKUP(Table242[[#This Row],[Branch Name]],'Lookup Values'!G:G,'Lookup Values'!I:I,0)))</f>
        <v/>
      </c>
      <c r="C486" t="str">
        <f>IF(Table242[[#This Row],[Journal Description (Service Description)]]="","",1)</f>
        <v/>
      </c>
      <c r="D486" s="2" t="str">
        <f>IF(Table242[[#This Row],[Journal Description (Service Description)]]="","",VLOOKUP(Table242[[#This Row],[Journal Description (Service Description)]],'Lookup Values'!$A:$B,2,FALSE))</f>
        <v/>
      </c>
    </row>
    <row r="487" spans="1:4" hidden="1" x14ac:dyDescent="0.35">
      <c r="A487" t="str">
        <f>IF(Table242[[#This Row],[Branch Name]]="","",(_xlfn.XLOOKUP(Table242[[#This Row],[Branch Name]],'Lookup Values'!G:G,'Lookup Values'!H:H,0)))</f>
        <v/>
      </c>
      <c r="B487" t="str">
        <f>IF(Table242[[#This Row],[Branch Name]]="","",(_xlfn.XLOOKUP(Table242[[#This Row],[Branch Name]],'Lookup Values'!G:G,'Lookup Values'!I:I,0)))</f>
        <v/>
      </c>
      <c r="C487" t="str">
        <f>IF(Table242[[#This Row],[Journal Description (Service Description)]]="","",1)</f>
        <v/>
      </c>
      <c r="D487" s="2" t="str">
        <f>IF(Table242[[#This Row],[Journal Description (Service Description)]]="","",VLOOKUP(Table242[[#This Row],[Journal Description (Service Description)]],'Lookup Values'!$A:$B,2,FALSE))</f>
        <v/>
      </c>
    </row>
    <row r="488" spans="1:4" hidden="1" x14ac:dyDescent="0.35">
      <c r="A488" t="str">
        <f>IF(Table242[[#This Row],[Branch Name]]="","",(_xlfn.XLOOKUP(Table242[[#This Row],[Branch Name]],'Lookup Values'!G:G,'Lookup Values'!H:H,0)))</f>
        <v/>
      </c>
      <c r="B488" t="str">
        <f>IF(Table242[[#This Row],[Branch Name]]="","",(_xlfn.XLOOKUP(Table242[[#This Row],[Branch Name]],'Lookup Values'!G:G,'Lookup Values'!I:I,0)))</f>
        <v/>
      </c>
      <c r="C488" t="str">
        <f>IF(Table242[[#This Row],[Journal Description (Service Description)]]="","",1)</f>
        <v/>
      </c>
      <c r="D488" s="2" t="str">
        <f>IF(Table242[[#This Row],[Journal Description (Service Description)]]="","",VLOOKUP(Table242[[#This Row],[Journal Description (Service Description)]],'Lookup Values'!$A:$B,2,FALSE))</f>
        <v/>
      </c>
    </row>
    <row r="489" spans="1:4" hidden="1" x14ac:dyDescent="0.35">
      <c r="A489" t="str">
        <f>IF(Table242[[#This Row],[Branch Name]]="","",(_xlfn.XLOOKUP(Table242[[#This Row],[Branch Name]],'Lookup Values'!G:G,'Lookup Values'!H:H,0)))</f>
        <v/>
      </c>
      <c r="B489" t="str">
        <f>IF(Table242[[#This Row],[Branch Name]]="","",(_xlfn.XLOOKUP(Table242[[#This Row],[Branch Name]],'Lookup Values'!G:G,'Lookup Values'!I:I,0)))</f>
        <v/>
      </c>
      <c r="C489" t="str">
        <f>IF(Table242[[#This Row],[Journal Description (Service Description)]]="","",1)</f>
        <v/>
      </c>
      <c r="D489" s="2" t="str">
        <f>IF(Table242[[#This Row],[Journal Description (Service Description)]]="","",VLOOKUP(Table242[[#This Row],[Journal Description (Service Description)]],'Lookup Values'!$A:$B,2,FALSE))</f>
        <v/>
      </c>
    </row>
    <row r="490" spans="1:4" hidden="1" x14ac:dyDescent="0.35">
      <c r="A490" t="str">
        <f>IF(Table242[[#This Row],[Branch Name]]="","",(_xlfn.XLOOKUP(Table242[[#This Row],[Branch Name]],'Lookup Values'!G:G,'Lookup Values'!H:H,0)))</f>
        <v/>
      </c>
      <c r="B490" t="str">
        <f>IF(Table242[[#This Row],[Branch Name]]="","",(_xlfn.XLOOKUP(Table242[[#This Row],[Branch Name]],'Lookup Values'!G:G,'Lookup Values'!I:I,0)))</f>
        <v/>
      </c>
      <c r="C490" t="str">
        <f>IF(Table242[[#This Row],[Journal Description (Service Description)]]="","",1)</f>
        <v/>
      </c>
      <c r="D490" s="2" t="str">
        <f>IF(Table242[[#This Row],[Journal Description (Service Description)]]="","",VLOOKUP(Table242[[#This Row],[Journal Description (Service Description)]],'Lookup Values'!$A:$B,2,FALSE))</f>
        <v/>
      </c>
    </row>
    <row r="491" spans="1:4" hidden="1" x14ac:dyDescent="0.35">
      <c r="A491" t="str">
        <f>IF(Table242[[#This Row],[Branch Name]]="","",(_xlfn.XLOOKUP(Table242[[#This Row],[Branch Name]],'Lookup Values'!G:G,'Lookup Values'!H:H,0)))</f>
        <v/>
      </c>
      <c r="B491" t="str">
        <f>IF(Table242[[#This Row],[Branch Name]]="","",(_xlfn.XLOOKUP(Table242[[#This Row],[Branch Name]],'Lookup Values'!G:G,'Lookup Values'!I:I,0)))</f>
        <v/>
      </c>
      <c r="C491" t="str">
        <f>IF(Table242[[#This Row],[Journal Description (Service Description)]]="","",1)</f>
        <v/>
      </c>
      <c r="D491" s="2" t="str">
        <f>IF(Table242[[#This Row],[Journal Description (Service Description)]]="","",VLOOKUP(Table242[[#This Row],[Journal Description (Service Description)]],'Lookup Values'!$A:$B,2,FALSE))</f>
        <v/>
      </c>
    </row>
    <row r="492" spans="1:4" hidden="1" x14ac:dyDescent="0.35">
      <c r="A492" t="str">
        <f>IF(Table242[[#This Row],[Branch Name]]="","",(_xlfn.XLOOKUP(Table242[[#This Row],[Branch Name]],'Lookup Values'!G:G,'Lookup Values'!H:H,0)))</f>
        <v/>
      </c>
      <c r="B492" t="str">
        <f>IF(Table242[[#This Row],[Branch Name]]="","",(_xlfn.XLOOKUP(Table242[[#This Row],[Branch Name]],'Lookup Values'!G:G,'Lookup Values'!I:I,0)))</f>
        <v/>
      </c>
      <c r="C492" t="str">
        <f>IF(Table242[[#This Row],[Journal Description (Service Description)]]="","",1)</f>
        <v/>
      </c>
      <c r="D492" s="2" t="str">
        <f>IF(Table242[[#This Row],[Journal Description (Service Description)]]="","",VLOOKUP(Table242[[#This Row],[Journal Description (Service Description)]],'Lookup Values'!$A:$B,2,FALSE))</f>
        <v/>
      </c>
    </row>
    <row r="493" spans="1:4" hidden="1" x14ac:dyDescent="0.35">
      <c r="A493" t="str">
        <f>IF(Table242[[#This Row],[Branch Name]]="","",(_xlfn.XLOOKUP(Table242[[#This Row],[Branch Name]],'Lookup Values'!G:G,'Lookup Values'!H:H,0)))</f>
        <v/>
      </c>
      <c r="B493" t="str">
        <f>IF(Table242[[#This Row],[Branch Name]]="","",(_xlfn.XLOOKUP(Table242[[#This Row],[Branch Name]],'Lookup Values'!G:G,'Lookup Values'!I:I,0)))</f>
        <v/>
      </c>
      <c r="C493" t="str">
        <f>IF(Table242[[#This Row],[Journal Description (Service Description)]]="","",1)</f>
        <v/>
      </c>
      <c r="D493" s="2" t="str">
        <f>IF(Table242[[#This Row],[Journal Description (Service Description)]]="","",VLOOKUP(Table242[[#This Row],[Journal Description (Service Description)]],'Lookup Values'!$A:$B,2,FALSE))</f>
        <v/>
      </c>
    </row>
    <row r="494" spans="1:4" hidden="1" x14ac:dyDescent="0.35">
      <c r="A494" t="str">
        <f>IF(Table242[[#This Row],[Branch Name]]="","",(_xlfn.XLOOKUP(Table242[[#This Row],[Branch Name]],'Lookup Values'!G:G,'Lookup Values'!H:H,0)))</f>
        <v/>
      </c>
      <c r="B494" t="str">
        <f>IF(Table242[[#This Row],[Branch Name]]="","",(_xlfn.XLOOKUP(Table242[[#This Row],[Branch Name]],'Lookup Values'!G:G,'Lookup Values'!I:I,0)))</f>
        <v/>
      </c>
      <c r="C494" t="str">
        <f>IF(Table242[[#This Row],[Journal Description (Service Description)]]="","",1)</f>
        <v/>
      </c>
      <c r="D494" s="2" t="str">
        <f>IF(Table242[[#This Row],[Journal Description (Service Description)]]="","",VLOOKUP(Table242[[#This Row],[Journal Description (Service Description)]],'Lookup Values'!$A:$B,2,FALSE))</f>
        <v/>
      </c>
    </row>
    <row r="495" spans="1:4" hidden="1" x14ac:dyDescent="0.35">
      <c r="A495" t="str">
        <f>IF(Table242[[#This Row],[Branch Name]]="","",(_xlfn.XLOOKUP(Table242[[#This Row],[Branch Name]],'Lookup Values'!G:G,'Lookup Values'!H:H,0)))</f>
        <v/>
      </c>
      <c r="B495" t="str">
        <f>IF(Table242[[#This Row],[Branch Name]]="","",(_xlfn.XLOOKUP(Table242[[#This Row],[Branch Name]],'Lookup Values'!G:G,'Lookup Values'!I:I,0)))</f>
        <v/>
      </c>
      <c r="C495" t="str">
        <f>IF(Table242[[#This Row],[Journal Description (Service Description)]]="","",1)</f>
        <v/>
      </c>
      <c r="D495" s="2" t="str">
        <f>IF(Table242[[#This Row],[Journal Description (Service Description)]]="","",VLOOKUP(Table242[[#This Row],[Journal Description (Service Description)]],'Lookup Values'!$A:$B,2,FALSE))</f>
        <v/>
      </c>
    </row>
    <row r="496" spans="1:4" hidden="1" x14ac:dyDescent="0.35">
      <c r="A496" t="str">
        <f>IF(Table242[[#This Row],[Branch Name]]="","",(_xlfn.XLOOKUP(Table242[[#This Row],[Branch Name]],'Lookup Values'!G:G,'Lookup Values'!H:H,0)))</f>
        <v/>
      </c>
      <c r="B496" t="str">
        <f>IF(Table242[[#This Row],[Branch Name]]="","",(_xlfn.XLOOKUP(Table242[[#This Row],[Branch Name]],'Lookup Values'!G:G,'Lookup Values'!I:I,0)))</f>
        <v/>
      </c>
      <c r="C496" t="str">
        <f>IF(Table242[[#This Row],[Journal Description (Service Description)]]="","",1)</f>
        <v/>
      </c>
      <c r="D496" s="2" t="str">
        <f>IF(Table242[[#This Row],[Journal Description (Service Description)]]="","",VLOOKUP(Table242[[#This Row],[Journal Description (Service Description)]],'Lookup Values'!$A:$B,2,FALSE))</f>
        <v/>
      </c>
    </row>
    <row r="497" spans="1:4" hidden="1" x14ac:dyDescent="0.35">
      <c r="A497" t="str">
        <f>IF(Table242[[#This Row],[Branch Name]]="","",(_xlfn.XLOOKUP(Table242[[#This Row],[Branch Name]],'Lookup Values'!G:G,'Lookup Values'!H:H,0)))</f>
        <v/>
      </c>
      <c r="B497" t="str">
        <f>IF(Table242[[#This Row],[Branch Name]]="","",(_xlfn.XLOOKUP(Table242[[#This Row],[Branch Name]],'Lookup Values'!G:G,'Lookup Values'!I:I,0)))</f>
        <v/>
      </c>
      <c r="C497" t="str">
        <f>IF(Table242[[#This Row],[Journal Description (Service Description)]]="","",1)</f>
        <v/>
      </c>
      <c r="D497" s="2" t="str">
        <f>IF(Table242[[#This Row],[Journal Description (Service Description)]]="","",VLOOKUP(Table242[[#This Row],[Journal Description (Service Description)]],'Lookup Values'!$A:$B,2,FALSE))</f>
        <v/>
      </c>
    </row>
    <row r="498" spans="1:4" hidden="1" x14ac:dyDescent="0.35">
      <c r="A498" t="str">
        <f>IF(Table242[[#This Row],[Branch Name]]="","",(_xlfn.XLOOKUP(Table242[[#This Row],[Branch Name]],'Lookup Values'!G:G,'Lookup Values'!H:H,0)))</f>
        <v/>
      </c>
      <c r="B498" t="str">
        <f>IF(Table242[[#This Row],[Branch Name]]="","",(_xlfn.XLOOKUP(Table242[[#This Row],[Branch Name]],'Lookup Values'!G:G,'Lookup Values'!I:I,0)))</f>
        <v/>
      </c>
      <c r="C498" t="str">
        <f>IF(Table242[[#This Row],[Journal Description (Service Description)]]="","",1)</f>
        <v/>
      </c>
      <c r="D498" s="2" t="str">
        <f>IF(Table242[[#This Row],[Journal Description (Service Description)]]="","",VLOOKUP(Table242[[#This Row],[Journal Description (Service Description)]],'Lookup Values'!$A:$B,2,FALSE))</f>
        <v/>
      </c>
    </row>
    <row r="499" spans="1:4" hidden="1" x14ac:dyDescent="0.35">
      <c r="A499" t="str">
        <f>IF(Table242[[#This Row],[Branch Name]]="","",(_xlfn.XLOOKUP(Table242[[#This Row],[Branch Name]],'Lookup Values'!G:G,'Lookup Values'!H:H,0)))</f>
        <v/>
      </c>
      <c r="B499" t="str">
        <f>IF(Table242[[#This Row],[Branch Name]]="","",(_xlfn.XLOOKUP(Table242[[#This Row],[Branch Name]],'Lookup Values'!G:G,'Lookup Values'!I:I,0)))</f>
        <v/>
      </c>
      <c r="C499" t="str">
        <f>IF(Table242[[#This Row],[Journal Description (Service Description)]]="","",1)</f>
        <v/>
      </c>
      <c r="D499" s="2" t="str">
        <f>IF(Table242[[#This Row],[Journal Description (Service Description)]]="","",VLOOKUP(Table242[[#This Row],[Journal Description (Service Description)]],'Lookup Values'!$A:$B,2,FALSE))</f>
        <v/>
      </c>
    </row>
    <row r="500" spans="1:4" hidden="1" x14ac:dyDescent="0.35">
      <c r="A500" t="str">
        <f>IF(Table242[[#This Row],[Branch Name]]="","",(_xlfn.XLOOKUP(Table242[[#This Row],[Branch Name]],'Lookup Values'!G:G,'Lookup Values'!H:H,0)))</f>
        <v/>
      </c>
      <c r="B500" t="str">
        <f>IF(Table242[[#This Row],[Branch Name]]="","",(_xlfn.XLOOKUP(Table242[[#This Row],[Branch Name]],'Lookup Values'!G:G,'Lookup Values'!I:I,0)))</f>
        <v/>
      </c>
      <c r="C500" t="str">
        <f>IF(Table242[[#This Row],[Journal Description (Service Description)]]="","",1)</f>
        <v/>
      </c>
      <c r="D500" s="2" t="str">
        <f>IF(Table242[[#This Row],[Journal Description (Service Description)]]="","",VLOOKUP(Table242[[#This Row],[Journal Description (Service Description)]],'Lookup Values'!$A:$B,2,FALSE))</f>
        <v/>
      </c>
    </row>
    <row r="501" spans="1:4" hidden="1" x14ac:dyDescent="0.35">
      <c r="A501" t="str">
        <f>IF(Table242[[#This Row],[Branch Name]]="","",(_xlfn.XLOOKUP(Table242[[#This Row],[Branch Name]],'Lookup Values'!G:G,'Lookup Values'!H:H,0)))</f>
        <v/>
      </c>
      <c r="B501" t="str">
        <f>IF(Table242[[#This Row],[Branch Name]]="","",(_xlfn.XLOOKUP(Table242[[#This Row],[Branch Name]],'Lookup Values'!G:G,'Lookup Values'!I:I,0)))</f>
        <v/>
      </c>
      <c r="C501" t="str">
        <f>IF(Table242[[#This Row],[Journal Description (Service Description)]]="","",1)</f>
        <v/>
      </c>
      <c r="D501" s="2" t="str">
        <f>IF(Table242[[#This Row],[Journal Description (Service Description)]]="","",VLOOKUP(Table242[[#This Row],[Journal Description (Service Description)]],'Lookup Values'!$A:$B,2,FALSE))</f>
        <v/>
      </c>
    </row>
    <row r="502" spans="1:4" hidden="1" x14ac:dyDescent="0.35">
      <c r="A502" t="str">
        <f>IF(Table242[[#This Row],[Branch Name]]="","",(_xlfn.XLOOKUP(Table242[[#This Row],[Branch Name]],'Lookup Values'!G:G,'Lookup Values'!H:H,0)))</f>
        <v/>
      </c>
      <c r="B502" t="str">
        <f>IF(Table242[[#This Row],[Branch Name]]="","",(_xlfn.XLOOKUP(Table242[[#This Row],[Branch Name]],'Lookup Values'!G:G,'Lookup Values'!I:I,0)))</f>
        <v/>
      </c>
      <c r="C502" t="str">
        <f>IF(Table242[[#This Row],[Journal Description (Service Description)]]="","",1)</f>
        <v/>
      </c>
      <c r="D502" s="2" t="str">
        <f>IF(Table242[[#This Row],[Journal Description (Service Description)]]="","",VLOOKUP(Table242[[#This Row],[Journal Description (Service Description)]],'Lookup Values'!$A:$B,2,FALSE))</f>
        <v/>
      </c>
    </row>
    <row r="503" spans="1:4" hidden="1" x14ac:dyDescent="0.35">
      <c r="A503" t="str">
        <f>IF(Table242[[#This Row],[Branch Name]]="","",(_xlfn.XLOOKUP(Table242[[#This Row],[Branch Name]],'Lookup Values'!G:G,'Lookup Values'!H:H,0)))</f>
        <v/>
      </c>
      <c r="B503" t="str">
        <f>IF(Table242[[#This Row],[Branch Name]]="","",(_xlfn.XLOOKUP(Table242[[#This Row],[Branch Name]],'Lookup Values'!G:G,'Lookup Values'!I:I,0)))</f>
        <v/>
      </c>
      <c r="C503" t="str">
        <f>IF(Table242[[#This Row],[Journal Description (Service Description)]]="","",1)</f>
        <v/>
      </c>
      <c r="D503" s="2" t="str">
        <f>IF(Table242[[#This Row],[Journal Description (Service Description)]]="","",VLOOKUP(Table242[[#This Row],[Journal Description (Service Description)]],'Lookup Values'!$A:$B,2,FALSE))</f>
        <v/>
      </c>
    </row>
    <row r="504" spans="1:4" hidden="1" x14ac:dyDescent="0.35">
      <c r="A504" t="str">
        <f>IF(Table242[[#This Row],[Branch Name]]="","",(_xlfn.XLOOKUP(Table242[[#This Row],[Branch Name]],'Lookup Values'!G:G,'Lookup Values'!H:H,0)))</f>
        <v/>
      </c>
      <c r="B504" t="str">
        <f>IF(Table242[[#This Row],[Branch Name]]="","",(_xlfn.XLOOKUP(Table242[[#This Row],[Branch Name]],'Lookup Values'!G:G,'Lookup Values'!I:I,0)))</f>
        <v/>
      </c>
      <c r="C504" t="str">
        <f>IF(Table242[[#This Row],[Journal Description (Service Description)]]="","",1)</f>
        <v/>
      </c>
      <c r="D504" s="2" t="str">
        <f>IF(Table242[[#This Row],[Journal Description (Service Description)]]="","",VLOOKUP(Table242[[#This Row],[Journal Description (Service Description)]],'Lookup Values'!$A:$B,2,FALSE))</f>
        <v/>
      </c>
    </row>
    <row r="505" spans="1:4" hidden="1" x14ac:dyDescent="0.35">
      <c r="A505" t="str">
        <f>IF(Table242[[#This Row],[Branch Name]]="","",(_xlfn.XLOOKUP(Table242[[#This Row],[Branch Name]],'Lookup Values'!G:G,'Lookup Values'!H:H,0)))</f>
        <v/>
      </c>
      <c r="B505" t="str">
        <f>IF(Table242[[#This Row],[Branch Name]]="","",(_xlfn.XLOOKUP(Table242[[#This Row],[Branch Name]],'Lookup Values'!G:G,'Lookup Values'!I:I,0)))</f>
        <v/>
      </c>
      <c r="C505" t="str">
        <f>IF(Table242[[#This Row],[Journal Description (Service Description)]]="","",1)</f>
        <v/>
      </c>
      <c r="D505" s="2" t="str">
        <f>IF(Table242[[#This Row],[Journal Description (Service Description)]]="","",VLOOKUP(Table242[[#This Row],[Journal Description (Service Description)]],'Lookup Values'!$A:$B,2,FALSE))</f>
        <v/>
      </c>
    </row>
    <row r="506" spans="1:4" hidden="1" x14ac:dyDescent="0.35">
      <c r="A506" t="str">
        <f>IF(Table242[[#This Row],[Branch Name]]="","",(_xlfn.XLOOKUP(Table242[[#This Row],[Branch Name]],'Lookup Values'!G:G,'Lookup Values'!H:H,0)))</f>
        <v/>
      </c>
      <c r="B506" t="str">
        <f>IF(Table242[[#This Row],[Branch Name]]="","",(_xlfn.XLOOKUP(Table242[[#This Row],[Branch Name]],'Lookup Values'!G:G,'Lookup Values'!I:I,0)))</f>
        <v/>
      </c>
      <c r="C506" t="str">
        <f>IF(Table242[[#This Row],[Journal Description (Service Description)]]="","",1)</f>
        <v/>
      </c>
      <c r="D506" s="2" t="str">
        <f>IF(Table242[[#This Row],[Journal Description (Service Description)]]="","",VLOOKUP(Table242[[#This Row],[Journal Description (Service Description)]],'Lookup Values'!$A:$B,2,FALSE))</f>
        <v/>
      </c>
    </row>
    <row r="507" spans="1:4" hidden="1" x14ac:dyDescent="0.35">
      <c r="A507" t="str">
        <f>IF(Table242[[#This Row],[Branch Name]]="","",(_xlfn.XLOOKUP(Table242[[#This Row],[Branch Name]],'Lookup Values'!G:G,'Lookup Values'!H:H,0)))</f>
        <v/>
      </c>
      <c r="B507" t="str">
        <f>IF(Table242[[#This Row],[Branch Name]]="","",(_xlfn.XLOOKUP(Table242[[#This Row],[Branch Name]],'Lookup Values'!G:G,'Lookup Values'!I:I,0)))</f>
        <v/>
      </c>
      <c r="C507" t="str">
        <f>IF(Table242[[#This Row],[Journal Description (Service Description)]]="","",1)</f>
        <v/>
      </c>
      <c r="D507" s="2" t="str">
        <f>IF(Table242[[#This Row],[Journal Description (Service Description)]]="","",VLOOKUP(Table242[[#This Row],[Journal Description (Service Description)]],'Lookup Values'!$A:$B,2,FALSE))</f>
        <v/>
      </c>
    </row>
    <row r="508" spans="1:4" hidden="1" x14ac:dyDescent="0.35">
      <c r="A508" t="str">
        <f>IF(Table242[[#This Row],[Branch Name]]="","",(_xlfn.XLOOKUP(Table242[[#This Row],[Branch Name]],'Lookup Values'!G:G,'Lookup Values'!H:H,0)))</f>
        <v/>
      </c>
      <c r="B508" t="str">
        <f>IF(Table242[[#This Row],[Branch Name]]="","",(_xlfn.XLOOKUP(Table242[[#This Row],[Branch Name]],'Lookup Values'!G:G,'Lookup Values'!I:I,0)))</f>
        <v/>
      </c>
      <c r="C508" t="str">
        <f>IF(Table242[[#This Row],[Journal Description (Service Description)]]="","",1)</f>
        <v/>
      </c>
      <c r="D508" s="2" t="str">
        <f>IF(Table242[[#This Row],[Journal Description (Service Description)]]="","",VLOOKUP(Table242[[#This Row],[Journal Description (Service Description)]],'Lookup Values'!$A:$B,2,FALSE))</f>
        <v/>
      </c>
    </row>
    <row r="509" spans="1:4" hidden="1" x14ac:dyDescent="0.35">
      <c r="A509" t="str">
        <f>IF(Table242[[#This Row],[Branch Name]]="","",(_xlfn.XLOOKUP(Table242[[#This Row],[Branch Name]],'Lookup Values'!G:G,'Lookup Values'!H:H,0)))</f>
        <v/>
      </c>
      <c r="B509" t="str">
        <f>IF(Table242[[#This Row],[Branch Name]]="","",(_xlfn.XLOOKUP(Table242[[#This Row],[Branch Name]],'Lookup Values'!G:G,'Lookup Values'!I:I,0)))</f>
        <v/>
      </c>
      <c r="C509" t="str">
        <f>IF(Table242[[#This Row],[Journal Description (Service Description)]]="","",1)</f>
        <v/>
      </c>
      <c r="D509" s="2" t="str">
        <f>IF(Table242[[#This Row],[Journal Description (Service Description)]]="","",VLOOKUP(Table242[[#This Row],[Journal Description (Service Description)]],'Lookup Values'!$A:$B,2,FALSE))</f>
        <v/>
      </c>
    </row>
    <row r="510" spans="1:4" hidden="1" x14ac:dyDescent="0.35">
      <c r="A510" t="str">
        <f>IF(Table242[[#This Row],[Branch Name]]="","",(_xlfn.XLOOKUP(Table242[[#This Row],[Branch Name]],'Lookup Values'!G:G,'Lookup Values'!H:H,0)))</f>
        <v/>
      </c>
      <c r="B510" t="str">
        <f>IF(Table242[[#This Row],[Branch Name]]="","",(_xlfn.XLOOKUP(Table242[[#This Row],[Branch Name]],'Lookup Values'!G:G,'Lookup Values'!I:I,0)))</f>
        <v/>
      </c>
      <c r="C510" t="str">
        <f>IF(Table242[[#This Row],[Journal Description (Service Description)]]="","",1)</f>
        <v/>
      </c>
      <c r="D510" s="2" t="str">
        <f>IF(Table242[[#This Row],[Journal Description (Service Description)]]="","",VLOOKUP(Table242[[#This Row],[Journal Description (Service Description)]],'Lookup Values'!$A:$B,2,FALSE))</f>
        <v/>
      </c>
    </row>
    <row r="511" spans="1:4" hidden="1" x14ac:dyDescent="0.35">
      <c r="A511" t="str">
        <f>IF(Table242[[#This Row],[Branch Name]]="","",(_xlfn.XLOOKUP(Table242[[#This Row],[Branch Name]],'Lookup Values'!G:G,'Lookup Values'!H:H,0)))</f>
        <v/>
      </c>
      <c r="B511" t="str">
        <f>IF(Table242[[#This Row],[Branch Name]]="","",(_xlfn.XLOOKUP(Table242[[#This Row],[Branch Name]],'Lookup Values'!G:G,'Lookup Values'!I:I,0)))</f>
        <v/>
      </c>
      <c r="C511" t="str">
        <f>IF(Table242[[#This Row],[Journal Description (Service Description)]]="","",1)</f>
        <v/>
      </c>
      <c r="D511" s="2" t="str">
        <f>IF(Table242[[#This Row],[Journal Description (Service Description)]]="","",VLOOKUP(Table242[[#This Row],[Journal Description (Service Description)]],'Lookup Values'!$A:$B,2,FALSE))</f>
        <v/>
      </c>
    </row>
    <row r="512" spans="1:4" hidden="1" x14ac:dyDescent="0.35">
      <c r="A512" t="str">
        <f>IF(Table242[[#This Row],[Branch Name]]="","",(_xlfn.XLOOKUP(Table242[[#This Row],[Branch Name]],'Lookup Values'!G:G,'Lookup Values'!H:H,0)))</f>
        <v/>
      </c>
      <c r="B512" t="str">
        <f>IF(Table242[[#This Row],[Branch Name]]="","",(_xlfn.XLOOKUP(Table242[[#This Row],[Branch Name]],'Lookup Values'!G:G,'Lookup Values'!I:I,0)))</f>
        <v/>
      </c>
      <c r="C512" t="str">
        <f>IF(Table242[[#This Row],[Journal Description (Service Description)]]="","",1)</f>
        <v/>
      </c>
      <c r="D512" s="2" t="str">
        <f>IF(Table242[[#This Row],[Journal Description (Service Description)]]="","",VLOOKUP(Table242[[#This Row],[Journal Description (Service Description)]],'Lookup Values'!$A:$B,2,FALSE))</f>
        <v/>
      </c>
    </row>
    <row r="513" spans="1:4" hidden="1" x14ac:dyDescent="0.35">
      <c r="A513" t="str">
        <f>IF(Table242[[#This Row],[Branch Name]]="","",(_xlfn.XLOOKUP(Table242[[#This Row],[Branch Name]],'Lookup Values'!G:G,'Lookup Values'!H:H,0)))</f>
        <v/>
      </c>
      <c r="B513" t="str">
        <f>IF(Table242[[#This Row],[Branch Name]]="","",(_xlfn.XLOOKUP(Table242[[#This Row],[Branch Name]],'Lookup Values'!G:G,'Lookup Values'!I:I,0)))</f>
        <v/>
      </c>
      <c r="C513" t="str">
        <f>IF(Table242[[#This Row],[Journal Description (Service Description)]]="","",1)</f>
        <v/>
      </c>
      <c r="D513" s="2" t="str">
        <f>IF(Table242[[#This Row],[Journal Description (Service Description)]]="","",VLOOKUP(Table242[[#This Row],[Journal Description (Service Description)]],'Lookup Values'!$A:$B,2,FALSE))</f>
        <v/>
      </c>
    </row>
    <row r="514" spans="1:4" hidden="1" x14ac:dyDescent="0.35">
      <c r="A514" t="str">
        <f>IF(Table242[[#This Row],[Branch Name]]="","",(_xlfn.XLOOKUP(Table242[[#This Row],[Branch Name]],'Lookup Values'!G:G,'Lookup Values'!H:H,0)))</f>
        <v/>
      </c>
      <c r="B514" t="str">
        <f>IF(Table242[[#This Row],[Branch Name]]="","",(_xlfn.XLOOKUP(Table242[[#This Row],[Branch Name]],'Lookup Values'!G:G,'Lookup Values'!I:I,0)))</f>
        <v/>
      </c>
      <c r="C514" t="str">
        <f>IF(Table242[[#This Row],[Journal Description (Service Description)]]="","",1)</f>
        <v/>
      </c>
      <c r="D514" s="2" t="str">
        <f>IF(Table242[[#This Row],[Journal Description (Service Description)]]="","",VLOOKUP(Table242[[#This Row],[Journal Description (Service Description)]],'Lookup Values'!$A:$B,2,FALSE))</f>
        <v/>
      </c>
    </row>
    <row r="515" spans="1:4" hidden="1" x14ac:dyDescent="0.35">
      <c r="A515" t="str">
        <f>IF(Table242[[#This Row],[Branch Name]]="","",(_xlfn.XLOOKUP(Table242[[#This Row],[Branch Name]],'Lookup Values'!G:G,'Lookup Values'!H:H,0)))</f>
        <v/>
      </c>
      <c r="B515" t="str">
        <f>IF(Table242[[#This Row],[Branch Name]]="","",(_xlfn.XLOOKUP(Table242[[#This Row],[Branch Name]],'Lookup Values'!G:G,'Lookup Values'!I:I,0)))</f>
        <v/>
      </c>
      <c r="C515" t="str">
        <f>IF(Table242[[#This Row],[Journal Description (Service Description)]]="","",1)</f>
        <v/>
      </c>
      <c r="D515" s="2" t="str">
        <f>IF(Table242[[#This Row],[Journal Description (Service Description)]]="","",VLOOKUP(Table242[[#This Row],[Journal Description (Service Description)]],'Lookup Values'!$A:$B,2,FALSE))</f>
        <v/>
      </c>
    </row>
    <row r="516" spans="1:4" hidden="1" x14ac:dyDescent="0.35">
      <c r="A516" t="str">
        <f>IF(Table242[[#This Row],[Branch Name]]="","",(_xlfn.XLOOKUP(Table242[[#This Row],[Branch Name]],'Lookup Values'!G:G,'Lookup Values'!H:H,0)))</f>
        <v/>
      </c>
      <c r="B516" t="str">
        <f>IF(Table242[[#This Row],[Branch Name]]="","",(_xlfn.XLOOKUP(Table242[[#This Row],[Branch Name]],'Lookup Values'!G:G,'Lookup Values'!I:I,0)))</f>
        <v/>
      </c>
      <c r="C516" t="str">
        <f>IF(Table242[[#This Row],[Journal Description (Service Description)]]="","",1)</f>
        <v/>
      </c>
      <c r="D516" s="2" t="str">
        <f>IF(Table242[[#This Row],[Journal Description (Service Description)]]="","",VLOOKUP(Table242[[#This Row],[Journal Description (Service Description)]],'Lookup Values'!$A:$B,2,FALSE))</f>
        <v/>
      </c>
    </row>
    <row r="517" spans="1:4" hidden="1" x14ac:dyDescent="0.35">
      <c r="A517" t="str">
        <f>IF(Table242[[#This Row],[Branch Name]]="","",(_xlfn.XLOOKUP(Table242[[#This Row],[Branch Name]],'Lookup Values'!G:G,'Lookup Values'!H:H,0)))</f>
        <v/>
      </c>
      <c r="B517" t="str">
        <f>IF(Table242[[#This Row],[Branch Name]]="","",(_xlfn.XLOOKUP(Table242[[#This Row],[Branch Name]],'Lookup Values'!G:G,'Lookup Values'!I:I,0)))</f>
        <v/>
      </c>
      <c r="C517" t="str">
        <f>IF(Table242[[#This Row],[Journal Description (Service Description)]]="","",1)</f>
        <v/>
      </c>
      <c r="D517" s="2" t="str">
        <f>IF(Table242[[#This Row],[Journal Description (Service Description)]]="","",VLOOKUP(Table242[[#This Row],[Journal Description (Service Description)]],'Lookup Values'!$A:$B,2,FALSE))</f>
        <v/>
      </c>
    </row>
    <row r="518" spans="1:4" hidden="1" x14ac:dyDescent="0.35">
      <c r="A518" t="str">
        <f>IF(Table242[[#This Row],[Branch Name]]="","",(_xlfn.XLOOKUP(Table242[[#This Row],[Branch Name]],'Lookup Values'!G:G,'Lookup Values'!H:H,0)))</f>
        <v/>
      </c>
      <c r="B518" t="str">
        <f>IF(Table242[[#This Row],[Branch Name]]="","",(_xlfn.XLOOKUP(Table242[[#This Row],[Branch Name]],'Lookup Values'!G:G,'Lookup Values'!I:I,0)))</f>
        <v/>
      </c>
      <c r="C518" t="str">
        <f>IF(Table242[[#This Row],[Journal Description (Service Description)]]="","",1)</f>
        <v/>
      </c>
      <c r="D518" s="2" t="str">
        <f>IF(Table242[[#This Row],[Journal Description (Service Description)]]="","",VLOOKUP(Table242[[#This Row],[Journal Description (Service Description)]],'Lookup Values'!$A:$B,2,FALSE))</f>
        <v/>
      </c>
    </row>
    <row r="519" spans="1:4" hidden="1" x14ac:dyDescent="0.35">
      <c r="A519" t="str">
        <f>IF(Table242[[#This Row],[Branch Name]]="","",(_xlfn.XLOOKUP(Table242[[#This Row],[Branch Name]],'Lookup Values'!G:G,'Lookup Values'!H:H,0)))</f>
        <v/>
      </c>
      <c r="B519" t="str">
        <f>IF(Table242[[#This Row],[Branch Name]]="","",(_xlfn.XLOOKUP(Table242[[#This Row],[Branch Name]],'Lookup Values'!G:G,'Lookup Values'!I:I,0)))</f>
        <v/>
      </c>
      <c r="C519" t="str">
        <f>IF(Table242[[#This Row],[Journal Description (Service Description)]]="","",1)</f>
        <v/>
      </c>
      <c r="D519" s="2" t="str">
        <f>IF(Table242[[#This Row],[Journal Description (Service Description)]]="","",VLOOKUP(Table242[[#This Row],[Journal Description (Service Description)]],'Lookup Values'!$A:$B,2,FALSE))</f>
        <v/>
      </c>
    </row>
    <row r="520" spans="1:4" hidden="1" x14ac:dyDescent="0.35">
      <c r="A520" t="str">
        <f>IF(Table242[[#This Row],[Branch Name]]="","",(_xlfn.XLOOKUP(Table242[[#This Row],[Branch Name]],'Lookup Values'!G:G,'Lookup Values'!H:H,0)))</f>
        <v/>
      </c>
      <c r="B520" t="str">
        <f>IF(Table242[[#This Row],[Branch Name]]="","",(_xlfn.XLOOKUP(Table242[[#This Row],[Branch Name]],'Lookup Values'!G:G,'Lookup Values'!I:I,0)))</f>
        <v/>
      </c>
      <c r="C520" t="str">
        <f>IF(Table242[[#This Row],[Journal Description (Service Description)]]="","",1)</f>
        <v/>
      </c>
      <c r="D520" s="2" t="str">
        <f>IF(Table242[[#This Row],[Journal Description (Service Description)]]="","",VLOOKUP(Table242[[#This Row],[Journal Description (Service Description)]],'Lookup Values'!$A:$B,2,FALSE))</f>
        <v/>
      </c>
    </row>
    <row r="521" spans="1:4" hidden="1" x14ac:dyDescent="0.35">
      <c r="A521" t="str">
        <f>IF(Table242[[#This Row],[Branch Name]]="","",(_xlfn.XLOOKUP(Table242[[#This Row],[Branch Name]],'Lookup Values'!G:G,'Lookup Values'!H:H,0)))</f>
        <v/>
      </c>
      <c r="B521" t="str">
        <f>IF(Table242[[#This Row],[Branch Name]]="","",(_xlfn.XLOOKUP(Table242[[#This Row],[Branch Name]],'Lookup Values'!G:G,'Lookup Values'!I:I,0)))</f>
        <v/>
      </c>
      <c r="C521" t="str">
        <f>IF(Table242[[#This Row],[Journal Description (Service Description)]]="","",1)</f>
        <v/>
      </c>
      <c r="D521" s="2" t="str">
        <f>IF(Table242[[#This Row],[Journal Description (Service Description)]]="","",VLOOKUP(Table242[[#This Row],[Journal Description (Service Description)]],'Lookup Values'!$A:$B,2,FALSE))</f>
        <v/>
      </c>
    </row>
    <row r="522" spans="1:4" hidden="1" x14ac:dyDescent="0.35">
      <c r="A522" t="str">
        <f>IF(Table242[[#This Row],[Branch Name]]="","",(_xlfn.XLOOKUP(Table242[[#This Row],[Branch Name]],'Lookup Values'!G:G,'Lookup Values'!H:H,0)))</f>
        <v/>
      </c>
      <c r="B522" t="str">
        <f>IF(Table242[[#This Row],[Branch Name]]="","",(_xlfn.XLOOKUP(Table242[[#This Row],[Branch Name]],'Lookup Values'!G:G,'Lookup Values'!I:I,0)))</f>
        <v/>
      </c>
      <c r="C522" t="str">
        <f>IF(Table242[[#This Row],[Journal Description (Service Description)]]="","",1)</f>
        <v/>
      </c>
      <c r="D522" s="2" t="str">
        <f>IF(Table242[[#This Row],[Journal Description (Service Description)]]="","",VLOOKUP(Table242[[#This Row],[Journal Description (Service Description)]],'Lookup Values'!$A:$B,2,FALSE))</f>
        <v/>
      </c>
    </row>
    <row r="523" spans="1:4" hidden="1" x14ac:dyDescent="0.35">
      <c r="A523" t="str">
        <f>IF(Table242[[#This Row],[Branch Name]]="","",(_xlfn.XLOOKUP(Table242[[#This Row],[Branch Name]],'Lookup Values'!G:G,'Lookup Values'!H:H,0)))</f>
        <v/>
      </c>
      <c r="B523" t="str">
        <f>IF(Table242[[#This Row],[Branch Name]]="","",(_xlfn.XLOOKUP(Table242[[#This Row],[Branch Name]],'Lookup Values'!G:G,'Lookup Values'!I:I,0)))</f>
        <v/>
      </c>
      <c r="C523" t="str">
        <f>IF(Table242[[#This Row],[Journal Description (Service Description)]]="","",1)</f>
        <v/>
      </c>
      <c r="D523" s="2" t="str">
        <f>IF(Table242[[#This Row],[Journal Description (Service Description)]]="","",VLOOKUP(Table242[[#This Row],[Journal Description (Service Description)]],'Lookup Values'!$A:$B,2,FALSE))</f>
        <v/>
      </c>
    </row>
    <row r="524" spans="1:4" hidden="1" x14ac:dyDescent="0.35">
      <c r="A524" t="str">
        <f>IF(Table242[[#This Row],[Branch Name]]="","",(_xlfn.XLOOKUP(Table242[[#This Row],[Branch Name]],'Lookup Values'!G:G,'Lookup Values'!H:H,0)))</f>
        <v/>
      </c>
      <c r="B524" t="str">
        <f>IF(Table242[[#This Row],[Branch Name]]="","",(_xlfn.XLOOKUP(Table242[[#This Row],[Branch Name]],'Lookup Values'!G:G,'Lookup Values'!I:I,0)))</f>
        <v/>
      </c>
      <c r="C524" t="str">
        <f>IF(Table242[[#This Row],[Journal Description (Service Description)]]="","",1)</f>
        <v/>
      </c>
      <c r="D524" s="2" t="str">
        <f>IF(Table242[[#This Row],[Journal Description (Service Description)]]="","",VLOOKUP(Table242[[#This Row],[Journal Description (Service Description)]],'Lookup Values'!$A:$B,2,FALSE))</f>
        <v/>
      </c>
    </row>
    <row r="525" spans="1:4" hidden="1" x14ac:dyDescent="0.35">
      <c r="A525" t="str">
        <f>IF(Table242[[#This Row],[Branch Name]]="","",(_xlfn.XLOOKUP(Table242[[#This Row],[Branch Name]],'Lookup Values'!G:G,'Lookup Values'!H:H,0)))</f>
        <v/>
      </c>
      <c r="B525" t="str">
        <f>IF(Table242[[#This Row],[Branch Name]]="","",(_xlfn.XLOOKUP(Table242[[#This Row],[Branch Name]],'Lookup Values'!G:G,'Lookup Values'!I:I,0)))</f>
        <v/>
      </c>
      <c r="C525" t="str">
        <f>IF(Table242[[#This Row],[Journal Description (Service Description)]]="","",1)</f>
        <v/>
      </c>
      <c r="D525" s="2" t="str">
        <f>IF(Table242[[#This Row],[Journal Description (Service Description)]]="","",VLOOKUP(Table242[[#This Row],[Journal Description (Service Description)]],'Lookup Values'!$A:$B,2,FALSE))</f>
        <v/>
      </c>
    </row>
    <row r="526" spans="1:4" hidden="1" x14ac:dyDescent="0.35">
      <c r="A526" t="str">
        <f>IF(Table242[[#This Row],[Branch Name]]="","",(_xlfn.XLOOKUP(Table242[[#This Row],[Branch Name]],'Lookup Values'!G:G,'Lookup Values'!H:H,0)))</f>
        <v/>
      </c>
      <c r="B526" t="str">
        <f>IF(Table242[[#This Row],[Branch Name]]="","",(_xlfn.XLOOKUP(Table242[[#This Row],[Branch Name]],'Lookup Values'!G:G,'Lookup Values'!I:I,0)))</f>
        <v/>
      </c>
      <c r="C526" t="str">
        <f>IF(Table242[[#This Row],[Journal Description (Service Description)]]="","",1)</f>
        <v/>
      </c>
      <c r="D526" s="2" t="str">
        <f>IF(Table242[[#This Row],[Journal Description (Service Description)]]="","",VLOOKUP(Table242[[#This Row],[Journal Description (Service Description)]],'Lookup Values'!$A:$B,2,FALSE))</f>
        <v/>
      </c>
    </row>
    <row r="527" spans="1:4" hidden="1" x14ac:dyDescent="0.35">
      <c r="A527" t="str">
        <f>IF(Table242[[#This Row],[Branch Name]]="","",(_xlfn.XLOOKUP(Table242[[#This Row],[Branch Name]],'Lookup Values'!G:G,'Lookup Values'!H:H,0)))</f>
        <v/>
      </c>
      <c r="B527" t="str">
        <f>IF(Table242[[#This Row],[Branch Name]]="","",(_xlfn.XLOOKUP(Table242[[#This Row],[Branch Name]],'Lookup Values'!G:G,'Lookup Values'!I:I,0)))</f>
        <v/>
      </c>
      <c r="C527" t="str">
        <f>IF(Table242[[#This Row],[Journal Description (Service Description)]]="","",1)</f>
        <v/>
      </c>
      <c r="D527" s="2" t="str">
        <f>IF(Table242[[#This Row],[Journal Description (Service Description)]]="","",VLOOKUP(Table242[[#This Row],[Journal Description (Service Description)]],'Lookup Values'!$A:$B,2,FALSE))</f>
        <v/>
      </c>
    </row>
    <row r="528" spans="1:4" hidden="1" x14ac:dyDescent="0.35">
      <c r="A528" t="str">
        <f>IF(Table242[[#This Row],[Branch Name]]="","",(_xlfn.XLOOKUP(Table242[[#This Row],[Branch Name]],'Lookup Values'!G:G,'Lookup Values'!H:H,0)))</f>
        <v/>
      </c>
      <c r="B528" t="str">
        <f>IF(Table242[[#This Row],[Branch Name]]="","",(_xlfn.XLOOKUP(Table242[[#This Row],[Branch Name]],'Lookup Values'!G:G,'Lookup Values'!I:I,0)))</f>
        <v/>
      </c>
      <c r="C528" t="str">
        <f>IF(Table242[[#This Row],[Journal Description (Service Description)]]="","",1)</f>
        <v/>
      </c>
      <c r="D528" s="2" t="str">
        <f>IF(Table242[[#This Row],[Journal Description (Service Description)]]="","",VLOOKUP(Table242[[#This Row],[Journal Description (Service Description)]],'Lookup Values'!$A:$B,2,FALSE))</f>
        <v/>
      </c>
    </row>
    <row r="529" spans="1:4" hidden="1" x14ac:dyDescent="0.35">
      <c r="A529" t="str">
        <f>IF(Table242[[#This Row],[Branch Name]]="","",(_xlfn.XLOOKUP(Table242[[#This Row],[Branch Name]],'Lookup Values'!G:G,'Lookup Values'!H:H,0)))</f>
        <v/>
      </c>
      <c r="B529" t="str">
        <f>IF(Table242[[#This Row],[Branch Name]]="","",(_xlfn.XLOOKUP(Table242[[#This Row],[Branch Name]],'Lookup Values'!G:G,'Lookup Values'!I:I,0)))</f>
        <v/>
      </c>
      <c r="C529" t="str">
        <f>IF(Table242[[#This Row],[Journal Description (Service Description)]]="","",1)</f>
        <v/>
      </c>
      <c r="D529" s="2" t="str">
        <f>IF(Table242[[#This Row],[Journal Description (Service Description)]]="","",VLOOKUP(Table242[[#This Row],[Journal Description (Service Description)]],'Lookup Values'!$A:$B,2,FALSE))</f>
        <v/>
      </c>
    </row>
    <row r="530" spans="1:4" hidden="1" x14ac:dyDescent="0.35">
      <c r="A530" t="str">
        <f>IF(Table242[[#This Row],[Branch Name]]="","",(_xlfn.XLOOKUP(Table242[[#This Row],[Branch Name]],'Lookup Values'!G:G,'Lookup Values'!H:H,0)))</f>
        <v/>
      </c>
      <c r="B530" t="str">
        <f>IF(Table242[[#This Row],[Branch Name]]="","",(_xlfn.XLOOKUP(Table242[[#This Row],[Branch Name]],'Lookup Values'!G:G,'Lookup Values'!I:I,0)))</f>
        <v/>
      </c>
      <c r="C530" t="str">
        <f>IF(Table242[[#This Row],[Journal Description (Service Description)]]="","",1)</f>
        <v/>
      </c>
      <c r="D530" s="2" t="str">
        <f>IF(Table242[[#This Row],[Journal Description (Service Description)]]="","",VLOOKUP(Table242[[#This Row],[Journal Description (Service Description)]],'Lookup Values'!$A:$B,2,FALSE))</f>
        <v/>
      </c>
    </row>
    <row r="531" spans="1:4" hidden="1" x14ac:dyDescent="0.35">
      <c r="A531" t="str">
        <f>IF(Table242[[#This Row],[Branch Name]]="","",(_xlfn.XLOOKUP(Table242[[#This Row],[Branch Name]],'Lookup Values'!G:G,'Lookup Values'!H:H,0)))</f>
        <v/>
      </c>
      <c r="B531" t="str">
        <f>IF(Table242[[#This Row],[Branch Name]]="","",(_xlfn.XLOOKUP(Table242[[#This Row],[Branch Name]],'Lookup Values'!G:G,'Lookup Values'!I:I,0)))</f>
        <v/>
      </c>
      <c r="C531" t="str">
        <f>IF(Table242[[#This Row],[Journal Description (Service Description)]]="","",1)</f>
        <v/>
      </c>
      <c r="D531" s="2" t="str">
        <f>IF(Table242[[#This Row],[Journal Description (Service Description)]]="","",VLOOKUP(Table242[[#This Row],[Journal Description (Service Description)]],'Lookup Values'!$A:$B,2,FALSE))</f>
        <v/>
      </c>
    </row>
    <row r="532" spans="1:4" hidden="1" x14ac:dyDescent="0.35">
      <c r="A532" t="str">
        <f>IF(Table242[[#This Row],[Branch Name]]="","",(_xlfn.XLOOKUP(Table242[[#This Row],[Branch Name]],'Lookup Values'!G:G,'Lookup Values'!H:H,0)))</f>
        <v/>
      </c>
      <c r="B532" t="str">
        <f>IF(Table242[[#This Row],[Branch Name]]="","",(_xlfn.XLOOKUP(Table242[[#This Row],[Branch Name]],'Lookup Values'!G:G,'Lookup Values'!I:I,0)))</f>
        <v/>
      </c>
      <c r="C532" t="str">
        <f>IF(Table242[[#This Row],[Journal Description (Service Description)]]="","",1)</f>
        <v/>
      </c>
      <c r="D532" s="2" t="str">
        <f>IF(Table242[[#This Row],[Journal Description (Service Description)]]="","",VLOOKUP(Table242[[#This Row],[Journal Description (Service Description)]],'Lookup Values'!$A:$B,2,FALSE))</f>
        <v/>
      </c>
    </row>
    <row r="533" spans="1:4" hidden="1" x14ac:dyDescent="0.35">
      <c r="A533" t="str">
        <f>IF(Table242[[#This Row],[Branch Name]]="","",(_xlfn.XLOOKUP(Table242[[#This Row],[Branch Name]],'Lookup Values'!G:G,'Lookup Values'!H:H,0)))</f>
        <v/>
      </c>
      <c r="B533" t="str">
        <f>IF(Table242[[#This Row],[Branch Name]]="","",(_xlfn.XLOOKUP(Table242[[#This Row],[Branch Name]],'Lookup Values'!G:G,'Lookup Values'!I:I,0)))</f>
        <v/>
      </c>
      <c r="C533" t="str">
        <f>IF(Table242[[#This Row],[Journal Description (Service Description)]]="","",1)</f>
        <v/>
      </c>
      <c r="D533" s="2" t="str">
        <f>IF(Table242[[#This Row],[Journal Description (Service Description)]]="","",VLOOKUP(Table242[[#This Row],[Journal Description (Service Description)]],'Lookup Values'!$A:$B,2,FALSE))</f>
        <v/>
      </c>
    </row>
  </sheetData>
  <protectedRanges>
    <protectedRange sqref="D9:D66 D69:D533" name="Amount"/>
    <protectedRange sqref="D67:D68" name="Amount_2"/>
  </protectedRanges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59E3BCC-1F60-4DDD-ACC5-46F559457C90}">
          <x14:formula1>
            <xm:f>'Lookup Values'!$A$2:$A$7</xm:f>
          </x14:formula1>
          <xm:sqref>F525:F533</xm:sqref>
        </x14:dataValidation>
        <x14:dataValidation type="list" allowBlank="1" showInputMessage="1" showErrorMessage="1" xr:uid="{9D99F9AA-83B6-48EA-A94B-4A846D5B6DEC}">
          <x14:formula1>
            <xm:f>'Lookup Values'!$A$2:$A$39</xm:f>
          </x14:formula1>
          <xm:sqref>F127:F524 F67:F68</xm:sqref>
        </x14:dataValidation>
        <x14:dataValidation type="list" allowBlank="1" showInputMessage="1" showErrorMessage="1" xr:uid="{1C2003E6-545F-48BE-9BBB-8E1B0BA9F930}">
          <x14:formula1>
            <xm:f>'Lookup Values'!$A$2:$A$9</xm:f>
          </x14:formula1>
          <xm:sqref>F10:F66 F69:F126</xm:sqref>
        </x14:dataValidation>
        <x14:dataValidation type="list" allowBlank="1" showInputMessage="1" showErrorMessage="1" xr:uid="{E97EDBAE-DFD8-4D9C-8498-632804E22945}">
          <x14:formula1>
            <xm:f>'Lookup Values'!$G$2:$G$35</xm:f>
          </x14:formula1>
          <xm:sqref>E10:E533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12027-793A-47EE-A7EC-81ACED63A8B0}">
  <sheetPr codeName="Sheet7"/>
  <dimension ref="A1:G532"/>
  <sheetViews>
    <sheetView workbookViewId="0">
      <selection activeCell="B11" sqref="B11"/>
    </sheetView>
  </sheetViews>
  <sheetFormatPr defaultColWidth="9.1796875" defaultRowHeight="14.5" x14ac:dyDescent="0.35"/>
  <cols>
    <col min="1" max="1" width="14.1796875" customWidth="1"/>
    <col min="2" max="2" width="18.54296875" bestFit="1" customWidth="1"/>
    <col min="3" max="3" width="16.7265625" customWidth="1"/>
    <col min="4" max="4" width="19.54296875" style="2" customWidth="1"/>
    <col min="5" max="5" width="46.26953125" customWidth="1"/>
    <col min="6" max="6" width="47.1796875" bestFit="1" customWidth="1"/>
    <col min="7" max="7" width="3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x14ac:dyDescent="0.35">
      <c r="A3" s="6" t="s">
        <v>28</v>
      </c>
      <c r="B3" s="7" t="s">
        <v>218</v>
      </c>
    </row>
    <row r="4" spans="1:7" x14ac:dyDescent="0.35">
      <c r="A4" s="8" t="s">
        <v>29</v>
      </c>
      <c r="B4" s="9">
        <v>44408</v>
      </c>
      <c r="C4" s="5"/>
    </row>
    <row r="5" spans="1:7" ht="15" thickBot="1" x14ac:dyDescent="0.4">
      <c r="A5" s="10" t="s">
        <v>30</v>
      </c>
      <c r="B5" s="11" t="s">
        <v>207</v>
      </c>
      <c r="C5" s="15"/>
    </row>
    <row r="8" spans="1:7" x14ac:dyDescent="0.3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35">
      <c r="A9" s="1" t="s">
        <v>6</v>
      </c>
      <c r="B9" s="12" t="s">
        <v>7</v>
      </c>
      <c r="C9" s="12">
        <f>IF(Table2425[[#This Row],[Journal Description (Service Description)]]="","",1)</f>
        <v>1</v>
      </c>
      <c r="D9" s="3" t="e">
        <f>-SUM(D10:D135)-'Parks Journal input July 2021'!F4</f>
        <v>#N/A</v>
      </c>
      <c r="E9" s="1" t="s">
        <v>12</v>
      </c>
      <c r="F9" s="1" t="s">
        <v>13</v>
      </c>
      <c r="G9" s="13" t="str">
        <f>TEXT(B4,"mmm-yy")</f>
        <v>Jul-21</v>
      </c>
    </row>
    <row r="10" spans="1:7" x14ac:dyDescent="0.35">
      <c r="A10" s="1" t="s">
        <v>6</v>
      </c>
      <c r="B10" t="str">
        <f>IF(Table2425[[#This Row],[Branch Name]]="","",(_xlfn.XLOOKUP(Table2425[[#This Row],[Branch Name]],'Lookup Values'!G:G,'Lookup Values'!I:I,0)))</f>
        <v>1-50002-7B213</v>
      </c>
      <c r="C10">
        <v>1</v>
      </c>
      <c r="D10" s="2" t="e">
        <f>IF(Table2425[[#This Row],[Journal Description (Service Description)]]="","",VLOOKUP(Table2425[[#This Row],[Journal Description (Service Description)]],'Lookup Values'!$A:$B,2,FALSE))</f>
        <v>#N/A</v>
      </c>
      <c r="E10" t="s">
        <v>83</v>
      </c>
      <c r="F10" t="s">
        <v>214</v>
      </c>
      <c r="G10" t="s">
        <v>216</v>
      </c>
    </row>
    <row r="11" spans="1:7" x14ac:dyDescent="0.35">
      <c r="A11" s="1" t="s">
        <v>6</v>
      </c>
      <c r="B11" t="s">
        <v>219</v>
      </c>
      <c r="C11" s="27">
        <v>1</v>
      </c>
      <c r="D11" s="2" t="e">
        <f>IF(Table2425[[#This Row],[Journal Description (Service Description)]]="","",VLOOKUP(Table2425[[#This Row],[Journal Description (Service Description)]],'Lookup Values'!$A:$B,2,FALSE))</f>
        <v>#N/A</v>
      </c>
      <c r="E11" s="27" t="s">
        <v>50</v>
      </c>
      <c r="F11" s="27" t="s">
        <v>90</v>
      </c>
      <c r="G11" s="27" t="s">
        <v>217</v>
      </c>
    </row>
    <row r="12" spans="1:7" x14ac:dyDescent="0.35">
      <c r="A12" s="1" t="s">
        <v>6</v>
      </c>
      <c r="B12" t="s">
        <v>219</v>
      </c>
      <c r="C12" s="27">
        <v>1</v>
      </c>
      <c r="D12" s="2">
        <f>IF(Table2425[[#This Row],[Journal Description (Service Description)]]="","",VLOOKUP(Table2425[[#This Row],[Journal Description (Service Description)]],'Lookup Values'!$A:$B,2,FALSE))</f>
        <v>176</v>
      </c>
      <c r="E12" s="27" t="s">
        <v>50</v>
      </c>
      <c r="F12" s="27" t="s">
        <v>91</v>
      </c>
      <c r="G12" s="27" t="s">
        <v>217</v>
      </c>
    </row>
    <row r="13" spans="1:7" x14ac:dyDescent="0.35">
      <c r="A13" s="1"/>
      <c r="B13" t="str">
        <f>IF(Table2425[[#This Row],[Branch Name]]="","",(_xlfn.XLOOKUP(Table2425[[#This Row],[Branch Name]],'Lookup Values'!G:G,'Lookup Values'!I:I,0)))</f>
        <v/>
      </c>
      <c r="C13" s="27"/>
      <c r="D13" s="2" t="str">
        <f>IF(Table2425[[#This Row],[Journal Description (Service Description)]]="","",VLOOKUP(Table2425[[#This Row],[Journal Description (Service Description)]],'Lookup Values'!$A:$B,2,FALSE))</f>
        <v/>
      </c>
      <c r="E13" s="27"/>
      <c r="F13" s="27"/>
      <c r="G13" s="27"/>
    </row>
    <row r="14" spans="1:7" x14ac:dyDescent="0.35">
      <c r="A14" s="1"/>
      <c r="B14" t="str">
        <f>IF(Table2425[[#This Row],[Branch Name]]="","",(_xlfn.XLOOKUP(Table2425[[#This Row],[Branch Name]],'Lookup Values'!G:G,'Lookup Values'!I:I,0)))</f>
        <v/>
      </c>
      <c r="C14" s="27"/>
      <c r="D14" s="2" t="str">
        <f>IF(Table2425[[#This Row],[Journal Description (Service Description)]]="","",VLOOKUP(Table2425[[#This Row],[Journal Description (Service Description)]],'Lookup Values'!$A:$B,2,FALSE))</f>
        <v/>
      </c>
      <c r="F14" s="27"/>
      <c r="G14" s="27"/>
    </row>
    <row r="15" spans="1:7" x14ac:dyDescent="0.35">
      <c r="B15" t="str">
        <f>IF(Table2425[[#This Row],[Branch Name]]="","",(_xlfn.XLOOKUP(Table2425[[#This Row],[Branch Name]],'Lookup Values'!G:G,'Lookup Values'!I:I,0)))</f>
        <v/>
      </c>
      <c r="C15" s="27"/>
      <c r="D15" s="2" t="str">
        <f>IF(Table2425[[#This Row],[Journal Description (Service Description)]]="","",VLOOKUP(Table2425[[#This Row],[Journal Description (Service Description)]],'Lookup Values'!$A:$B,2,FALSE))</f>
        <v/>
      </c>
      <c r="E15" s="27"/>
      <c r="F15" s="27"/>
      <c r="G15" s="27"/>
    </row>
    <row r="16" spans="1:7" x14ac:dyDescent="0.35">
      <c r="B16" t="str">
        <f>IF(Table2425[[#This Row],[Branch Name]]="","",(_xlfn.XLOOKUP(Table2425[[#This Row],[Branch Name]],'Lookup Values'!G:G,'Lookup Values'!I:I,0)))</f>
        <v/>
      </c>
      <c r="C16" s="27"/>
      <c r="D16" s="2" t="str">
        <f>IF(Table2425[[#This Row],[Journal Description (Service Description)]]="","",VLOOKUP(Table2425[[#This Row],[Journal Description (Service Description)]],'Lookup Values'!$A:$B,2,FALSE))</f>
        <v/>
      </c>
      <c r="E16" s="27"/>
      <c r="F16" s="27"/>
      <c r="G16" s="27"/>
    </row>
    <row r="17" spans="2:7" x14ac:dyDescent="0.35">
      <c r="B17" t="str">
        <f>IF(Table2425[[#This Row],[Branch Name]]="","",(_xlfn.XLOOKUP(Table2425[[#This Row],[Branch Name]],'Lookup Values'!G:G,'Lookup Values'!I:I,0)))</f>
        <v/>
      </c>
      <c r="C17" s="27"/>
      <c r="D17" s="2" t="str">
        <f>IF(Table2425[[#This Row],[Journal Description (Service Description)]]="","",VLOOKUP(Table2425[[#This Row],[Journal Description (Service Description)]],'Lookup Values'!$A:$B,2,FALSE))</f>
        <v/>
      </c>
      <c r="E17" s="27"/>
      <c r="F17" s="27"/>
      <c r="G17" s="27"/>
    </row>
    <row r="18" spans="2:7" x14ac:dyDescent="0.35">
      <c r="B18" t="str">
        <f>IF(Table2425[[#This Row],[Branch Name]]="","",(_xlfn.XLOOKUP(Table2425[[#This Row],[Branch Name]],'Lookup Values'!G:G,'Lookup Values'!I:I,0)))</f>
        <v/>
      </c>
      <c r="C18" s="27"/>
      <c r="D18" s="2" t="str">
        <f>IF(Table2425[[#This Row],[Journal Description (Service Description)]]="","",VLOOKUP(Table2425[[#This Row],[Journal Description (Service Description)]],'Lookup Values'!$A:$B,2,FALSE))</f>
        <v/>
      </c>
      <c r="E18" s="27"/>
      <c r="F18" s="27"/>
      <c r="G18" s="27"/>
    </row>
    <row r="19" spans="2:7" x14ac:dyDescent="0.35">
      <c r="B19" t="str">
        <f>IF(Table2425[[#This Row],[Branch Name]]="","",(_xlfn.XLOOKUP(Table2425[[#This Row],[Branch Name]],'Lookup Values'!G:G,'Lookup Values'!I:I,0)))</f>
        <v/>
      </c>
      <c r="C19" s="27"/>
      <c r="D19" s="2" t="str">
        <f>IF(Table2425[[#This Row],[Journal Description (Service Description)]]="","",VLOOKUP(Table2425[[#This Row],[Journal Description (Service Description)]],'Lookup Values'!$A:$B,2,FALSE))</f>
        <v/>
      </c>
      <c r="E19" s="27"/>
      <c r="F19" s="27"/>
      <c r="G19" s="27"/>
    </row>
    <row r="20" spans="2:7" x14ac:dyDescent="0.35">
      <c r="B20" t="str">
        <f>IF(Table2425[[#This Row],[Branch Name]]="","",(_xlfn.XLOOKUP(Table2425[[#This Row],[Branch Name]],'Lookup Values'!G:G,'Lookup Values'!I:I,0)))</f>
        <v/>
      </c>
      <c r="C20" s="27"/>
      <c r="D20" s="2" t="str">
        <f>IF(Table2425[[#This Row],[Journal Description (Service Description)]]="","",VLOOKUP(Table2425[[#This Row],[Journal Description (Service Description)]],'Lookup Values'!$A:$B,2,FALSE))</f>
        <v/>
      </c>
      <c r="E20" s="27"/>
      <c r="F20" s="27"/>
      <c r="G20" s="27"/>
    </row>
    <row r="21" spans="2:7" x14ac:dyDescent="0.35">
      <c r="B21" t="str">
        <f>IF(Table2425[[#This Row],[Branch Name]]="","",(_xlfn.XLOOKUP(Table2425[[#This Row],[Branch Name]],'Lookup Values'!G:G,'Lookup Values'!I:I,0)))</f>
        <v/>
      </c>
      <c r="C21" s="27"/>
      <c r="D21" s="2" t="str">
        <f>IF(Table2425[[#This Row],[Journal Description (Service Description)]]="","",VLOOKUP(Table2425[[#This Row],[Journal Description (Service Description)]],'Lookup Values'!$A:$B,2,FALSE))</f>
        <v/>
      </c>
      <c r="E21" s="27"/>
      <c r="F21" s="27"/>
      <c r="G21" s="27"/>
    </row>
    <row r="22" spans="2:7" x14ac:dyDescent="0.35">
      <c r="B22" t="str">
        <f>IF(Table2425[[#This Row],[Branch Name]]="","",(_xlfn.XLOOKUP(Table2425[[#This Row],[Branch Name]],'Lookup Values'!G:G,'Lookup Values'!I:I,0)))</f>
        <v/>
      </c>
      <c r="C22" s="27"/>
      <c r="D22" s="2" t="str">
        <f>IF(Table2425[[#This Row],[Journal Description (Service Description)]]="","",VLOOKUP(Table2425[[#This Row],[Journal Description (Service Description)]],'Lookup Values'!$A:$B,2,FALSE))</f>
        <v/>
      </c>
      <c r="E22" s="27"/>
      <c r="F22" s="27"/>
      <c r="G22" s="27"/>
    </row>
    <row r="23" spans="2:7" x14ac:dyDescent="0.35">
      <c r="B23" t="str">
        <f>IF(Table2425[[#This Row],[Branch Name]]="","",(_xlfn.XLOOKUP(Table2425[[#This Row],[Branch Name]],'Lookup Values'!G:G,'Lookup Values'!I:I,0)))</f>
        <v/>
      </c>
      <c r="C23" s="27"/>
      <c r="D23" s="2" t="str">
        <f>IF(Table2425[[#This Row],[Journal Description (Service Description)]]="","",VLOOKUP(Table2425[[#This Row],[Journal Description (Service Description)]],'Lookup Values'!$A:$B,2,FALSE))</f>
        <v/>
      </c>
      <c r="E23" s="27"/>
      <c r="F23" s="27"/>
      <c r="G23" s="27"/>
    </row>
    <row r="24" spans="2:7" x14ac:dyDescent="0.35">
      <c r="B24" t="str">
        <f>IF(Table2425[[#This Row],[Branch Name]]="","",(_xlfn.XLOOKUP(Table2425[[#This Row],[Branch Name]],'Lookup Values'!G:G,'Lookup Values'!I:I,0)))</f>
        <v/>
      </c>
      <c r="C24" s="27"/>
      <c r="D24" s="2" t="str">
        <f>IF(Table2425[[#This Row],[Journal Description (Service Description)]]="","",VLOOKUP(Table2425[[#This Row],[Journal Description (Service Description)]],'Lookup Values'!$A:$B,2,FALSE))</f>
        <v/>
      </c>
      <c r="E24" s="27"/>
      <c r="F24" s="27"/>
      <c r="G24" s="27"/>
    </row>
    <row r="25" spans="2:7" x14ac:dyDescent="0.35">
      <c r="B25" t="str">
        <f>IF(Table2425[[#This Row],[Branch Name]]="","",(_xlfn.XLOOKUP(Table2425[[#This Row],[Branch Name]],'Lookup Values'!G:G,'Lookup Values'!I:I,0)))</f>
        <v/>
      </c>
      <c r="C25" s="27"/>
      <c r="D25" s="2" t="str">
        <f>IF(Table2425[[#This Row],[Journal Description (Service Description)]]="","",VLOOKUP(Table2425[[#This Row],[Journal Description (Service Description)]],'Lookup Values'!$A:$B,2,FALSE))</f>
        <v/>
      </c>
      <c r="E25" s="27"/>
      <c r="F25" s="27"/>
      <c r="G25" s="27"/>
    </row>
    <row r="26" spans="2:7" x14ac:dyDescent="0.35">
      <c r="B26" t="str">
        <f>IF(Table2425[[#This Row],[Branch Name]]="","",(_xlfn.XLOOKUP(Table2425[[#This Row],[Branch Name]],'Lookup Values'!G:G,'Lookup Values'!I:I,0)))</f>
        <v/>
      </c>
      <c r="C26" s="27"/>
      <c r="D26" s="2" t="str">
        <f>IF(Table2425[[#This Row],[Journal Description (Service Description)]]="","",VLOOKUP(Table2425[[#This Row],[Journal Description (Service Description)]],'Lookup Values'!$A:$B,2,FALSE))</f>
        <v/>
      </c>
      <c r="E26" s="27"/>
      <c r="F26" s="27"/>
      <c r="G26" s="27"/>
    </row>
    <row r="27" spans="2:7" x14ac:dyDescent="0.35">
      <c r="B27" t="str">
        <f>IF(Table2425[[#This Row],[Branch Name]]="","",(_xlfn.XLOOKUP(Table2425[[#This Row],[Branch Name]],'Lookup Values'!G:G,'Lookup Values'!I:I,0)))</f>
        <v/>
      </c>
      <c r="C27" s="27"/>
      <c r="D27" s="2" t="str">
        <f>IF(Table2425[[#This Row],[Journal Description (Service Description)]]="","",VLOOKUP(Table2425[[#This Row],[Journal Description (Service Description)]],'Lookup Values'!$A:$B,2,FALSE))</f>
        <v/>
      </c>
      <c r="E27" s="27"/>
      <c r="F27" s="27"/>
      <c r="G27" s="27"/>
    </row>
    <row r="28" spans="2:7" x14ac:dyDescent="0.35">
      <c r="B28" t="str">
        <f>IF(Table2425[[#This Row],[Branch Name]]="","",(_xlfn.XLOOKUP(Table2425[[#This Row],[Branch Name]],'Lookup Values'!G:G,'Lookup Values'!I:I,0)))</f>
        <v/>
      </c>
      <c r="C28" s="27"/>
      <c r="D28" s="2" t="str">
        <f>IF(Table2425[[#This Row],[Journal Description (Service Description)]]="","",VLOOKUP(Table2425[[#This Row],[Journal Description (Service Description)]],'Lookup Values'!$A:$B,2,FALSE))</f>
        <v/>
      </c>
      <c r="E28" s="27"/>
      <c r="F28" s="27"/>
      <c r="G28" s="27"/>
    </row>
    <row r="29" spans="2:7" x14ac:dyDescent="0.35">
      <c r="B29" t="str">
        <f>IF(Table2425[[#This Row],[Branch Name]]="","",(_xlfn.XLOOKUP(Table2425[[#This Row],[Branch Name]],'Lookup Values'!G:G,'Lookup Values'!I:I,0)))</f>
        <v/>
      </c>
      <c r="C29" s="27"/>
      <c r="D29" s="2" t="str">
        <f>IF(Table2425[[#This Row],[Journal Description (Service Description)]]="","",VLOOKUP(Table2425[[#This Row],[Journal Description (Service Description)]],'Lookup Values'!$A:$B,2,FALSE))</f>
        <v/>
      </c>
      <c r="E29" s="27"/>
      <c r="F29" s="27"/>
      <c r="G29" s="27"/>
    </row>
    <row r="30" spans="2:7" x14ac:dyDescent="0.35">
      <c r="B30" t="str">
        <f>IF(Table2425[[#This Row],[Branch Name]]="","",(_xlfn.XLOOKUP(Table2425[[#This Row],[Branch Name]],'Lookup Values'!G:G,'Lookup Values'!I:I,0)))</f>
        <v/>
      </c>
      <c r="C30" s="27"/>
      <c r="D30" s="2" t="str">
        <f>IF(Table2425[[#This Row],[Journal Description (Service Description)]]="","",VLOOKUP(Table2425[[#This Row],[Journal Description (Service Description)]],'Lookup Values'!$A:$B,2,FALSE))</f>
        <v/>
      </c>
      <c r="E30" s="27"/>
      <c r="F30" s="27"/>
      <c r="G30" s="27"/>
    </row>
    <row r="31" spans="2:7" x14ac:dyDescent="0.35">
      <c r="B31" t="str">
        <f>IF(Table2425[[#This Row],[Branch Name]]="","",(_xlfn.XLOOKUP(Table2425[[#This Row],[Branch Name]],'Lookup Values'!G:G,'Lookup Values'!I:I,0)))</f>
        <v/>
      </c>
      <c r="C31" s="27"/>
      <c r="D31" s="2" t="str">
        <f>IF(Table2425[[#This Row],[Journal Description (Service Description)]]="","",VLOOKUP(Table2425[[#This Row],[Journal Description (Service Description)]],'Lookup Values'!$A:$B,2,FALSE))</f>
        <v/>
      </c>
      <c r="E31" s="27"/>
      <c r="F31" s="27"/>
      <c r="G31" s="27"/>
    </row>
    <row r="32" spans="2:7" x14ac:dyDescent="0.35">
      <c r="B32" t="str">
        <f>IF(Table2425[[#This Row],[Branch Name]]="","",(_xlfn.XLOOKUP(Table2425[[#This Row],[Branch Name]],'Lookup Values'!G:G,'Lookup Values'!I:I,0)))</f>
        <v/>
      </c>
      <c r="C32" s="27"/>
      <c r="D32" s="2" t="str">
        <f>IF(Table2425[[#This Row],[Journal Description (Service Description)]]="","",VLOOKUP(Table2425[[#This Row],[Journal Description (Service Description)]],'Lookup Values'!$A:$B,2,FALSE))</f>
        <v/>
      </c>
      <c r="E32" s="27"/>
      <c r="F32" s="27"/>
      <c r="G32" s="27"/>
    </row>
    <row r="33" spans="2:7" x14ac:dyDescent="0.35">
      <c r="B33" t="str">
        <f>IF(Table2425[[#This Row],[Branch Name]]="","",(_xlfn.XLOOKUP(Table2425[[#This Row],[Branch Name]],'Lookup Values'!G:G,'Lookup Values'!I:I,0)))</f>
        <v/>
      </c>
      <c r="C33" s="27"/>
      <c r="D33" s="2" t="str">
        <f>IF(Table2425[[#This Row],[Journal Description (Service Description)]]="","",VLOOKUP(Table2425[[#This Row],[Journal Description (Service Description)]],'Lookup Values'!$A:$B,2,FALSE))</f>
        <v/>
      </c>
      <c r="E33" s="27"/>
      <c r="F33" s="27"/>
      <c r="G33" s="27"/>
    </row>
    <row r="34" spans="2:7" x14ac:dyDescent="0.35">
      <c r="B34" t="str">
        <f>IF(Table2425[[#This Row],[Branch Name]]="","",(_xlfn.XLOOKUP(Table2425[[#This Row],[Branch Name]],'Lookup Values'!G:G,'Lookup Values'!I:I,0)))</f>
        <v/>
      </c>
      <c r="C34" s="27"/>
      <c r="D34" s="2" t="str">
        <f>IF(Table2425[[#This Row],[Journal Description (Service Description)]]="","",VLOOKUP(Table2425[[#This Row],[Journal Description (Service Description)]],'Lookup Values'!$A:$B,2,FALSE))</f>
        <v/>
      </c>
      <c r="E34" s="27"/>
      <c r="F34" s="27"/>
      <c r="G34" s="27"/>
    </row>
    <row r="35" spans="2:7" x14ac:dyDescent="0.35">
      <c r="B35" t="str">
        <f>IF(Table2425[[#This Row],[Branch Name]]="","",(_xlfn.XLOOKUP(Table2425[[#This Row],[Branch Name]],'Lookup Values'!G:G,'Lookup Values'!I:I,0)))</f>
        <v/>
      </c>
      <c r="C35" s="27"/>
      <c r="D35" s="2" t="str">
        <f>IF(Table2425[[#This Row],[Journal Description (Service Description)]]="","",VLOOKUP(Table2425[[#This Row],[Journal Description (Service Description)]],'Lookup Values'!$A:$B,2,FALSE))</f>
        <v/>
      </c>
      <c r="E35" s="27"/>
      <c r="F35" s="27"/>
      <c r="G35" s="27"/>
    </row>
    <row r="36" spans="2:7" x14ac:dyDescent="0.35">
      <c r="B36" t="str">
        <f>IF(Table2425[[#This Row],[Branch Name]]="","",(_xlfn.XLOOKUP(Table2425[[#This Row],[Branch Name]],'Lookup Values'!G:G,'Lookup Values'!I:I,0)))</f>
        <v/>
      </c>
      <c r="C36" s="27"/>
      <c r="D36" s="2" t="str">
        <f>IF(Table2425[[#This Row],[Journal Description (Service Description)]]="","",VLOOKUP(Table2425[[#This Row],[Journal Description (Service Description)]],'Lookup Values'!$A:$B,2,FALSE))</f>
        <v/>
      </c>
      <c r="E36" s="27"/>
      <c r="F36" s="27"/>
      <c r="G36" s="27"/>
    </row>
    <row r="37" spans="2:7" x14ac:dyDescent="0.35">
      <c r="B37" t="str">
        <f>IF(Table2425[[#This Row],[Branch Name]]="","",(_xlfn.XLOOKUP(Table2425[[#This Row],[Branch Name]],'Lookup Values'!G:G,'Lookup Values'!I:I,0)))</f>
        <v/>
      </c>
      <c r="C37" s="27"/>
      <c r="D37" s="2" t="str">
        <f>IF(Table2425[[#This Row],[Journal Description (Service Description)]]="","",VLOOKUP(Table2425[[#This Row],[Journal Description (Service Description)]],'Lookup Values'!$A:$B,2,FALSE))</f>
        <v/>
      </c>
      <c r="E37" s="27"/>
      <c r="F37" s="27"/>
      <c r="G37" s="27"/>
    </row>
    <row r="38" spans="2:7" x14ac:dyDescent="0.35">
      <c r="B38" t="str">
        <f>IF(Table2425[[#This Row],[Branch Name]]="","",(_xlfn.XLOOKUP(Table2425[[#This Row],[Branch Name]],'Lookup Values'!G:G,'Lookup Values'!I:I,0)))</f>
        <v/>
      </c>
      <c r="C38" s="27"/>
      <c r="D38" s="2" t="str">
        <f>IF(Table2425[[#This Row],[Journal Description (Service Description)]]="","",VLOOKUP(Table2425[[#This Row],[Journal Description (Service Description)]],'Lookup Values'!$A:$B,2,FALSE))</f>
        <v/>
      </c>
      <c r="E38" s="27"/>
      <c r="F38" s="27"/>
      <c r="G38" s="27"/>
    </row>
    <row r="39" spans="2:7" x14ac:dyDescent="0.35">
      <c r="B39" t="str">
        <f>IF(Table2425[[#This Row],[Branch Name]]="","",(_xlfn.XLOOKUP(Table2425[[#This Row],[Branch Name]],'Lookup Values'!G:G,'Lookup Values'!I:I,0)))</f>
        <v/>
      </c>
      <c r="C39" s="27"/>
      <c r="D39" s="2" t="str">
        <f>IF(Table2425[[#This Row],[Journal Description (Service Description)]]="","",VLOOKUP(Table2425[[#This Row],[Journal Description (Service Description)]],'Lookup Values'!$A:$B,2,FALSE))</f>
        <v/>
      </c>
      <c r="E39" s="27"/>
      <c r="F39" s="27"/>
      <c r="G39" s="27"/>
    </row>
    <row r="40" spans="2:7" x14ac:dyDescent="0.35">
      <c r="B40" t="str">
        <f>IF(Table2425[[#This Row],[Branch Name]]="","",(_xlfn.XLOOKUP(Table2425[[#This Row],[Branch Name]],'Lookup Values'!G:G,'Lookup Values'!I:I,0)))</f>
        <v/>
      </c>
      <c r="C40" s="27"/>
      <c r="D40" s="2" t="str">
        <f>IF(Table2425[[#This Row],[Journal Description (Service Description)]]="","",VLOOKUP(Table2425[[#This Row],[Journal Description (Service Description)]],'Lookup Values'!$A:$B,2,FALSE))</f>
        <v/>
      </c>
      <c r="E40" s="27"/>
      <c r="F40" s="27"/>
      <c r="G40" s="27"/>
    </row>
    <row r="41" spans="2:7" x14ac:dyDescent="0.35">
      <c r="B41" t="str">
        <f>IF(Table2425[[#This Row],[Branch Name]]="","",(_xlfn.XLOOKUP(Table2425[[#This Row],[Branch Name]],'Lookup Values'!G:G,'Lookup Values'!I:I,0)))</f>
        <v/>
      </c>
      <c r="C41" s="27"/>
      <c r="D41" s="2" t="str">
        <f>IF(Table2425[[#This Row],[Journal Description (Service Description)]]="","",VLOOKUP(Table2425[[#This Row],[Journal Description (Service Description)]],'Lookup Values'!$A:$B,2,FALSE))</f>
        <v/>
      </c>
      <c r="E41" s="27"/>
      <c r="F41" s="27"/>
      <c r="G41" s="27"/>
    </row>
    <row r="42" spans="2:7" x14ac:dyDescent="0.35">
      <c r="B42" t="str">
        <f>IF(Table2425[[#This Row],[Branch Name]]="","",(_xlfn.XLOOKUP(Table2425[[#This Row],[Branch Name]],'Lookup Values'!G:G,'Lookup Values'!I:I,0)))</f>
        <v/>
      </c>
      <c r="C42" s="27"/>
      <c r="D42" s="2" t="str">
        <f>IF(Table2425[[#This Row],[Journal Description (Service Description)]]="","",VLOOKUP(Table2425[[#This Row],[Journal Description (Service Description)]],'Lookup Values'!$A:$B,2,FALSE))</f>
        <v/>
      </c>
      <c r="E42" s="27"/>
      <c r="F42" s="27"/>
      <c r="G42" s="27"/>
    </row>
    <row r="43" spans="2:7" x14ac:dyDescent="0.35">
      <c r="B43" t="str">
        <f>IF(Table2425[[#This Row],[Branch Name]]="","",(_xlfn.XLOOKUP(Table2425[[#This Row],[Branch Name]],'Lookup Values'!G:G,'Lookup Values'!I:I,0)))</f>
        <v/>
      </c>
      <c r="C43" s="27"/>
      <c r="D43" s="2" t="str">
        <f>IF(Table2425[[#This Row],[Journal Description (Service Description)]]="","",VLOOKUP(Table2425[[#This Row],[Journal Description (Service Description)]],'Lookup Values'!$A:$B,2,FALSE))</f>
        <v/>
      </c>
      <c r="E43" s="27"/>
      <c r="F43" s="27"/>
      <c r="G43" s="27"/>
    </row>
    <row r="44" spans="2:7" x14ac:dyDescent="0.35">
      <c r="B44" t="str">
        <f>IF(Table2425[[#This Row],[Branch Name]]="","",(_xlfn.XLOOKUP(Table2425[[#This Row],[Branch Name]],'Lookup Values'!G:G,'Lookup Values'!I:I,0)))</f>
        <v/>
      </c>
      <c r="C44" s="27"/>
      <c r="D44" s="2" t="str">
        <f>IF(Table2425[[#This Row],[Journal Description (Service Description)]]="","",VLOOKUP(Table2425[[#This Row],[Journal Description (Service Description)]],'Lookup Values'!$A:$B,2,FALSE))</f>
        <v/>
      </c>
      <c r="E44" s="27"/>
      <c r="F44" s="27"/>
      <c r="G44" s="27"/>
    </row>
    <row r="45" spans="2:7" x14ac:dyDescent="0.35">
      <c r="B45" t="str">
        <f>IF(Table2425[[#This Row],[Branch Name]]="","",(_xlfn.XLOOKUP(Table2425[[#This Row],[Branch Name]],'Lookup Values'!G:G,'Lookup Values'!I:I,0)))</f>
        <v/>
      </c>
      <c r="C45" s="27"/>
      <c r="D45" s="2" t="str">
        <f>IF(Table2425[[#This Row],[Journal Description (Service Description)]]="","",VLOOKUP(Table2425[[#This Row],[Journal Description (Service Description)]],'Lookup Values'!$A:$B,2,FALSE))</f>
        <v/>
      </c>
      <c r="E45" s="27"/>
      <c r="F45" s="27"/>
      <c r="G45" s="27"/>
    </row>
    <row r="46" spans="2:7" x14ac:dyDescent="0.35">
      <c r="B46" t="str">
        <f>IF(Table2425[[#This Row],[Branch Name]]="","",(_xlfn.XLOOKUP(Table2425[[#This Row],[Branch Name]],'Lookup Values'!G:G,'Lookup Values'!I:I,0)))</f>
        <v/>
      </c>
      <c r="C46" s="27"/>
      <c r="D46" s="2" t="str">
        <f>IF(Table2425[[#This Row],[Journal Description (Service Description)]]="","",VLOOKUP(Table2425[[#This Row],[Journal Description (Service Description)]],'Lookup Values'!$A:$B,2,FALSE))</f>
        <v/>
      </c>
      <c r="E46" s="27"/>
      <c r="F46" s="27"/>
      <c r="G46" s="27"/>
    </row>
    <row r="47" spans="2:7" x14ac:dyDescent="0.35">
      <c r="B47" t="str">
        <f>IF(Table2425[[#This Row],[Branch Name]]="","",(_xlfn.XLOOKUP(Table2425[[#This Row],[Branch Name]],'Lookup Values'!G:G,'Lookup Values'!I:I,0)))</f>
        <v/>
      </c>
      <c r="C47" s="27"/>
      <c r="D47" s="2" t="str">
        <f>IF(Table2425[[#This Row],[Journal Description (Service Description)]]="","",VLOOKUP(Table2425[[#This Row],[Journal Description (Service Description)]],'Lookup Values'!$A:$B,2,FALSE))</f>
        <v/>
      </c>
      <c r="E47" s="27"/>
      <c r="F47" s="27"/>
      <c r="G47" s="27"/>
    </row>
    <row r="48" spans="2:7" x14ac:dyDescent="0.35">
      <c r="B48" t="str">
        <f>IF(Table2425[[#This Row],[Branch Name]]="","",(_xlfn.XLOOKUP(Table2425[[#This Row],[Branch Name]],'Lookup Values'!G:G,'Lookup Values'!I:I,0)))</f>
        <v/>
      </c>
      <c r="C48" s="27"/>
      <c r="D48" s="2" t="str">
        <f>IF(Table2425[[#This Row],[Journal Description (Service Description)]]="","",VLOOKUP(Table2425[[#This Row],[Journal Description (Service Description)]],'Lookup Values'!$A:$B,2,FALSE))</f>
        <v/>
      </c>
      <c r="E48" s="27"/>
      <c r="F48" s="27"/>
      <c r="G48" s="27"/>
    </row>
    <row r="49" spans="1:7" x14ac:dyDescent="0.35">
      <c r="B49" t="str">
        <f>IF(Table2425[[#This Row],[Branch Name]]="","",(_xlfn.XLOOKUP(Table2425[[#This Row],[Branch Name]],'Lookup Values'!G:G,'Lookup Values'!I:I,0)))</f>
        <v/>
      </c>
      <c r="C49" s="27"/>
      <c r="D49" s="2" t="str">
        <f>IF(Table2425[[#This Row],[Journal Description (Service Description)]]="","",VLOOKUP(Table2425[[#This Row],[Journal Description (Service Description)]],'Lookup Values'!$A:$B,2,FALSE))</f>
        <v/>
      </c>
      <c r="E49" s="27"/>
      <c r="F49" s="27"/>
      <c r="G49" s="27"/>
    </row>
    <row r="50" spans="1:7" x14ac:dyDescent="0.35">
      <c r="B50" t="str">
        <f>IF(Table2425[[#This Row],[Branch Name]]="","",(_xlfn.XLOOKUP(Table2425[[#This Row],[Branch Name]],'Lookup Values'!G:G,'Lookup Values'!I:I,0)))</f>
        <v/>
      </c>
      <c r="C50" s="27"/>
      <c r="D50" s="2" t="str">
        <f>IF(Table2425[[#This Row],[Journal Description (Service Description)]]="","",VLOOKUP(Table2425[[#This Row],[Journal Description (Service Description)]],'Lookup Values'!$A:$B,2,FALSE))</f>
        <v/>
      </c>
      <c r="E50" s="27"/>
      <c r="F50" s="27"/>
      <c r="G50" s="27"/>
    </row>
    <row r="51" spans="1:7" x14ac:dyDescent="0.35">
      <c r="B51" t="str">
        <f>IF(Table2425[[#This Row],[Branch Name]]="","",(_xlfn.XLOOKUP(Table2425[[#This Row],[Branch Name]],'Lookup Values'!G:G,'Lookup Values'!I:I,0)))</f>
        <v/>
      </c>
      <c r="C51" s="27"/>
      <c r="D51" s="2" t="str">
        <f>IF(Table2425[[#This Row],[Journal Description (Service Description)]]="","",VLOOKUP(Table2425[[#This Row],[Journal Description (Service Description)]],'Lookup Values'!$A:$B,2,FALSE))</f>
        <v/>
      </c>
      <c r="E51" s="27"/>
      <c r="F51" s="27"/>
      <c r="G51" s="27"/>
    </row>
    <row r="52" spans="1:7" x14ac:dyDescent="0.35">
      <c r="B52" t="str">
        <f>IF(Table2425[[#This Row],[Branch Name]]="","",(_xlfn.XLOOKUP(Table2425[[#This Row],[Branch Name]],'Lookup Values'!G:G,'Lookup Values'!I:I,0)))</f>
        <v/>
      </c>
      <c r="C52" s="27"/>
      <c r="D52" s="2" t="str">
        <f>IF(Table2425[[#This Row],[Journal Description (Service Description)]]="","",VLOOKUP(Table2425[[#This Row],[Journal Description (Service Description)]],'Lookup Values'!$A:$B,2,FALSE))</f>
        <v/>
      </c>
      <c r="E52" s="27"/>
      <c r="F52" s="27"/>
      <c r="G52" s="27"/>
    </row>
    <row r="53" spans="1:7" x14ac:dyDescent="0.35">
      <c r="B53" t="str">
        <f>IF(Table2425[[#This Row],[Branch Name]]="","",(_xlfn.XLOOKUP(Table2425[[#This Row],[Branch Name]],'Lookup Values'!G:G,'Lookup Values'!I:I,0)))</f>
        <v/>
      </c>
      <c r="C53" s="27"/>
      <c r="D53" s="2" t="str">
        <f>IF(Table2425[[#This Row],[Journal Description (Service Description)]]="","",VLOOKUP(Table2425[[#This Row],[Journal Description (Service Description)]],'Lookup Values'!$A:$B,2,FALSE))</f>
        <v/>
      </c>
      <c r="E53" s="27"/>
      <c r="F53" s="27"/>
      <c r="G53" s="27"/>
    </row>
    <row r="54" spans="1:7" x14ac:dyDescent="0.35">
      <c r="A54" s="27"/>
      <c r="B54" t="str">
        <f>IF(Table2425[[#This Row],[Branch Name]]="","",(_xlfn.XLOOKUP(Table2425[[#This Row],[Branch Name]],'Lookup Values'!G:G,'Lookup Values'!I:I,0)))</f>
        <v/>
      </c>
      <c r="C54" s="27"/>
      <c r="D54" s="2" t="str">
        <f>IF(Table2425[[#This Row],[Journal Description (Service Description)]]="","",VLOOKUP(Table2425[[#This Row],[Journal Description (Service Description)]],'Lookup Values'!$A:$B,2,FALSE))</f>
        <v/>
      </c>
      <c r="E54" s="27"/>
      <c r="F54" s="27"/>
      <c r="G54" s="27"/>
    </row>
    <row r="55" spans="1:7" x14ac:dyDescent="0.35">
      <c r="A55" s="27"/>
      <c r="B55" t="str">
        <f>IF(Table2425[[#This Row],[Branch Name]]="","",(_xlfn.XLOOKUP(Table2425[[#This Row],[Branch Name]],'Lookup Values'!G:G,'Lookup Values'!I:I,0)))</f>
        <v/>
      </c>
      <c r="C55" s="27"/>
      <c r="D55" s="2" t="str">
        <f>IF(Table2425[[#This Row],[Journal Description (Service Description)]]="","",VLOOKUP(Table2425[[#This Row],[Journal Description (Service Description)]],'Lookup Values'!$A:$B,2,FALSE))</f>
        <v/>
      </c>
      <c r="E55" s="27"/>
      <c r="F55" s="27"/>
      <c r="G55" s="27"/>
    </row>
    <row r="56" spans="1:7" x14ac:dyDescent="0.35">
      <c r="B56" t="str">
        <f>IF(Table2425[[#This Row],[Branch Name]]="","",(_xlfn.XLOOKUP(Table2425[[#This Row],[Branch Name]],'Lookup Values'!G:G,'Lookup Values'!I:I,0)))</f>
        <v/>
      </c>
      <c r="C56" s="27"/>
      <c r="D56" s="2" t="str">
        <f>IF(Table2425[[#This Row],[Journal Description (Service Description)]]="","",VLOOKUP(Table2425[[#This Row],[Journal Description (Service Description)]],'Lookup Values'!$A:$B,2,FALSE))</f>
        <v/>
      </c>
      <c r="E56" s="27"/>
      <c r="F56" s="27"/>
      <c r="G56" s="27"/>
    </row>
    <row r="57" spans="1:7" x14ac:dyDescent="0.35">
      <c r="B57" t="str">
        <f>IF(Table2425[[#This Row],[Branch Name]]="","",(_xlfn.XLOOKUP(Table2425[[#This Row],[Branch Name]],'Lookup Values'!G:G,'Lookup Values'!I:I,0)))</f>
        <v/>
      </c>
      <c r="C57" s="27"/>
      <c r="D57" s="2" t="str">
        <f>IF(Table2425[[#This Row],[Journal Description (Service Description)]]="","",VLOOKUP(Table2425[[#This Row],[Journal Description (Service Description)]],'Lookup Values'!$A:$B,2,FALSE))</f>
        <v/>
      </c>
      <c r="E57" s="27"/>
      <c r="F57" s="27"/>
      <c r="G57" s="27"/>
    </row>
    <row r="58" spans="1:7" x14ac:dyDescent="0.35">
      <c r="B58" t="str">
        <f>IF(Table2425[[#This Row],[Branch Name]]="","",(_xlfn.XLOOKUP(Table2425[[#This Row],[Branch Name]],'Lookup Values'!G:G,'Lookup Values'!I:I,0)))</f>
        <v/>
      </c>
      <c r="C58" s="27"/>
      <c r="D58" s="2" t="str">
        <f>IF(Table2425[[#This Row],[Journal Description (Service Description)]]="","",VLOOKUP(Table2425[[#This Row],[Journal Description (Service Description)]],'Lookup Values'!$A:$B,2,FALSE))</f>
        <v/>
      </c>
      <c r="E58" s="27"/>
      <c r="F58" s="27"/>
      <c r="G58" s="27"/>
    </row>
    <row r="59" spans="1:7" x14ac:dyDescent="0.35">
      <c r="B59" t="str">
        <f>IF(Table2425[[#This Row],[Branch Name]]="","",(_xlfn.XLOOKUP(Table2425[[#This Row],[Branch Name]],'Lookup Values'!G:G,'Lookup Values'!I:I,0)))</f>
        <v/>
      </c>
      <c r="C59" s="27"/>
      <c r="D59" s="2" t="str">
        <f>IF(Table2425[[#This Row],[Journal Description (Service Description)]]="","",VLOOKUP(Table2425[[#This Row],[Journal Description (Service Description)]],'Lookup Values'!$A:$B,2,FALSE))</f>
        <v/>
      </c>
      <c r="E59" s="27"/>
      <c r="F59" s="27"/>
      <c r="G59" s="27"/>
    </row>
    <row r="60" spans="1:7" x14ac:dyDescent="0.35">
      <c r="B60" t="str">
        <f>IF(Table2425[[#This Row],[Branch Name]]="","",(_xlfn.XLOOKUP(Table2425[[#This Row],[Branch Name]],'Lookup Values'!G:G,'Lookup Values'!I:I,0)))</f>
        <v/>
      </c>
      <c r="C60" s="27"/>
      <c r="D60" s="2" t="str">
        <f>IF(Table2425[[#This Row],[Journal Description (Service Description)]]="","",VLOOKUP(Table2425[[#This Row],[Journal Description (Service Description)]],'Lookup Values'!$A:$B,2,FALSE))</f>
        <v/>
      </c>
      <c r="E60" s="27"/>
      <c r="F60" s="27"/>
      <c r="G60" s="27"/>
    </row>
    <row r="61" spans="1:7" x14ac:dyDescent="0.35">
      <c r="B61" t="str">
        <f>IF(Table2425[[#This Row],[Branch Name]]="","",(_xlfn.XLOOKUP(Table2425[[#This Row],[Branch Name]],'Lookup Values'!G:G,'Lookup Values'!I:I,0)))</f>
        <v/>
      </c>
      <c r="C61" s="27"/>
      <c r="D61" s="2" t="str">
        <f>IF(Table2425[[#This Row],[Journal Description (Service Description)]]="","",VLOOKUP(Table2425[[#This Row],[Journal Description (Service Description)]],'Lookup Values'!$A:$B,2,FALSE))</f>
        <v/>
      </c>
      <c r="E61" s="27"/>
      <c r="F61" s="27"/>
      <c r="G61" s="27"/>
    </row>
    <row r="62" spans="1:7" x14ac:dyDescent="0.35">
      <c r="B62" t="str">
        <f>IF(Table2425[[#This Row],[Branch Name]]="","",(_xlfn.XLOOKUP(Table2425[[#This Row],[Branch Name]],'Lookup Values'!G:G,'Lookup Values'!I:I,0)))</f>
        <v/>
      </c>
      <c r="C62" s="27"/>
      <c r="D62" s="2" t="str">
        <f>IF(Table2425[[#This Row],[Journal Description (Service Description)]]="","",VLOOKUP(Table2425[[#This Row],[Journal Description (Service Description)]],'Lookup Values'!$A:$B,2,FALSE))</f>
        <v/>
      </c>
      <c r="E62" s="27"/>
      <c r="F62" s="27"/>
      <c r="G62" s="27"/>
    </row>
    <row r="63" spans="1:7" x14ac:dyDescent="0.35">
      <c r="B63" t="str">
        <f>IF(Table2425[[#This Row],[Branch Name]]="","",(_xlfn.XLOOKUP(Table2425[[#This Row],[Branch Name]],'Lookup Values'!G:G,'Lookup Values'!I:I,0)))</f>
        <v/>
      </c>
      <c r="C63" s="27"/>
      <c r="D63" s="2" t="str">
        <f>IF(Table2425[[#This Row],[Journal Description (Service Description)]]="","",VLOOKUP(Table2425[[#This Row],[Journal Description (Service Description)]],'Lookup Values'!$A:$B,2,FALSE))</f>
        <v/>
      </c>
      <c r="E63" s="27"/>
      <c r="F63" s="27"/>
      <c r="G63" s="27"/>
    </row>
    <row r="64" spans="1:7" x14ac:dyDescent="0.35">
      <c r="B64" t="str">
        <f>IF(Table2425[[#This Row],[Branch Name]]="","",(_xlfn.XLOOKUP(Table2425[[#This Row],[Branch Name]],'Lookup Values'!G:G,'Lookup Values'!I:I,0)))</f>
        <v/>
      </c>
      <c r="C64" s="27"/>
      <c r="D64" s="2" t="str">
        <f>IF(Table2425[[#This Row],[Journal Description (Service Description)]]="","",VLOOKUP(Table2425[[#This Row],[Journal Description (Service Description)]],'Lookup Values'!$A:$B,2,FALSE))</f>
        <v/>
      </c>
      <c r="E64" s="27"/>
      <c r="F64" s="27"/>
      <c r="G64" s="27"/>
    </row>
    <row r="65" spans="1:7" x14ac:dyDescent="0.35">
      <c r="B65" t="str">
        <f>IF(Table2425[[#This Row],[Branch Name]]="","",(_xlfn.XLOOKUP(Table2425[[#This Row],[Branch Name]],'Lookup Values'!G:G,'Lookup Values'!I:I,0)))</f>
        <v/>
      </c>
      <c r="C65" s="27"/>
      <c r="D65" s="2" t="str">
        <f>IF(Table2425[[#This Row],[Journal Description (Service Description)]]="","",VLOOKUP(Table2425[[#This Row],[Journal Description (Service Description)]],'Lookup Values'!$A:$B,2,FALSE))</f>
        <v/>
      </c>
      <c r="E65" s="27"/>
      <c r="F65" s="27"/>
      <c r="G65" s="27"/>
    </row>
    <row r="66" spans="1:7" x14ac:dyDescent="0.35">
      <c r="B66" t="str">
        <f>IF(Table2425[[#This Row],[Branch Name]]="","",(_xlfn.XLOOKUP(Table2425[[#This Row],[Branch Name]],'Lookup Values'!G:G,'Lookup Values'!I:I,0)))</f>
        <v/>
      </c>
      <c r="C66" s="27"/>
      <c r="D66" s="2" t="str">
        <f>IF(Table2425[[#This Row],[Journal Description (Service Description)]]="","",VLOOKUP(Table2425[[#This Row],[Journal Description (Service Description)]],'Lookup Values'!$A:$B,2,FALSE))</f>
        <v/>
      </c>
      <c r="E66" s="27"/>
      <c r="F66" s="27"/>
      <c r="G66" s="27"/>
    </row>
    <row r="67" spans="1:7" x14ac:dyDescent="0.35">
      <c r="B67" t="str">
        <f>IF(Table2425[[#This Row],[Branch Name]]="","",(_xlfn.XLOOKUP(Table2425[[#This Row],[Branch Name]],'Lookup Values'!G:G,'Lookup Values'!I:I,0)))</f>
        <v/>
      </c>
      <c r="C67" s="27"/>
      <c r="D67" s="2" t="str">
        <f>IF(Table2425[[#This Row],[Journal Description (Service Description)]]="","",VLOOKUP(Table2425[[#This Row],[Journal Description (Service Description)]],'Lookup Values'!$A:$B,2,FALSE))</f>
        <v/>
      </c>
      <c r="E67" s="27"/>
      <c r="F67" s="27"/>
      <c r="G67" s="27"/>
    </row>
    <row r="68" spans="1:7" x14ac:dyDescent="0.35">
      <c r="B68" t="str">
        <f>IF(Table2425[[#This Row],[Branch Name]]="","",(_xlfn.XLOOKUP(Table2425[[#This Row],[Branch Name]],'Lookup Values'!G:G,'Lookup Values'!I:I,0)))</f>
        <v/>
      </c>
      <c r="C68" s="27"/>
      <c r="D68" s="2" t="str">
        <f>IF(Table2425[[#This Row],[Journal Description (Service Description)]]="","",VLOOKUP(Table2425[[#This Row],[Journal Description (Service Description)]],'Lookup Values'!$A:$B,2,FALSE))</f>
        <v/>
      </c>
      <c r="E68" s="27"/>
      <c r="F68" s="27"/>
      <c r="G68" s="27"/>
    </row>
    <row r="69" spans="1:7" x14ac:dyDescent="0.35">
      <c r="B69" t="str">
        <f>IF(Table2425[[#This Row],[Branch Name]]="","",(_xlfn.XLOOKUP(Table2425[[#This Row],[Branch Name]],'Lookup Values'!G:G,'Lookup Values'!I:I,0)))</f>
        <v/>
      </c>
      <c r="C69" s="27"/>
      <c r="D69" s="2" t="str">
        <f>IF(Table2425[[#This Row],[Journal Description (Service Description)]]="","",VLOOKUP(Table2425[[#This Row],[Journal Description (Service Description)]],'Lookup Values'!$A:$B,2,FALSE))</f>
        <v/>
      </c>
      <c r="E69" s="27"/>
      <c r="F69" s="27"/>
      <c r="G69" s="27"/>
    </row>
    <row r="70" spans="1:7" s="27" customFormat="1" x14ac:dyDescent="0.35">
      <c r="A70"/>
      <c r="B70" t="str">
        <f>IF(Table2425[[#This Row],[Branch Name]]="","",(_xlfn.XLOOKUP(Table2425[[#This Row],[Branch Name]],'Lookup Values'!G:G,'Lookup Values'!I:I,0)))</f>
        <v/>
      </c>
      <c r="D70" s="2" t="str">
        <f>IF(Table2425[[#This Row],[Journal Description (Service Description)]]="","",VLOOKUP(Table2425[[#This Row],[Journal Description (Service Description)]],'Lookup Values'!$A:$B,2,FALSE))</f>
        <v/>
      </c>
    </row>
    <row r="71" spans="1:7" s="27" customFormat="1" x14ac:dyDescent="0.35">
      <c r="A71"/>
      <c r="B71" t="str">
        <f>IF(Table2425[[#This Row],[Branch Name]]="","",(_xlfn.XLOOKUP(Table2425[[#This Row],[Branch Name]],'Lookup Values'!G:G,'Lookup Values'!I:I,0)))</f>
        <v/>
      </c>
      <c r="D71" s="2" t="str">
        <f>IF(Table2425[[#This Row],[Journal Description (Service Description)]]="","",VLOOKUP(Table2425[[#This Row],[Journal Description (Service Description)]],'Lookup Values'!$A:$B,2,FALSE))</f>
        <v/>
      </c>
    </row>
    <row r="72" spans="1:7" x14ac:dyDescent="0.35">
      <c r="B72" t="str">
        <f>IF(Table2425[[#This Row],[Branch Name]]="","",(_xlfn.XLOOKUP(Table2425[[#This Row],[Branch Name]],'Lookup Values'!G:G,'Lookup Values'!I:I,0)))</f>
        <v/>
      </c>
      <c r="C72" s="27"/>
      <c r="D72" s="2" t="str">
        <f>IF(Table2425[[#This Row],[Journal Description (Service Description)]]="","",VLOOKUP(Table2425[[#This Row],[Journal Description (Service Description)]],'Lookup Values'!$A:$B,2,FALSE))</f>
        <v/>
      </c>
      <c r="E72" s="27"/>
      <c r="F72" s="27"/>
      <c r="G72" s="27"/>
    </row>
    <row r="73" spans="1:7" x14ac:dyDescent="0.35">
      <c r="B73" t="str">
        <f>IF(Table2425[[#This Row],[Branch Name]]="","",(_xlfn.XLOOKUP(Table2425[[#This Row],[Branch Name]],'Lookup Values'!G:G,'Lookup Values'!I:I,0)))</f>
        <v/>
      </c>
      <c r="C73" s="27"/>
      <c r="D73" s="2" t="str">
        <f>IF(Table2425[[#This Row],[Journal Description (Service Description)]]="","",VLOOKUP(Table2425[[#This Row],[Journal Description (Service Description)]],'Lookup Values'!$A:$B,2,FALSE))</f>
        <v/>
      </c>
      <c r="E73" s="27"/>
      <c r="F73" s="27"/>
      <c r="G73" s="27"/>
    </row>
    <row r="74" spans="1:7" x14ac:dyDescent="0.35">
      <c r="B74" t="str">
        <f>IF(Table2425[[#This Row],[Branch Name]]="","",(_xlfn.XLOOKUP(Table2425[[#This Row],[Branch Name]],'Lookup Values'!G:G,'Lookup Values'!I:I,0)))</f>
        <v/>
      </c>
      <c r="C74" s="27"/>
      <c r="D74" s="2" t="str">
        <f>IF(Table2425[[#This Row],[Journal Description (Service Description)]]="","",VLOOKUP(Table2425[[#This Row],[Journal Description (Service Description)]],'Lookup Values'!$A:$B,2,FALSE))</f>
        <v/>
      </c>
      <c r="E74" s="27"/>
      <c r="F74" s="27"/>
      <c r="G74" s="27"/>
    </row>
    <row r="75" spans="1:7" x14ac:dyDescent="0.35">
      <c r="B75" t="str">
        <f>IF(Table2425[[#This Row],[Branch Name]]="","",(_xlfn.XLOOKUP(Table2425[[#This Row],[Branch Name]],'Lookup Values'!G:G,'Lookup Values'!I:I,0)))</f>
        <v/>
      </c>
      <c r="C75" s="27"/>
      <c r="D75" s="2" t="str">
        <f>IF(Table2425[[#This Row],[Journal Description (Service Description)]]="","",VLOOKUP(Table2425[[#This Row],[Journal Description (Service Description)]],'Lookup Values'!$A:$B,2,FALSE))</f>
        <v/>
      </c>
      <c r="E75" s="27"/>
      <c r="F75" s="27"/>
      <c r="G75" s="27"/>
    </row>
    <row r="76" spans="1:7" x14ac:dyDescent="0.35">
      <c r="B76" t="str">
        <f>IF(Table2425[[#This Row],[Branch Name]]="","",(_xlfn.XLOOKUP(Table2425[[#This Row],[Branch Name]],'Lookup Values'!G:G,'Lookup Values'!I:I,0)))</f>
        <v/>
      </c>
      <c r="C76" s="27"/>
      <c r="D76" s="2" t="str">
        <f>IF(Table2425[[#This Row],[Journal Description (Service Description)]]="","",VLOOKUP(Table2425[[#This Row],[Journal Description (Service Description)]],'Lookup Values'!$A:$B,2,FALSE))</f>
        <v/>
      </c>
      <c r="E76" s="27"/>
      <c r="F76" s="27"/>
      <c r="G76" s="27"/>
    </row>
    <row r="77" spans="1:7" x14ac:dyDescent="0.35">
      <c r="B77" t="str">
        <f>IF(Table2425[[#This Row],[Branch Name]]="","",(_xlfn.XLOOKUP(Table2425[[#This Row],[Branch Name]],'Lookup Values'!G:G,'Lookup Values'!I:I,0)))</f>
        <v/>
      </c>
      <c r="C77" s="27"/>
      <c r="D77" s="2" t="str">
        <f>IF(Table2425[[#This Row],[Journal Description (Service Description)]]="","",VLOOKUP(Table2425[[#This Row],[Journal Description (Service Description)]],'Lookup Values'!$A:$B,2,FALSE))</f>
        <v/>
      </c>
      <c r="E77" s="27"/>
      <c r="F77" s="27"/>
      <c r="G77" s="27"/>
    </row>
    <row r="78" spans="1:7" x14ac:dyDescent="0.35">
      <c r="B78" t="str">
        <f>IF(Table2425[[#This Row],[Branch Name]]="","",(_xlfn.XLOOKUP(Table2425[[#This Row],[Branch Name]],'Lookup Values'!G:G,'Lookup Values'!I:I,0)))</f>
        <v/>
      </c>
      <c r="C78" s="27"/>
      <c r="D78" s="2" t="str">
        <f>IF(Table2425[[#This Row],[Journal Description (Service Description)]]="","",VLOOKUP(Table2425[[#This Row],[Journal Description (Service Description)]],'Lookup Values'!$A:$B,2,FALSE))</f>
        <v/>
      </c>
      <c r="E78" s="27"/>
      <c r="F78" s="27"/>
      <c r="G78" s="27"/>
    </row>
    <row r="79" spans="1:7" x14ac:dyDescent="0.35">
      <c r="A79" s="27"/>
      <c r="B79" t="str">
        <f>IF(Table2425[[#This Row],[Branch Name]]="","",(_xlfn.XLOOKUP(Table2425[[#This Row],[Branch Name]],'Lookup Values'!G:G,'Lookup Values'!I:I,0)))</f>
        <v/>
      </c>
      <c r="C79" s="27"/>
      <c r="D79" s="2" t="str">
        <f>IF(Table2425[[#This Row],[Journal Description (Service Description)]]="","",VLOOKUP(Table2425[[#This Row],[Journal Description (Service Description)]],'Lookup Values'!$A:$B,2,FALSE))</f>
        <v/>
      </c>
      <c r="E79" s="27"/>
      <c r="F79" s="27"/>
      <c r="G79" s="27"/>
    </row>
    <row r="80" spans="1:7" x14ac:dyDescent="0.35">
      <c r="A80" s="27"/>
      <c r="B80" t="str">
        <f>IF(Table2425[[#This Row],[Branch Name]]="","",(_xlfn.XLOOKUP(Table2425[[#This Row],[Branch Name]],'Lookup Values'!G:G,'Lookup Values'!I:I,0)))</f>
        <v/>
      </c>
      <c r="C80" s="27"/>
      <c r="D80" s="2" t="str">
        <f>IF(Table2425[[#This Row],[Journal Description (Service Description)]]="","",VLOOKUP(Table2425[[#This Row],[Journal Description (Service Description)]],'Lookup Values'!$A:$B,2,FALSE))</f>
        <v/>
      </c>
      <c r="E80" s="27"/>
      <c r="F80" s="27"/>
      <c r="G80" s="27"/>
    </row>
    <row r="81" spans="1:7" x14ac:dyDescent="0.35">
      <c r="A81" s="27"/>
      <c r="B81" t="str">
        <f>IF(Table2425[[#This Row],[Branch Name]]="","",(_xlfn.XLOOKUP(Table2425[[#This Row],[Branch Name]],'Lookup Values'!G:G,'Lookup Values'!I:I,0)))</f>
        <v/>
      </c>
      <c r="C81" s="27"/>
      <c r="D81" s="2" t="str">
        <f>IF(Table2425[[#This Row],[Journal Description (Service Description)]]="","",VLOOKUP(Table2425[[#This Row],[Journal Description (Service Description)]],'Lookup Values'!$A:$B,2,FALSE))</f>
        <v/>
      </c>
      <c r="E81" s="27"/>
      <c r="F81" s="27"/>
      <c r="G81" s="27"/>
    </row>
    <row r="82" spans="1:7" x14ac:dyDescent="0.35">
      <c r="A82" s="27"/>
      <c r="B82" t="str">
        <f>IF(Table2425[[#This Row],[Branch Name]]="","",(_xlfn.XLOOKUP(Table2425[[#This Row],[Branch Name]],'Lookup Values'!G:G,'Lookup Values'!I:I,0)))</f>
        <v/>
      </c>
      <c r="C82" s="27"/>
      <c r="D82" s="2" t="str">
        <f>IF(Table2425[[#This Row],[Journal Description (Service Description)]]="","",VLOOKUP(Table2425[[#This Row],[Journal Description (Service Description)]],'Lookup Values'!$A:$B,2,FALSE))</f>
        <v/>
      </c>
      <c r="E82" s="27"/>
      <c r="F82" s="27"/>
      <c r="G82" s="27"/>
    </row>
    <row r="83" spans="1:7" x14ac:dyDescent="0.35">
      <c r="A83" s="27"/>
      <c r="B83" t="str">
        <f>IF(Table2425[[#This Row],[Branch Name]]="","",(_xlfn.XLOOKUP(Table2425[[#This Row],[Branch Name]],'Lookup Values'!G:G,'Lookup Values'!I:I,0)))</f>
        <v/>
      </c>
      <c r="C83" s="27"/>
      <c r="D83" s="2" t="str">
        <f>IF(Table2425[[#This Row],[Journal Description (Service Description)]]="","",VLOOKUP(Table2425[[#This Row],[Journal Description (Service Description)]],'Lookup Values'!$A:$B,2,FALSE))</f>
        <v/>
      </c>
      <c r="E83" s="27"/>
      <c r="F83" s="27"/>
      <c r="G83" s="27"/>
    </row>
    <row r="84" spans="1:7" x14ac:dyDescent="0.35">
      <c r="A84" s="27"/>
      <c r="B84" t="str">
        <f>IF(Table2425[[#This Row],[Branch Name]]="","",(_xlfn.XLOOKUP(Table2425[[#This Row],[Branch Name]],'Lookup Values'!G:G,'Lookup Values'!I:I,0)))</f>
        <v/>
      </c>
      <c r="C84" s="27"/>
      <c r="D84" s="2" t="str">
        <f>IF(Table2425[[#This Row],[Journal Description (Service Description)]]="","",VLOOKUP(Table2425[[#This Row],[Journal Description (Service Description)]],'Lookup Values'!$A:$B,2,FALSE))</f>
        <v/>
      </c>
      <c r="E84" s="27"/>
      <c r="F84" s="27"/>
      <c r="G84" s="27"/>
    </row>
    <row r="85" spans="1:7" x14ac:dyDescent="0.35">
      <c r="A85" s="27"/>
      <c r="B85" t="str">
        <f>IF(Table2425[[#This Row],[Branch Name]]="","",(_xlfn.XLOOKUP(Table2425[[#This Row],[Branch Name]],'Lookup Values'!G:G,'Lookup Values'!I:I,0)))</f>
        <v/>
      </c>
      <c r="C85" s="27"/>
      <c r="D85" s="2" t="str">
        <f>IF(Table2425[[#This Row],[Journal Description (Service Description)]]="","",VLOOKUP(Table2425[[#This Row],[Journal Description (Service Description)]],'Lookup Values'!$A:$B,2,FALSE))</f>
        <v/>
      </c>
      <c r="E85" s="27"/>
      <c r="F85" s="27"/>
      <c r="G85" s="29"/>
    </row>
    <row r="86" spans="1:7" x14ac:dyDescent="0.35">
      <c r="A86" s="27"/>
      <c r="B86" t="str">
        <f>IF(Table2425[[#This Row],[Branch Name]]="","",(_xlfn.XLOOKUP(Table2425[[#This Row],[Branch Name]],'Lookup Values'!G:G,'Lookup Values'!I:I,0)))</f>
        <v/>
      </c>
      <c r="C86" s="27"/>
      <c r="D86" s="2" t="str">
        <f>IF(Table2425[[#This Row],[Journal Description (Service Description)]]="","",VLOOKUP(Table2425[[#This Row],[Journal Description (Service Description)]],'Lookup Values'!$A:$B,2,FALSE))</f>
        <v/>
      </c>
      <c r="E86" s="27"/>
      <c r="F86" s="27"/>
      <c r="G86" s="27"/>
    </row>
    <row r="87" spans="1:7" x14ac:dyDescent="0.35">
      <c r="A87" s="27"/>
      <c r="B87" t="str">
        <f>IF(Table2425[[#This Row],[Branch Name]]="","",(_xlfn.XLOOKUP(Table2425[[#This Row],[Branch Name]],'Lookup Values'!G:G,'Lookup Values'!I:I,0)))</f>
        <v/>
      </c>
      <c r="C87" s="27"/>
      <c r="D87" s="2" t="str">
        <f>IF(Table2425[[#This Row],[Journal Description (Service Description)]]="","",VLOOKUP(Table2425[[#This Row],[Journal Description (Service Description)]],'Lookup Values'!$A:$B,2,FALSE))</f>
        <v/>
      </c>
      <c r="E87" s="27"/>
      <c r="F87" s="27"/>
      <c r="G87" s="27"/>
    </row>
    <row r="88" spans="1:7" x14ac:dyDescent="0.35">
      <c r="A88" s="27"/>
      <c r="B88" t="str">
        <f>IF(Table2425[[#This Row],[Branch Name]]="","",(_xlfn.XLOOKUP(Table2425[[#This Row],[Branch Name]],'Lookup Values'!G:G,'Lookup Values'!I:I,0)))</f>
        <v/>
      </c>
      <c r="C88" s="27"/>
      <c r="D88" s="2" t="str">
        <f>IF(Table2425[[#This Row],[Journal Description (Service Description)]]="","",VLOOKUP(Table2425[[#This Row],[Journal Description (Service Description)]],'Lookup Values'!$A:$B,2,FALSE))</f>
        <v/>
      </c>
      <c r="E88" s="27"/>
      <c r="F88" s="27"/>
      <c r="G88" s="27"/>
    </row>
    <row r="89" spans="1:7" x14ac:dyDescent="0.35">
      <c r="A89" s="27"/>
      <c r="B89" t="str">
        <f>IF(Table2425[[#This Row],[Branch Name]]="","",(_xlfn.XLOOKUP(Table2425[[#This Row],[Branch Name]],'Lookup Values'!G:G,'Lookup Values'!I:I,0)))</f>
        <v/>
      </c>
      <c r="C89" s="27"/>
      <c r="D89" s="2" t="str">
        <f>IF(Table2425[[#This Row],[Journal Description (Service Description)]]="","",VLOOKUP(Table2425[[#This Row],[Journal Description (Service Description)]],'Lookup Values'!$A:$B,2,FALSE))</f>
        <v/>
      </c>
      <c r="E89" s="27"/>
      <c r="F89" s="27"/>
      <c r="G89" s="27"/>
    </row>
    <row r="90" spans="1:7" x14ac:dyDescent="0.35">
      <c r="A90" s="27"/>
      <c r="B90" t="str">
        <f>IF(Table2425[[#This Row],[Branch Name]]="","",(_xlfn.XLOOKUP(Table2425[[#This Row],[Branch Name]],'Lookup Values'!G:G,'Lookup Values'!I:I,0)))</f>
        <v/>
      </c>
      <c r="C90" s="27"/>
      <c r="D90" s="2" t="str">
        <f>IF(Table2425[[#This Row],[Journal Description (Service Description)]]="","",VLOOKUP(Table2425[[#This Row],[Journal Description (Service Description)]],'Lookup Values'!$A:$B,2,FALSE))</f>
        <v/>
      </c>
      <c r="E90" s="27"/>
      <c r="F90" s="27"/>
      <c r="G90" s="27"/>
    </row>
    <row r="91" spans="1:7" x14ac:dyDescent="0.35">
      <c r="A91" s="27"/>
      <c r="B91" t="str">
        <f>IF(Table2425[[#This Row],[Branch Name]]="","",(_xlfn.XLOOKUP(Table2425[[#This Row],[Branch Name]],'Lookup Values'!G:G,'Lookup Values'!I:I,0)))</f>
        <v/>
      </c>
      <c r="C91" s="27"/>
      <c r="D91" s="2" t="str">
        <f>IF(Table2425[[#This Row],[Journal Description (Service Description)]]="","",VLOOKUP(Table2425[[#This Row],[Journal Description (Service Description)]],'Lookup Values'!$A:$B,2,FALSE))</f>
        <v/>
      </c>
      <c r="E91" s="27"/>
      <c r="F91" s="27"/>
      <c r="G91" s="27"/>
    </row>
    <row r="92" spans="1:7" x14ac:dyDescent="0.35">
      <c r="A92" s="27"/>
      <c r="B92" t="str">
        <f>IF(Table2425[[#This Row],[Branch Name]]="","",(_xlfn.XLOOKUP(Table2425[[#This Row],[Branch Name]],'Lookup Values'!G:G,'Lookup Values'!I:I,0)))</f>
        <v/>
      </c>
      <c r="C92" s="27"/>
      <c r="D92" s="2" t="str">
        <f>IF(Table2425[[#This Row],[Journal Description (Service Description)]]="","",VLOOKUP(Table2425[[#This Row],[Journal Description (Service Description)]],'Lookup Values'!$A:$B,2,FALSE))</f>
        <v/>
      </c>
      <c r="E92" s="27"/>
      <c r="F92" s="27"/>
      <c r="G92" s="27"/>
    </row>
    <row r="93" spans="1:7" x14ac:dyDescent="0.35">
      <c r="B93" t="str">
        <f>IF(Table2425[[#This Row],[Branch Name]]="","",(_xlfn.XLOOKUP(Table2425[[#This Row],[Branch Name]],'Lookup Values'!G:G,'Lookup Values'!I:I,0)))</f>
        <v/>
      </c>
      <c r="C93" s="27"/>
      <c r="D93" s="2" t="str">
        <f>IF(Table2425[[#This Row],[Journal Description (Service Description)]]="","",VLOOKUP(Table2425[[#This Row],[Journal Description (Service Description)]],'Lookup Values'!$A:$B,2,FALSE))</f>
        <v/>
      </c>
      <c r="E93" s="27"/>
      <c r="F93" s="27"/>
      <c r="G93" s="27"/>
    </row>
    <row r="94" spans="1:7" x14ac:dyDescent="0.35">
      <c r="B94" t="str">
        <f>IF(Table2425[[#This Row],[Branch Name]]="","",(_xlfn.XLOOKUP(Table2425[[#This Row],[Branch Name]],'Lookup Values'!G:G,'Lookup Values'!I:I,0)))</f>
        <v/>
      </c>
      <c r="C94" s="27"/>
      <c r="D94" s="2" t="str">
        <f>IF(Table2425[[#This Row],[Journal Description (Service Description)]]="","",VLOOKUP(Table2425[[#This Row],[Journal Description (Service Description)]],'Lookup Values'!$A:$B,2,FALSE))</f>
        <v/>
      </c>
      <c r="E94" s="27"/>
      <c r="F94" s="27"/>
      <c r="G94" s="27"/>
    </row>
    <row r="95" spans="1:7" x14ac:dyDescent="0.35">
      <c r="B95" t="str">
        <f>IF(Table2425[[#This Row],[Branch Name]]="","",(_xlfn.XLOOKUP(Table2425[[#This Row],[Branch Name]],'Lookup Values'!G:G,'Lookup Values'!I:I,0)))</f>
        <v/>
      </c>
      <c r="C95" s="27"/>
      <c r="D95" s="2" t="str">
        <f>IF(Table2425[[#This Row],[Journal Description (Service Description)]]="","",VLOOKUP(Table2425[[#This Row],[Journal Description (Service Description)]],'Lookup Values'!$A:$B,2,FALSE))</f>
        <v/>
      </c>
      <c r="E95" s="27"/>
      <c r="F95" s="27"/>
      <c r="G95" s="27"/>
    </row>
    <row r="96" spans="1:7" x14ac:dyDescent="0.35">
      <c r="B96" t="str">
        <f>IF(Table2425[[#This Row],[Branch Name]]="","",(_xlfn.XLOOKUP(Table2425[[#This Row],[Branch Name]],'Lookup Values'!G:G,'Lookup Values'!I:I,0)))</f>
        <v/>
      </c>
      <c r="C96" s="27"/>
      <c r="D96" s="2" t="str">
        <f>IF(Table2425[[#This Row],[Journal Description (Service Description)]]="","",VLOOKUP(Table2425[[#This Row],[Journal Description (Service Description)]],'Lookup Values'!$A:$B,2,FALSE))</f>
        <v/>
      </c>
      <c r="E96" s="27"/>
      <c r="F96" s="27"/>
      <c r="G96" s="27"/>
    </row>
    <row r="97" spans="2:7" x14ac:dyDescent="0.35">
      <c r="B97" t="str">
        <f>IF(Table2425[[#This Row],[Branch Name]]="","",(_xlfn.XLOOKUP(Table2425[[#This Row],[Branch Name]],'Lookup Values'!G:G,'Lookup Values'!I:I,0)))</f>
        <v/>
      </c>
      <c r="C97" s="27"/>
      <c r="D97" s="2" t="str">
        <f>IF(Table2425[[#This Row],[Journal Description (Service Description)]]="","",VLOOKUP(Table2425[[#This Row],[Journal Description (Service Description)]],'Lookup Values'!$A:$B,2,FALSE))</f>
        <v/>
      </c>
      <c r="E97" s="27"/>
      <c r="F97" s="27"/>
      <c r="G97" s="27"/>
    </row>
    <row r="98" spans="2:7" x14ac:dyDescent="0.35">
      <c r="B98" t="str">
        <f>IF(Table2425[[#This Row],[Branch Name]]="","",(_xlfn.XLOOKUP(Table2425[[#This Row],[Branch Name]],'Lookup Values'!G:G,'Lookup Values'!I:I,0)))</f>
        <v/>
      </c>
      <c r="C98" s="27"/>
      <c r="D98" s="2" t="str">
        <f>IF(Table2425[[#This Row],[Journal Description (Service Description)]]="","",VLOOKUP(Table2425[[#This Row],[Journal Description (Service Description)]],'Lookup Values'!$A:$B,2,FALSE))</f>
        <v/>
      </c>
      <c r="E98" s="27"/>
      <c r="F98" s="27"/>
      <c r="G98" s="27"/>
    </row>
    <row r="99" spans="2:7" x14ac:dyDescent="0.35">
      <c r="B99" t="str">
        <f>IF(Table2425[[#This Row],[Branch Name]]="","",(_xlfn.XLOOKUP(Table2425[[#This Row],[Branch Name]],'Lookup Values'!G:G,'Lookup Values'!I:I,0)))</f>
        <v/>
      </c>
      <c r="C99" s="27"/>
      <c r="D99" s="2" t="str">
        <f>IF(Table2425[[#This Row],[Journal Description (Service Description)]]="","",VLOOKUP(Table2425[[#This Row],[Journal Description (Service Description)]],'Lookup Values'!$A:$B,2,FALSE))</f>
        <v/>
      </c>
      <c r="E99" s="27"/>
      <c r="F99" s="27"/>
      <c r="G99" s="27"/>
    </row>
    <row r="100" spans="2:7" x14ac:dyDescent="0.35">
      <c r="B100" t="str">
        <f>IF(Table2425[[#This Row],[Branch Name]]="","",(_xlfn.XLOOKUP(Table2425[[#This Row],[Branch Name]],'Lookup Values'!G:G,'Lookup Values'!I:I,0)))</f>
        <v/>
      </c>
      <c r="C100" s="27"/>
      <c r="D100" s="2" t="str">
        <f>IF(Table2425[[#This Row],[Journal Description (Service Description)]]="","",VLOOKUP(Table2425[[#This Row],[Journal Description (Service Description)]],'Lookup Values'!$A:$B,2,FALSE))</f>
        <v/>
      </c>
      <c r="E100" s="27"/>
      <c r="F100" s="27"/>
      <c r="G100" s="27"/>
    </row>
    <row r="101" spans="2:7" x14ac:dyDescent="0.35">
      <c r="B101" t="str">
        <f>IF(Table2425[[#This Row],[Branch Name]]="","",(_xlfn.XLOOKUP(Table2425[[#This Row],[Branch Name]],'Lookup Values'!G:G,'Lookup Values'!I:I,0)))</f>
        <v/>
      </c>
      <c r="C101" s="27"/>
      <c r="D101" s="2" t="str">
        <f>IF(Table2425[[#This Row],[Journal Description (Service Description)]]="","",VLOOKUP(Table2425[[#This Row],[Journal Description (Service Description)]],'Lookup Values'!$A:$B,2,FALSE))</f>
        <v/>
      </c>
      <c r="E101" s="27"/>
      <c r="F101" s="27"/>
      <c r="G101" s="27"/>
    </row>
    <row r="102" spans="2:7" x14ac:dyDescent="0.35">
      <c r="B102" t="str">
        <f>IF(Table2425[[#This Row],[Branch Name]]="","",(_xlfn.XLOOKUP(Table2425[[#This Row],[Branch Name]],'Lookup Values'!G:G,'Lookup Values'!I:I,0)))</f>
        <v/>
      </c>
      <c r="C102" s="27"/>
      <c r="D102" s="2" t="str">
        <f>IF(Table2425[[#This Row],[Journal Description (Service Description)]]="","",VLOOKUP(Table2425[[#This Row],[Journal Description (Service Description)]],'Lookup Values'!$A:$B,2,FALSE))</f>
        <v/>
      </c>
      <c r="E102" s="27"/>
      <c r="F102" s="27"/>
      <c r="G102" s="27"/>
    </row>
    <row r="103" spans="2:7" x14ac:dyDescent="0.35">
      <c r="B103" t="str">
        <f>IF(Table2425[[#This Row],[Branch Name]]="","",(_xlfn.XLOOKUP(Table2425[[#This Row],[Branch Name]],'Lookup Values'!G:G,'Lookup Values'!I:I,0)))</f>
        <v/>
      </c>
      <c r="C103" s="27"/>
      <c r="D103" s="2" t="str">
        <f>IF(Table2425[[#This Row],[Journal Description (Service Description)]]="","",VLOOKUP(Table2425[[#This Row],[Journal Description (Service Description)]],'Lookup Values'!$A:$B,2,FALSE))</f>
        <v/>
      </c>
      <c r="E103" s="27"/>
      <c r="F103" s="27"/>
      <c r="G103" s="27"/>
    </row>
    <row r="104" spans="2:7" x14ac:dyDescent="0.35">
      <c r="B104" t="str">
        <f>IF(Table2425[[#This Row],[Branch Name]]="","",(_xlfn.XLOOKUP(Table2425[[#This Row],[Branch Name]],'Lookup Values'!G:G,'Lookup Values'!I:I,0)))</f>
        <v/>
      </c>
      <c r="C104" s="27"/>
      <c r="D104" s="2" t="str">
        <f>IF(Table2425[[#This Row],[Journal Description (Service Description)]]="","",VLOOKUP(Table2425[[#This Row],[Journal Description (Service Description)]],'Lookup Values'!$A:$B,2,FALSE))</f>
        <v/>
      </c>
      <c r="E104" s="27"/>
      <c r="F104" s="27"/>
      <c r="G104" s="27"/>
    </row>
    <row r="105" spans="2:7" x14ac:dyDescent="0.35">
      <c r="B105" t="str">
        <f>IF(Table2425[[#This Row],[Branch Name]]="","",(_xlfn.XLOOKUP(Table2425[[#This Row],[Branch Name]],'Lookup Values'!G:G,'Lookup Values'!I:I,0)))</f>
        <v/>
      </c>
      <c r="C105" s="27"/>
      <c r="D105" s="2" t="str">
        <f>IF(Table2425[[#This Row],[Journal Description (Service Description)]]="","",VLOOKUP(Table2425[[#This Row],[Journal Description (Service Description)]],'Lookup Values'!$A:$B,2,FALSE))</f>
        <v/>
      </c>
      <c r="E105" s="27"/>
      <c r="F105" s="27"/>
      <c r="G105" s="27"/>
    </row>
    <row r="106" spans="2:7" x14ac:dyDescent="0.35">
      <c r="B106" t="str">
        <f>IF(Table2425[[#This Row],[Branch Name]]="","",(_xlfn.XLOOKUP(Table2425[[#This Row],[Branch Name]],'Lookup Values'!G:G,'Lookup Values'!I:I,0)))</f>
        <v/>
      </c>
      <c r="C106" s="27"/>
      <c r="D106" s="2" t="str">
        <f>IF(Table2425[[#This Row],[Journal Description (Service Description)]]="","",VLOOKUP(Table2425[[#This Row],[Journal Description (Service Description)]],'Lookup Values'!$A:$B,2,FALSE))</f>
        <v/>
      </c>
      <c r="E106" s="27"/>
      <c r="F106" s="27"/>
      <c r="G106" s="27"/>
    </row>
    <row r="107" spans="2:7" x14ac:dyDescent="0.35">
      <c r="B107" t="str">
        <f>IF(Table2425[[#This Row],[Branch Name]]="","",(_xlfn.XLOOKUP(Table2425[[#This Row],[Branch Name]],'Lookup Values'!G:G,'Lookup Values'!I:I,0)))</f>
        <v/>
      </c>
      <c r="C107" s="27"/>
      <c r="D107" s="2" t="str">
        <f>IF(Table2425[[#This Row],[Journal Description (Service Description)]]="","",VLOOKUP(Table2425[[#This Row],[Journal Description (Service Description)]],'Lookup Values'!$A:$B,2,FALSE))</f>
        <v/>
      </c>
      <c r="E107" s="27"/>
      <c r="F107" s="27"/>
      <c r="G107" s="27"/>
    </row>
    <row r="108" spans="2:7" x14ac:dyDescent="0.35">
      <c r="B108" t="str">
        <f>IF(Table2425[[#This Row],[Branch Name]]="","",(_xlfn.XLOOKUP(Table2425[[#This Row],[Branch Name]],'Lookup Values'!G:G,'Lookup Values'!I:I,0)))</f>
        <v/>
      </c>
      <c r="C108" s="27"/>
      <c r="D108" s="2" t="str">
        <f>IF(Table2425[[#This Row],[Journal Description (Service Description)]]="","",VLOOKUP(Table2425[[#This Row],[Journal Description (Service Description)]],'Lookup Values'!$A:$B,2,FALSE))</f>
        <v/>
      </c>
      <c r="E108" s="27"/>
      <c r="F108" s="27"/>
      <c r="G108" s="27"/>
    </row>
    <row r="109" spans="2:7" x14ac:dyDescent="0.35">
      <c r="B109" t="str">
        <f>IF(Table2425[[#This Row],[Branch Name]]="","",(_xlfn.XLOOKUP(Table2425[[#This Row],[Branch Name]],'Lookup Values'!G:G,'Lookup Values'!I:I,0)))</f>
        <v/>
      </c>
      <c r="C109" s="27"/>
      <c r="D109" s="2" t="str">
        <f>IF(Table2425[[#This Row],[Journal Description (Service Description)]]="","",VLOOKUP(Table2425[[#This Row],[Journal Description (Service Description)]],'Lookup Values'!$A:$B,2,FALSE))</f>
        <v/>
      </c>
      <c r="E109" s="27"/>
      <c r="F109" s="27"/>
      <c r="G109" s="27"/>
    </row>
    <row r="110" spans="2:7" x14ac:dyDescent="0.35">
      <c r="B110" t="str">
        <f>IF(Table2425[[#This Row],[Branch Name]]="","",(_xlfn.XLOOKUP(Table2425[[#This Row],[Branch Name]],'Lookup Values'!G:G,'Lookup Values'!I:I,0)))</f>
        <v/>
      </c>
      <c r="C110" s="27"/>
      <c r="D110" s="2" t="str">
        <f>IF(Table2425[[#This Row],[Journal Description (Service Description)]]="","",VLOOKUP(Table2425[[#This Row],[Journal Description (Service Description)]],'Lookup Values'!$A:$B,2,FALSE))</f>
        <v/>
      </c>
      <c r="E110" s="27"/>
      <c r="F110" s="27"/>
      <c r="G110" s="27"/>
    </row>
    <row r="111" spans="2:7" x14ac:dyDescent="0.35">
      <c r="B111" t="str">
        <f>IF(Table2425[[#This Row],[Branch Name]]="","",(_xlfn.XLOOKUP(Table2425[[#This Row],[Branch Name]],'Lookup Values'!G:G,'Lookup Values'!I:I,0)))</f>
        <v/>
      </c>
      <c r="C111" s="27"/>
      <c r="D111" s="2" t="str">
        <f>IF(Table2425[[#This Row],[Journal Description (Service Description)]]="","",VLOOKUP(Table2425[[#This Row],[Journal Description (Service Description)]],'Lookup Values'!$A:$B,2,FALSE))</f>
        <v/>
      </c>
      <c r="E111" s="27"/>
      <c r="F111" s="27"/>
      <c r="G111" s="27"/>
    </row>
    <row r="112" spans="2:7" x14ac:dyDescent="0.35">
      <c r="B112" t="str">
        <f>IF(Table2425[[#This Row],[Branch Name]]="","",(_xlfn.XLOOKUP(Table2425[[#This Row],[Branch Name]],'Lookup Values'!G:G,'Lookup Values'!I:I,0)))</f>
        <v/>
      </c>
      <c r="C112" s="27"/>
      <c r="D112" s="2" t="str">
        <f>IF(Table2425[[#This Row],[Journal Description (Service Description)]]="","",VLOOKUP(Table2425[[#This Row],[Journal Description (Service Description)]],'Lookup Values'!$A:$B,2,FALSE))</f>
        <v/>
      </c>
      <c r="E112" s="27"/>
      <c r="F112" s="27"/>
      <c r="G112" s="27"/>
    </row>
    <row r="113" spans="1:7" x14ac:dyDescent="0.35">
      <c r="B113" t="str">
        <f>IF(Table2425[[#This Row],[Branch Name]]="","",(_xlfn.XLOOKUP(Table2425[[#This Row],[Branch Name]],'Lookup Values'!G:G,'Lookup Values'!I:I,0)))</f>
        <v/>
      </c>
      <c r="C113" s="27"/>
      <c r="D113" s="2" t="str">
        <f>IF(Table2425[[#This Row],[Journal Description (Service Description)]]="","",VLOOKUP(Table2425[[#This Row],[Journal Description (Service Description)]],'Lookup Values'!$A:$B,2,FALSE))</f>
        <v/>
      </c>
      <c r="E113" s="27"/>
      <c r="F113" s="27"/>
      <c r="G113" s="27"/>
    </row>
    <row r="114" spans="1:7" x14ac:dyDescent="0.35">
      <c r="B114" t="str">
        <f>IF(Table2425[[#This Row],[Branch Name]]="","",(_xlfn.XLOOKUP(Table2425[[#This Row],[Branch Name]],'Lookup Values'!G:G,'Lookup Values'!I:I,0)))</f>
        <v/>
      </c>
      <c r="C114" s="27"/>
      <c r="D114" s="2" t="str">
        <f>IF(Table2425[[#This Row],[Journal Description (Service Description)]]="","",VLOOKUP(Table2425[[#This Row],[Journal Description (Service Description)]],'Lookup Values'!$A:$B,2,FALSE))</f>
        <v/>
      </c>
      <c r="E114" s="27"/>
      <c r="F114" s="27"/>
      <c r="G114" s="27"/>
    </row>
    <row r="115" spans="1:7" x14ac:dyDescent="0.35">
      <c r="A115" s="27"/>
      <c r="B115" t="str">
        <f>IF(Table2425[[#This Row],[Branch Name]]="","",(_xlfn.XLOOKUP(Table2425[[#This Row],[Branch Name]],'Lookup Values'!G:G,'Lookup Values'!I:I,0)))</f>
        <v/>
      </c>
      <c r="C115" s="27"/>
      <c r="D115" s="2" t="str">
        <f>IF(Table2425[[#This Row],[Journal Description (Service Description)]]="","",VLOOKUP(Table2425[[#This Row],[Journal Description (Service Description)]],'Lookup Values'!$A:$B,2,FALSE))</f>
        <v/>
      </c>
      <c r="E115" s="27"/>
      <c r="F115" s="27"/>
      <c r="G115" s="27"/>
    </row>
    <row r="116" spans="1:7" x14ac:dyDescent="0.35">
      <c r="B116" t="str">
        <f>IF(Table2425[[#This Row],[Branch Name]]="","",(_xlfn.XLOOKUP(Table2425[[#This Row],[Branch Name]],'Lookup Values'!G:G,'Lookup Values'!I:I,0)))</f>
        <v/>
      </c>
      <c r="C116" s="27"/>
      <c r="D116" s="2" t="str">
        <f>IF(Table2425[[#This Row],[Journal Description (Service Description)]]="","",VLOOKUP(Table2425[[#This Row],[Journal Description (Service Description)]],'Lookup Values'!$A:$B,2,FALSE))</f>
        <v/>
      </c>
      <c r="E116" s="27"/>
      <c r="F116" s="27"/>
      <c r="G116" s="27"/>
    </row>
    <row r="117" spans="1:7" x14ac:dyDescent="0.35">
      <c r="B117" t="str">
        <f>IF(Table2425[[#This Row],[Branch Name]]="","",(_xlfn.XLOOKUP(Table2425[[#This Row],[Branch Name]],'Lookup Values'!G:G,'Lookup Values'!I:I,0)))</f>
        <v/>
      </c>
      <c r="C117" s="27"/>
      <c r="D117" s="2" t="str">
        <f>IF(Table2425[[#This Row],[Journal Description (Service Description)]]="","",VLOOKUP(Table2425[[#This Row],[Journal Description (Service Description)]],'Lookup Values'!$A:$B,2,FALSE))</f>
        <v/>
      </c>
      <c r="E117" s="27"/>
      <c r="F117" s="27"/>
      <c r="G117" s="27"/>
    </row>
    <row r="118" spans="1:7" x14ac:dyDescent="0.35">
      <c r="A118" s="27"/>
      <c r="B118" t="str">
        <f>IF(Table2425[[#This Row],[Branch Name]]="","",(_xlfn.XLOOKUP(Table2425[[#This Row],[Branch Name]],'Lookup Values'!G:G,'Lookup Values'!I:I,0)))</f>
        <v/>
      </c>
      <c r="C118" s="27"/>
      <c r="D118" s="2" t="str">
        <f>IF(Table2425[[#This Row],[Journal Description (Service Description)]]="","",VLOOKUP(Table2425[[#This Row],[Journal Description (Service Description)]],'Lookup Values'!$A:$B,2,FALSE))</f>
        <v/>
      </c>
      <c r="E118" s="27"/>
      <c r="F118" s="27"/>
      <c r="G118" s="27"/>
    </row>
    <row r="119" spans="1:7" x14ac:dyDescent="0.35">
      <c r="A119" s="27"/>
      <c r="B119" t="str">
        <f>IF(Table2425[[#This Row],[Branch Name]]="","",(_xlfn.XLOOKUP(Table2425[[#This Row],[Branch Name]],'Lookup Values'!G:G,'Lookup Values'!I:I,0)))</f>
        <v/>
      </c>
      <c r="C119" s="27"/>
      <c r="D119" s="2" t="str">
        <f>IF(Table2425[[#This Row],[Journal Description (Service Description)]]="","",VLOOKUP(Table2425[[#This Row],[Journal Description (Service Description)]],'Lookup Values'!$A:$B,2,FALSE))</f>
        <v/>
      </c>
      <c r="E119" s="27"/>
      <c r="F119" s="27"/>
      <c r="G119" s="27"/>
    </row>
    <row r="120" spans="1:7" x14ac:dyDescent="0.35">
      <c r="B120" t="str">
        <f>IF(Table2425[[#This Row],[Branch Name]]="","",(_xlfn.XLOOKUP(Table2425[[#This Row],[Branch Name]],'Lookup Values'!G:G,'Lookup Values'!I:I,0)))</f>
        <v/>
      </c>
      <c r="C120" s="27"/>
      <c r="D120" s="2" t="str">
        <f>IF(Table2425[[#This Row],[Journal Description (Service Description)]]="","",VLOOKUP(Table2425[[#This Row],[Journal Description (Service Description)]],'Lookup Values'!$A:$B,2,FALSE))</f>
        <v/>
      </c>
      <c r="E120" s="27"/>
      <c r="F120" s="27"/>
      <c r="G120" s="27"/>
    </row>
    <row r="121" spans="1:7" x14ac:dyDescent="0.35">
      <c r="B121" t="str">
        <f>IF(Table2425[[#This Row],[Branch Name]]="","",(_xlfn.XLOOKUP(Table2425[[#This Row],[Branch Name]],'Lookup Values'!G:G,'Lookup Values'!I:I,0)))</f>
        <v/>
      </c>
      <c r="C121" s="27"/>
      <c r="D121" s="2" t="str">
        <f>IF(Table2425[[#This Row],[Journal Description (Service Description)]]="","",VLOOKUP(Table2425[[#This Row],[Journal Description (Service Description)]],'Lookup Values'!$A:$B,2,FALSE))</f>
        <v/>
      </c>
      <c r="E121" s="27"/>
      <c r="F121" s="27"/>
      <c r="G121" s="27"/>
    </row>
    <row r="122" spans="1:7" x14ac:dyDescent="0.35">
      <c r="B122" t="str">
        <f>IF(Table2425[[#This Row],[Branch Name]]="","",(_xlfn.XLOOKUP(Table2425[[#This Row],[Branch Name]],'Lookup Values'!G:G,'Lookup Values'!I:I,0)))</f>
        <v/>
      </c>
      <c r="C122" s="27"/>
      <c r="D122" s="2" t="str">
        <f>IF(Table2425[[#This Row],[Journal Description (Service Description)]]="","",VLOOKUP(Table2425[[#This Row],[Journal Description (Service Description)]],'Lookup Values'!$A:$B,2,FALSE))</f>
        <v/>
      </c>
      <c r="E122" s="27"/>
      <c r="F122" s="27"/>
      <c r="G122" s="27"/>
    </row>
    <row r="123" spans="1:7" x14ac:dyDescent="0.35">
      <c r="B123" t="str">
        <f>IF(Table2425[[#This Row],[Branch Name]]="","",(_xlfn.XLOOKUP(Table2425[[#This Row],[Branch Name]],'Lookup Values'!G:G,'Lookup Values'!I:I,0)))</f>
        <v/>
      </c>
      <c r="C123" s="27"/>
      <c r="D123" s="2" t="str">
        <f>IF(Table2425[[#This Row],[Journal Description (Service Description)]]="","",VLOOKUP(Table2425[[#This Row],[Journal Description (Service Description)]],'Lookup Values'!$A:$B,2,FALSE))</f>
        <v/>
      </c>
      <c r="E123" s="27"/>
      <c r="F123" s="27"/>
      <c r="G123" s="27"/>
    </row>
    <row r="124" spans="1:7" x14ac:dyDescent="0.35">
      <c r="B124" t="str">
        <f>IF(Table2425[[#This Row],[Branch Name]]="","",(_xlfn.XLOOKUP(Table2425[[#This Row],[Branch Name]],'Lookup Values'!G:G,'Lookup Values'!I:I,0)))</f>
        <v/>
      </c>
      <c r="C124" s="27"/>
      <c r="D124" s="2" t="str">
        <f>IF(Table2425[[#This Row],[Journal Description (Service Description)]]="","",VLOOKUP(Table2425[[#This Row],[Journal Description (Service Description)]],'Lookup Values'!$A:$B,2,FALSE))</f>
        <v/>
      </c>
      <c r="E124" s="27"/>
      <c r="F124" s="27"/>
      <c r="G124" s="27"/>
    </row>
    <row r="125" spans="1:7" x14ac:dyDescent="0.35">
      <c r="A125" s="27"/>
      <c r="B125" t="str">
        <f>IF(Table2425[[#This Row],[Branch Name]]="","",(_xlfn.XLOOKUP(Table2425[[#This Row],[Branch Name]],'Lookup Values'!G:G,'Lookup Values'!I:I,0)))</f>
        <v/>
      </c>
      <c r="C125" s="27"/>
      <c r="D125" s="2" t="str">
        <f>IF(Table2425[[#This Row],[Journal Description (Service Description)]]="","",VLOOKUP(Table2425[[#This Row],[Journal Description (Service Description)]],'Lookup Values'!$A:$B,2,FALSE))</f>
        <v/>
      </c>
      <c r="E125" s="27"/>
      <c r="F125" s="27"/>
      <c r="G125" s="27"/>
    </row>
    <row r="126" spans="1:7" x14ac:dyDescent="0.35">
      <c r="A126" s="27"/>
      <c r="B126" t="str">
        <f>IF(Table2425[[#This Row],[Branch Name]]="","",(_xlfn.XLOOKUP(Table2425[[#This Row],[Branch Name]],'Lookup Values'!G:G,'Lookup Values'!I:I,0)))</f>
        <v/>
      </c>
      <c r="C126" s="27"/>
      <c r="D126" s="2" t="str">
        <f>IF(Table2425[[#This Row],[Journal Description (Service Description)]]="","",VLOOKUP(Table2425[[#This Row],[Journal Description (Service Description)]],'Lookup Values'!$A:$B,2,FALSE))</f>
        <v/>
      </c>
      <c r="E126" s="27"/>
      <c r="F126" s="27"/>
      <c r="G126" s="27"/>
    </row>
    <row r="127" spans="1:7" x14ac:dyDescent="0.35">
      <c r="A127" s="27"/>
      <c r="B127" t="str">
        <f>IF(Table2425[[#This Row],[Branch Name]]="","",(_xlfn.XLOOKUP(Table2425[[#This Row],[Branch Name]],'Lookup Values'!G:G,'Lookup Values'!I:I,0)))</f>
        <v/>
      </c>
      <c r="C127" s="27"/>
      <c r="D127" s="2" t="str">
        <f>IF(Table2425[[#This Row],[Journal Description (Service Description)]]="","",VLOOKUP(Table2425[[#This Row],[Journal Description (Service Description)]],'Lookup Values'!$A:$B,2,FALSE))</f>
        <v/>
      </c>
      <c r="E127" s="27"/>
      <c r="F127" s="27"/>
      <c r="G127" s="27"/>
    </row>
    <row r="128" spans="1:7" x14ac:dyDescent="0.35">
      <c r="B128" t="str">
        <f>IF(Table2425[[#This Row],[Branch Name]]="","",(_xlfn.XLOOKUP(Table2425[[#This Row],[Branch Name]],'Lookup Values'!G:G,'Lookup Values'!I:I,0)))</f>
        <v/>
      </c>
      <c r="D128" s="2" t="str">
        <f>IF(Table2425[[#This Row],[Journal Description (Service Description)]]="","",VLOOKUP(Table2425[[#This Row],[Journal Description (Service Description)]],'Lookup Values'!$A:$B,2,FALSE))</f>
        <v/>
      </c>
      <c r="G128" s="25"/>
    </row>
    <row r="129" spans="1:7" x14ac:dyDescent="0.35">
      <c r="B129" t="str">
        <f>IF(Table2425[[#This Row],[Branch Name]]="","",(_xlfn.XLOOKUP(Table2425[[#This Row],[Branch Name]],'Lookup Values'!G:G,'Lookup Values'!I:I,0)))</f>
        <v/>
      </c>
      <c r="D129" s="2" t="str">
        <f>IF(Table2425[[#This Row],[Journal Description (Service Description)]]="","",VLOOKUP(Table2425[[#This Row],[Journal Description (Service Description)]],'Lookup Values'!$A:$B,2,FALSE))</f>
        <v/>
      </c>
    </row>
    <row r="130" spans="1:7" x14ac:dyDescent="0.35">
      <c r="A130" s="27"/>
      <c r="B130" t="str">
        <f>IF(Table2425[[#This Row],[Branch Name]]="","",(_xlfn.XLOOKUP(Table2425[[#This Row],[Branch Name]],'Lookup Values'!G:G,'Lookup Values'!I:I,0)))</f>
        <v/>
      </c>
      <c r="C130" s="27"/>
      <c r="D130" s="2" t="str">
        <f>IF(Table2425[[#This Row],[Journal Description (Service Description)]]="","",VLOOKUP(Table2425[[#This Row],[Journal Description (Service Description)]],'Lookup Values'!$A:$B,2,FALSE))</f>
        <v/>
      </c>
      <c r="E130" s="27"/>
      <c r="F130" s="27"/>
      <c r="G130" s="29"/>
    </row>
    <row r="131" spans="1:7" x14ac:dyDescent="0.35">
      <c r="A131" s="27"/>
      <c r="B131" t="str">
        <f>IF(Table2425[[#This Row],[Branch Name]]="","",(_xlfn.XLOOKUP(Table2425[[#This Row],[Branch Name]],'Lookup Values'!G:G,'Lookup Values'!I:I,0)))</f>
        <v/>
      </c>
      <c r="C131" s="27"/>
      <c r="D131" s="2" t="str">
        <f>IF(Table2425[[#This Row],[Journal Description (Service Description)]]="","",VLOOKUP(Table2425[[#This Row],[Journal Description (Service Description)]],'Lookup Values'!$A:$B,2,FALSE))</f>
        <v/>
      </c>
      <c r="E131" s="27"/>
      <c r="F131" s="27"/>
      <c r="G131" s="27"/>
    </row>
    <row r="132" spans="1:7" x14ac:dyDescent="0.35">
      <c r="A132" s="27"/>
      <c r="B132" t="str">
        <f>IF(Table2425[[#This Row],[Branch Name]]="","",(_xlfn.XLOOKUP(Table2425[[#This Row],[Branch Name]],'Lookup Values'!G:G,'Lookup Values'!I:I,0)))</f>
        <v/>
      </c>
      <c r="C132" s="27"/>
      <c r="D132" s="2" t="str">
        <f>IF(Table2425[[#This Row],[Journal Description (Service Description)]]="","",VLOOKUP(Table2425[[#This Row],[Journal Description (Service Description)]],'Lookup Values'!$A:$B,2,FALSE))</f>
        <v/>
      </c>
      <c r="E132" s="27"/>
      <c r="F132" s="27"/>
      <c r="G132" s="27"/>
    </row>
    <row r="133" spans="1:7" x14ac:dyDescent="0.35">
      <c r="B133" t="str">
        <f>IF(Table2425[[#This Row],[Branch Name]]="","",(_xlfn.XLOOKUP(Table2425[[#This Row],[Branch Name]],'Lookup Values'!G:G,'Lookup Values'!I:I,0)))</f>
        <v/>
      </c>
      <c r="D133" s="2" t="str">
        <f>IF(Table2425[[#This Row],[Journal Description (Service Description)]]="","",VLOOKUP(Table2425[[#This Row],[Journal Description (Service Description)]],'Lookup Values'!$A:$B,2,FALSE))</f>
        <v/>
      </c>
    </row>
    <row r="134" spans="1:7" x14ac:dyDescent="0.35">
      <c r="A134" s="27"/>
      <c r="B134" t="str">
        <f>IF(Table2425[[#This Row],[Branch Name]]="","",(_xlfn.XLOOKUP(Table2425[[#This Row],[Branch Name]],'Lookup Values'!G:G,'Lookup Values'!I:I,0)))</f>
        <v/>
      </c>
      <c r="C134" s="27"/>
      <c r="D134" s="2" t="str">
        <f>IF(Table2425[[#This Row],[Journal Description (Service Description)]]="","",VLOOKUP(Table2425[[#This Row],[Journal Description (Service Description)]],'Lookup Values'!$A:$B,2,FALSE))</f>
        <v/>
      </c>
      <c r="E134" s="27"/>
      <c r="F134" s="27"/>
      <c r="G134" s="27"/>
    </row>
    <row r="135" spans="1:7" x14ac:dyDescent="0.35">
      <c r="B135" t="str">
        <f>IF(Table2425[[#This Row],[Branch Name]]="","",(_xlfn.XLOOKUP(Table2425[[#This Row],[Branch Name]],'Lookup Values'!G:G,'Lookup Values'!I:I,0)))</f>
        <v/>
      </c>
      <c r="D135" s="2" t="str">
        <f>IF(Table2425[[#This Row],[Journal Description (Service Description)]]="","",VLOOKUP(Table2425[[#This Row],[Journal Description (Service Description)]],'Lookup Values'!$A:$B,2,FALSE))</f>
        <v/>
      </c>
    </row>
    <row r="136" spans="1:7" x14ac:dyDescent="0.35">
      <c r="B136" t="str">
        <f>IF(Table2425[[#This Row],[Branch Name]]="","",(_xlfn.XLOOKUP(Table2425[[#This Row],[Branch Name]],'Lookup Values'!G:G,'Lookup Values'!I:I,0)))</f>
        <v/>
      </c>
      <c r="D136" s="2" t="str">
        <f>IF(Table2425[[#This Row],[Journal Description (Service Description)]]="","",VLOOKUP(Table2425[[#This Row],[Journal Description (Service Description)]],'Lookup Values'!$A:$B,2,FALSE))</f>
        <v/>
      </c>
    </row>
    <row r="137" spans="1:7" x14ac:dyDescent="0.35">
      <c r="B137" t="str">
        <f>IF(Table2425[[#This Row],[Branch Name]]="","",(_xlfn.XLOOKUP(Table2425[[#This Row],[Branch Name]],'Lookup Values'!G:G,'Lookup Values'!I:I,0)))</f>
        <v/>
      </c>
      <c r="D137" s="2" t="str">
        <f>IF(Table2425[[#This Row],[Journal Description (Service Description)]]="","",VLOOKUP(Table2425[[#This Row],[Journal Description (Service Description)]],'Lookup Values'!$A:$B,2,FALSE))</f>
        <v/>
      </c>
    </row>
    <row r="138" spans="1:7" x14ac:dyDescent="0.35">
      <c r="B138" t="str">
        <f>IF(Table2425[[#This Row],[Branch Name]]="","",(_xlfn.XLOOKUP(Table2425[[#This Row],[Branch Name]],'Lookup Values'!G:G,'Lookup Values'!I:I,0)))</f>
        <v/>
      </c>
      <c r="D138" s="2" t="str">
        <f>IF(Table2425[[#This Row],[Journal Description (Service Description)]]="","",VLOOKUP(Table2425[[#This Row],[Journal Description (Service Description)]],'Lookup Values'!$A:$B,2,FALSE))</f>
        <v/>
      </c>
    </row>
    <row r="139" spans="1:7" x14ac:dyDescent="0.35">
      <c r="B139" t="str">
        <f>IF(Table2425[[#This Row],[Branch Name]]="","",(_xlfn.XLOOKUP(Table2425[[#This Row],[Branch Name]],'Lookup Values'!G:G,'Lookup Values'!I:I,0)))</f>
        <v/>
      </c>
      <c r="D139" s="2" t="str">
        <f>IF(Table2425[[#This Row],[Journal Description (Service Description)]]="","",VLOOKUP(Table2425[[#This Row],[Journal Description (Service Description)]],'Lookup Values'!$A:$B,2,FALSE))</f>
        <v/>
      </c>
    </row>
    <row r="140" spans="1:7" x14ac:dyDescent="0.35">
      <c r="B140" t="str">
        <f>IF(Table2425[[#This Row],[Branch Name]]="","",(_xlfn.XLOOKUP(Table2425[[#This Row],[Branch Name]],'Lookup Values'!G:G,'Lookup Values'!I:I,0)))</f>
        <v/>
      </c>
      <c r="D140" s="2" t="str">
        <f>IF(Table2425[[#This Row],[Journal Description (Service Description)]]="","",VLOOKUP(Table2425[[#This Row],[Journal Description (Service Description)]],'Lookup Values'!$A:$B,2,FALSE))</f>
        <v/>
      </c>
    </row>
    <row r="141" spans="1:7" x14ac:dyDescent="0.35">
      <c r="B141" t="str">
        <f>IF(Table2425[[#This Row],[Branch Name]]="","",(_xlfn.XLOOKUP(Table2425[[#This Row],[Branch Name]],'Lookup Values'!G:G,'Lookup Values'!I:I,0)))</f>
        <v/>
      </c>
      <c r="D141" s="2" t="str">
        <f>IF(Table2425[[#This Row],[Journal Description (Service Description)]]="","",VLOOKUP(Table2425[[#This Row],[Journal Description (Service Description)]],'Lookup Values'!$A:$B,2,FALSE))</f>
        <v/>
      </c>
    </row>
    <row r="142" spans="1:7" x14ac:dyDescent="0.35">
      <c r="B142" t="str">
        <f>IF(Table2425[[#This Row],[Branch Name]]="","",(_xlfn.XLOOKUP(Table2425[[#This Row],[Branch Name]],'Lookup Values'!G:G,'Lookup Values'!I:I,0)))</f>
        <v/>
      </c>
      <c r="D142" s="2" t="str">
        <f>IF(Table2425[[#This Row],[Journal Description (Service Description)]]="","",VLOOKUP(Table2425[[#This Row],[Journal Description (Service Description)]],'Lookup Values'!$A:$B,2,FALSE))</f>
        <v/>
      </c>
    </row>
    <row r="143" spans="1:7" x14ac:dyDescent="0.35">
      <c r="B143" t="str">
        <f>IF(Table2425[[#This Row],[Branch Name]]="","",(_xlfn.XLOOKUP(Table2425[[#This Row],[Branch Name]],'Lookup Values'!G:G,'Lookup Values'!I:I,0)))</f>
        <v/>
      </c>
      <c r="D143" s="2" t="str">
        <f>IF(Table2425[[#This Row],[Journal Description (Service Description)]]="","",VLOOKUP(Table2425[[#This Row],[Journal Description (Service Description)]],'Lookup Values'!$A:$B,2,FALSE))</f>
        <v/>
      </c>
    </row>
    <row r="144" spans="1:7" x14ac:dyDescent="0.35">
      <c r="B144" t="str">
        <f>IF(Table2425[[#This Row],[Branch Name]]="","",(_xlfn.XLOOKUP(Table2425[[#This Row],[Branch Name]],'Lookup Values'!G:G,'Lookup Values'!I:I,0)))</f>
        <v/>
      </c>
      <c r="D144" s="2" t="str">
        <f>IF(Table2425[[#This Row],[Journal Description (Service Description)]]="","",VLOOKUP(Table2425[[#This Row],[Journal Description (Service Description)]],'Lookup Values'!$A:$B,2,FALSE))</f>
        <v/>
      </c>
    </row>
    <row r="145" spans="2:4" x14ac:dyDescent="0.35">
      <c r="B145" t="str">
        <f>IF(Table2425[[#This Row],[Branch Name]]="","",(_xlfn.XLOOKUP(Table2425[[#This Row],[Branch Name]],'Lookup Values'!G:G,'Lookup Values'!I:I,0)))</f>
        <v/>
      </c>
      <c r="D145" s="2" t="str">
        <f>IF(Table2425[[#This Row],[Journal Description (Service Description)]]="","",VLOOKUP(Table2425[[#This Row],[Journal Description (Service Description)]],'Lookup Values'!$A:$B,2,FALSE))</f>
        <v/>
      </c>
    </row>
    <row r="146" spans="2:4" x14ac:dyDescent="0.35">
      <c r="B146" t="str">
        <f>IF(Table2425[[#This Row],[Branch Name]]="","",(_xlfn.XLOOKUP(Table2425[[#This Row],[Branch Name]],'Lookup Values'!G:G,'Lookup Values'!I:I,0)))</f>
        <v/>
      </c>
      <c r="D146" s="2" t="str">
        <f>IF(Table2425[[#This Row],[Journal Description (Service Description)]]="","",VLOOKUP(Table2425[[#This Row],[Journal Description (Service Description)]],'Lookup Values'!$A:$B,2,FALSE))</f>
        <v/>
      </c>
    </row>
    <row r="147" spans="2:4" x14ac:dyDescent="0.35">
      <c r="B147" t="str">
        <f>IF(Table2425[[#This Row],[Branch Name]]="","",(_xlfn.XLOOKUP(Table2425[[#This Row],[Branch Name]],'Lookup Values'!G:G,'Lookup Values'!I:I,0)))</f>
        <v/>
      </c>
      <c r="D147" s="2" t="str">
        <f>IF(Table2425[[#This Row],[Journal Description (Service Description)]]="","",VLOOKUP(Table2425[[#This Row],[Journal Description (Service Description)]],'Lookup Values'!$A:$B,2,FALSE))</f>
        <v/>
      </c>
    </row>
    <row r="148" spans="2:4" x14ac:dyDescent="0.35">
      <c r="B148" t="str">
        <f>IF(Table2425[[#This Row],[Branch Name]]="","",(_xlfn.XLOOKUP(Table2425[[#This Row],[Branch Name]],'Lookup Values'!G:G,'Lookup Values'!I:I,0)))</f>
        <v/>
      </c>
      <c r="D148" s="2" t="str">
        <f>IF(Table2425[[#This Row],[Journal Description (Service Description)]]="","",VLOOKUP(Table2425[[#This Row],[Journal Description (Service Description)]],'Lookup Values'!$A:$B,2,FALSE))</f>
        <v/>
      </c>
    </row>
    <row r="149" spans="2:4" x14ac:dyDescent="0.35">
      <c r="B149" t="str">
        <f>IF(Table2425[[#This Row],[Branch Name]]="","",(_xlfn.XLOOKUP(Table2425[[#This Row],[Branch Name]],'Lookup Values'!G:G,'Lookup Values'!I:I,0)))</f>
        <v/>
      </c>
      <c r="D149" s="2" t="str">
        <f>IF(Table2425[[#This Row],[Journal Description (Service Description)]]="","",VLOOKUP(Table2425[[#This Row],[Journal Description (Service Description)]],'Lookup Values'!$A:$B,2,FALSE))</f>
        <v/>
      </c>
    </row>
    <row r="150" spans="2:4" x14ac:dyDescent="0.35">
      <c r="B150" t="str">
        <f>IF(Table2425[[#This Row],[Branch Name]]="","",(_xlfn.XLOOKUP(Table2425[[#This Row],[Branch Name]],'Lookup Values'!G:G,'Lookup Values'!I:I,0)))</f>
        <v/>
      </c>
      <c r="D150" s="2" t="str">
        <f>IF(Table2425[[#This Row],[Journal Description (Service Description)]]="","",VLOOKUP(Table2425[[#This Row],[Journal Description (Service Description)]],'Lookup Values'!$A:$B,2,FALSE))</f>
        <v/>
      </c>
    </row>
    <row r="151" spans="2:4" x14ac:dyDescent="0.35">
      <c r="B151" t="str">
        <f>IF(Table2425[[#This Row],[Branch Name]]="","",(_xlfn.XLOOKUP(Table2425[[#This Row],[Branch Name]],'Lookup Values'!G:G,'Lookup Values'!I:I,0)))</f>
        <v/>
      </c>
      <c r="D151" s="2" t="str">
        <f>IF(Table2425[[#This Row],[Journal Description (Service Description)]]="","",VLOOKUP(Table2425[[#This Row],[Journal Description (Service Description)]],'Lookup Values'!$A:$B,2,FALSE))</f>
        <v/>
      </c>
    </row>
    <row r="152" spans="2:4" x14ac:dyDescent="0.35">
      <c r="B152" t="str">
        <f>IF(Table2425[[#This Row],[Branch Name]]="","",(_xlfn.XLOOKUP(Table2425[[#This Row],[Branch Name]],'Lookup Values'!G:G,'Lookup Values'!I:I,0)))</f>
        <v/>
      </c>
      <c r="D152" s="2" t="str">
        <f>IF(Table2425[[#This Row],[Journal Description (Service Description)]]="","",VLOOKUP(Table2425[[#This Row],[Journal Description (Service Description)]],'Lookup Values'!$A:$B,2,FALSE))</f>
        <v/>
      </c>
    </row>
    <row r="153" spans="2:4" x14ac:dyDescent="0.35">
      <c r="B153" t="str">
        <f>IF(Table2425[[#This Row],[Branch Name]]="","",(_xlfn.XLOOKUP(Table2425[[#This Row],[Branch Name]],'Lookup Values'!G:G,'Lookup Values'!I:I,0)))</f>
        <v/>
      </c>
      <c r="D153" s="2" t="str">
        <f>IF(Table2425[[#This Row],[Journal Description (Service Description)]]="","",VLOOKUP(Table2425[[#This Row],[Journal Description (Service Description)]],'Lookup Values'!$A:$B,2,FALSE))</f>
        <v/>
      </c>
    </row>
    <row r="154" spans="2:4" x14ac:dyDescent="0.35">
      <c r="B154" t="str">
        <f>IF(Table2425[[#This Row],[Branch Name]]="","",(_xlfn.XLOOKUP(Table2425[[#This Row],[Branch Name]],'Lookup Values'!G:G,'Lookup Values'!I:I,0)))</f>
        <v/>
      </c>
      <c r="D154" s="2" t="str">
        <f>IF(Table2425[[#This Row],[Journal Description (Service Description)]]="","",VLOOKUP(Table2425[[#This Row],[Journal Description (Service Description)]],'Lookup Values'!$A:$B,2,FALSE))</f>
        <v/>
      </c>
    </row>
    <row r="155" spans="2:4" x14ac:dyDescent="0.35">
      <c r="B155" t="str">
        <f>IF(Table2425[[#This Row],[Branch Name]]="","",(_xlfn.XLOOKUP(Table2425[[#This Row],[Branch Name]],'Lookup Values'!G:G,'Lookup Values'!I:I,0)))</f>
        <v/>
      </c>
      <c r="D155" s="2" t="str">
        <f>IF(Table2425[[#This Row],[Journal Description (Service Description)]]="","",VLOOKUP(Table2425[[#This Row],[Journal Description (Service Description)]],'Lookup Values'!$A:$B,2,FALSE))</f>
        <v/>
      </c>
    </row>
    <row r="156" spans="2:4" x14ac:dyDescent="0.35">
      <c r="B156" t="str">
        <f>IF(Table2425[[#This Row],[Branch Name]]="","",(_xlfn.XLOOKUP(Table2425[[#This Row],[Branch Name]],'Lookup Values'!G:G,'Lookup Values'!I:I,0)))</f>
        <v/>
      </c>
      <c r="D156" s="2" t="str">
        <f>IF(Table2425[[#This Row],[Journal Description (Service Description)]]="","",VLOOKUP(Table2425[[#This Row],[Journal Description (Service Description)]],'Lookup Values'!$A:$B,2,FALSE))</f>
        <v/>
      </c>
    </row>
    <row r="157" spans="2:4" x14ac:dyDescent="0.35">
      <c r="B157" t="str">
        <f>IF(Table2425[[#This Row],[Branch Name]]="","",(_xlfn.XLOOKUP(Table2425[[#This Row],[Branch Name]],'Lookup Values'!G:G,'Lookup Values'!I:I,0)))</f>
        <v/>
      </c>
      <c r="D157" s="2" t="str">
        <f>IF(Table2425[[#This Row],[Journal Description (Service Description)]]="","",VLOOKUP(Table2425[[#This Row],[Journal Description (Service Description)]],'Lookup Values'!$A:$B,2,FALSE))</f>
        <v/>
      </c>
    </row>
    <row r="158" spans="2:4" x14ac:dyDescent="0.35">
      <c r="B158" t="str">
        <f>IF(Table2425[[#This Row],[Branch Name]]="","",(_xlfn.XLOOKUP(Table2425[[#This Row],[Branch Name]],'Lookup Values'!G:G,'Lookup Values'!I:I,0)))</f>
        <v/>
      </c>
      <c r="D158" s="2" t="str">
        <f>IF(Table2425[[#This Row],[Journal Description (Service Description)]]="","",VLOOKUP(Table2425[[#This Row],[Journal Description (Service Description)]],'Lookup Values'!$A:$B,2,FALSE))</f>
        <v/>
      </c>
    </row>
    <row r="159" spans="2:4" x14ac:dyDescent="0.35">
      <c r="B159" t="str">
        <f>IF(Table2425[[#This Row],[Branch Name]]="","",(_xlfn.XLOOKUP(Table2425[[#This Row],[Branch Name]],'Lookup Values'!G:G,'Lookup Values'!I:I,0)))</f>
        <v/>
      </c>
      <c r="D159" s="2" t="str">
        <f>IF(Table2425[[#This Row],[Journal Description (Service Description)]]="","",VLOOKUP(Table2425[[#This Row],[Journal Description (Service Description)]],'Lookup Values'!$A:$B,2,FALSE))</f>
        <v/>
      </c>
    </row>
    <row r="160" spans="2:4" x14ac:dyDescent="0.35">
      <c r="B160" t="str">
        <f>IF(Table2425[[#This Row],[Branch Name]]="","",(_xlfn.XLOOKUP(Table2425[[#This Row],[Branch Name]],'Lookup Values'!G:G,'Lookup Values'!I:I,0)))</f>
        <v/>
      </c>
      <c r="D160" s="2" t="str">
        <f>IF(Table2425[[#This Row],[Journal Description (Service Description)]]="","",VLOOKUP(Table2425[[#This Row],[Journal Description (Service Description)]],'Lookup Values'!$A:$B,2,FALSE))</f>
        <v/>
      </c>
    </row>
    <row r="161" spans="2:4" x14ac:dyDescent="0.35">
      <c r="B161" t="str">
        <f>IF(Table2425[[#This Row],[Branch Name]]="","",(_xlfn.XLOOKUP(Table2425[[#This Row],[Branch Name]],'Lookup Values'!G:G,'Lookup Values'!I:I,0)))</f>
        <v/>
      </c>
      <c r="D161" s="2" t="str">
        <f>IF(Table2425[[#This Row],[Journal Description (Service Description)]]="","",VLOOKUP(Table2425[[#This Row],[Journal Description (Service Description)]],'Lookup Values'!$A:$B,2,FALSE))</f>
        <v/>
      </c>
    </row>
    <row r="162" spans="2:4" x14ac:dyDescent="0.35">
      <c r="B162" t="str">
        <f>IF(Table2425[[#This Row],[Branch Name]]="","",(_xlfn.XLOOKUP(Table2425[[#This Row],[Branch Name]],'Lookup Values'!G:G,'Lookup Values'!I:I,0)))</f>
        <v/>
      </c>
      <c r="D162" s="2" t="str">
        <f>IF(Table2425[[#This Row],[Journal Description (Service Description)]]="","",VLOOKUP(Table2425[[#This Row],[Journal Description (Service Description)]],'Lookup Values'!$A:$B,2,FALSE))</f>
        <v/>
      </c>
    </row>
    <row r="163" spans="2:4" x14ac:dyDescent="0.35">
      <c r="B163" t="str">
        <f>IF(Table2425[[#This Row],[Branch Name]]="","",(_xlfn.XLOOKUP(Table2425[[#This Row],[Branch Name]],'Lookup Values'!G:G,'Lookup Values'!I:I,0)))</f>
        <v/>
      </c>
      <c r="D163" s="2" t="str">
        <f>IF(Table2425[[#This Row],[Journal Description (Service Description)]]="","",VLOOKUP(Table2425[[#This Row],[Journal Description (Service Description)]],'Lookup Values'!$A:$B,2,FALSE))</f>
        <v/>
      </c>
    </row>
    <row r="164" spans="2:4" x14ac:dyDescent="0.35">
      <c r="B164" t="str">
        <f>IF(Table2425[[#This Row],[Branch Name]]="","",(_xlfn.XLOOKUP(Table2425[[#This Row],[Branch Name]],'Lookup Values'!G:G,'Lookup Values'!I:I,0)))</f>
        <v/>
      </c>
      <c r="D164" s="2" t="str">
        <f>IF(Table2425[[#This Row],[Journal Description (Service Description)]]="","",VLOOKUP(Table2425[[#This Row],[Journal Description (Service Description)]],'Lookup Values'!$A:$B,2,FALSE))</f>
        <v/>
      </c>
    </row>
    <row r="165" spans="2:4" x14ac:dyDescent="0.35">
      <c r="B165" t="str">
        <f>IF(Table2425[[#This Row],[Branch Name]]="","",(_xlfn.XLOOKUP(Table2425[[#This Row],[Branch Name]],'Lookup Values'!G:G,'Lookup Values'!I:I,0)))</f>
        <v/>
      </c>
      <c r="D165" s="2" t="str">
        <f>IF(Table2425[[#This Row],[Journal Description (Service Description)]]="","",VLOOKUP(Table2425[[#This Row],[Journal Description (Service Description)]],'Lookup Values'!$A:$B,2,FALSE))</f>
        <v/>
      </c>
    </row>
    <row r="166" spans="2:4" x14ac:dyDescent="0.35">
      <c r="B166" t="str">
        <f>IF(Table2425[[#This Row],[Branch Name]]="","",(_xlfn.XLOOKUP(Table2425[[#This Row],[Branch Name]],'Lookup Values'!G:G,'Lookup Values'!I:I,0)))</f>
        <v/>
      </c>
      <c r="D166" s="2" t="str">
        <f>IF(Table2425[[#This Row],[Journal Description (Service Description)]]="","",VLOOKUP(Table2425[[#This Row],[Journal Description (Service Description)]],'Lookup Values'!$A:$B,2,FALSE))</f>
        <v/>
      </c>
    </row>
    <row r="167" spans="2:4" x14ac:dyDescent="0.35">
      <c r="B167" t="str">
        <f>IF(Table2425[[#This Row],[Branch Name]]="","",(_xlfn.XLOOKUP(Table2425[[#This Row],[Branch Name]],'Lookup Values'!G:G,'Lookup Values'!I:I,0)))</f>
        <v/>
      </c>
      <c r="D167" s="2" t="str">
        <f>IF(Table2425[[#This Row],[Journal Description (Service Description)]]="","",VLOOKUP(Table2425[[#This Row],[Journal Description (Service Description)]],'Lookup Values'!$A:$B,2,FALSE))</f>
        <v/>
      </c>
    </row>
    <row r="168" spans="2:4" x14ac:dyDescent="0.35">
      <c r="B168" t="str">
        <f>IF(Table2425[[#This Row],[Branch Name]]="","",(_xlfn.XLOOKUP(Table2425[[#This Row],[Branch Name]],'Lookup Values'!G:G,'Lookup Values'!I:I,0)))</f>
        <v/>
      </c>
      <c r="D168" s="2" t="str">
        <f>IF(Table2425[[#This Row],[Journal Description (Service Description)]]="","",VLOOKUP(Table2425[[#This Row],[Journal Description (Service Description)]],'Lookup Values'!$A:$B,2,FALSE))</f>
        <v/>
      </c>
    </row>
    <row r="169" spans="2:4" x14ac:dyDescent="0.35">
      <c r="B169" t="str">
        <f>IF(Table2425[[#This Row],[Branch Name]]="","",(_xlfn.XLOOKUP(Table2425[[#This Row],[Branch Name]],'Lookup Values'!G:G,'Lookup Values'!I:I,0)))</f>
        <v/>
      </c>
      <c r="D169" s="2" t="str">
        <f>IF(Table2425[[#This Row],[Journal Description (Service Description)]]="","",VLOOKUP(Table2425[[#This Row],[Journal Description (Service Description)]],'Lookup Values'!$A:$B,2,FALSE))</f>
        <v/>
      </c>
    </row>
    <row r="170" spans="2:4" x14ac:dyDescent="0.35">
      <c r="B170" t="str">
        <f>IF(Table2425[[#This Row],[Branch Name]]="","",(_xlfn.XLOOKUP(Table2425[[#This Row],[Branch Name]],'Lookup Values'!G:G,'Lookup Values'!I:I,0)))</f>
        <v/>
      </c>
      <c r="D170" s="2" t="str">
        <f>IF(Table2425[[#This Row],[Journal Description (Service Description)]]="","",VLOOKUP(Table2425[[#This Row],[Journal Description (Service Description)]],'Lookup Values'!$A:$B,2,FALSE))</f>
        <v/>
      </c>
    </row>
    <row r="171" spans="2:4" x14ac:dyDescent="0.35">
      <c r="B171" t="str">
        <f>IF(Table2425[[#This Row],[Branch Name]]="","",(_xlfn.XLOOKUP(Table2425[[#This Row],[Branch Name]],'Lookup Values'!G:G,'Lookup Values'!I:I,0)))</f>
        <v/>
      </c>
      <c r="D171" s="2" t="str">
        <f>IF(Table2425[[#This Row],[Journal Description (Service Description)]]="","",VLOOKUP(Table2425[[#This Row],[Journal Description (Service Description)]],'Lookup Values'!$A:$B,2,FALSE))</f>
        <v/>
      </c>
    </row>
    <row r="172" spans="2:4" x14ac:dyDescent="0.35">
      <c r="B172" t="str">
        <f>IF(Table2425[[#This Row],[Branch Name]]="","",(_xlfn.XLOOKUP(Table2425[[#This Row],[Branch Name]],'Lookup Values'!G:G,'Lookup Values'!I:I,0)))</f>
        <v/>
      </c>
      <c r="D172" s="2" t="str">
        <f>IF(Table2425[[#This Row],[Journal Description (Service Description)]]="","",VLOOKUP(Table2425[[#This Row],[Journal Description (Service Description)]],'Lookup Values'!$A:$B,2,FALSE))</f>
        <v/>
      </c>
    </row>
    <row r="173" spans="2:4" x14ac:dyDescent="0.35">
      <c r="B173" t="str">
        <f>IF(Table2425[[#This Row],[Branch Name]]="","",(_xlfn.XLOOKUP(Table2425[[#This Row],[Branch Name]],'Lookup Values'!G:G,'Lookup Values'!I:I,0)))</f>
        <v/>
      </c>
      <c r="D173" s="2" t="str">
        <f>IF(Table2425[[#This Row],[Journal Description (Service Description)]]="","",VLOOKUP(Table2425[[#This Row],[Journal Description (Service Description)]],'Lookup Values'!$A:$B,2,FALSE))</f>
        <v/>
      </c>
    </row>
    <row r="174" spans="2:4" x14ac:dyDescent="0.35">
      <c r="B174" t="str">
        <f>IF(Table2425[[#This Row],[Branch Name]]="","",(_xlfn.XLOOKUP(Table2425[[#This Row],[Branch Name]],'Lookup Values'!G:G,'Lookup Values'!I:I,0)))</f>
        <v/>
      </c>
      <c r="D174" s="2" t="str">
        <f>IF(Table2425[[#This Row],[Journal Description (Service Description)]]="","",VLOOKUP(Table2425[[#This Row],[Journal Description (Service Description)]],'Lookup Values'!$A:$B,2,FALSE))</f>
        <v/>
      </c>
    </row>
    <row r="175" spans="2:4" x14ac:dyDescent="0.35">
      <c r="B175" t="str">
        <f>IF(Table2425[[#This Row],[Branch Name]]="","",(_xlfn.XLOOKUP(Table2425[[#This Row],[Branch Name]],'Lookup Values'!G:G,'Lookup Values'!I:I,0)))</f>
        <v/>
      </c>
      <c r="D175" s="2" t="str">
        <f>IF(Table2425[[#This Row],[Journal Description (Service Description)]]="","",VLOOKUP(Table2425[[#This Row],[Journal Description (Service Description)]],'Lookup Values'!$A:$B,2,FALSE))</f>
        <v/>
      </c>
    </row>
    <row r="176" spans="2:4" x14ac:dyDescent="0.35">
      <c r="B176" t="str">
        <f>IF(Table2425[[#This Row],[Branch Name]]="","",(_xlfn.XLOOKUP(Table2425[[#This Row],[Branch Name]],'Lookup Values'!G:G,'Lookup Values'!I:I,0)))</f>
        <v/>
      </c>
      <c r="D176" s="2" t="str">
        <f>IF(Table2425[[#This Row],[Journal Description (Service Description)]]="","",VLOOKUP(Table2425[[#This Row],[Journal Description (Service Description)]],'Lookup Values'!$A:$B,2,FALSE))</f>
        <v/>
      </c>
    </row>
    <row r="177" spans="2:4" x14ac:dyDescent="0.35">
      <c r="B177" t="str">
        <f>IF(Table2425[[#This Row],[Branch Name]]="","",(_xlfn.XLOOKUP(Table2425[[#This Row],[Branch Name]],'Lookup Values'!G:G,'Lookup Values'!I:I,0)))</f>
        <v/>
      </c>
      <c r="D177" s="2" t="str">
        <f>IF(Table2425[[#This Row],[Journal Description (Service Description)]]="","",VLOOKUP(Table2425[[#This Row],[Journal Description (Service Description)]],'Lookup Values'!$A:$B,2,FALSE))</f>
        <v/>
      </c>
    </row>
    <row r="178" spans="2:4" x14ac:dyDescent="0.35">
      <c r="B178" t="str">
        <f>IF(Table2425[[#This Row],[Branch Name]]="","",(_xlfn.XLOOKUP(Table2425[[#This Row],[Branch Name]],'Lookup Values'!G:G,'Lookup Values'!I:I,0)))</f>
        <v/>
      </c>
      <c r="D178" s="2" t="str">
        <f>IF(Table2425[[#This Row],[Journal Description (Service Description)]]="","",VLOOKUP(Table2425[[#This Row],[Journal Description (Service Description)]],'Lookup Values'!$A:$B,2,FALSE))</f>
        <v/>
      </c>
    </row>
    <row r="179" spans="2:4" x14ac:dyDescent="0.35">
      <c r="B179" t="str">
        <f>IF(Table2425[[#This Row],[Branch Name]]="","",(_xlfn.XLOOKUP(Table2425[[#This Row],[Branch Name]],'Lookup Values'!G:G,'Lookup Values'!I:I,0)))</f>
        <v/>
      </c>
      <c r="D179" s="2" t="str">
        <f>IF(Table2425[[#This Row],[Journal Description (Service Description)]]="","",VLOOKUP(Table2425[[#This Row],[Journal Description (Service Description)]],'Lookup Values'!$A:$B,2,FALSE))</f>
        <v/>
      </c>
    </row>
    <row r="180" spans="2:4" x14ac:dyDescent="0.35">
      <c r="B180" t="str">
        <f>IF(Table2425[[#This Row],[Branch Name]]="","",(_xlfn.XLOOKUP(Table2425[[#This Row],[Branch Name]],'Lookup Values'!G:G,'Lookup Values'!I:I,0)))</f>
        <v/>
      </c>
      <c r="D180" s="2" t="str">
        <f>IF(Table2425[[#This Row],[Journal Description (Service Description)]]="","",VLOOKUP(Table2425[[#This Row],[Journal Description (Service Description)]],'Lookup Values'!$A:$B,2,FALSE))</f>
        <v/>
      </c>
    </row>
    <row r="181" spans="2:4" x14ac:dyDescent="0.35">
      <c r="B181" t="str">
        <f>IF(Table2425[[#This Row],[Branch Name]]="","",(_xlfn.XLOOKUP(Table2425[[#This Row],[Branch Name]],'Lookup Values'!G:G,'Lookup Values'!I:I,0)))</f>
        <v/>
      </c>
      <c r="D181" s="2" t="str">
        <f>IF(Table2425[[#This Row],[Journal Description (Service Description)]]="","",VLOOKUP(Table2425[[#This Row],[Journal Description (Service Description)]],'Lookup Values'!$A:$B,2,FALSE))</f>
        <v/>
      </c>
    </row>
    <row r="182" spans="2:4" x14ac:dyDescent="0.35">
      <c r="B182" t="str">
        <f>IF(Table2425[[#This Row],[Branch Name]]="","",(_xlfn.XLOOKUP(Table2425[[#This Row],[Branch Name]],'Lookup Values'!G:G,'Lookup Values'!I:I,0)))</f>
        <v/>
      </c>
      <c r="D182" s="2" t="str">
        <f>IF(Table2425[[#This Row],[Journal Description (Service Description)]]="","",VLOOKUP(Table2425[[#This Row],[Journal Description (Service Description)]],'Lookup Values'!$A:$B,2,FALSE))</f>
        <v/>
      </c>
    </row>
    <row r="183" spans="2:4" x14ac:dyDescent="0.35">
      <c r="B183" t="str">
        <f>IF(Table2425[[#This Row],[Branch Name]]="","",(_xlfn.XLOOKUP(Table2425[[#This Row],[Branch Name]],'Lookup Values'!G:G,'Lookup Values'!I:I,0)))</f>
        <v/>
      </c>
      <c r="D183" s="2" t="str">
        <f>IF(Table2425[[#This Row],[Journal Description (Service Description)]]="","",VLOOKUP(Table2425[[#This Row],[Journal Description (Service Description)]],'Lookup Values'!$A:$B,2,FALSE))</f>
        <v/>
      </c>
    </row>
    <row r="184" spans="2:4" x14ac:dyDescent="0.35">
      <c r="B184" t="str">
        <f>IF(Table2425[[#This Row],[Branch Name]]="","",(_xlfn.XLOOKUP(Table2425[[#This Row],[Branch Name]],'Lookup Values'!G:G,'Lookup Values'!I:I,0)))</f>
        <v/>
      </c>
      <c r="D184" s="2" t="str">
        <f>IF(Table2425[[#This Row],[Journal Description (Service Description)]]="","",VLOOKUP(Table2425[[#This Row],[Journal Description (Service Description)]],'Lookup Values'!$A:$B,2,FALSE))</f>
        <v/>
      </c>
    </row>
    <row r="185" spans="2:4" x14ac:dyDescent="0.35">
      <c r="B185" t="str">
        <f>IF(Table2425[[#This Row],[Branch Name]]="","",(_xlfn.XLOOKUP(Table2425[[#This Row],[Branch Name]],'Lookup Values'!G:G,'Lookup Values'!I:I,0)))</f>
        <v/>
      </c>
      <c r="D185" s="2" t="str">
        <f>IF(Table2425[[#This Row],[Journal Description (Service Description)]]="","",VLOOKUP(Table2425[[#This Row],[Journal Description (Service Description)]],'Lookup Values'!$A:$B,2,FALSE))</f>
        <v/>
      </c>
    </row>
    <row r="186" spans="2:4" x14ac:dyDescent="0.35">
      <c r="B186" t="str">
        <f>IF(Table2425[[#This Row],[Branch Name]]="","",(_xlfn.XLOOKUP(Table2425[[#This Row],[Branch Name]],'Lookup Values'!G:G,'Lookup Values'!I:I,0)))</f>
        <v/>
      </c>
      <c r="D186" s="2" t="str">
        <f>IF(Table2425[[#This Row],[Journal Description (Service Description)]]="","",VLOOKUP(Table2425[[#This Row],[Journal Description (Service Description)]],'Lookup Values'!$A:$B,2,FALSE))</f>
        <v/>
      </c>
    </row>
    <row r="187" spans="2:4" x14ac:dyDescent="0.35">
      <c r="B187" t="str">
        <f>IF(Table2425[[#This Row],[Branch Name]]="","",(_xlfn.XLOOKUP(Table2425[[#This Row],[Branch Name]],'Lookup Values'!G:G,'Lookup Values'!I:I,0)))</f>
        <v/>
      </c>
      <c r="D187" s="2" t="str">
        <f>IF(Table2425[[#This Row],[Journal Description (Service Description)]]="","",VLOOKUP(Table2425[[#This Row],[Journal Description (Service Description)]],'Lookup Values'!$A:$B,2,FALSE))</f>
        <v/>
      </c>
    </row>
    <row r="188" spans="2:4" x14ac:dyDescent="0.35">
      <c r="B188" t="str">
        <f>IF(Table2425[[#This Row],[Branch Name]]="","",(_xlfn.XLOOKUP(Table2425[[#This Row],[Branch Name]],'Lookup Values'!G:G,'Lookup Values'!I:I,0)))</f>
        <v/>
      </c>
      <c r="D188" s="2" t="str">
        <f>IF(Table2425[[#This Row],[Journal Description (Service Description)]]="","",VLOOKUP(Table2425[[#This Row],[Journal Description (Service Description)]],'Lookup Values'!$A:$B,2,FALSE))</f>
        <v/>
      </c>
    </row>
    <row r="189" spans="2:4" x14ac:dyDescent="0.35">
      <c r="B189" t="str">
        <f>IF(Table2425[[#This Row],[Branch Name]]="","",(_xlfn.XLOOKUP(Table2425[[#This Row],[Branch Name]],'Lookup Values'!G:G,'Lookup Values'!I:I,0)))</f>
        <v/>
      </c>
      <c r="D189" s="2" t="str">
        <f>IF(Table2425[[#This Row],[Journal Description (Service Description)]]="","",VLOOKUP(Table2425[[#This Row],[Journal Description (Service Description)]],'Lookup Values'!$A:$B,2,FALSE))</f>
        <v/>
      </c>
    </row>
    <row r="190" spans="2:4" x14ac:dyDescent="0.35">
      <c r="B190" t="str">
        <f>IF(Table2425[[#This Row],[Branch Name]]="","",(_xlfn.XLOOKUP(Table2425[[#This Row],[Branch Name]],'Lookup Values'!G:G,'Lookup Values'!I:I,0)))</f>
        <v/>
      </c>
      <c r="D190" s="2" t="str">
        <f>IF(Table2425[[#This Row],[Journal Description (Service Description)]]="","",VLOOKUP(Table2425[[#This Row],[Journal Description (Service Description)]],'Lookup Values'!$A:$B,2,FALSE))</f>
        <v/>
      </c>
    </row>
    <row r="191" spans="2:4" x14ac:dyDescent="0.35">
      <c r="B191" t="str">
        <f>IF(Table2425[[#This Row],[Branch Name]]="","",(_xlfn.XLOOKUP(Table2425[[#This Row],[Branch Name]],'Lookup Values'!G:G,'Lookup Values'!I:I,0)))</f>
        <v/>
      </c>
      <c r="D191" s="2" t="str">
        <f>IF(Table2425[[#This Row],[Journal Description (Service Description)]]="","",VLOOKUP(Table2425[[#This Row],[Journal Description (Service Description)]],'Lookup Values'!$A:$B,2,FALSE))</f>
        <v/>
      </c>
    </row>
    <row r="192" spans="2:4" x14ac:dyDescent="0.35">
      <c r="B192" t="str">
        <f>IF(Table2425[[#This Row],[Branch Name]]="","",(_xlfn.XLOOKUP(Table2425[[#This Row],[Branch Name]],'Lookup Values'!G:G,'Lookup Values'!I:I,0)))</f>
        <v/>
      </c>
      <c r="D192" s="2" t="str">
        <f>IF(Table2425[[#This Row],[Journal Description (Service Description)]]="","",VLOOKUP(Table2425[[#This Row],[Journal Description (Service Description)]],'Lookup Values'!$A:$B,2,FALSE))</f>
        <v/>
      </c>
    </row>
    <row r="193" spans="2:4" x14ac:dyDescent="0.35">
      <c r="B193" t="str">
        <f>IF(Table2425[[#This Row],[Branch Name]]="","",(_xlfn.XLOOKUP(Table2425[[#This Row],[Branch Name]],'Lookup Values'!G:G,'Lookup Values'!I:I,0)))</f>
        <v/>
      </c>
      <c r="D193" s="2" t="str">
        <f>IF(Table2425[[#This Row],[Journal Description (Service Description)]]="","",VLOOKUP(Table2425[[#This Row],[Journal Description (Service Description)]],'Lookup Values'!$A:$B,2,FALSE))</f>
        <v/>
      </c>
    </row>
    <row r="194" spans="2:4" x14ac:dyDescent="0.35">
      <c r="B194" t="str">
        <f>IF(Table2425[[#This Row],[Branch Name]]="","",(_xlfn.XLOOKUP(Table2425[[#This Row],[Branch Name]],'Lookup Values'!G:G,'Lookup Values'!I:I,0)))</f>
        <v/>
      </c>
      <c r="D194" s="2" t="str">
        <f>IF(Table2425[[#This Row],[Journal Description (Service Description)]]="","",VLOOKUP(Table2425[[#This Row],[Journal Description (Service Description)]],'Lookup Values'!$A:$B,2,FALSE))</f>
        <v/>
      </c>
    </row>
    <row r="195" spans="2:4" x14ac:dyDescent="0.35">
      <c r="B195" t="str">
        <f>IF(Table2425[[#This Row],[Branch Name]]="","",(_xlfn.XLOOKUP(Table2425[[#This Row],[Branch Name]],'Lookup Values'!G:G,'Lookup Values'!I:I,0)))</f>
        <v/>
      </c>
      <c r="D195" s="2" t="str">
        <f>IF(Table2425[[#This Row],[Journal Description (Service Description)]]="","",VLOOKUP(Table2425[[#This Row],[Journal Description (Service Description)]],'Lookup Values'!$A:$B,2,FALSE))</f>
        <v/>
      </c>
    </row>
    <row r="196" spans="2:4" x14ac:dyDescent="0.35">
      <c r="B196" t="str">
        <f>IF(Table2425[[#This Row],[Branch Name]]="","",(_xlfn.XLOOKUP(Table2425[[#This Row],[Branch Name]],'Lookup Values'!G:G,'Lookup Values'!I:I,0)))</f>
        <v/>
      </c>
      <c r="D196" s="2" t="str">
        <f>IF(Table2425[[#This Row],[Journal Description (Service Description)]]="","",VLOOKUP(Table2425[[#This Row],[Journal Description (Service Description)]],'Lookup Values'!$A:$B,2,FALSE))</f>
        <v/>
      </c>
    </row>
    <row r="197" spans="2:4" x14ac:dyDescent="0.35">
      <c r="B197" t="str">
        <f>IF(Table2425[[#This Row],[Branch Name]]="","",(_xlfn.XLOOKUP(Table2425[[#This Row],[Branch Name]],'Lookup Values'!G:G,'Lookup Values'!I:I,0)))</f>
        <v/>
      </c>
      <c r="D197" s="2" t="str">
        <f>IF(Table2425[[#This Row],[Journal Description (Service Description)]]="","",VLOOKUP(Table2425[[#This Row],[Journal Description (Service Description)]],'Lookup Values'!$A:$B,2,FALSE))</f>
        <v/>
      </c>
    </row>
    <row r="198" spans="2:4" x14ac:dyDescent="0.35">
      <c r="B198" t="str">
        <f>IF(Table2425[[#This Row],[Branch Name]]="","",(_xlfn.XLOOKUP(Table2425[[#This Row],[Branch Name]],'Lookup Values'!G:G,'Lookup Values'!I:I,0)))</f>
        <v/>
      </c>
      <c r="D198" s="2" t="str">
        <f>IF(Table2425[[#This Row],[Journal Description (Service Description)]]="","",VLOOKUP(Table2425[[#This Row],[Journal Description (Service Description)]],'Lookup Values'!$A:$B,2,FALSE))</f>
        <v/>
      </c>
    </row>
    <row r="199" spans="2:4" x14ac:dyDescent="0.35">
      <c r="B199" t="str">
        <f>IF(Table2425[[#This Row],[Branch Name]]="","",(_xlfn.XLOOKUP(Table2425[[#This Row],[Branch Name]],'Lookup Values'!G:G,'Lookup Values'!I:I,0)))</f>
        <v/>
      </c>
      <c r="D199" s="2" t="str">
        <f>IF(Table2425[[#This Row],[Journal Description (Service Description)]]="","",VLOOKUP(Table2425[[#This Row],[Journal Description (Service Description)]],'Lookup Values'!$A:$B,2,FALSE))</f>
        <v/>
      </c>
    </row>
    <row r="200" spans="2:4" x14ac:dyDescent="0.35">
      <c r="B200" t="str">
        <f>IF(Table2425[[#This Row],[Branch Name]]="","",(_xlfn.XLOOKUP(Table2425[[#This Row],[Branch Name]],'Lookup Values'!G:G,'Lookup Values'!I:I,0)))</f>
        <v/>
      </c>
      <c r="D200" s="2" t="str">
        <f>IF(Table2425[[#This Row],[Journal Description (Service Description)]]="","",VLOOKUP(Table2425[[#This Row],[Journal Description (Service Description)]],'Lookup Values'!$A:$B,2,FALSE))</f>
        <v/>
      </c>
    </row>
    <row r="201" spans="2:4" x14ac:dyDescent="0.35">
      <c r="B201" t="str">
        <f>IF(Table2425[[#This Row],[Branch Name]]="","",(_xlfn.XLOOKUP(Table2425[[#This Row],[Branch Name]],'Lookup Values'!G:G,'Lookup Values'!I:I,0)))</f>
        <v/>
      </c>
      <c r="D201" s="2" t="str">
        <f>IF(Table2425[[#This Row],[Journal Description (Service Description)]]="","",VLOOKUP(Table2425[[#This Row],[Journal Description (Service Description)]],'Lookup Values'!$A:$B,2,FALSE))</f>
        <v/>
      </c>
    </row>
    <row r="202" spans="2:4" x14ac:dyDescent="0.35">
      <c r="B202" t="str">
        <f>IF(Table2425[[#This Row],[Branch Name]]="","",(_xlfn.XLOOKUP(Table2425[[#This Row],[Branch Name]],'Lookup Values'!G:G,'Lookup Values'!I:I,0)))</f>
        <v/>
      </c>
      <c r="D202" s="2" t="str">
        <f>IF(Table2425[[#This Row],[Journal Description (Service Description)]]="","",VLOOKUP(Table2425[[#This Row],[Journal Description (Service Description)]],'Lookup Values'!$A:$B,2,FALSE))</f>
        <v/>
      </c>
    </row>
    <row r="203" spans="2:4" x14ac:dyDescent="0.35">
      <c r="B203" t="str">
        <f>IF(Table2425[[#This Row],[Branch Name]]="","",(_xlfn.XLOOKUP(Table2425[[#This Row],[Branch Name]],'Lookup Values'!G:G,'Lookup Values'!I:I,0)))</f>
        <v/>
      </c>
      <c r="D203" s="2" t="str">
        <f>IF(Table2425[[#This Row],[Journal Description (Service Description)]]="","",VLOOKUP(Table2425[[#This Row],[Journal Description (Service Description)]],'Lookup Values'!$A:$B,2,FALSE))</f>
        <v/>
      </c>
    </row>
    <row r="204" spans="2:4" x14ac:dyDescent="0.35">
      <c r="B204" t="str">
        <f>IF(Table2425[[#This Row],[Branch Name]]="","",(_xlfn.XLOOKUP(Table2425[[#This Row],[Branch Name]],'Lookup Values'!G:G,'Lookup Values'!I:I,0)))</f>
        <v/>
      </c>
      <c r="D204" s="2" t="str">
        <f>IF(Table2425[[#This Row],[Journal Description (Service Description)]]="","",VLOOKUP(Table2425[[#This Row],[Journal Description (Service Description)]],'Lookup Values'!$A:$B,2,FALSE))</f>
        <v/>
      </c>
    </row>
    <row r="205" spans="2:4" x14ac:dyDescent="0.35">
      <c r="B205" t="str">
        <f>IF(Table2425[[#This Row],[Branch Name]]="","",(_xlfn.XLOOKUP(Table2425[[#This Row],[Branch Name]],'Lookup Values'!G:G,'Lookup Values'!I:I,0)))</f>
        <v/>
      </c>
      <c r="D205" s="2" t="str">
        <f>IF(Table2425[[#This Row],[Journal Description (Service Description)]]="","",VLOOKUP(Table2425[[#This Row],[Journal Description (Service Description)]],'Lookup Values'!$A:$B,2,FALSE))</f>
        <v/>
      </c>
    </row>
    <row r="206" spans="2:4" x14ac:dyDescent="0.35">
      <c r="B206" t="str">
        <f>IF(Table2425[[#This Row],[Branch Name]]="","",(_xlfn.XLOOKUP(Table2425[[#This Row],[Branch Name]],'Lookup Values'!G:G,'Lookup Values'!I:I,0)))</f>
        <v/>
      </c>
      <c r="D206" s="2" t="str">
        <f>IF(Table2425[[#This Row],[Journal Description (Service Description)]]="","",VLOOKUP(Table2425[[#This Row],[Journal Description (Service Description)]],'Lookup Values'!$A:$B,2,FALSE))</f>
        <v/>
      </c>
    </row>
    <row r="207" spans="2:4" x14ac:dyDescent="0.35">
      <c r="B207" t="str">
        <f>IF(Table2425[[#This Row],[Branch Name]]="","",(_xlfn.XLOOKUP(Table2425[[#This Row],[Branch Name]],'Lookup Values'!G:G,'Lookup Values'!I:I,0)))</f>
        <v/>
      </c>
      <c r="D207" s="2" t="str">
        <f>IF(Table2425[[#This Row],[Journal Description (Service Description)]]="","",VLOOKUP(Table2425[[#This Row],[Journal Description (Service Description)]],'Lookup Values'!$A:$B,2,FALSE))</f>
        <v/>
      </c>
    </row>
    <row r="208" spans="2:4" x14ac:dyDescent="0.35">
      <c r="B208" t="str">
        <f>IF(Table2425[[#This Row],[Branch Name]]="","",(_xlfn.XLOOKUP(Table2425[[#This Row],[Branch Name]],'Lookup Values'!G:G,'Lookup Values'!I:I,0)))</f>
        <v/>
      </c>
      <c r="D208" s="2" t="str">
        <f>IF(Table2425[[#This Row],[Journal Description (Service Description)]]="","",VLOOKUP(Table2425[[#This Row],[Journal Description (Service Description)]],'Lookup Values'!$A:$B,2,FALSE))</f>
        <v/>
      </c>
    </row>
    <row r="209" spans="2:4" x14ac:dyDescent="0.35">
      <c r="B209" t="str">
        <f>IF(Table2425[[#This Row],[Branch Name]]="","",(_xlfn.XLOOKUP(Table2425[[#This Row],[Branch Name]],'Lookup Values'!G:G,'Lookup Values'!I:I,0)))</f>
        <v/>
      </c>
      <c r="D209" s="2" t="str">
        <f>IF(Table2425[[#This Row],[Journal Description (Service Description)]]="","",VLOOKUP(Table2425[[#This Row],[Journal Description (Service Description)]],'Lookup Values'!$A:$B,2,FALSE))</f>
        <v/>
      </c>
    </row>
    <row r="210" spans="2:4" x14ac:dyDescent="0.35">
      <c r="B210" t="str">
        <f>IF(Table2425[[#This Row],[Branch Name]]="","",(_xlfn.XLOOKUP(Table2425[[#This Row],[Branch Name]],'Lookup Values'!G:G,'Lookup Values'!I:I,0)))</f>
        <v/>
      </c>
      <c r="D210" s="2" t="str">
        <f>IF(Table2425[[#This Row],[Journal Description (Service Description)]]="","",VLOOKUP(Table2425[[#This Row],[Journal Description (Service Description)]],'Lookup Values'!$A:$B,2,FALSE))</f>
        <v/>
      </c>
    </row>
    <row r="211" spans="2:4" x14ac:dyDescent="0.35">
      <c r="B211" t="str">
        <f>IF(Table2425[[#This Row],[Branch Name]]="","",(_xlfn.XLOOKUP(Table2425[[#This Row],[Branch Name]],'Lookup Values'!G:G,'Lookup Values'!I:I,0)))</f>
        <v/>
      </c>
      <c r="D211" s="2" t="str">
        <f>IF(Table2425[[#This Row],[Journal Description (Service Description)]]="","",VLOOKUP(Table2425[[#This Row],[Journal Description (Service Description)]],'Lookup Values'!$A:$B,2,FALSE))</f>
        <v/>
      </c>
    </row>
    <row r="212" spans="2:4" x14ac:dyDescent="0.35">
      <c r="B212" t="str">
        <f>IF(Table2425[[#This Row],[Branch Name]]="","",(_xlfn.XLOOKUP(Table2425[[#This Row],[Branch Name]],'Lookup Values'!G:G,'Lookup Values'!I:I,0)))</f>
        <v/>
      </c>
      <c r="D212" s="2" t="str">
        <f>IF(Table2425[[#This Row],[Journal Description (Service Description)]]="","",VLOOKUP(Table2425[[#This Row],[Journal Description (Service Description)]],'Lookup Values'!$A:$B,2,FALSE))</f>
        <v/>
      </c>
    </row>
    <row r="213" spans="2:4" x14ac:dyDescent="0.35">
      <c r="B213" t="str">
        <f>IF(Table2425[[#This Row],[Branch Name]]="","",(_xlfn.XLOOKUP(Table2425[[#This Row],[Branch Name]],'Lookup Values'!G:G,'Lookup Values'!I:I,0)))</f>
        <v/>
      </c>
      <c r="D213" s="2" t="str">
        <f>IF(Table2425[[#This Row],[Journal Description (Service Description)]]="","",VLOOKUP(Table2425[[#This Row],[Journal Description (Service Description)]],'Lookup Values'!$A:$B,2,FALSE))</f>
        <v/>
      </c>
    </row>
    <row r="214" spans="2:4" x14ac:dyDescent="0.35">
      <c r="B214" t="str">
        <f>IF(Table2425[[#This Row],[Branch Name]]="","",(_xlfn.XLOOKUP(Table2425[[#This Row],[Branch Name]],'Lookup Values'!G:G,'Lookup Values'!I:I,0)))</f>
        <v/>
      </c>
      <c r="D214" s="2" t="str">
        <f>IF(Table2425[[#This Row],[Journal Description (Service Description)]]="","",VLOOKUP(Table2425[[#This Row],[Journal Description (Service Description)]],'Lookup Values'!$A:$B,2,FALSE))</f>
        <v/>
      </c>
    </row>
    <row r="215" spans="2:4" x14ac:dyDescent="0.35">
      <c r="B215" t="str">
        <f>IF(Table2425[[#This Row],[Branch Name]]="","",(_xlfn.XLOOKUP(Table2425[[#This Row],[Branch Name]],'Lookup Values'!G:G,'Lookup Values'!I:I,0)))</f>
        <v/>
      </c>
      <c r="D215" s="2" t="str">
        <f>IF(Table2425[[#This Row],[Journal Description (Service Description)]]="","",VLOOKUP(Table2425[[#This Row],[Journal Description (Service Description)]],'Lookup Values'!$A:$B,2,FALSE))</f>
        <v/>
      </c>
    </row>
    <row r="216" spans="2:4" x14ac:dyDescent="0.35">
      <c r="B216" t="str">
        <f>IF(Table2425[[#This Row],[Branch Name]]="","",(_xlfn.XLOOKUP(Table2425[[#This Row],[Branch Name]],'Lookup Values'!G:G,'Lookup Values'!I:I,0)))</f>
        <v/>
      </c>
      <c r="D216" s="2" t="str">
        <f>IF(Table2425[[#This Row],[Journal Description (Service Description)]]="","",VLOOKUP(Table2425[[#This Row],[Journal Description (Service Description)]],'Lookup Values'!$A:$B,2,FALSE))</f>
        <v/>
      </c>
    </row>
    <row r="217" spans="2:4" x14ac:dyDescent="0.35">
      <c r="B217" t="str">
        <f>IF(Table2425[[#This Row],[Branch Name]]="","",(_xlfn.XLOOKUP(Table2425[[#This Row],[Branch Name]],'Lookup Values'!G:G,'Lookup Values'!I:I,0)))</f>
        <v/>
      </c>
      <c r="D217" s="2" t="str">
        <f>IF(Table2425[[#This Row],[Journal Description (Service Description)]]="","",VLOOKUP(Table2425[[#This Row],[Journal Description (Service Description)]],'Lookup Values'!$A:$B,2,FALSE))</f>
        <v/>
      </c>
    </row>
    <row r="218" spans="2:4" x14ac:dyDescent="0.35">
      <c r="B218" t="str">
        <f>IF(Table2425[[#This Row],[Branch Name]]="","",(_xlfn.XLOOKUP(Table2425[[#This Row],[Branch Name]],'Lookup Values'!G:G,'Lookup Values'!I:I,0)))</f>
        <v/>
      </c>
      <c r="D218" s="2" t="str">
        <f>IF(Table2425[[#This Row],[Journal Description (Service Description)]]="","",VLOOKUP(Table2425[[#This Row],[Journal Description (Service Description)]],'Lookup Values'!$A:$B,2,FALSE))</f>
        <v/>
      </c>
    </row>
    <row r="219" spans="2:4" x14ac:dyDescent="0.35">
      <c r="B219" t="str">
        <f>IF(Table2425[[#This Row],[Branch Name]]="","",(_xlfn.XLOOKUP(Table2425[[#This Row],[Branch Name]],'Lookup Values'!G:G,'Lookup Values'!I:I,0)))</f>
        <v/>
      </c>
      <c r="D219" s="2" t="str">
        <f>IF(Table2425[[#This Row],[Journal Description (Service Description)]]="","",VLOOKUP(Table2425[[#This Row],[Journal Description (Service Description)]],'Lookup Values'!$A:$B,2,FALSE))</f>
        <v/>
      </c>
    </row>
    <row r="220" spans="2:4" x14ac:dyDescent="0.35">
      <c r="B220" t="str">
        <f>IF(Table2425[[#This Row],[Branch Name]]="","",(_xlfn.XLOOKUP(Table2425[[#This Row],[Branch Name]],'Lookup Values'!G:G,'Lookup Values'!I:I,0)))</f>
        <v/>
      </c>
      <c r="D220" s="2" t="str">
        <f>IF(Table2425[[#This Row],[Journal Description (Service Description)]]="","",VLOOKUP(Table2425[[#This Row],[Journal Description (Service Description)]],'Lookup Values'!$A:$B,2,FALSE))</f>
        <v/>
      </c>
    </row>
    <row r="221" spans="2:4" x14ac:dyDescent="0.35">
      <c r="B221" t="str">
        <f>IF(Table2425[[#This Row],[Branch Name]]="","",(_xlfn.XLOOKUP(Table2425[[#This Row],[Branch Name]],'Lookup Values'!G:G,'Lookup Values'!I:I,0)))</f>
        <v/>
      </c>
      <c r="D221" s="2" t="str">
        <f>IF(Table2425[[#This Row],[Journal Description (Service Description)]]="","",VLOOKUP(Table2425[[#This Row],[Journal Description (Service Description)]],'Lookup Values'!$A:$B,2,FALSE))</f>
        <v/>
      </c>
    </row>
    <row r="222" spans="2:4" x14ac:dyDescent="0.35">
      <c r="B222" t="str">
        <f>IF(Table2425[[#This Row],[Branch Name]]="","",(_xlfn.XLOOKUP(Table2425[[#This Row],[Branch Name]],'Lookup Values'!G:G,'Lookup Values'!I:I,0)))</f>
        <v/>
      </c>
      <c r="D222" s="2" t="str">
        <f>IF(Table2425[[#This Row],[Journal Description (Service Description)]]="","",VLOOKUP(Table2425[[#This Row],[Journal Description (Service Description)]],'Lookup Values'!$A:$B,2,FALSE))</f>
        <v/>
      </c>
    </row>
    <row r="223" spans="2:4" x14ac:dyDescent="0.35">
      <c r="B223" t="str">
        <f>IF(Table2425[[#This Row],[Branch Name]]="","",(_xlfn.XLOOKUP(Table2425[[#This Row],[Branch Name]],'Lookup Values'!G:G,'Lookup Values'!I:I,0)))</f>
        <v/>
      </c>
      <c r="D223" s="2" t="str">
        <f>IF(Table2425[[#This Row],[Journal Description (Service Description)]]="","",VLOOKUP(Table2425[[#This Row],[Journal Description (Service Description)]],'Lookup Values'!$A:$B,2,FALSE))</f>
        <v/>
      </c>
    </row>
    <row r="224" spans="2:4" x14ac:dyDescent="0.35">
      <c r="B224" t="str">
        <f>IF(Table2425[[#This Row],[Branch Name]]="","",(_xlfn.XLOOKUP(Table2425[[#This Row],[Branch Name]],'Lookup Values'!G:G,'Lookup Values'!I:I,0)))</f>
        <v/>
      </c>
      <c r="D224" s="2" t="str">
        <f>IF(Table2425[[#This Row],[Journal Description (Service Description)]]="","",VLOOKUP(Table2425[[#This Row],[Journal Description (Service Description)]],'Lookup Values'!$A:$B,2,FALSE))</f>
        <v/>
      </c>
    </row>
    <row r="225" spans="2:4" x14ac:dyDescent="0.35">
      <c r="B225" t="str">
        <f>IF(Table2425[[#This Row],[Branch Name]]="","",(_xlfn.XLOOKUP(Table2425[[#This Row],[Branch Name]],'Lookup Values'!G:G,'Lookup Values'!I:I,0)))</f>
        <v/>
      </c>
      <c r="D225" s="2" t="str">
        <f>IF(Table2425[[#This Row],[Journal Description (Service Description)]]="","",VLOOKUP(Table2425[[#This Row],[Journal Description (Service Description)]],'Lookup Values'!$A:$B,2,FALSE))</f>
        <v/>
      </c>
    </row>
    <row r="226" spans="2:4" x14ac:dyDescent="0.35">
      <c r="B226" t="str">
        <f>IF(Table2425[[#This Row],[Branch Name]]="","",(_xlfn.XLOOKUP(Table2425[[#This Row],[Branch Name]],'Lookup Values'!G:G,'Lookup Values'!I:I,0)))</f>
        <v/>
      </c>
      <c r="D226" s="2" t="str">
        <f>IF(Table2425[[#This Row],[Journal Description (Service Description)]]="","",VLOOKUP(Table2425[[#This Row],[Journal Description (Service Description)]],'Lookup Values'!$A:$B,2,FALSE))</f>
        <v/>
      </c>
    </row>
    <row r="227" spans="2:4" x14ac:dyDescent="0.35">
      <c r="B227" t="str">
        <f>IF(Table2425[[#This Row],[Branch Name]]="","",(_xlfn.XLOOKUP(Table2425[[#This Row],[Branch Name]],'Lookup Values'!G:G,'Lookup Values'!I:I,0)))</f>
        <v/>
      </c>
      <c r="D227" s="2" t="str">
        <f>IF(Table2425[[#This Row],[Journal Description (Service Description)]]="","",VLOOKUP(Table2425[[#This Row],[Journal Description (Service Description)]],'Lookup Values'!$A:$B,2,FALSE))</f>
        <v/>
      </c>
    </row>
    <row r="228" spans="2:4" x14ac:dyDescent="0.35">
      <c r="B228" t="str">
        <f>IF(Table2425[[#This Row],[Branch Name]]="","",(_xlfn.XLOOKUP(Table2425[[#This Row],[Branch Name]],'Lookup Values'!G:G,'Lookup Values'!I:I,0)))</f>
        <v/>
      </c>
      <c r="D228" s="2" t="str">
        <f>IF(Table2425[[#This Row],[Journal Description (Service Description)]]="","",VLOOKUP(Table2425[[#This Row],[Journal Description (Service Description)]],'Lookup Values'!$A:$B,2,FALSE))</f>
        <v/>
      </c>
    </row>
    <row r="229" spans="2:4" x14ac:dyDescent="0.35">
      <c r="B229" t="str">
        <f>IF(Table2425[[#This Row],[Branch Name]]="","",(_xlfn.XLOOKUP(Table2425[[#This Row],[Branch Name]],'Lookup Values'!G:G,'Lookup Values'!I:I,0)))</f>
        <v/>
      </c>
      <c r="D229" s="2" t="str">
        <f>IF(Table2425[[#This Row],[Journal Description (Service Description)]]="","",VLOOKUP(Table2425[[#This Row],[Journal Description (Service Description)]],'Lookup Values'!$A:$B,2,FALSE))</f>
        <v/>
      </c>
    </row>
    <row r="230" spans="2:4" x14ac:dyDescent="0.35">
      <c r="B230" t="str">
        <f>IF(Table2425[[#This Row],[Branch Name]]="","",(_xlfn.XLOOKUP(Table2425[[#This Row],[Branch Name]],'Lookup Values'!G:G,'Lookup Values'!I:I,0)))</f>
        <v/>
      </c>
      <c r="D230" s="2" t="str">
        <f>IF(Table2425[[#This Row],[Journal Description (Service Description)]]="","",VLOOKUP(Table2425[[#This Row],[Journal Description (Service Description)]],'Lookup Values'!$A:$B,2,FALSE))</f>
        <v/>
      </c>
    </row>
    <row r="231" spans="2:4" x14ac:dyDescent="0.35">
      <c r="B231" t="str">
        <f>IF(Table2425[[#This Row],[Branch Name]]="","",(_xlfn.XLOOKUP(Table2425[[#This Row],[Branch Name]],'Lookup Values'!G:G,'Lookup Values'!I:I,0)))</f>
        <v/>
      </c>
      <c r="D231" s="2" t="str">
        <f>IF(Table2425[[#This Row],[Journal Description (Service Description)]]="","",VLOOKUP(Table2425[[#This Row],[Journal Description (Service Description)]],'Lookup Values'!$A:$B,2,FALSE))</f>
        <v/>
      </c>
    </row>
    <row r="232" spans="2:4" x14ac:dyDescent="0.35">
      <c r="B232" t="str">
        <f>IF(Table2425[[#This Row],[Branch Name]]="","",(_xlfn.XLOOKUP(Table2425[[#This Row],[Branch Name]],'Lookup Values'!G:G,'Lookup Values'!I:I,0)))</f>
        <v/>
      </c>
      <c r="D232" s="2" t="str">
        <f>IF(Table2425[[#This Row],[Journal Description (Service Description)]]="","",VLOOKUP(Table2425[[#This Row],[Journal Description (Service Description)]],'Lookup Values'!$A:$B,2,FALSE))</f>
        <v/>
      </c>
    </row>
    <row r="233" spans="2:4" x14ac:dyDescent="0.35">
      <c r="B233" t="str">
        <f>IF(Table2425[[#This Row],[Branch Name]]="","",(_xlfn.XLOOKUP(Table2425[[#This Row],[Branch Name]],'Lookup Values'!G:G,'Lookup Values'!I:I,0)))</f>
        <v/>
      </c>
      <c r="D233" s="2" t="str">
        <f>IF(Table2425[[#This Row],[Journal Description (Service Description)]]="","",VLOOKUP(Table2425[[#This Row],[Journal Description (Service Description)]],'Lookup Values'!$A:$B,2,FALSE))</f>
        <v/>
      </c>
    </row>
    <row r="234" spans="2:4" x14ac:dyDescent="0.35">
      <c r="B234" t="str">
        <f>IF(Table2425[[#This Row],[Branch Name]]="","",(_xlfn.XLOOKUP(Table2425[[#This Row],[Branch Name]],'Lookup Values'!G:G,'Lookup Values'!I:I,0)))</f>
        <v/>
      </c>
      <c r="D234" s="2" t="str">
        <f>IF(Table2425[[#This Row],[Journal Description (Service Description)]]="","",VLOOKUP(Table2425[[#This Row],[Journal Description (Service Description)]],'Lookup Values'!$A:$B,2,FALSE))</f>
        <v/>
      </c>
    </row>
    <row r="235" spans="2:4" x14ac:dyDescent="0.35">
      <c r="B235" t="str">
        <f>IF(Table2425[[#This Row],[Branch Name]]="","",(_xlfn.XLOOKUP(Table2425[[#This Row],[Branch Name]],'Lookup Values'!G:G,'Lookup Values'!I:I,0)))</f>
        <v/>
      </c>
      <c r="D235" s="2" t="str">
        <f>IF(Table2425[[#This Row],[Journal Description (Service Description)]]="","",VLOOKUP(Table2425[[#This Row],[Journal Description (Service Description)]],'Lookup Values'!$A:$B,2,FALSE))</f>
        <v/>
      </c>
    </row>
    <row r="236" spans="2:4" x14ac:dyDescent="0.35">
      <c r="B236" t="str">
        <f>IF(Table2425[[#This Row],[Branch Name]]="","",(_xlfn.XLOOKUP(Table2425[[#This Row],[Branch Name]],'Lookup Values'!G:G,'Lookup Values'!I:I,0)))</f>
        <v/>
      </c>
      <c r="D236" s="2" t="str">
        <f>IF(Table2425[[#This Row],[Journal Description (Service Description)]]="","",VLOOKUP(Table2425[[#This Row],[Journal Description (Service Description)]],'Lookup Values'!$A:$B,2,FALSE))</f>
        <v/>
      </c>
    </row>
    <row r="237" spans="2:4" x14ac:dyDescent="0.35">
      <c r="B237" t="str">
        <f>IF(Table2425[[#This Row],[Branch Name]]="","",(_xlfn.XLOOKUP(Table2425[[#This Row],[Branch Name]],'Lookup Values'!G:G,'Lookup Values'!I:I,0)))</f>
        <v/>
      </c>
      <c r="D237" s="2" t="str">
        <f>IF(Table2425[[#This Row],[Journal Description (Service Description)]]="","",VLOOKUP(Table2425[[#This Row],[Journal Description (Service Description)]],'Lookup Values'!$A:$B,2,FALSE))</f>
        <v/>
      </c>
    </row>
    <row r="238" spans="2:4" x14ac:dyDescent="0.35">
      <c r="B238" t="str">
        <f>IF(Table2425[[#This Row],[Branch Name]]="","",(_xlfn.XLOOKUP(Table2425[[#This Row],[Branch Name]],'Lookup Values'!G:G,'Lookup Values'!I:I,0)))</f>
        <v/>
      </c>
      <c r="D238" s="2" t="str">
        <f>IF(Table2425[[#This Row],[Journal Description (Service Description)]]="","",VLOOKUP(Table2425[[#This Row],[Journal Description (Service Description)]],'Lookup Values'!$A:$B,2,FALSE))</f>
        <v/>
      </c>
    </row>
    <row r="239" spans="2:4" x14ac:dyDescent="0.35">
      <c r="B239" t="str">
        <f>IF(Table2425[[#This Row],[Branch Name]]="","",(_xlfn.XLOOKUP(Table2425[[#This Row],[Branch Name]],'Lookup Values'!G:G,'Lookup Values'!I:I,0)))</f>
        <v/>
      </c>
      <c r="D239" s="2" t="str">
        <f>IF(Table2425[[#This Row],[Journal Description (Service Description)]]="","",VLOOKUP(Table2425[[#This Row],[Journal Description (Service Description)]],'Lookup Values'!$A:$B,2,FALSE))</f>
        <v/>
      </c>
    </row>
    <row r="240" spans="2:4" x14ac:dyDescent="0.35">
      <c r="B240" t="str">
        <f>IF(Table2425[[#This Row],[Branch Name]]="","",(_xlfn.XLOOKUP(Table2425[[#This Row],[Branch Name]],'Lookup Values'!G:G,'Lookup Values'!I:I,0)))</f>
        <v/>
      </c>
      <c r="D240" s="2" t="str">
        <f>IF(Table2425[[#This Row],[Journal Description (Service Description)]]="","",VLOOKUP(Table2425[[#This Row],[Journal Description (Service Description)]],'Lookup Values'!$A:$B,2,FALSE))</f>
        <v/>
      </c>
    </row>
    <row r="241" spans="2:4" x14ac:dyDescent="0.35">
      <c r="B241" t="str">
        <f>IF(Table2425[[#This Row],[Branch Name]]="","",(_xlfn.XLOOKUP(Table2425[[#This Row],[Branch Name]],'Lookup Values'!G:G,'Lookup Values'!I:I,0)))</f>
        <v/>
      </c>
      <c r="D241" s="2" t="str">
        <f>IF(Table2425[[#This Row],[Journal Description (Service Description)]]="","",VLOOKUP(Table2425[[#This Row],[Journal Description (Service Description)]],'Lookup Values'!$A:$B,2,FALSE))</f>
        <v/>
      </c>
    </row>
    <row r="242" spans="2:4" x14ac:dyDescent="0.35">
      <c r="B242" t="str">
        <f>IF(Table2425[[#This Row],[Branch Name]]="","",(_xlfn.XLOOKUP(Table2425[[#This Row],[Branch Name]],'Lookup Values'!G:G,'Lookup Values'!I:I,0)))</f>
        <v/>
      </c>
      <c r="D242" s="2" t="str">
        <f>IF(Table2425[[#This Row],[Journal Description (Service Description)]]="","",VLOOKUP(Table2425[[#This Row],[Journal Description (Service Description)]],'Lookup Values'!$A:$B,2,FALSE))</f>
        <v/>
      </c>
    </row>
    <row r="243" spans="2:4" x14ac:dyDescent="0.35">
      <c r="B243" t="str">
        <f>IF(Table2425[[#This Row],[Branch Name]]="","",(_xlfn.XLOOKUP(Table2425[[#This Row],[Branch Name]],'Lookup Values'!G:G,'Lookup Values'!I:I,0)))</f>
        <v/>
      </c>
      <c r="D243" s="2" t="str">
        <f>IF(Table2425[[#This Row],[Journal Description (Service Description)]]="","",VLOOKUP(Table2425[[#This Row],[Journal Description (Service Description)]],'Lookup Values'!$A:$B,2,FALSE))</f>
        <v/>
      </c>
    </row>
    <row r="244" spans="2:4" x14ac:dyDescent="0.35">
      <c r="B244" t="str">
        <f>IF(Table2425[[#This Row],[Branch Name]]="","",(_xlfn.XLOOKUP(Table2425[[#This Row],[Branch Name]],'Lookup Values'!G:G,'Lookup Values'!I:I,0)))</f>
        <v/>
      </c>
      <c r="D244" s="2" t="str">
        <f>IF(Table2425[[#This Row],[Journal Description (Service Description)]]="","",VLOOKUP(Table2425[[#This Row],[Journal Description (Service Description)]],'Lookup Values'!$A:$B,2,FALSE))</f>
        <v/>
      </c>
    </row>
    <row r="245" spans="2:4" x14ac:dyDescent="0.35">
      <c r="B245" t="str">
        <f>IF(Table2425[[#This Row],[Branch Name]]="","",(_xlfn.XLOOKUP(Table2425[[#This Row],[Branch Name]],'Lookup Values'!G:G,'Lookup Values'!I:I,0)))</f>
        <v/>
      </c>
      <c r="D245" s="2" t="str">
        <f>IF(Table2425[[#This Row],[Journal Description (Service Description)]]="","",VLOOKUP(Table2425[[#This Row],[Journal Description (Service Description)]],'Lookup Values'!$A:$B,2,FALSE))</f>
        <v/>
      </c>
    </row>
    <row r="246" spans="2:4" x14ac:dyDescent="0.35">
      <c r="B246" t="str">
        <f>IF(Table2425[[#This Row],[Branch Name]]="","",(_xlfn.XLOOKUP(Table2425[[#This Row],[Branch Name]],'Lookup Values'!G:G,'Lookup Values'!I:I,0)))</f>
        <v/>
      </c>
      <c r="D246" s="2" t="str">
        <f>IF(Table2425[[#This Row],[Journal Description (Service Description)]]="","",VLOOKUP(Table2425[[#This Row],[Journal Description (Service Description)]],'Lookup Values'!$A:$B,2,FALSE))</f>
        <v/>
      </c>
    </row>
    <row r="247" spans="2:4" x14ac:dyDescent="0.35">
      <c r="B247" t="str">
        <f>IF(Table2425[[#This Row],[Branch Name]]="","",(_xlfn.XLOOKUP(Table2425[[#This Row],[Branch Name]],'Lookup Values'!G:G,'Lookup Values'!I:I,0)))</f>
        <v/>
      </c>
      <c r="D247" s="2" t="str">
        <f>IF(Table2425[[#This Row],[Journal Description (Service Description)]]="","",VLOOKUP(Table2425[[#This Row],[Journal Description (Service Description)]],'Lookup Values'!$A:$B,2,FALSE))</f>
        <v/>
      </c>
    </row>
    <row r="248" spans="2:4" x14ac:dyDescent="0.35">
      <c r="B248" t="str">
        <f>IF(Table2425[[#This Row],[Branch Name]]="","",(_xlfn.XLOOKUP(Table2425[[#This Row],[Branch Name]],'Lookup Values'!G:G,'Lookup Values'!I:I,0)))</f>
        <v/>
      </c>
      <c r="D248" s="2" t="str">
        <f>IF(Table2425[[#This Row],[Journal Description (Service Description)]]="","",VLOOKUP(Table2425[[#This Row],[Journal Description (Service Description)]],'Lookup Values'!$A:$B,2,FALSE))</f>
        <v/>
      </c>
    </row>
    <row r="249" spans="2:4" x14ac:dyDescent="0.35">
      <c r="B249" t="str">
        <f>IF(Table2425[[#This Row],[Branch Name]]="","",(_xlfn.XLOOKUP(Table2425[[#This Row],[Branch Name]],'Lookup Values'!G:G,'Lookup Values'!I:I,0)))</f>
        <v/>
      </c>
      <c r="D249" s="2" t="str">
        <f>IF(Table2425[[#This Row],[Journal Description (Service Description)]]="","",VLOOKUP(Table2425[[#This Row],[Journal Description (Service Description)]],'Lookup Values'!$A:$B,2,FALSE))</f>
        <v/>
      </c>
    </row>
    <row r="250" spans="2:4" x14ac:dyDescent="0.35">
      <c r="B250" t="str">
        <f>IF(Table2425[[#This Row],[Branch Name]]="","",(_xlfn.XLOOKUP(Table2425[[#This Row],[Branch Name]],'Lookup Values'!G:G,'Lookup Values'!I:I,0)))</f>
        <v/>
      </c>
      <c r="D250" s="2" t="str">
        <f>IF(Table2425[[#This Row],[Journal Description (Service Description)]]="","",VLOOKUP(Table2425[[#This Row],[Journal Description (Service Description)]],'Lookup Values'!$A:$B,2,FALSE))</f>
        <v/>
      </c>
    </row>
    <row r="251" spans="2:4" x14ac:dyDescent="0.35">
      <c r="B251" t="str">
        <f>IF(Table2425[[#This Row],[Branch Name]]="","",(_xlfn.XLOOKUP(Table2425[[#This Row],[Branch Name]],'Lookup Values'!G:G,'Lookup Values'!I:I,0)))</f>
        <v/>
      </c>
      <c r="D251" s="2" t="str">
        <f>IF(Table2425[[#This Row],[Journal Description (Service Description)]]="","",VLOOKUP(Table2425[[#This Row],[Journal Description (Service Description)]],'Lookup Values'!$A:$B,2,FALSE))</f>
        <v/>
      </c>
    </row>
    <row r="252" spans="2:4" x14ac:dyDescent="0.35">
      <c r="B252" t="str">
        <f>IF(Table2425[[#This Row],[Branch Name]]="","",(_xlfn.XLOOKUP(Table2425[[#This Row],[Branch Name]],'Lookup Values'!G:G,'Lookup Values'!I:I,0)))</f>
        <v/>
      </c>
      <c r="D252" s="2" t="str">
        <f>IF(Table2425[[#This Row],[Journal Description (Service Description)]]="","",VLOOKUP(Table2425[[#This Row],[Journal Description (Service Description)]],'Lookup Values'!$A:$B,2,FALSE))</f>
        <v/>
      </c>
    </row>
    <row r="253" spans="2:4" x14ac:dyDescent="0.35">
      <c r="B253" t="str">
        <f>IF(Table2425[[#This Row],[Branch Name]]="","",(_xlfn.XLOOKUP(Table2425[[#This Row],[Branch Name]],'Lookup Values'!G:G,'Lookup Values'!I:I,0)))</f>
        <v/>
      </c>
      <c r="D253" s="2" t="str">
        <f>IF(Table2425[[#This Row],[Journal Description (Service Description)]]="","",VLOOKUP(Table2425[[#This Row],[Journal Description (Service Description)]],'Lookup Values'!$A:$B,2,FALSE))</f>
        <v/>
      </c>
    </row>
    <row r="254" spans="2:4" x14ac:dyDescent="0.35">
      <c r="B254" t="str">
        <f>IF(Table2425[[#This Row],[Branch Name]]="","",(_xlfn.XLOOKUP(Table2425[[#This Row],[Branch Name]],'Lookup Values'!G:G,'Lookup Values'!I:I,0)))</f>
        <v/>
      </c>
      <c r="D254" s="2" t="str">
        <f>IF(Table2425[[#This Row],[Journal Description (Service Description)]]="","",VLOOKUP(Table2425[[#This Row],[Journal Description (Service Description)]],'Lookup Values'!$A:$B,2,FALSE))</f>
        <v/>
      </c>
    </row>
    <row r="255" spans="2:4" x14ac:dyDescent="0.35">
      <c r="B255" t="str">
        <f>IF(Table2425[[#This Row],[Branch Name]]="","",(_xlfn.XLOOKUP(Table2425[[#This Row],[Branch Name]],'Lookup Values'!G:G,'Lookup Values'!I:I,0)))</f>
        <v/>
      </c>
      <c r="D255" s="2" t="str">
        <f>IF(Table2425[[#This Row],[Journal Description (Service Description)]]="","",VLOOKUP(Table2425[[#This Row],[Journal Description (Service Description)]],'Lookup Values'!$A:$B,2,FALSE))</f>
        <v/>
      </c>
    </row>
    <row r="256" spans="2:4" x14ac:dyDescent="0.35">
      <c r="B256" t="str">
        <f>IF(Table2425[[#This Row],[Branch Name]]="","",(_xlfn.XLOOKUP(Table2425[[#This Row],[Branch Name]],'Lookup Values'!G:G,'Lookup Values'!I:I,0)))</f>
        <v/>
      </c>
      <c r="D256" s="2" t="str">
        <f>IF(Table2425[[#This Row],[Journal Description (Service Description)]]="","",VLOOKUP(Table2425[[#This Row],[Journal Description (Service Description)]],'Lookup Values'!$A:$B,2,FALSE))</f>
        <v/>
      </c>
    </row>
    <row r="257" spans="2:4" x14ac:dyDescent="0.35">
      <c r="B257" t="str">
        <f>IF(Table2425[[#This Row],[Branch Name]]="","",(_xlfn.XLOOKUP(Table2425[[#This Row],[Branch Name]],'Lookup Values'!G:G,'Lookup Values'!I:I,0)))</f>
        <v/>
      </c>
      <c r="D257" s="2" t="str">
        <f>IF(Table2425[[#This Row],[Journal Description (Service Description)]]="","",VLOOKUP(Table2425[[#This Row],[Journal Description (Service Description)]],'Lookup Values'!$A:$B,2,FALSE))</f>
        <v/>
      </c>
    </row>
    <row r="258" spans="2:4" x14ac:dyDescent="0.35">
      <c r="B258" t="str">
        <f>IF(Table2425[[#This Row],[Branch Name]]="","",(_xlfn.XLOOKUP(Table2425[[#This Row],[Branch Name]],'Lookup Values'!G:G,'Lookup Values'!I:I,0)))</f>
        <v/>
      </c>
      <c r="D258" s="2" t="str">
        <f>IF(Table2425[[#This Row],[Journal Description (Service Description)]]="","",VLOOKUP(Table2425[[#This Row],[Journal Description (Service Description)]],'Lookup Values'!$A:$B,2,FALSE))</f>
        <v/>
      </c>
    </row>
    <row r="259" spans="2:4" x14ac:dyDescent="0.35">
      <c r="B259" t="str">
        <f>IF(Table2425[[#This Row],[Branch Name]]="","",(_xlfn.XLOOKUP(Table2425[[#This Row],[Branch Name]],'Lookup Values'!G:G,'Lookup Values'!I:I,0)))</f>
        <v/>
      </c>
      <c r="D259" s="2" t="str">
        <f>IF(Table2425[[#This Row],[Journal Description (Service Description)]]="","",VLOOKUP(Table2425[[#This Row],[Journal Description (Service Description)]],'Lookup Values'!$A:$B,2,FALSE))</f>
        <v/>
      </c>
    </row>
    <row r="260" spans="2:4" x14ac:dyDescent="0.35">
      <c r="B260" t="str">
        <f>IF(Table2425[[#This Row],[Branch Name]]="","",(_xlfn.XLOOKUP(Table2425[[#This Row],[Branch Name]],'Lookup Values'!G:G,'Lookup Values'!I:I,0)))</f>
        <v/>
      </c>
      <c r="D260" s="2" t="str">
        <f>IF(Table2425[[#This Row],[Journal Description (Service Description)]]="","",VLOOKUP(Table2425[[#This Row],[Journal Description (Service Description)]],'Lookup Values'!$A:$B,2,FALSE))</f>
        <v/>
      </c>
    </row>
    <row r="261" spans="2:4" x14ac:dyDescent="0.35">
      <c r="B261" t="str">
        <f>IF(Table2425[[#This Row],[Branch Name]]="","",(_xlfn.XLOOKUP(Table2425[[#This Row],[Branch Name]],'Lookup Values'!G:G,'Lookup Values'!I:I,0)))</f>
        <v/>
      </c>
      <c r="D261" s="2" t="str">
        <f>IF(Table2425[[#This Row],[Journal Description (Service Description)]]="","",VLOOKUP(Table2425[[#This Row],[Journal Description (Service Description)]],'Lookup Values'!$A:$B,2,FALSE))</f>
        <v/>
      </c>
    </row>
    <row r="262" spans="2:4" x14ac:dyDescent="0.35">
      <c r="B262" t="str">
        <f>IF(Table2425[[#This Row],[Branch Name]]="","",(_xlfn.XLOOKUP(Table2425[[#This Row],[Branch Name]],'Lookup Values'!G:G,'Lookup Values'!I:I,0)))</f>
        <v/>
      </c>
      <c r="D262" s="2" t="str">
        <f>IF(Table2425[[#This Row],[Journal Description (Service Description)]]="","",VLOOKUP(Table2425[[#This Row],[Journal Description (Service Description)]],'Lookup Values'!$A:$B,2,FALSE))</f>
        <v/>
      </c>
    </row>
    <row r="263" spans="2:4" x14ac:dyDescent="0.35">
      <c r="B263" t="str">
        <f>IF(Table2425[[#This Row],[Branch Name]]="","",(_xlfn.XLOOKUP(Table2425[[#This Row],[Branch Name]],'Lookup Values'!G:G,'Lookup Values'!I:I,0)))</f>
        <v/>
      </c>
      <c r="D263" s="2" t="str">
        <f>IF(Table2425[[#This Row],[Journal Description (Service Description)]]="","",VLOOKUP(Table2425[[#This Row],[Journal Description (Service Description)]],'Lookup Values'!$A:$B,2,FALSE))</f>
        <v/>
      </c>
    </row>
    <row r="264" spans="2:4" x14ac:dyDescent="0.35">
      <c r="B264" t="str">
        <f>IF(Table2425[[#This Row],[Branch Name]]="","",(_xlfn.XLOOKUP(Table2425[[#This Row],[Branch Name]],'Lookup Values'!G:G,'Lookup Values'!I:I,0)))</f>
        <v/>
      </c>
      <c r="D264" s="2" t="str">
        <f>IF(Table2425[[#This Row],[Journal Description (Service Description)]]="","",VLOOKUP(Table2425[[#This Row],[Journal Description (Service Description)]],'Lookup Values'!$A:$B,2,FALSE))</f>
        <v/>
      </c>
    </row>
    <row r="265" spans="2:4" x14ac:dyDescent="0.35">
      <c r="B265" t="str">
        <f>IF(Table2425[[#This Row],[Branch Name]]="","",(_xlfn.XLOOKUP(Table2425[[#This Row],[Branch Name]],'Lookup Values'!G:G,'Lookup Values'!I:I,0)))</f>
        <v/>
      </c>
      <c r="D265" s="2" t="str">
        <f>IF(Table2425[[#This Row],[Journal Description (Service Description)]]="","",VLOOKUP(Table2425[[#This Row],[Journal Description (Service Description)]],'Lookup Values'!$A:$B,2,FALSE))</f>
        <v/>
      </c>
    </row>
    <row r="266" spans="2:4" x14ac:dyDescent="0.35">
      <c r="B266" t="str">
        <f>IF(Table2425[[#This Row],[Branch Name]]="","",(_xlfn.XLOOKUP(Table2425[[#This Row],[Branch Name]],'Lookup Values'!G:G,'Lookup Values'!I:I,0)))</f>
        <v/>
      </c>
      <c r="D266" s="2" t="str">
        <f>IF(Table2425[[#This Row],[Journal Description (Service Description)]]="","",VLOOKUP(Table2425[[#This Row],[Journal Description (Service Description)]],'Lookup Values'!$A:$B,2,FALSE))</f>
        <v/>
      </c>
    </row>
    <row r="267" spans="2:4" x14ac:dyDescent="0.35">
      <c r="B267" t="str">
        <f>IF(Table2425[[#This Row],[Branch Name]]="","",(_xlfn.XLOOKUP(Table2425[[#This Row],[Branch Name]],'Lookup Values'!G:G,'Lookup Values'!I:I,0)))</f>
        <v/>
      </c>
      <c r="D267" s="2" t="str">
        <f>IF(Table2425[[#This Row],[Journal Description (Service Description)]]="","",VLOOKUP(Table2425[[#This Row],[Journal Description (Service Description)]],'Lookup Values'!$A:$B,2,FALSE))</f>
        <v/>
      </c>
    </row>
    <row r="268" spans="2:4" x14ac:dyDescent="0.35">
      <c r="B268" t="str">
        <f>IF(Table2425[[#This Row],[Branch Name]]="","",(_xlfn.XLOOKUP(Table2425[[#This Row],[Branch Name]],'Lookup Values'!G:G,'Lookup Values'!I:I,0)))</f>
        <v/>
      </c>
      <c r="D268" s="2" t="str">
        <f>IF(Table2425[[#This Row],[Journal Description (Service Description)]]="","",VLOOKUP(Table2425[[#This Row],[Journal Description (Service Description)]],'Lookup Values'!$A:$B,2,FALSE))</f>
        <v/>
      </c>
    </row>
    <row r="269" spans="2:4" x14ac:dyDescent="0.35">
      <c r="B269" t="str">
        <f>IF(Table2425[[#This Row],[Branch Name]]="","",(_xlfn.XLOOKUP(Table2425[[#This Row],[Branch Name]],'Lookup Values'!G:G,'Lookup Values'!I:I,0)))</f>
        <v/>
      </c>
      <c r="D269" s="2" t="str">
        <f>IF(Table2425[[#This Row],[Journal Description (Service Description)]]="","",VLOOKUP(Table2425[[#This Row],[Journal Description (Service Description)]],'Lookup Values'!$A:$B,2,FALSE))</f>
        <v/>
      </c>
    </row>
    <row r="270" spans="2:4" x14ac:dyDescent="0.35">
      <c r="B270" t="str">
        <f>IF(Table2425[[#This Row],[Branch Name]]="","",(_xlfn.XLOOKUP(Table2425[[#This Row],[Branch Name]],'Lookup Values'!G:G,'Lookup Values'!I:I,0)))</f>
        <v/>
      </c>
      <c r="D270" s="2" t="str">
        <f>IF(Table2425[[#This Row],[Journal Description (Service Description)]]="","",VLOOKUP(Table2425[[#This Row],[Journal Description (Service Description)]],'Lookup Values'!$A:$B,2,FALSE))</f>
        <v/>
      </c>
    </row>
    <row r="271" spans="2:4" x14ac:dyDescent="0.35">
      <c r="B271" t="str">
        <f>IF(Table2425[[#This Row],[Branch Name]]="","",(_xlfn.XLOOKUP(Table2425[[#This Row],[Branch Name]],'Lookup Values'!G:G,'Lookup Values'!I:I,0)))</f>
        <v/>
      </c>
      <c r="D271" s="2" t="str">
        <f>IF(Table2425[[#This Row],[Journal Description (Service Description)]]="","",VLOOKUP(Table2425[[#This Row],[Journal Description (Service Description)]],'Lookup Values'!$A:$B,2,FALSE))</f>
        <v/>
      </c>
    </row>
    <row r="272" spans="2:4" x14ac:dyDescent="0.35">
      <c r="B272" t="str">
        <f>IF(Table2425[[#This Row],[Branch Name]]="","",(_xlfn.XLOOKUP(Table2425[[#This Row],[Branch Name]],'Lookup Values'!G:G,'Lookup Values'!I:I,0)))</f>
        <v/>
      </c>
      <c r="D272" s="2" t="str">
        <f>IF(Table2425[[#This Row],[Journal Description (Service Description)]]="","",VLOOKUP(Table2425[[#This Row],[Journal Description (Service Description)]],'Lookup Values'!$A:$B,2,FALSE))</f>
        <v/>
      </c>
    </row>
    <row r="273" spans="1:4" x14ac:dyDescent="0.35">
      <c r="B273" t="str">
        <f>IF(Table2425[[#This Row],[Branch Name]]="","",(_xlfn.XLOOKUP(Table2425[[#This Row],[Branch Name]],'Lookup Values'!G:G,'Lookup Values'!I:I,0)))</f>
        <v/>
      </c>
      <c r="D273" s="2" t="str">
        <f>IF(Table2425[[#This Row],[Journal Description (Service Description)]]="","",VLOOKUP(Table2425[[#This Row],[Journal Description (Service Description)]],'Lookup Values'!$A:$B,2,FALSE))</f>
        <v/>
      </c>
    </row>
    <row r="274" spans="1:4" x14ac:dyDescent="0.35">
      <c r="B274" t="str">
        <f>IF(Table2425[[#This Row],[Branch Name]]="","",(_xlfn.XLOOKUP(Table2425[[#This Row],[Branch Name]],'Lookup Values'!G:G,'Lookup Values'!I:I,0)))</f>
        <v/>
      </c>
      <c r="D274" s="2" t="str">
        <f>IF(Table2425[[#This Row],[Journal Description (Service Description)]]="","",VLOOKUP(Table2425[[#This Row],[Journal Description (Service Description)]],'Lookup Values'!$A:$B,2,FALSE))</f>
        <v/>
      </c>
    </row>
    <row r="275" spans="1:4" x14ac:dyDescent="0.35">
      <c r="B275" t="str">
        <f>IF(Table2425[[#This Row],[Branch Name]]="","",(_xlfn.XLOOKUP(Table2425[[#This Row],[Branch Name]],'Lookup Values'!G:G,'Lookup Values'!I:I,0)))</f>
        <v/>
      </c>
      <c r="D275" s="2" t="str">
        <f>IF(Table2425[[#This Row],[Journal Description (Service Description)]]="","",VLOOKUP(Table2425[[#This Row],[Journal Description (Service Description)]],'Lookup Values'!$A:$B,2,FALSE))</f>
        <v/>
      </c>
    </row>
    <row r="276" spans="1:4" x14ac:dyDescent="0.35">
      <c r="B276" t="str">
        <f>IF(Table2425[[#This Row],[Branch Name]]="","",(_xlfn.XLOOKUP(Table2425[[#This Row],[Branch Name]],'Lookup Values'!G:G,'Lookup Values'!I:I,0)))</f>
        <v/>
      </c>
      <c r="D276" s="2" t="str">
        <f>IF(Table2425[[#This Row],[Journal Description (Service Description)]]="","",VLOOKUP(Table2425[[#This Row],[Journal Description (Service Description)]],'Lookup Values'!$A:$B,2,FALSE))</f>
        <v/>
      </c>
    </row>
    <row r="277" spans="1:4" x14ac:dyDescent="0.35">
      <c r="B277" t="str">
        <f>IF(Table2425[[#This Row],[Branch Name]]="","",(_xlfn.XLOOKUP(Table2425[[#This Row],[Branch Name]],'Lookup Values'!G:G,'Lookup Values'!I:I,0)))</f>
        <v/>
      </c>
      <c r="D277" s="2" t="str">
        <f>IF(Table2425[[#This Row],[Journal Description (Service Description)]]="","",VLOOKUP(Table2425[[#This Row],[Journal Description (Service Description)]],'Lookup Values'!$A:$B,2,FALSE))</f>
        <v/>
      </c>
    </row>
    <row r="278" spans="1:4" x14ac:dyDescent="0.35">
      <c r="A278" t="str">
        <f>IF(Table2425[[#This Row],[Branch Name]]="","",(_xlfn.XLOOKUP(Table2425[[#This Row],[Branch Name]],'Lookup Values'!G:G,'Lookup Values'!H:H,0)))</f>
        <v/>
      </c>
      <c r="B278" t="str">
        <f>IF(Table2425[[#This Row],[Branch Name]]="","",(_xlfn.XLOOKUP(Table2425[[#This Row],[Branch Name]],'Lookup Values'!G:G,'Lookup Values'!I:I,0)))</f>
        <v/>
      </c>
      <c r="C278" t="str">
        <f>IF(Table2425[[#This Row],[Journal Description (Service Description)]]="","",1)</f>
        <v/>
      </c>
      <c r="D278" s="2" t="str">
        <f>IF(Table2425[[#This Row],[Journal Description (Service Description)]]="","",VLOOKUP(Table2425[[#This Row],[Journal Description (Service Description)]],'Lookup Values'!$A:$B,2,FALSE))</f>
        <v/>
      </c>
    </row>
    <row r="279" spans="1:4" x14ac:dyDescent="0.35">
      <c r="A279" t="str">
        <f>IF(Table2425[[#This Row],[Branch Name]]="","",(_xlfn.XLOOKUP(Table2425[[#This Row],[Branch Name]],'Lookup Values'!G:G,'Lookup Values'!H:H,0)))</f>
        <v/>
      </c>
      <c r="B279" t="str">
        <f>IF(Table2425[[#This Row],[Branch Name]]="","",(_xlfn.XLOOKUP(Table2425[[#This Row],[Branch Name]],'Lookup Values'!G:G,'Lookup Values'!I:I,0)))</f>
        <v/>
      </c>
      <c r="C279" t="str">
        <f>IF(Table2425[[#This Row],[Journal Description (Service Description)]]="","",1)</f>
        <v/>
      </c>
      <c r="D279" s="2" t="str">
        <f>IF(Table2425[[#This Row],[Journal Description (Service Description)]]="","",VLOOKUP(Table2425[[#This Row],[Journal Description (Service Description)]],'Lookup Values'!$A:$B,2,FALSE))</f>
        <v/>
      </c>
    </row>
    <row r="280" spans="1:4" x14ac:dyDescent="0.35">
      <c r="A280" t="str">
        <f>IF(Table2425[[#This Row],[Branch Name]]="","",(_xlfn.XLOOKUP(Table2425[[#This Row],[Branch Name]],'Lookup Values'!G:G,'Lookup Values'!H:H,0)))</f>
        <v/>
      </c>
      <c r="B280" t="str">
        <f>IF(Table2425[[#This Row],[Branch Name]]="","",(_xlfn.XLOOKUP(Table2425[[#This Row],[Branch Name]],'Lookup Values'!G:G,'Lookup Values'!I:I,0)))</f>
        <v/>
      </c>
      <c r="C280" t="str">
        <f>IF(Table2425[[#This Row],[Journal Description (Service Description)]]="","",1)</f>
        <v/>
      </c>
      <c r="D280" s="2" t="str">
        <f>IF(Table2425[[#This Row],[Journal Description (Service Description)]]="","",VLOOKUP(Table2425[[#This Row],[Journal Description (Service Description)]],'Lookup Values'!$A:$B,2,FALSE))</f>
        <v/>
      </c>
    </row>
    <row r="281" spans="1:4" x14ac:dyDescent="0.35">
      <c r="A281" t="str">
        <f>IF(Table2425[[#This Row],[Branch Name]]="","",(_xlfn.XLOOKUP(Table2425[[#This Row],[Branch Name]],'Lookup Values'!G:G,'Lookup Values'!H:H,0)))</f>
        <v/>
      </c>
      <c r="B281" t="str">
        <f>IF(Table2425[[#This Row],[Branch Name]]="","",(_xlfn.XLOOKUP(Table2425[[#This Row],[Branch Name]],'Lookup Values'!G:G,'Lookup Values'!I:I,0)))</f>
        <v/>
      </c>
      <c r="C281" t="str">
        <f>IF(Table2425[[#This Row],[Journal Description (Service Description)]]="","",1)</f>
        <v/>
      </c>
      <c r="D281" s="2" t="str">
        <f>IF(Table2425[[#This Row],[Journal Description (Service Description)]]="","",VLOOKUP(Table2425[[#This Row],[Journal Description (Service Description)]],'Lookup Values'!$A:$B,2,FALSE))</f>
        <v/>
      </c>
    </row>
    <row r="282" spans="1:4" x14ac:dyDescent="0.35">
      <c r="A282" t="str">
        <f>IF(Table2425[[#This Row],[Branch Name]]="","",(_xlfn.XLOOKUP(Table2425[[#This Row],[Branch Name]],'Lookup Values'!G:G,'Lookup Values'!H:H,0)))</f>
        <v/>
      </c>
      <c r="B282" t="str">
        <f>IF(Table2425[[#This Row],[Branch Name]]="","",(_xlfn.XLOOKUP(Table2425[[#This Row],[Branch Name]],'Lookup Values'!G:G,'Lookup Values'!I:I,0)))</f>
        <v/>
      </c>
      <c r="C282" t="str">
        <f>IF(Table2425[[#This Row],[Journal Description (Service Description)]]="","",1)</f>
        <v/>
      </c>
      <c r="D282" s="2" t="str">
        <f>IF(Table2425[[#This Row],[Journal Description (Service Description)]]="","",VLOOKUP(Table2425[[#This Row],[Journal Description (Service Description)]],'Lookup Values'!$A:$B,2,FALSE))</f>
        <v/>
      </c>
    </row>
    <row r="283" spans="1:4" x14ac:dyDescent="0.35">
      <c r="A283" t="str">
        <f>IF(Table2425[[#This Row],[Branch Name]]="","",(_xlfn.XLOOKUP(Table2425[[#This Row],[Branch Name]],'Lookup Values'!G:G,'Lookup Values'!H:H,0)))</f>
        <v/>
      </c>
      <c r="B283" t="str">
        <f>IF(Table2425[[#This Row],[Branch Name]]="","",(_xlfn.XLOOKUP(Table2425[[#This Row],[Branch Name]],'Lookup Values'!G:G,'Lookup Values'!I:I,0)))</f>
        <v/>
      </c>
      <c r="C283" t="str">
        <f>IF(Table2425[[#This Row],[Journal Description (Service Description)]]="","",1)</f>
        <v/>
      </c>
      <c r="D283" s="2" t="str">
        <f>IF(Table2425[[#This Row],[Journal Description (Service Description)]]="","",VLOOKUP(Table2425[[#This Row],[Journal Description (Service Description)]],'Lookup Values'!$A:$B,2,FALSE))</f>
        <v/>
      </c>
    </row>
    <row r="284" spans="1:4" x14ac:dyDescent="0.35">
      <c r="A284" t="str">
        <f>IF(Table2425[[#This Row],[Branch Name]]="","",(_xlfn.XLOOKUP(Table2425[[#This Row],[Branch Name]],'Lookup Values'!G:G,'Lookup Values'!H:H,0)))</f>
        <v/>
      </c>
      <c r="B284" t="str">
        <f>IF(Table2425[[#This Row],[Branch Name]]="","",(_xlfn.XLOOKUP(Table2425[[#This Row],[Branch Name]],'Lookup Values'!G:G,'Lookup Values'!I:I,0)))</f>
        <v/>
      </c>
      <c r="C284" t="str">
        <f>IF(Table2425[[#This Row],[Journal Description (Service Description)]]="","",1)</f>
        <v/>
      </c>
      <c r="D284" s="2" t="str">
        <f>IF(Table2425[[#This Row],[Journal Description (Service Description)]]="","",VLOOKUP(Table2425[[#This Row],[Journal Description (Service Description)]],'Lookup Values'!$A:$B,2,FALSE))</f>
        <v/>
      </c>
    </row>
    <row r="285" spans="1:4" x14ac:dyDescent="0.35">
      <c r="A285" t="str">
        <f>IF(Table2425[[#This Row],[Branch Name]]="","",(_xlfn.XLOOKUP(Table2425[[#This Row],[Branch Name]],'Lookup Values'!G:G,'Lookup Values'!H:H,0)))</f>
        <v/>
      </c>
      <c r="B285" t="str">
        <f>IF(Table2425[[#This Row],[Branch Name]]="","",(_xlfn.XLOOKUP(Table2425[[#This Row],[Branch Name]],'Lookup Values'!G:G,'Lookup Values'!I:I,0)))</f>
        <v/>
      </c>
      <c r="C285" t="str">
        <f>IF(Table2425[[#This Row],[Journal Description (Service Description)]]="","",1)</f>
        <v/>
      </c>
      <c r="D285" s="2" t="str">
        <f>IF(Table2425[[#This Row],[Journal Description (Service Description)]]="","",VLOOKUP(Table2425[[#This Row],[Journal Description (Service Description)]],'Lookup Values'!$A:$B,2,FALSE))</f>
        <v/>
      </c>
    </row>
    <row r="286" spans="1:4" x14ac:dyDescent="0.35">
      <c r="A286" t="str">
        <f>IF(Table2425[[#This Row],[Branch Name]]="","",(_xlfn.XLOOKUP(Table2425[[#This Row],[Branch Name]],'Lookup Values'!G:G,'Lookup Values'!H:H,0)))</f>
        <v/>
      </c>
      <c r="B286" t="str">
        <f>IF(Table2425[[#This Row],[Branch Name]]="","",(_xlfn.XLOOKUP(Table2425[[#This Row],[Branch Name]],'Lookup Values'!G:G,'Lookup Values'!I:I,0)))</f>
        <v/>
      </c>
      <c r="C286" t="str">
        <f>IF(Table2425[[#This Row],[Journal Description (Service Description)]]="","",1)</f>
        <v/>
      </c>
      <c r="D286" s="2" t="str">
        <f>IF(Table2425[[#This Row],[Journal Description (Service Description)]]="","",VLOOKUP(Table2425[[#This Row],[Journal Description (Service Description)]],'Lookup Values'!$A:$B,2,FALSE))</f>
        <v/>
      </c>
    </row>
    <row r="287" spans="1:4" x14ac:dyDescent="0.35">
      <c r="A287" t="str">
        <f>IF(Table2425[[#This Row],[Branch Name]]="","",(_xlfn.XLOOKUP(Table2425[[#This Row],[Branch Name]],'Lookup Values'!G:G,'Lookup Values'!H:H,0)))</f>
        <v/>
      </c>
      <c r="B287" t="str">
        <f>IF(Table2425[[#This Row],[Branch Name]]="","",(_xlfn.XLOOKUP(Table2425[[#This Row],[Branch Name]],'Lookup Values'!G:G,'Lookup Values'!I:I,0)))</f>
        <v/>
      </c>
      <c r="C287" t="str">
        <f>IF(Table2425[[#This Row],[Journal Description (Service Description)]]="","",1)</f>
        <v/>
      </c>
      <c r="D287" s="2" t="str">
        <f>IF(Table2425[[#This Row],[Journal Description (Service Description)]]="","",VLOOKUP(Table2425[[#This Row],[Journal Description (Service Description)]],'Lookup Values'!$A:$B,2,FALSE))</f>
        <v/>
      </c>
    </row>
    <row r="288" spans="1:4" x14ac:dyDescent="0.35">
      <c r="A288" t="str">
        <f>IF(Table2425[[#This Row],[Branch Name]]="","",(_xlfn.XLOOKUP(Table2425[[#This Row],[Branch Name]],'Lookup Values'!G:G,'Lookup Values'!H:H,0)))</f>
        <v/>
      </c>
      <c r="B288" t="str">
        <f>IF(Table2425[[#This Row],[Branch Name]]="","",(_xlfn.XLOOKUP(Table2425[[#This Row],[Branch Name]],'Lookup Values'!G:G,'Lookup Values'!I:I,0)))</f>
        <v/>
      </c>
      <c r="C288" t="str">
        <f>IF(Table2425[[#This Row],[Journal Description (Service Description)]]="","",1)</f>
        <v/>
      </c>
      <c r="D288" s="2" t="str">
        <f>IF(Table2425[[#This Row],[Journal Description (Service Description)]]="","",VLOOKUP(Table2425[[#This Row],[Journal Description (Service Description)]],'Lookup Values'!$A:$B,2,FALSE))</f>
        <v/>
      </c>
    </row>
    <row r="289" spans="1:4" x14ac:dyDescent="0.35">
      <c r="A289" t="str">
        <f>IF(Table2425[[#This Row],[Branch Name]]="","",(_xlfn.XLOOKUP(Table2425[[#This Row],[Branch Name]],'Lookup Values'!G:G,'Lookup Values'!H:H,0)))</f>
        <v/>
      </c>
      <c r="B289" t="str">
        <f>IF(Table2425[[#This Row],[Branch Name]]="","",(_xlfn.XLOOKUP(Table2425[[#This Row],[Branch Name]],'Lookup Values'!G:G,'Lookup Values'!I:I,0)))</f>
        <v/>
      </c>
      <c r="C289" t="str">
        <f>IF(Table2425[[#This Row],[Journal Description (Service Description)]]="","",1)</f>
        <v/>
      </c>
      <c r="D289" s="2" t="str">
        <f>IF(Table2425[[#This Row],[Journal Description (Service Description)]]="","",VLOOKUP(Table2425[[#This Row],[Journal Description (Service Description)]],'Lookup Values'!$A:$B,2,FALSE))</f>
        <v/>
      </c>
    </row>
    <row r="290" spans="1:4" x14ac:dyDescent="0.35">
      <c r="A290" t="str">
        <f>IF(Table2425[[#This Row],[Branch Name]]="","",(_xlfn.XLOOKUP(Table2425[[#This Row],[Branch Name]],'Lookup Values'!G:G,'Lookup Values'!H:H,0)))</f>
        <v/>
      </c>
      <c r="B290" t="str">
        <f>IF(Table2425[[#This Row],[Branch Name]]="","",(_xlfn.XLOOKUP(Table2425[[#This Row],[Branch Name]],'Lookup Values'!G:G,'Lookup Values'!I:I,0)))</f>
        <v/>
      </c>
      <c r="C290" t="str">
        <f>IF(Table2425[[#This Row],[Journal Description (Service Description)]]="","",1)</f>
        <v/>
      </c>
      <c r="D290" s="2" t="str">
        <f>IF(Table2425[[#This Row],[Journal Description (Service Description)]]="","",VLOOKUP(Table2425[[#This Row],[Journal Description (Service Description)]],'Lookup Values'!$A:$B,2,FALSE))</f>
        <v/>
      </c>
    </row>
    <row r="291" spans="1:4" x14ac:dyDescent="0.35">
      <c r="A291" t="str">
        <f>IF(Table2425[[#This Row],[Branch Name]]="","",(_xlfn.XLOOKUP(Table2425[[#This Row],[Branch Name]],'Lookup Values'!G:G,'Lookup Values'!H:H,0)))</f>
        <v/>
      </c>
      <c r="B291" t="str">
        <f>IF(Table2425[[#This Row],[Branch Name]]="","",(_xlfn.XLOOKUP(Table2425[[#This Row],[Branch Name]],'Lookup Values'!G:G,'Lookup Values'!I:I,0)))</f>
        <v/>
      </c>
      <c r="C291" t="str">
        <f>IF(Table2425[[#This Row],[Journal Description (Service Description)]]="","",1)</f>
        <v/>
      </c>
      <c r="D291" s="2" t="str">
        <f>IF(Table2425[[#This Row],[Journal Description (Service Description)]]="","",VLOOKUP(Table2425[[#This Row],[Journal Description (Service Description)]],'Lookup Values'!$A:$B,2,FALSE))</f>
        <v/>
      </c>
    </row>
    <row r="292" spans="1:4" x14ac:dyDescent="0.35">
      <c r="A292" t="str">
        <f>IF(Table2425[[#This Row],[Branch Name]]="","",(_xlfn.XLOOKUP(Table2425[[#This Row],[Branch Name]],'Lookup Values'!G:G,'Lookup Values'!H:H,0)))</f>
        <v/>
      </c>
      <c r="B292" t="str">
        <f>IF(Table2425[[#This Row],[Branch Name]]="","",(_xlfn.XLOOKUP(Table2425[[#This Row],[Branch Name]],'Lookup Values'!G:G,'Lookup Values'!I:I,0)))</f>
        <v/>
      </c>
      <c r="C292" t="str">
        <f>IF(Table2425[[#This Row],[Journal Description (Service Description)]]="","",1)</f>
        <v/>
      </c>
      <c r="D292" s="2" t="str">
        <f>IF(Table2425[[#This Row],[Journal Description (Service Description)]]="","",VLOOKUP(Table2425[[#This Row],[Journal Description (Service Description)]],'Lookup Values'!$A:$B,2,FALSE))</f>
        <v/>
      </c>
    </row>
    <row r="293" spans="1:4" x14ac:dyDescent="0.35">
      <c r="A293" t="str">
        <f>IF(Table2425[[#This Row],[Branch Name]]="","",(_xlfn.XLOOKUP(Table2425[[#This Row],[Branch Name]],'Lookup Values'!G:G,'Lookup Values'!H:H,0)))</f>
        <v/>
      </c>
      <c r="B293" t="str">
        <f>IF(Table2425[[#This Row],[Branch Name]]="","",(_xlfn.XLOOKUP(Table2425[[#This Row],[Branch Name]],'Lookup Values'!G:G,'Lookup Values'!I:I,0)))</f>
        <v/>
      </c>
      <c r="C293" t="str">
        <f>IF(Table2425[[#This Row],[Journal Description (Service Description)]]="","",1)</f>
        <v/>
      </c>
      <c r="D293" s="2" t="str">
        <f>IF(Table2425[[#This Row],[Journal Description (Service Description)]]="","",VLOOKUP(Table2425[[#This Row],[Journal Description (Service Description)]],'Lookup Values'!$A:$B,2,FALSE))</f>
        <v/>
      </c>
    </row>
    <row r="294" spans="1:4" x14ac:dyDescent="0.35">
      <c r="A294" t="str">
        <f>IF(Table2425[[#This Row],[Branch Name]]="","",(_xlfn.XLOOKUP(Table2425[[#This Row],[Branch Name]],'Lookup Values'!G:G,'Lookup Values'!H:H,0)))</f>
        <v/>
      </c>
      <c r="B294" t="str">
        <f>IF(Table2425[[#This Row],[Branch Name]]="","",(_xlfn.XLOOKUP(Table2425[[#This Row],[Branch Name]],'Lookup Values'!G:G,'Lookup Values'!I:I,0)))</f>
        <v/>
      </c>
      <c r="C294" t="str">
        <f>IF(Table2425[[#This Row],[Journal Description (Service Description)]]="","",1)</f>
        <v/>
      </c>
      <c r="D294" s="2" t="str">
        <f>IF(Table2425[[#This Row],[Journal Description (Service Description)]]="","",VLOOKUP(Table2425[[#This Row],[Journal Description (Service Description)]],'Lookup Values'!$A:$B,2,FALSE))</f>
        <v/>
      </c>
    </row>
    <row r="295" spans="1:4" x14ac:dyDescent="0.35">
      <c r="A295" t="str">
        <f>IF(Table2425[[#This Row],[Branch Name]]="","",(_xlfn.XLOOKUP(Table2425[[#This Row],[Branch Name]],'Lookup Values'!G:G,'Lookup Values'!H:H,0)))</f>
        <v/>
      </c>
      <c r="B295" t="str">
        <f>IF(Table2425[[#This Row],[Branch Name]]="","",(_xlfn.XLOOKUP(Table2425[[#This Row],[Branch Name]],'Lookup Values'!G:G,'Lookup Values'!I:I,0)))</f>
        <v/>
      </c>
      <c r="C295" t="str">
        <f>IF(Table2425[[#This Row],[Journal Description (Service Description)]]="","",1)</f>
        <v/>
      </c>
      <c r="D295" s="2" t="str">
        <f>IF(Table2425[[#This Row],[Journal Description (Service Description)]]="","",VLOOKUP(Table2425[[#This Row],[Journal Description (Service Description)]],'Lookup Values'!$A:$B,2,FALSE))</f>
        <v/>
      </c>
    </row>
    <row r="296" spans="1:4" x14ac:dyDescent="0.35">
      <c r="A296" t="str">
        <f>IF(Table2425[[#This Row],[Branch Name]]="","",(_xlfn.XLOOKUP(Table2425[[#This Row],[Branch Name]],'Lookup Values'!G:G,'Lookup Values'!H:H,0)))</f>
        <v/>
      </c>
      <c r="B296" t="str">
        <f>IF(Table2425[[#This Row],[Branch Name]]="","",(_xlfn.XLOOKUP(Table2425[[#This Row],[Branch Name]],'Lookup Values'!G:G,'Lookup Values'!I:I,0)))</f>
        <v/>
      </c>
      <c r="C296" t="str">
        <f>IF(Table2425[[#This Row],[Journal Description (Service Description)]]="","",1)</f>
        <v/>
      </c>
      <c r="D296" s="2" t="str">
        <f>IF(Table2425[[#This Row],[Journal Description (Service Description)]]="","",VLOOKUP(Table2425[[#This Row],[Journal Description (Service Description)]],'Lookup Values'!$A:$B,2,FALSE))</f>
        <v/>
      </c>
    </row>
    <row r="297" spans="1:4" x14ac:dyDescent="0.35">
      <c r="A297" t="str">
        <f>IF(Table2425[[#This Row],[Branch Name]]="","",(_xlfn.XLOOKUP(Table2425[[#This Row],[Branch Name]],'Lookup Values'!G:G,'Lookup Values'!H:H,0)))</f>
        <v/>
      </c>
      <c r="B297" t="str">
        <f>IF(Table2425[[#This Row],[Branch Name]]="","",(_xlfn.XLOOKUP(Table2425[[#This Row],[Branch Name]],'Lookup Values'!G:G,'Lookup Values'!I:I,0)))</f>
        <v/>
      </c>
      <c r="C297" t="str">
        <f>IF(Table2425[[#This Row],[Journal Description (Service Description)]]="","",1)</f>
        <v/>
      </c>
      <c r="D297" s="2" t="str">
        <f>IF(Table2425[[#This Row],[Journal Description (Service Description)]]="","",VLOOKUP(Table2425[[#This Row],[Journal Description (Service Description)]],'Lookup Values'!$A:$B,2,FALSE))</f>
        <v/>
      </c>
    </row>
    <row r="298" spans="1:4" x14ac:dyDescent="0.35">
      <c r="A298" t="str">
        <f>IF(Table2425[[#This Row],[Branch Name]]="","",(_xlfn.XLOOKUP(Table2425[[#This Row],[Branch Name]],'Lookup Values'!G:G,'Lookup Values'!H:H,0)))</f>
        <v/>
      </c>
      <c r="B298" t="str">
        <f>IF(Table2425[[#This Row],[Branch Name]]="","",(_xlfn.XLOOKUP(Table2425[[#This Row],[Branch Name]],'Lookup Values'!G:G,'Lookup Values'!I:I,0)))</f>
        <v/>
      </c>
      <c r="C298" t="str">
        <f>IF(Table2425[[#This Row],[Journal Description (Service Description)]]="","",1)</f>
        <v/>
      </c>
      <c r="D298" s="2" t="str">
        <f>IF(Table2425[[#This Row],[Journal Description (Service Description)]]="","",VLOOKUP(Table2425[[#This Row],[Journal Description (Service Description)]],'Lookup Values'!$A:$B,2,FALSE))</f>
        <v/>
      </c>
    </row>
    <row r="299" spans="1:4" x14ac:dyDescent="0.35">
      <c r="A299" t="str">
        <f>IF(Table2425[[#This Row],[Branch Name]]="","",(_xlfn.XLOOKUP(Table2425[[#This Row],[Branch Name]],'Lookup Values'!G:G,'Lookup Values'!H:H,0)))</f>
        <v/>
      </c>
      <c r="B299" t="str">
        <f>IF(Table2425[[#This Row],[Branch Name]]="","",(_xlfn.XLOOKUP(Table2425[[#This Row],[Branch Name]],'Lookup Values'!G:G,'Lookup Values'!I:I,0)))</f>
        <v/>
      </c>
      <c r="C299" t="str">
        <f>IF(Table2425[[#This Row],[Journal Description (Service Description)]]="","",1)</f>
        <v/>
      </c>
      <c r="D299" s="2" t="str">
        <f>IF(Table2425[[#This Row],[Journal Description (Service Description)]]="","",VLOOKUP(Table2425[[#This Row],[Journal Description (Service Description)]],'Lookup Values'!$A:$B,2,FALSE))</f>
        <v/>
      </c>
    </row>
    <row r="300" spans="1:4" x14ac:dyDescent="0.35">
      <c r="A300" t="str">
        <f>IF(Table2425[[#This Row],[Branch Name]]="","",(_xlfn.XLOOKUP(Table2425[[#This Row],[Branch Name]],'Lookup Values'!G:G,'Lookup Values'!H:H,0)))</f>
        <v/>
      </c>
      <c r="B300" t="str">
        <f>IF(Table2425[[#This Row],[Branch Name]]="","",(_xlfn.XLOOKUP(Table2425[[#This Row],[Branch Name]],'Lookup Values'!G:G,'Lookup Values'!I:I,0)))</f>
        <v/>
      </c>
      <c r="C300" t="str">
        <f>IF(Table2425[[#This Row],[Journal Description (Service Description)]]="","",1)</f>
        <v/>
      </c>
      <c r="D300" s="2" t="str">
        <f>IF(Table2425[[#This Row],[Journal Description (Service Description)]]="","",VLOOKUP(Table2425[[#This Row],[Journal Description (Service Description)]],'Lookup Values'!$A:$B,2,FALSE))</f>
        <v/>
      </c>
    </row>
    <row r="301" spans="1:4" x14ac:dyDescent="0.35">
      <c r="A301" t="str">
        <f>IF(Table2425[[#This Row],[Branch Name]]="","",(_xlfn.XLOOKUP(Table2425[[#This Row],[Branch Name]],'Lookup Values'!G:G,'Lookup Values'!H:H,0)))</f>
        <v/>
      </c>
      <c r="B301" t="str">
        <f>IF(Table2425[[#This Row],[Branch Name]]="","",(_xlfn.XLOOKUP(Table2425[[#This Row],[Branch Name]],'Lookup Values'!G:G,'Lookup Values'!I:I,0)))</f>
        <v/>
      </c>
      <c r="C301" t="str">
        <f>IF(Table2425[[#This Row],[Journal Description (Service Description)]]="","",1)</f>
        <v/>
      </c>
      <c r="D301" s="2" t="str">
        <f>IF(Table2425[[#This Row],[Journal Description (Service Description)]]="","",VLOOKUP(Table2425[[#This Row],[Journal Description (Service Description)]],'Lookup Values'!$A:$B,2,FALSE))</f>
        <v/>
      </c>
    </row>
    <row r="302" spans="1:4" x14ac:dyDescent="0.35">
      <c r="A302" t="str">
        <f>IF(Table2425[[#This Row],[Branch Name]]="","",(_xlfn.XLOOKUP(Table2425[[#This Row],[Branch Name]],'Lookup Values'!G:G,'Lookup Values'!H:H,0)))</f>
        <v/>
      </c>
      <c r="B302" t="str">
        <f>IF(Table2425[[#This Row],[Branch Name]]="","",(_xlfn.XLOOKUP(Table2425[[#This Row],[Branch Name]],'Lookup Values'!G:G,'Lookup Values'!I:I,0)))</f>
        <v/>
      </c>
      <c r="C302" t="str">
        <f>IF(Table2425[[#This Row],[Journal Description (Service Description)]]="","",1)</f>
        <v/>
      </c>
      <c r="D302" s="2" t="str">
        <f>IF(Table2425[[#This Row],[Journal Description (Service Description)]]="","",VLOOKUP(Table2425[[#This Row],[Journal Description (Service Description)]],'Lookup Values'!$A:$B,2,FALSE))</f>
        <v/>
      </c>
    </row>
    <row r="303" spans="1:4" x14ac:dyDescent="0.35">
      <c r="A303" t="str">
        <f>IF(Table2425[[#This Row],[Branch Name]]="","",(_xlfn.XLOOKUP(Table2425[[#This Row],[Branch Name]],'Lookup Values'!G:G,'Lookup Values'!H:H,0)))</f>
        <v/>
      </c>
      <c r="B303" t="str">
        <f>IF(Table2425[[#This Row],[Branch Name]]="","",(_xlfn.XLOOKUP(Table2425[[#This Row],[Branch Name]],'Lookup Values'!G:G,'Lookup Values'!I:I,0)))</f>
        <v/>
      </c>
      <c r="C303" t="str">
        <f>IF(Table2425[[#This Row],[Journal Description (Service Description)]]="","",1)</f>
        <v/>
      </c>
      <c r="D303" s="2" t="str">
        <f>IF(Table2425[[#This Row],[Journal Description (Service Description)]]="","",VLOOKUP(Table2425[[#This Row],[Journal Description (Service Description)]],'Lookup Values'!$A:$B,2,FALSE))</f>
        <v/>
      </c>
    </row>
    <row r="304" spans="1:4" x14ac:dyDescent="0.35">
      <c r="A304" t="str">
        <f>IF(Table2425[[#This Row],[Branch Name]]="","",(_xlfn.XLOOKUP(Table2425[[#This Row],[Branch Name]],'Lookup Values'!G:G,'Lookup Values'!H:H,0)))</f>
        <v/>
      </c>
      <c r="B304" t="str">
        <f>IF(Table2425[[#This Row],[Branch Name]]="","",(_xlfn.XLOOKUP(Table2425[[#This Row],[Branch Name]],'Lookup Values'!G:G,'Lookup Values'!I:I,0)))</f>
        <v/>
      </c>
      <c r="C304" t="str">
        <f>IF(Table2425[[#This Row],[Journal Description (Service Description)]]="","",1)</f>
        <v/>
      </c>
      <c r="D304" s="2" t="str">
        <f>IF(Table2425[[#This Row],[Journal Description (Service Description)]]="","",VLOOKUP(Table2425[[#This Row],[Journal Description (Service Description)]],'Lookup Values'!$A:$B,2,FALSE))</f>
        <v/>
      </c>
    </row>
    <row r="305" spans="1:4" x14ac:dyDescent="0.35">
      <c r="A305" t="str">
        <f>IF(Table2425[[#This Row],[Branch Name]]="","",(_xlfn.XLOOKUP(Table2425[[#This Row],[Branch Name]],'Lookup Values'!G:G,'Lookup Values'!H:H,0)))</f>
        <v/>
      </c>
      <c r="B305" t="str">
        <f>IF(Table2425[[#This Row],[Branch Name]]="","",(_xlfn.XLOOKUP(Table2425[[#This Row],[Branch Name]],'Lookup Values'!G:G,'Lookup Values'!I:I,0)))</f>
        <v/>
      </c>
      <c r="C305" t="str">
        <f>IF(Table2425[[#This Row],[Journal Description (Service Description)]]="","",1)</f>
        <v/>
      </c>
      <c r="D305" s="2" t="str">
        <f>IF(Table2425[[#This Row],[Journal Description (Service Description)]]="","",VLOOKUP(Table2425[[#This Row],[Journal Description (Service Description)]],'Lookup Values'!$A:$B,2,FALSE))</f>
        <v/>
      </c>
    </row>
    <row r="306" spans="1:4" x14ac:dyDescent="0.35">
      <c r="A306" t="str">
        <f>IF(Table2425[[#This Row],[Branch Name]]="","",(_xlfn.XLOOKUP(Table2425[[#This Row],[Branch Name]],'Lookup Values'!G:G,'Lookup Values'!H:H,0)))</f>
        <v/>
      </c>
      <c r="B306" t="str">
        <f>IF(Table2425[[#This Row],[Branch Name]]="","",(_xlfn.XLOOKUP(Table2425[[#This Row],[Branch Name]],'Lookup Values'!G:G,'Lookup Values'!I:I,0)))</f>
        <v/>
      </c>
      <c r="C306" t="str">
        <f>IF(Table2425[[#This Row],[Journal Description (Service Description)]]="","",1)</f>
        <v/>
      </c>
      <c r="D306" s="2" t="str">
        <f>IF(Table2425[[#This Row],[Journal Description (Service Description)]]="","",VLOOKUP(Table2425[[#This Row],[Journal Description (Service Description)]],'Lookup Values'!$A:$B,2,FALSE))</f>
        <v/>
      </c>
    </row>
    <row r="307" spans="1:4" x14ac:dyDescent="0.35">
      <c r="A307" t="str">
        <f>IF(Table2425[[#This Row],[Branch Name]]="","",(_xlfn.XLOOKUP(Table2425[[#This Row],[Branch Name]],'Lookup Values'!G:G,'Lookup Values'!H:H,0)))</f>
        <v/>
      </c>
      <c r="B307" t="str">
        <f>IF(Table2425[[#This Row],[Branch Name]]="","",(_xlfn.XLOOKUP(Table2425[[#This Row],[Branch Name]],'Lookup Values'!G:G,'Lookup Values'!I:I,0)))</f>
        <v/>
      </c>
      <c r="C307" t="str">
        <f>IF(Table2425[[#This Row],[Journal Description (Service Description)]]="","",1)</f>
        <v/>
      </c>
      <c r="D307" s="2" t="str">
        <f>IF(Table2425[[#This Row],[Journal Description (Service Description)]]="","",VLOOKUP(Table2425[[#This Row],[Journal Description (Service Description)]],'Lookup Values'!$A:$B,2,FALSE))</f>
        <v/>
      </c>
    </row>
    <row r="308" spans="1:4" x14ac:dyDescent="0.35">
      <c r="A308" t="str">
        <f>IF(Table2425[[#This Row],[Branch Name]]="","",(_xlfn.XLOOKUP(Table2425[[#This Row],[Branch Name]],'Lookup Values'!G:G,'Lookup Values'!H:H,0)))</f>
        <v/>
      </c>
      <c r="B308" t="str">
        <f>IF(Table2425[[#This Row],[Branch Name]]="","",(_xlfn.XLOOKUP(Table2425[[#This Row],[Branch Name]],'Lookup Values'!G:G,'Lookup Values'!I:I,0)))</f>
        <v/>
      </c>
      <c r="C308" t="str">
        <f>IF(Table2425[[#This Row],[Journal Description (Service Description)]]="","",1)</f>
        <v/>
      </c>
      <c r="D308" s="2" t="str">
        <f>IF(Table2425[[#This Row],[Journal Description (Service Description)]]="","",VLOOKUP(Table2425[[#This Row],[Journal Description (Service Description)]],'Lookup Values'!$A:$B,2,FALSE))</f>
        <v/>
      </c>
    </row>
    <row r="309" spans="1:4" x14ac:dyDescent="0.35">
      <c r="A309" t="str">
        <f>IF(Table2425[[#This Row],[Branch Name]]="","",(_xlfn.XLOOKUP(Table2425[[#This Row],[Branch Name]],'Lookup Values'!G:G,'Lookup Values'!H:H,0)))</f>
        <v/>
      </c>
      <c r="B309" t="str">
        <f>IF(Table2425[[#This Row],[Branch Name]]="","",(_xlfn.XLOOKUP(Table2425[[#This Row],[Branch Name]],'Lookup Values'!G:G,'Lookup Values'!I:I,0)))</f>
        <v/>
      </c>
      <c r="C309" t="str">
        <f>IF(Table2425[[#This Row],[Journal Description (Service Description)]]="","",1)</f>
        <v/>
      </c>
      <c r="D309" s="2" t="str">
        <f>IF(Table2425[[#This Row],[Journal Description (Service Description)]]="","",VLOOKUP(Table2425[[#This Row],[Journal Description (Service Description)]],'Lookup Values'!$A:$B,2,FALSE))</f>
        <v/>
      </c>
    </row>
    <row r="310" spans="1:4" x14ac:dyDescent="0.35">
      <c r="A310" t="str">
        <f>IF(Table2425[[#This Row],[Branch Name]]="","",(_xlfn.XLOOKUP(Table2425[[#This Row],[Branch Name]],'Lookup Values'!G:G,'Lookup Values'!H:H,0)))</f>
        <v/>
      </c>
      <c r="B310" t="str">
        <f>IF(Table2425[[#This Row],[Branch Name]]="","",(_xlfn.XLOOKUP(Table2425[[#This Row],[Branch Name]],'Lookup Values'!G:G,'Lookup Values'!I:I,0)))</f>
        <v/>
      </c>
      <c r="C310" t="str">
        <f>IF(Table2425[[#This Row],[Journal Description (Service Description)]]="","",1)</f>
        <v/>
      </c>
      <c r="D310" s="2" t="str">
        <f>IF(Table2425[[#This Row],[Journal Description (Service Description)]]="","",VLOOKUP(Table2425[[#This Row],[Journal Description (Service Description)]],'Lookup Values'!$A:$B,2,FALSE))</f>
        <v/>
      </c>
    </row>
    <row r="311" spans="1:4" x14ac:dyDescent="0.35">
      <c r="A311" t="str">
        <f>IF(Table2425[[#This Row],[Branch Name]]="","",(_xlfn.XLOOKUP(Table2425[[#This Row],[Branch Name]],'Lookup Values'!G:G,'Lookup Values'!H:H,0)))</f>
        <v/>
      </c>
      <c r="B311" t="str">
        <f>IF(Table2425[[#This Row],[Branch Name]]="","",(_xlfn.XLOOKUP(Table2425[[#This Row],[Branch Name]],'Lookup Values'!G:G,'Lookup Values'!I:I,0)))</f>
        <v/>
      </c>
      <c r="C311" t="str">
        <f>IF(Table2425[[#This Row],[Journal Description (Service Description)]]="","",1)</f>
        <v/>
      </c>
      <c r="D311" s="2" t="str">
        <f>IF(Table2425[[#This Row],[Journal Description (Service Description)]]="","",VLOOKUP(Table2425[[#This Row],[Journal Description (Service Description)]],'Lookup Values'!$A:$B,2,FALSE))</f>
        <v/>
      </c>
    </row>
    <row r="312" spans="1:4" x14ac:dyDescent="0.35">
      <c r="A312" t="str">
        <f>IF(Table2425[[#This Row],[Branch Name]]="","",(_xlfn.XLOOKUP(Table2425[[#This Row],[Branch Name]],'Lookup Values'!G:G,'Lookup Values'!H:H,0)))</f>
        <v/>
      </c>
      <c r="B312" t="str">
        <f>IF(Table2425[[#This Row],[Branch Name]]="","",(_xlfn.XLOOKUP(Table2425[[#This Row],[Branch Name]],'Lookup Values'!G:G,'Lookup Values'!I:I,0)))</f>
        <v/>
      </c>
      <c r="C312" t="str">
        <f>IF(Table2425[[#This Row],[Journal Description (Service Description)]]="","",1)</f>
        <v/>
      </c>
      <c r="D312" s="2" t="str">
        <f>IF(Table2425[[#This Row],[Journal Description (Service Description)]]="","",VLOOKUP(Table2425[[#This Row],[Journal Description (Service Description)]],'Lookup Values'!$A:$B,2,FALSE))</f>
        <v/>
      </c>
    </row>
    <row r="313" spans="1:4" x14ac:dyDescent="0.35">
      <c r="A313" t="str">
        <f>IF(Table2425[[#This Row],[Branch Name]]="","",(_xlfn.XLOOKUP(Table2425[[#This Row],[Branch Name]],'Lookup Values'!G:G,'Lookup Values'!H:H,0)))</f>
        <v/>
      </c>
      <c r="B313" t="str">
        <f>IF(Table2425[[#This Row],[Branch Name]]="","",(_xlfn.XLOOKUP(Table2425[[#This Row],[Branch Name]],'Lookup Values'!G:G,'Lookup Values'!I:I,0)))</f>
        <v/>
      </c>
      <c r="C313" t="str">
        <f>IF(Table2425[[#This Row],[Journal Description (Service Description)]]="","",1)</f>
        <v/>
      </c>
      <c r="D313" s="2" t="str">
        <f>IF(Table2425[[#This Row],[Journal Description (Service Description)]]="","",VLOOKUP(Table2425[[#This Row],[Journal Description (Service Description)]],'Lookup Values'!$A:$B,2,FALSE))</f>
        <v/>
      </c>
    </row>
    <row r="314" spans="1:4" x14ac:dyDescent="0.35">
      <c r="A314" t="str">
        <f>IF(Table2425[[#This Row],[Branch Name]]="","",(_xlfn.XLOOKUP(Table2425[[#This Row],[Branch Name]],'Lookup Values'!G:G,'Lookup Values'!H:H,0)))</f>
        <v/>
      </c>
      <c r="B314" t="str">
        <f>IF(Table2425[[#This Row],[Branch Name]]="","",(_xlfn.XLOOKUP(Table2425[[#This Row],[Branch Name]],'Lookup Values'!G:G,'Lookup Values'!I:I,0)))</f>
        <v/>
      </c>
      <c r="C314" t="str">
        <f>IF(Table2425[[#This Row],[Journal Description (Service Description)]]="","",1)</f>
        <v/>
      </c>
      <c r="D314" s="2" t="str">
        <f>IF(Table2425[[#This Row],[Journal Description (Service Description)]]="","",VLOOKUP(Table2425[[#This Row],[Journal Description (Service Description)]],'Lookup Values'!$A:$B,2,FALSE))</f>
        <v/>
      </c>
    </row>
    <row r="315" spans="1:4" x14ac:dyDescent="0.35">
      <c r="A315" t="str">
        <f>IF(Table2425[[#This Row],[Branch Name]]="","",(_xlfn.XLOOKUP(Table2425[[#This Row],[Branch Name]],'Lookup Values'!G:G,'Lookup Values'!H:H,0)))</f>
        <v/>
      </c>
      <c r="B315" t="str">
        <f>IF(Table2425[[#This Row],[Branch Name]]="","",(_xlfn.XLOOKUP(Table2425[[#This Row],[Branch Name]],'Lookup Values'!G:G,'Lookup Values'!I:I,0)))</f>
        <v/>
      </c>
      <c r="C315" t="str">
        <f>IF(Table2425[[#This Row],[Journal Description (Service Description)]]="","",1)</f>
        <v/>
      </c>
      <c r="D315" s="2" t="str">
        <f>IF(Table2425[[#This Row],[Journal Description (Service Description)]]="","",VLOOKUP(Table2425[[#This Row],[Journal Description (Service Description)]],'Lookup Values'!$A:$B,2,FALSE))</f>
        <v/>
      </c>
    </row>
    <row r="316" spans="1:4" x14ac:dyDescent="0.35">
      <c r="A316" t="str">
        <f>IF(Table2425[[#This Row],[Branch Name]]="","",(_xlfn.XLOOKUP(Table2425[[#This Row],[Branch Name]],'Lookup Values'!G:G,'Lookup Values'!H:H,0)))</f>
        <v/>
      </c>
      <c r="B316" t="str">
        <f>IF(Table2425[[#This Row],[Branch Name]]="","",(_xlfn.XLOOKUP(Table2425[[#This Row],[Branch Name]],'Lookup Values'!G:G,'Lookup Values'!I:I,0)))</f>
        <v/>
      </c>
      <c r="C316" t="str">
        <f>IF(Table2425[[#This Row],[Journal Description (Service Description)]]="","",1)</f>
        <v/>
      </c>
      <c r="D316" s="2" t="str">
        <f>IF(Table2425[[#This Row],[Journal Description (Service Description)]]="","",VLOOKUP(Table2425[[#This Row],[Journal Description (Service Description)]],'Lookup Values'!$A:$B,2,FALSE))</f>
        <v/>
      </c>
    </row>
    <row r="317" spans="1:4" x14ac:dyDescent="0.35">
      <c r="A317" t="str">
        <f>IF(Table2425[[#This Row],[Branch Name]]="","",(_xlfn.XLOOKUP(Table2425[[#This Row],[Branch Name]],'Lookup Values'!G:G,'Lookup Values'!H:H,0)))</f>
        <v/>
      </c>
      <c r="B317" t="str">
        <f>IF(Table2425[[#This Row],[Branch Name]]="","",(_xlfn.XLOOKUP(Table2425[[#This Row],[Branch Name]],'Lookup Values'!G:G,'Lookup Values'!I:I,0)))</f>
        <v/>
      </c>
      <c r="C317" t="str">
        <f>IF(Table2425[[#This Row],[Journal Description (Service Description)]]="","",1)</f>
        <v/>
      </c>
      <c r="D317" s="2" t="str">
        <f>IF(Table2425[[#This Row],[Journal Description (Service Description)]]="","",VLOOKUP(Table2425[[#This Row],[Journal Description (Service Description)]],'Lookup Values'!$A:$B,2,FALSE))</f>
        <v/>
      </c>
    </row>
    <row r="318" spans="1:4" x14ac:dyDescent="0.35">
      <c r="A318" t="str">
        <f>IF(Table2425[[#This Row],[Branch Name]]="","",(_xlfn.XLOOKUP(Table2425[[#This Row],[Branch Name]],'Lookup Values'!G:G,'Lookup Values'!H:H,0)))</f>
        <v/>
      </c>
      <c r="B318" t="str">
        <f>IF(Table2425[[#This Row],[Branch Name]]="","",(_xlfn.XLOOKUP(Table2425[[#This Row],[Branch Name]],'Lookup Values'!G:G,'Lookup Values'!I:I,0)))</f>
        <v/>
      </c>
      <c r="C318" t="str">
        <f>IF(Table2425[[#This Row],[Journal Description (Service Description)]]="","",1)</f>
        <v/>
      </c>
      <c r="D318" s="2" t="str">
        <f>IF(Table2425[[#This Row],[Journal Description (Service Description)]]="","",VLOOKUP(Table2425[[#This Row],[Journal Description (Service Description)]],'Lookup Values'!$A:$B,2,FALSE))</f>
        <v/>
      </c>
    </row>
    <row r="319" spans="1:4" x14ac:dyDescent="0.35">
      <c r="A319" t="str">
        <f>IF(Table2425[[#This Row],[Branch Name]]="","",(_xlfn.XLOOKUP(Table2425[[#This Row],[Branch Name]],'Lookup Values'!G:G,'Lookup Values'!H:H,0)))</f>
        <v/>
      </c>
      <c r="B319" t="str">
        <f>IF(Table2425[[#This Row],[Branch Name]]="","",(_xlfn.XLOOKUP(Table2425[[#This Row],[Branch Name]],'Lookup Values'!G:G,'Lookup Values'!I:I,0)))</f>
        <v/>
      </c>
      <c r="C319" t="str">
        <f>IF(Table2425[[#This Row],[Journal Description (Service Description)]]="","",1)</f>
        <v/>
      </c>
      <c r="D319" s="2" t="str">
        <f>IF(Table2425[[#This Row],[Journal Description (Service Description)]]="","",VLOOKUP(Table2425[[#This Row],[Journal Description (Service Description)]],'Lookup Values'!$A:$B,2,FALSE))</f>
        <v/>
      </c>
    </row>
    <row r="320" spans="1:4" x14ac:dyDescent="0.35">
      <c r="A320" t="str">
        <f>IF(Table2425[[#This Row],[Branch Name]]="","",(_xlfn.XLOOKUP(Table2425[[#This Row],[Branch Name]],'Lookup Values'!G:G,'Lookup Values'!H:H,0)))</f>
        <v/>
      </c>
      <c r="B320" t="str">
        <f>IF(Table2425[[#This Row],[Branch Name]]="","",(_xlfn.XLOOKUP(Table2425[[#This Row],[Branch Name]],'Lookup Values'!G:G,'Lookup Values'!I:I,0)))</f>
        <v/>
      </c>
      <c r="C320" t="str">
        <f>IF(Table2425[[#This Row],[Journal Description (Service Description)]]="","",1)</f>
        <v/>
      </c>
      <c r="D320" s="2" t="str">
        <f>IF(Table2425[[#This Row],[Journal Description (Service Description)]]="","",VLOOKUP(Table2425[[#This Row],[Journal Description (Service Description)]],'Lookup Values'!$A:$B,2,FALSE))</f>
        <v/>
      </c>
    </row>
    <row r="321" spans="1:4" x14ac:dyDescent="0.35">
      <c r="A321" t="str">
        <f>IF(Table2425[[#This Row],[Branch Name]]="","",(_xlfn.XLOOKUP(Table2425[[#This Row],[Branch Name]],'Lookup Values'!G:G,'Lookup Values'!H:H,0)))</f>
        <v/>
      </c>
      <c r="B321" t="str">
        <f>IF(Table2425[[#This Row],[Branch Name]]="","",(_xlfn.XLOOKUP(Table2425[[#This Row],[Branch Name]],'Lookup Values'!G:G,'Lookup Values'!I:I,0)))</f>
        <v/>
      </c>
      <c r="C321" t="str">
        <f>IF(Table2425[[#This Row],[Journal Description (Service Description)]]="","",1)</f>
        <v/>
      </c>
      <c r="D321" s="2" t="str">
        <f>IF(Table2425[[#This Row],[Journal Description (Service Description)]]="","",VLOOKUP(Table2425[[#This Row],[Journal Description (Service Description)]],'Lookup Values'!$A:$B,2,FALSE))</f>
        <v/>
      </c>
    </row>
    <row r="322" spans="1:4" x14ac:dyDescent="0.35">
      <c r="A322" t="str">
        <f>IF(Table2425[[#This Row],[Branch Name]]="","",(_xlfn.XLOOKUP(Table2425[[#This Row],[Branch Name]],'Lookup Values'!G:G,'Lookup Values'!H:H,0)))</f>
        <v/>
      </c>
      <c r="B322" t="str">
        <f>IF(Table2425[[#This Row],[Branch Name]]="","",(_xlfn.XLOOKUP(Table2425[[#This Row],[Branch Name]],'Lookup Values'!G:G,'Lookup Values'!I:I,0)))</f>
        <v/>
      </c>
      <c r="C322" t="str">
        <f>IF(Table2425[[#This Row],[Journal Description (Service Description)]]="","",1)</f>
        <v/>
      </c>
      <c r="D322" s="2" t="str">
        <f>IF(Table2425[[#This Row],[Journal Description (Service Description)]]="","",VLOOKUP(Table2425[[#This Row],[Journal Description (Service Description)]],'Lookup Values'!$A:$B,2,FALSE))</f>
        <v/>
      </c>
    </row>
    <row r="323" spans="1:4" x14ac:dyDescent="0.35">
      <c r="A323" t="str">
        <f>IF(Table2425[[#This Row],[Branch Name]]="","",(_xlfn.XLOOKUP(Table2425[[#This Row],[Branch Name]],'Lookup Values'!G:G,'Lookup Values'!H:H,0)))</f>
        <v/>
      </c>
      <c r="B323" t="str">
        <f>IF(Table2425[[#This Row],[Branch Name]]="","",(_xlfn.XLOOKUP(Table2425[[#This Row],[Branch Name]],'Lookup Values'!G:G,'Lookup Values'!I:I,0)))</f>
        <v/>
      </c>
      <c r="C323" t="str">
        <f>IF(Table2425[[#This Row],[Journal Description (Service Description)]]="","",1)</f>
        <v/>
      </c>
      <c r="D323" s="2" t="str">
        <f>IF(Table2425[[#This Row],[Journal Description (Service Description)]]="","",VLOOKUP(Table2425[[#This Row],[Journal Description (Service Description)]],'Lookup Values'!$A:$B,2,FALSE))</f>
        <v/>
      </c>
    </row>
    <row r="324" spans="1:4" x14ac:dyDescent="0.35">
      <c r="A324" t="str">
        <f>IF(Table2425[[#This Row],[Branch Name]]="","",(_xlfn.XLOOKUP(Table2425[[#This Row],[Branch Name]],'Lookup Values'!G:G,'Lookup Values'!H:H,0)))</f>
        <v/>
      </c>
      <c r="B324" t="str">
        <f>IF(Table2425[[#This Row],[Branch Name]]="","",(_xlfn.XLOOKUP(Table2425[[#This Row],[Branch Name]],'Lookup Values'!G:G,'Lookup Values'!I:I,0)))</f>
        <v/>
      </c>
      <c r="C324" t="str">
        <f>IF(Table2425[[#This Row],[Journal Description (Service Description)]]="","",1)</f>
        <v/>
      </c>
      <c r="D324" s="2" t="str">
        <f>IF(Table2425[[#This Row],[Journal Description (Service Description)]]="","",VLOOKUP(Table2425[[#This Row],[Journal Description (Service Description)]],'Lookup Values'!$A:$B,2,FALSE))</f>
        <v/>
      </c>
    </row>
    <row r="325" spans="1:4" x14ac:dyDescent="0.35">
      <c r="A325" t="str">
        <f>IF(Table2425[[#This Row],[Branch Name]]="","",(_xlfn.XLOOKUP(Table2425[[#This Row],[Branch Name]],'Lookup Values'!G:G,'Lookup Values'!H:H,0)))</f>
        <v/>
      </c>
      <c r="B325" t="str">
        <f>IF(Table2425[[#This Row],[Branch Name]]="","",(_xlfn.XLOOKUP(Table2425[[#This Row],[Branch Name]],'Lookup Values'!G:G,'Lookup Values'!I:I,0)))</f>
        <v/>
      </c>
      <c r="C325" t="str">
        <f>IF(Table2425[[#This Row],[Journal Description (Service Description)]]="","",1)</f>
        <v/>
      </c>
      <c r="D325" s="2" t="str">
        <f>IF(Table2425[[#This Row],[Journal Description (Service Description)]]="","",VLOOKUP(Table2425[[#This Row],[Journal Description (Service Description)]],'Lookup Values'!$A:$B,2,FALSE))</f>
        <v/>
      </c>
    </row>
    <row r="326" spans="1:4" x14ac:dyDescent="0.35">
      <c r="A326" t="str">
        <f>IF(Table2425[[#This Row],[Branch Name]]="","",(_xlfn.XLOOKUP(Table2425[[#This Row],[Branch Name]],'Lookup Values'!G:G,'Lookup Values'!H:H,0)))</f>
        <v/>
      </c>
      <c r="B326" t="str">
        <f>IF(Table2425[[#This Row],[Branch Name]]="","",(_xlfn.XLOOKUP(Table2425[[#This Row],[Branch Name]],'Lookup Values'!G:G,'Lookup Values'!I:I,0)))</f>
        <v/>
      </c>
      <c r="C326" t="str">
        <f>IF(Table2425[[#This Row],[Journal Description (Service Description)]]="","",1)</f>
        <v/>
      </c>
      <c r="D326" s="2" t="str">
        <f>IF(Table2425[[#This Row],[Journal Description (Service Description)]]="","",VLOOKUP(Table2425[[#This Row],[Journal Description (Service Description)]],'Lookup Values'!$A:$B,2,FALSE))</f>
        <v/>
      </c>
    </row>
    <row r="327" spans="1:4" x14ac:dyDescent="0.35">
      <c r="A327" t="str">
        <f>IF(Table2425[[#This Row],[Branch Name]]="","",(_xlfn.XLOOKUP(Table2425[[#This Row],[Branch Name]],'Lookup Values'!G:G,'Lookup Values'!H:H,0)))</f>
        <v/>
      </c>
      <c r="B327" t="str">
        <f>IF(Table2425[[#This Row],[Branch Name]]="","",(_xlfn.XLOOKUP(Table2425[[#This Row],[Branch Name]],'Lookup Values'!G:G,'Lookup Values'!I:I,0)))</f>
        <v/>
      </c>
      <c r="C327" t="str">
        <f>IF(Table2425[[#This Row],[Journal Description (Service Description)]]="","",1)</f>
        <v/>
      </c>
      <c r="D327" s="2" t="str">
        <f>IF(Table2425[[#This Row],[Journal Description (Service Description)]]="","",VLOOKUP(Table2425[[#This Row],[Journal Description (Service Description)]],'Lookup Values'!$A:$B,2,FALSE))</f>
        <v/>
      </c>
    </row>
    <row r="328" spans="1:4" x14ac:dyDescent="0.35">
      <c r="A328" t="str">
        <f>IF(Table2425[[#This Row],[Branch Name]]="","",(_xlfn.XLOOKUP(Table2425[[#This Row],[Branch Name]],'Lookup Values'!G:G,'Lookup Values'!H:H,0)))</f>
        <v/>
      </c>
      <c r="B328" t="str">
        <f>IF(Table2425[[#This Row],[Branch Name]]="","",(_xlfn.XLOOKUP(Table2425[[#This Row],[Branch Name]],'Lookup Values'!G:G,'Lookup Values'!I:I,0)))</f>
        <v/>
      </c>
      <c r="C328" t="str">
        <f>IF(Table2425[[#This Row],[Journal Description (Service Description)]]="","",1)</f>
        <v/>
      </c>
      <c r="D328" s="2" t="str">
        <f>IF(Table2425[[#This Row],[Journal Description (Service Description)]]="","",VLOOKUP(Table2425[[#This Row],[Journal Description (Service Description)]],'Lookup Values'!$A:$B,2,FALSE))</f>
        <v/>
      </c>
    </row>
    <row r="329" spans="1:4" x14ac:dyDescent="0.35">
      <c r="A329" t="str">
        <f>IF(Table2425[[#This Row],[Branch Name]]="","",(_xlfn.XLOOKUP(Table2425[[#This Row],[Branch Name]],'Lookup Values'!G:G,'Lookup Values'!H:H,0)))</f>
        <v/>
      </c>
      <c r="B329" t="str">
        <f>IF(Table2425[[#This Row],[Branch Name]]="","",(_xlfn.XLOOKUP(Table2425[[#This Row],[Branch Name]],'Lookup Values'!G:G,'Lookup Values'!I:I,0)))</f>
        <v/>
      </c>
      <c r="C329" t="str">
        <f>IF(Table2425[[#This Row],[Journal Description (Service Description)]]="","",1)</f>
        <v/>
      </c>
      <c r="D329" s="2" t="str">
        <f>IF(Table2425[[#This Row],[Journal Description (Service Description)]]="","",VLOOKUP(Table2425[[#This Row],[Journal Description (Service Description)]],'Lookup Values'!$A:$B,2,FALSE))</f>
        <v/>
      </c>
    </row>
    <row r="330" spans="1:4" x14ac:dyDescent="0.35">
      <c r="A330" t="str">
        <f>IF(Table2425[[#This Row],[Branch Name]]="","",(_xlfn.XLOOKUP(Table2425[[#This Row],[Branch Name]],'Lookup Values'!G:G,'Lookup Values'!H:H,0)))</f>
        <v/>
      </c>
      <c r="B330" t="str">
        <f>IF(Table2425[[#This Row],[Branch Name]]="","",(_xlfn.XLOOKUP(Table2425[[#This Row],[Branch Name]],'Lookup Values'!G:G,'Lookup Values'!I:I,0)))</f>
        <v/>
      </c>
      <c r="C330" t="str">
        <f>IF(Table2425[[#This Row],[Journal Description (Service Description)]]="","",1)</f>
        <v/>
      </c>
      <c r="D330" s="2" t="str">
        <f>IF(Table2425[[#This Row],[Journal Description (Service Description)]]="","",VLOOKUP(Table2425[[#This Row],[Journal Description (Service Description)]],'Lookup Values'!$A:$B,2,FALSE))</f>
        <v/>
      </c>
    </row>
    <row r="331" spans="1:4" x14ac:dyDescent="0.35">
      <c r="A331" t="str">
        <f>IF(Table2425[[#This Row],[Branch Name]]="","",(_xlfn.XLOOKUP(Table2425[[#This Row],[Branch Name]],'Lookup Values'!G:G,'Lookup Values'!H:H,0)))</f>
        <v/>
      </c>
      <c r="B331" t="str">
        <f>IF(Table2425[[#This Row],[Branch Name]]="","",(_xlfn.XLOOKUP(Table2425[[#This Row],[Branch Name]],'Lookup Values'!G:G,'Lookup Values'!I:I,0)))</f>
        <v/>
      </c>
      <c r="C331" t="str">
        <f>IF(Table2425[[#This Row],[Journal Description (Service Description)]]="","",1)</f>
        <v/>
      </c>
      <c r="D331" s="2" t="str">
        <f>IF(Table2425[[#This Row],[Journal Description (Service Description)]]="","",VLOOKUP(Table2425[[#This Row],[Journal Description (Service Description)]],'Lookup Values'!$A:$B,2,FALSE))</f>
        <v/>
      </c>
    </row>
    <row r="332" spans="1:4" x14ac:dyDescent="0.35">
      <c r="A332" t="str">
        <f>IF(Table2425[[#This Row],[Branch Name]]="","",(_xlfn.XLOOKUP(Table2425[[#This Row],[Branch Name]],'Lookup Values'!G:G,'Lookup Values'!H:H,0)))</f>
        <v/>
      </c>
      <c r="B332" t="str">
        <f>IF(Table2425[[#This Row],[Branch Name]]="","",(_xlfn.XLOOKUP(Table2425[[#This Row],[Branch Name]],'Lookup Values'!G:G,'Lookup Values'!I:I,0)))</f>
        <v/>
      </c>
      <c r="C332" t="str">
        <f>IF(Table2425[[#This Row],[Journal Description (Service Description)]]="","",1)</f>
        <v/>
      </c>
      <c r="D332" s="2" t="str">
        <f>IF(Table2425[[#This Row],[Journal Description (Service Description)]]="","",VLOOKUP(Table2425[[#This Row],[Journal Description (Service Description)]],'Lookup Values'!$A:$B,2,FALSE))</f>
        <v/>
      </c>
    </row>
    <row r="333" spans="1:4" x14ac:dyDescent="0.35">
      <c r="A333" t="str">
        <f>IF(Table2425[[#This Row],[Branch Name]]="","",(_xlfn.XLOOKUP(Table2425[[#This Row],[Branch Name]],'Lookup Values'!G:G,'Lookup Values'!H:H,0)))</f>
        <v/>
      </c>
      <c r="B333" t="str">
        <f>IF(Table2425[[#This Row],[Branch Name]]="","",(_xlfn.XLOOKUP(Table2425[[#This Row],[Branch Name]],'Lookup Values'!G:G,'Lookup Values'!I:I,0)))</f>
        <v/>
      </c>
      <c r="C333" t="str">
        <f>IF(Table2425[[#This Row],[Journal Description (Service Description)]]="","",1)</f>
        <v/>
      </c>
      <c r="D333" s="2" t="str">
        <f>IF(Table2425[[#This Row],[Journal Description (Service Description)]]="","",VLOOKUP(Table2425[[#This Row],[Journal Description (Service Description)]],'Lookup Values'!$A:$B,2,FALSE))</f>
        <v/>
      </c>
    </row>
    <row r="334" spans="1:4" x14ac:dyDescent="0.35">
      <c r="A334" t="str">
        <f>IF(Table2425[[#This Row],[Branch Name]]="","",(_xlfn.XLOOKUP(Table2425[[#This Row],[Branch Name]],'Lookup Values'!G:G,'Lookup Values'!H:H,0)))</f>
        <v/>
      </c>
      <c r="B334" t="str">
        <f>IF(Table2425[[#This Row],[Branch Name]]="","",(_xlfn.XLOOKUP(Table2425[[#This Row],[Branch Name]],'Lookup Values'!G:G,'Lookup Values'!I:I,0)))</f>
        <v/>
      </c>
      <c r="C334" t="str">
        <f>IF(Table2425[[#This Row],[Journal Description (Service Description)]]="","",1)</f>
        <v/>
      </c>
      <c r="D334" s="2" t="str">
        <f>IF(Table2425[[#This Row],[Journal Description (Service Description)]]="","",VLOOKUP(Table2425[[#This Row],[Journal Description (Service Description)]],'Lookup Values'!$A:$B,2,FALSE))</f>
        <v/>
      </c>
    </row>
    <row r="335" spans="1:4" x14ac:dyDescent="0.35">
      <c r="A335" t="str">
        <f>IF(Table2425[[#This Row],[Branch Name]]="","",(_xlfn.XLOOKUP(Table2425[[#This Row],[Branch Name]],'Lookup Values'!G:G,'Lookup Values'!H:H,0)))</f>
        <v/>
      </c>
      <c r="B335" t="str">
        <f>IF(Table2425[[#This Row],[Branch Name]]="","",(_xlfn.XLOOKUP(Table2425[[#This Row],[Branch Name]],'Lookup Values'!G:G,'Lookup Values'!I:I,0)))</f>
        <v/>
      </c>
      <c r="C335" t="str">
        <f>IF(Table2425[[#This Row],[Journal Description (Service Description)]]="","",1)</f>
        <v/>
      </c>
      <c r="D335" s="2" t="str">
        <f>IF(Table2425[[#This Row],[Journal Description (Service Description)]]="","",VLOOKUP(Table2425[[#This Row],[Journal Description (Service Description)]],'Lookup Values'!$A:$B,2,FALSE))</f>
        <v/>
      </c>
    </row>
    <row r="336" spans="1:4" x14ac:dyDescent="0.35">
      <c r="A336" t="str">
        <f>IF(Table2425[[#This Row],[Branch Name]]="","",(_xlfn.XLOOKUP(Table2425[[#This Row],[Branch Name]],'Lookup Values'!G:G,'Lookup Values'!H:H,0)))</f>
        <v/>
      </c>
      <c r="B336" t="str">
        <f>IF(Table2425[[#This Row],[Branch Name]]="","",(_xlfn.XLOOKUP(Table2425[[#This Row],[Branch Name]],'Lookup Values'!G:G,'Lookup Values'!I:I,0)))</f>
        <v/>
      </c>
      <c r="C336" t="str">
        <f>IF(Table2425[[#This Row],[Journal Description (Service Description)]]="","",1)</f>
        <v/>
      </c>
      <c r="D336" s="2" t="str">
        <f>IF(Table2425[[#This Row],[Journal Description (Service Description)]]="","",VLOOKUP(Table2425[[#This Row],[Journal Description (Service Description)]],'Lookup Values'!$A:$B,2,FALSE))</f>
        <v/>
      </c>
    </row>
    <row r="337" spans="1:4" x14ac:dyDescent="0.35">
      <c r="A337" t="str">
        <f>IF(Table2425[[#This Row],[Branch Name]]="","",(_xlfn.XLOOKUP(Table2425[[#This Row],[Branch Name]],'Lookup Values'!G:G,'Lookup Values'!H:H,0)))</f>
        <v/>
      </c>
      <c r="B337" t="str">
        <f>IF(Table2425[[#This Row],[Branch Name]]="","",(_xlfn.XLOOKUP(Table2425[[#This Row],[Branch Name]],'Lookup Values'!G:G,'Lookup Values'!I:I,0)))</f>
        <v/>
      </c>
      <c r="C337" t="str">
        <f>IF(Table2425[[#This Row],[Journal Description (Service Description)]]="","",1)</f>
        <v/>
      </c>
      <c r="D337" s="2" t="str">
        <f>IF(Table2425[[#This Row],[Journal Description (Service Description)]]="","",VLOOKUP(Table2425[[#This Row],[Journal Description (Service Description)]],'Lookup Values'!$A:$B,2,FALSE))</f>
        <v/>
      </c>
    </row>
    <row r="338" spans="1:4" x14ac:dyDescent="0.35">
      <c r="A338" t="str">
        <f>IF(Table2425[[#This Row],[Branch Name]]="","",(_xlfn.XLOOKUP(Table2425[[#This Row],[Branch Name]],'Lookup Values'!G:G,'Lookup Values'!H:H,0)))</f>
        <v/>
      </c>
      <c r="B338" t="str">
        <f>IF(Table2425[[#This Row],[Branch Name]]="","",(_xlfn.XLOOKUP(Table2425[[#This Row],[Branch Name]],'Lookup Values'!G:G,'Lookup Values'!I:I,0)))</f>
        <v/>
      </c>
      <c r="C338" t="str">
        <f>IF(Table2425[[#This Row],[Journal Description (Service Description)]]="","",1)</f>
        <v/>
      </c>
      <c r="D338" s="2" t="str">
        <f>IF(Table2425[[#This Row],[Journal Description (Service Description)]]="","",VLOOKUP(Table2425[[#This Row],[Journal Description (Service Description)]],'Lookup Values'!$A:$B,2,FALSE))</f>
        <v/>
      </c>
    </row>
    <row r="339" spans="1:4" x14ac:dyDescent="0.35">
      <c r="A339" t="str">
        <f>IF(Table2425[[#This Row],[Branch Name]]="","",(_xlfn.XLOOKUP(Table2425[[#This Row],[Branch Name]],'Lookup Values'!G:G,'Lookup Values'!H:H,0)))</f>
        <v/>
      </c>
      <c r="B339" t="str">
        <f>IF(Table2425[[#This Row],[Branch Name]]="","",(_xlfn.XLOOKUP(Table2425[[#This Row],[Branch Name]],'Lookup Values'!G:G,'Lookup Values'!I:I,0)))</f>
        <v/>
      </c>
      <c r="C339" t="str">
        <f>IF(Table2425[[#This Row],[Journal Description (Service Description)]]="","",1)</f>
        <v/>
      </c>
      <c r="D339" s="2" t="str">
        <f>IF(Table2425[[#This Row],[Journal Description (Service Description)]]="","",VLOOKUP(Table2425[[#This Row],[Journal Description (Service Description)]],'Lookup Values'!$A:$B,2,FALSE))</f>
        <v/>
      </c>
    </row>
    <row r="340" spans="1:4" x14ac:dyDescent="0.35">
      <c r="A340" t="str">
        <f>IF(Table2425[[#This Row],[Branch Name]]="","",(_xlfn.XLOOKUP(Table2425[[#This Row],[Branch Name]],'Lookup Values'!G:G,'Lookup Values'!H:H,0)))</f>
        <v/>
      </c>
      <c r="B340" t="str">
        <f>IF(Table2425[[#This Row],[Branch Name]]="","",(_xlfn.XLOOKUP(Table2425[[#This Row],[Branch Name]],'Lookup Values'!G:G,'Lookup Values'!I:I,0)))</f>
        <v/>
      </c>
      <c r="C340" t="str">
        <f>IF(Table2425[[#This Row],[Journal Description (Service Description)]]="","",1)</f>
        <v/>
      </c>
      <c r="D340" s="2" t="str">
        <f>IF(Table2425[[#This Row],[Journal Description (Service Description)]]="","",VLOOKUP(Table2425[[#This Row],[Journal Description (Service Description)]],'Lookup Values'!$A:$B,2,FALSE))</f>
        <v/>
      </c>
    </row>
    <row r="341" spans="1:4" x14ac:dyDescent="0.35">
      <c r="A341" t="str">
        <f>IF(Table2425[[#This Row],[Branch Name]]="","",(_xlfn.XLOOKUP(Table2425[[#This Row],[Branch Name]],'Lookup Values'!G:G,'Lookup Values'!H:H,0)))</f>
        <v/>
      </c>
      <c r="B341" t="str">
        <f>IF(Table2425[[#This Row],[Branch Name]]="","",(_xlfn.XLOOKUP(Table2425[[#This Row],[Branch Name]],'Lookup Values'!G:G,'Lookup Values'!I:I,0)))</f>
        <v/>
      </c>
      <c r="C341" t="str">
        <f>IF(Table2425[[#This Row],[Journal Description (Service Description)]]="","",1)</f>
        <v/>
      </c>
      <c r="D341" s="2" t="str">
        <f>IF(Table2425[[#This Row],[Journal Description (Service Description)]]="","",VLOOKUP(Table2425[[#This Row],[Journal Description (Service Description)]],'Lookup Values'!$A:$B,2,FALSE))</f>
        <v/>
      </c>
    </row>
    <row r="342" spans="1:4" x14ac:dyDescent="0.35">
      <c r="A342" t="str">
        <f>IF(Table2425[[#This Row],[Branch Name]]="","",(_xlfn.XLOOKUP(Table2425[[#This Row],[Branch Name]],'Lookup Values'!G:G,'Lookup Values'!H:H,0)))</f>
        <v/>
      </c>
      <c r="B342" t="str">
        <f>IF(Table2425[[#This Row],[Branch Name]]="","",(_xlfn.XLOOKUP(Table2425[[#This Row],[Branch Name]],'Lookup Values'!G:G,'Lookup Values'!I:I,0)))</f>
        <v/>
      </c>
      <c r="C342" t="str">
        <f>IF(Table2425[[#This Row],[Journal Description (Service Description)]]="","",1)</f>
        <v/>
      </c>
      <c r="D342" s="2" t="str">
        <f>IF(Table2425[[#This Row],[Journal Description (Service Description)]]="","",VLOOKUP(Table2425[[#This Row],[Journal Description (Service Description)]],'Lookup Values'!$A:$B,2,FALSE))</f>
        <v/>
      </c>
    </row>
    <row r="343" spans="1:4" x14ac:dyDescent="0.35">
      <c r="A343" t="str">
        <f>IF(Table2425[[#This Row],[Branch Name]]="","",(_xlfn.XLOOKUP(Table2425[[#This Row],[Branch Name]],'Lookup Values'!G:G,'Lookup Values'!H:H,0)))</f>
        <v/>
      </c>
      <c r="B343" t="str">
        <f>IF(Table2425[[#This Row],[Branch Name]]="","",(_xlfn.XLOOKUP(Table2425[[#This Row],[Branch Name]],'Lookup Values'!G:G,'Lookup Values'!I:I,0)))</f>
        <v/>
      </c>
      <c r="C343" t="str">
        <f>IF(Table2425[[#This Row],[Journal Description (Service Description)]]="","",1)</f>
        <v/>
      </c>
      <c r="D343" s="2" t="str">
        <f>IF(Table2425[[#This Row],[Journal Description (Service Description)]]="","",VLOOKUP(Table2425[[#This Row],[Journal Description (Service Description)]],'Lookup Values'!$A:$B,2,FALSE))</f>
        <v/>
      </c>
    </row>
    <row r="344" spans="1:4" x14ac:dyDescent="0.35">
      <c r="A344" t="str">
        <f>IF(Table2425[[#This Row],[Branch Name]]="","",(_xlfn.XLOOKUP(Table2425[[#This Row],[Branch Name]],'Lookup Values'!G:G,'Lookup Values'!H:H,0)))</f>
        <v/>
      </c>
      <c r="B344" t="str">
        <f>IF(Table2425[[#This Row],[Branch Name]]="","",(_xlfn.XLOOKUP(Table2425[[#This Row],[Branch Name]],'Lookup Values'!G:G,'Lookup Values'!I:I,0)))</f>
        <v/>
      </c>
      <c r="C344" t="str">
        <f>IF(Table2425[[#This Row],[Journal Description (Service Description)]]="","",1)</f>
        <v/>
      </c>
      <c r="D344" s="2" t="str">
        <f>IF(Table2425[[#This Row],[Journal Description (Service Description)]]="","",VLOOKUP(Table2425[[#This Row],[Journal Description (Service Description)]],'Lookup Values'!$A:$B,2,FALSE))</f>
        <v/>
      </c>
    </row>
    <row r="345" spans="1:4" x14ac:dyDescent="0.35">
      <c r="A345" t="str">
        <f>IF(Table2425[[#This Row],[Branch Name]]="","",(_xlfn.XLOOKUP(Table2425[[#This Row],[Branch Name]],'Lookup Values'!G:G,'Lookup Values'!H:H,0)))</f>
        <v/>
      </c>
      <c r="B345" t="str">
        <f>IF(Table2425[[#This Row],[Branch Name]]="","",(_xlfn.XLOOKUP(Table2425[[#This Row],[Branch Name]],'Lookup Values'!G:G,'Lookup Values'!I:I,0)))</f>
        <v/>
      </c>
      <c r="C345" t="str">
        <f>IF(Table2425[[#This Row],[Journal Description (Service Description)]]="","",1)</f>
        <v/>
      </c>
      <c r="D345" s="2" t="str">
        <f>IF(Table2425[[#This Row],[Journal Description (Service Description)]]="","",VLOOKUP(Table2425[[#This Row],[Journal Description (Service Description)]],'Lookup Values'!$A:$B,2,FALSE))</f>
        <v/>
      </c>
    </row>
    <row r="346" spans="1:4" x14ac:dyDescent="0.35">
      <c r="A346" t="str">
        <f>IF(Table2425[[#This Row],[Branch Name]]="","",(_xlfn.XLOOKUP(Table2425[[#This Row],[Branch Name]],'Lookup Values'!G:G,'Lookup Values'!H:H,0)))</f>
        <v/>
      </c>
      <c r="B346" t="str">
        <f>IF(Table2425[[#This Row],[Branch Name]]="","",(_xlfn.XLOOKUP(Table2425[[#This Row],[Branch Name]],'Lookup Values'!G:G,'Lookup Values'!I:I,0)))</f>
        <v/>
      </c>
      <c r="C346" t="str">
        <f>IF(Table2425[[#This Row],[Journal Description (Service Description)]]="","",1)</f>
        <v/>
      </c>
      <c r="D346" s="2" t="str">
        <f>IF(Table2425[[#This Row],[Journal Description (Service Description)]]="","",VLOOKUP(Table2425[[#This Row],[Journal Description (Service Description)]],'Lookup Values'!$A:$B,2,FALSE))</f>
        <v/>
      </c>
    </row>
    <row r="347" spans="1:4" x14ac:dyDescent="0.35">
      <c r="A347" t="str">
        <f>IF(Table2425[[#This Row],[Branch Name]]="","",(_xlfn.XLOOKUP(Table2425[[#This Row],[Branch Name]],'Lookup Values'!G:G,'Lookup Values'!H:H,0)))</f>
        <v/>
      </c>
      <c r="B347" t="str">
        <f>IF(Table2425[[#This Row],[Branch Name]]="","",(_xlfn.XLOOKUP(Table2425[[#This Row],[Branch Name]],'Lookup Values'!G:G,'Lookup Values'!I:I,0)))</f>
        <v/>
      </c>
      <c r="C347" t="str">
        <f>IF(Table2425[[#This Row],[Journal Description (Service Description)]]="","",1)</f>
        <v/>
      </c>
      <c r="D347" s="2" t="str">
        <f>IF(Table2425[[#This Row],[Journal Description (Service Description)]]="","",VLOOKUP(Table2425[[#This Row],[Journal Description (Service Description)]],'Lookup Values'!$A:$B,2,FALSE))</f>
        <v/>
      </c>
    </row>
    <row r="348" spans="1:4" x14ac:dyDescent="0.35">
      <c r="A348" t="str">
        <f>IF(Table2425[[#This Row],[Branch Name]]="","",(_xlfn.XLOOKUP(Table2425[[#This Row],[Branch Name]],'Lookup Values'!G:G,'Lookup Values'!H:H,0)))</f>
        <v/>
      </c>
      <c r="B348" t="str">
        <f>IF(Table2425[[#This Row],[Branch Name]]="","",(_xlfn.XLOOKUP(Table2425[[#This Row],[Branch Name]],'Lookup Values'!G:G,'Lookup Values'!I:I,0)))</f>
        <v/>
      </c>
      <c r="C348" t="str">
        <f>IF(Table2425[[#This Row],[Journal Description (Service Description)]]="","",1)</f>
        <v/>
      </c>
      <c r="D348" s="2" t="str">
        <f>IF(Table2425[[#This Row],[Journal Description (Service Description)]]="","",VLOOKUP(Table2425[[#This Row],[Journal Description (Service Description)]],'Lookup Values'!$A:$B,2,FALSE))</f>
        <v/>
      </c>
    </row>
    <row r="349" spans="1:4" x14ac:dyDescent="0.35">
      <c r="A349" t="str">
        <f>IF(Table2425[[#This Row],[Branch Name]]="","",(_xlfn.XLOOKUP(Table2425[[#This Row],[Branch Name]],'Lookup Values'!G:G,'Lookup Values'!H:H,0)))</f>
        <v/>
      </c>
      <c r="B349" t="str">
        <f>IF(Table2425[[#This Row],[Branch Name]]="","",(_xlfn.XLOOKUP(Table2425[[#This Row],[Branch Name]],'Lookup Values'!G:G,'Lookup Values'!I:I,0)))</f>
        <v/>
      </c>
      <c r="C349" t="str">
        <f>IF(Table2425[[#This Row],[Journal Description (Service Description)]]="","",1)</f>
        <v/>
      </c>
      <c r="D349" s="2" t="str">
        <f>IF(Table2425[[#This Row],[Journal Description (Service Description)]]="","",VLOOKUP(Table2425[[#This Row],[Journal Description (Service Description)]],'Lookup Values'!$A:$B,2,FALSE))</f>
        <v/>
      </c>
    </row>
    <row r="350" spans="1:4" x14ac:dyDescent="0.35">
      <c r="A350" t="str">
        <f>IF(Table2425[[#This Row],[Branch Name]]="","",(_xlfn.XLOOKUP(Table2425[[#This Row],[Branch Name]],'Lookup Values'!G:G,'Lookup Values'!H:H,0)))</f>
        <v/>
      </c>
      <c r="B350" t="str">
        <f>IF(Table2425[[#This Row],[Branch Name]]="","",(_xlfn.XLOOKUP(Table2425[[#This Row],[Branch Name]],'Lookup Values'!G:G,'Lookup Values'!I:I,0)))</f>
        <v/>
      </c>
      <c r="C350" t="str">
        <f>IF(Table2425[[#This Row],[Journal Description (Service Description)]]="","",1)</f>
        <v/>
      </c>
      <c r="D350" s="2" t="str">
        <f>IF(Table2425[[#This Row],[Journal Description (Service Description)]]="","",VLOOKUP(Table2425[[#This Row],[Journal Description (Service Description)]],'Lookup Values'!$A:$B,2,FALSE))</f>
        <v/>
      </c>
    </row>
    <row r="351" spans="1:4" x14ac:dyDescent="0.35">
      <c r="A351" t="str">
        <f>IF(Table2425[[#This Row],[Branch Name]]="","",(_xlfn.XLOOKUP(Table2425[[#This Row],[Branch Name]],'Lookup Values'!G:G,'Lookup Values'!H:H,0)))</f>
        <v/>
      </c>
      <c r="B351" t="str">
        <f>IF(Table2425[[#This Row],[Branch Name]]="","",(_xlfn.XLOOKUP(Table2425[[#This Row],[Branch Name]],'Lookup Values'!G:G,'Lookup Values'!I:I,0)))</f>
        <v/>
      </c>
      <c r="C351" t="str">
        <f>IF(Table2425[[#This Row],[Journal Description (Service Description)]]="","",1)</f>
        <v/>
      </c>
      <c r="D351" s="2" t="str">
        <f>IF(Table2425[[#This Row],[Journal Description (Service Description)]]="","",VLOOKUP(Table2425[[#This Row],[Journal Description (Service Description)]],'Lookup Values'!$A:$B,2,FALSE))</f>
        <v/>
      </c>
    </row>
    <row r="352" spans="1:4" x14ac:dyDescent="0.35">
      <c r="A352" t="str">
        <f>IF(Table2425[[#This Row],[Branch Name]]="","",(_xlfn.XLOOKUP(Table2425[[#This Row],[Branch Name]],'Lookup Values'!G:G,'Lookup Values'!H:H,0)))</f>
        <v/>
      </c>
      <c r="B352" t="str">
        <f>IF(Table2425[[#This Row],[Branch Name]]="","",(_xlfn.XLOOKUP(Table2425[[#This Row],[Branch Name]],'Lookup Values'!G:G,'Lookup Values'!I:I,0)))</f>
        <v/>
      </c>
      <c r="C352" t="str">
        <f>IF(Table2425[[#This Row],[Journal Description (Service Description)]]="","",1)</f>
        <v/>
      </c>
      <c r="D352" s="2" t="str">
        <f>IF(Table2425[[#This Row],[Journal Description (Service Description)]]="","",VLOOKUP(Table2425[[#This Row],[Journal Description (Service Description)]],'Lookup Values'!$A:$B,2,FALSE))</f>
        <v/>
      </c>
    </row>
    <row r="353" spans="1:4" x14ac:dyDescent="0.35">
      <c r="A353" t="str">
        <f>IF(Table2425[[#This Row],[Branch Name]]="","",(_xlfn.XLOOKUP(Table2425[[#This Row],[Branch Name]],'Lookup Values'!G:G,'Lookup Values'!H:H,0)))</f>
        <v/>
      </c>
      <c r="B353" t="str">
        <f>IF(Table2425[[#This Row],[Branch Name]]="","",(_xlfn.XLOOKUP(Table2425[[#This Row],[Branch Name]],'Lookup Values'!G:G,'Lookup Values'!I:I,0)))</f>
        <v/>
      </c>
      <c r="C353" t="str">
        <f>IF(Table2425[[#This Row],[Journal Description (Service Description)]]="","",1)</f>
        <v/>
      </c>
      <c r="D353" s="2" t="str">
        <f>IF(Table2425[[#This Row],[Journal Description (Service Description)]]="","",VLOOKUP(Table2425[[#This Row],[Journal Description (Service Description)]],'Lookup Values'!$A:$B,2,FALSE))</f>
        <v/>
      </c>
    </row>
    <row r="354" spans="1:4" x14ac:dyDescent="0.35">
      <c r="A354" t="str">
        <f>IF(Table2425[[#This Row],[Branch Name]]="","",(_xlfn.XLOOKUP(Table2425[[#This Row],[Branch Name]],'Lookup Values'!G:G,'Lookup Values'!H:H,0)))</f>
        <v/>
      </c>
      <c r="B354" t="str">
        <f>IF(Table2425[[#This Row],[Branch Name]]="","",(_xlfn.XLOOKUP(Table2425[[#This Row],[Branch Name]],'Lookup Values'!G:G,'Lookup Values'!I:I,0)))</f>
        <v/>
      </c>
      <c r="C354" t="str">
        <f>IF(Table2425[[#This Row],[Journal Description (Service Description)]]="","",1)</f>
        <v/>
      </c>
      <c r="D354" s="2" t="str">
        <f>IF(Table2425[[#This Row],[Journal Description (Service Description)]]="","",VLOOKUP(Table2425[[#This Row],[Journal Description (Service Description)]],'Lookup Values'!$A:$B,2,FALSE))</f>
        <v/>
      </c>
    </row>
    <row r="355" spans="1:4" x14ac:dyDescent="0.35">
      <c r="A355" t="str">
        <f>IF(Table2425[[#This Row],[Branch Name]]="","",(_xlfn.XLOOKUP(Table2425[[#This Row],[Branch Name]],'Lookup Values'!G:G,'Lookup Values'!H:H,0)))</f>
        <v/>
      </c>
      <c r="B355" t="str">
        <f>IF(Table2425[[#This Row],[Branch Name]]="","",(_xlfn.XLOOKUP(Table2425[[#This Row],[Branch Name]],'Lookup Values'!G:G,'Lookup Values'!I:I,0)))</f>
        <v/>
      </c>
      <c r="C355" t="str">
        <f>IF(Table2425[[#This Row],[Journal Description (Service Description)]]="","",1)</f>
        <v/>
      </c>
      <c r="D355" s="2" t="str">
        <f>IF(Table2425[[#This Row],[Journal Description (Service Description)]]="","",VLOOKUP(Table2425[[#This Row],[Journal Description (Service Description)]],'Lookup Values'!$A:$B,2,FALSE))</f>
        <v/>
      </c>
    </row>
    <row r="356" spans="1:4" x14ac:dyDescent="0.35">
      <c r="A356" t="str">
        <f>IF(Table2425[[#This Row],[Branch Name]]="","",(_xlfn.XLOOKUP(Table2425[[#This Row],[Branch Name]],'Lookup Values'!G:G,'Lookup Values'!H:H,0)))</f>
        <v/>
      </c>
      <c r="B356" t="str">
        <f>IF(Table2425[[#This Row],[Branch Name]]="","",(_xlfn.XLOOKUP(Table2425[[#This Row],[Branch Name]],'Lookup Values'!G:G,'Lookup Values'!I:I,0)))</f>
        <v/>
      </c>
      <c r="C356" t="str">
        <f>IF(Table2425[[#This Row],[Journal Description (Service Description)]]="","",1)</f>
        <v/>
      </c>
      <c r="D356" s="2" t="str">
        <f>IF(Table2425[[#This Row],[Journal Description (Service Description)]]="","",VLOOKUP(Table2425[[#This Row],[Journal Description (Service Description)]],'Lookup Values'!$A:$B,2,FALSE))</f>
        <v/>
      </c>
    </row>
    <row r="357" spans="1:4" x14ac:dyDescent="0.35">
      <c r="A357" t="str">
        <f>IF(Table2425[[#This Row],[Branch Name]]="","",(_xlfn.XLOOKUP(Table2425[[#This Row],[Branch Name]],'Lookup Values'!G:G,'Lookup Values'!H:H,0)))</f>
        <v/>
      </c>
      <c r="B357" t="str">
        <f>IF(Table2425[[#This Row],[Branch Name]]="","",(_xlfn.XLOOKUP(Table2425[[#This Row],[Branch Name]],'Lookup Values'!G:G,'Lookup Values'!I:I,0)))</f>
        <v/>
      </c>
      <c r="C357" t="str">
        <f>IF(Table2425[[#This Row],[Journal Description (Service Description)]]="","",1)</f>
        <v/>
      </c>
      <c r="D357" s="2" t="str">
        <f>IF(Table2425[[#This Row],[Journal Description (Service Description)]]="","",VLOOKUP(Table2425[[#This Row],[Journal Description (Service Description)]],'Lookup Values'!$A:$B,2,FALSE))</f>
        <v/>
      </c>
    </row>
    <row r="358" spans="1:4" x14ac:dyDescent="0.35">
      <c r="A358" t="str">
        <f>IF(Table2425[[#This Row],[Branch Name]]="","",(_xlfn.XLOOKUP(Table2425[[#This Row],[Branch Name]],'Lookup Values'!G:G,'Lookup Values'!H:H,0)))</f>
        <v/>
      </c>
      <c r="B358" t="str">
        <f>IF(Table2425[[#This Row],[Branch Name]]="","",(_xlfn.XLOOKUP(Table2425[[#This Row],[Branch Name]],'Lookup Values'!G:G,'Lookup Values'!I:I,0)))</f>
        <v/>
      </c>
      <c r="C358" t="str">
        <f>IF(Table2425[[#This Row],[Journal Description (Service Description)]]="","",1)</f>
        <v/>
      </c>
      <c r="D358" s="2" t="str">
        <f>IF(Table2425[[#This Row],[Journal Description (Service Description)]]="","",VLOOKUP(Table2425[[#This Row],[Journal Description (Service Description)]],'Lookup Values'!$A:$B,2,FALSE))</f>
        <v/>
      </c>
    </row>
    <row r="359" spans="1:4" x14ac:dyDescent="0.35">
      <c r="A359" t="str">
        <f>IF(Table2425[[#This Row],[Branch Name]]="","",(_xlfn.XLOOKUP(Table2425[[#This Row],[Branch Name]],'Lookup Values'!G:G,'Lookup Values'!H:H,0)))</f>
        <v/>
      </c>
      <c r="B359" t="str">
        <f>IF(Table2425[[#This Row],[Branch Name]]="","",(_xlfn.XLOOKUP(Table2425[[#This Row],[Branch Name]],'Lookup Values'!G:G,'Lookup Values'!I:I,0)))</f>
        <v/>
      </c>
      <c r="C359" t="str">
        <f>IF(Table2425[[#This Row],[Journal Description (Service Description)]]="","",1)</f>
        <v/>
      </c>
      <c r="D359" s="2" t="str">
        <f>IF(Table2425[[#This Row],[Journal Description (Service Description)]]="","",VLOOKUP(Table2425[[#This Row],[Journal Description (Service Description)]],'Lookup Values'!$A:$B,2,FALSE))</f>
        <v/>
      </c>
    </row>
    <row r="360" spans="1:4" x14ac:dyDescent="0.35">
      <c r="A360" t="str">
        <f>IF(Table2425[[#This Row],[Branch Name]]="","",(_xlfn.XLOOKUP(Table2425[[#This Row],[Branch Name]],'Lookup Values'!G:G,'Lookup Values'!H:H,0)))</f>
        <v/>
      </c>
      <c r="B360" t="str">
        <f>IF(Table2425[[#This Row],[Branch Name]]="","",(_xlfn.XLOOKUP(Table2425[[#This Row],[Branch Name]],'Lookup Values'!G:G,'Lookup Values'!I:I,0)))</f>
        <v/>
      </c>
      <c r="C360" t="str">
        <f>IF(Table2425[[#This Row],[Journal Description (Service Description)]]="","",1)</f>
        <v/>
      </c>
      <c r="D360" s="2" t="str">
        <f>IF(Table2425[[#This Row],[Journal Description (Service Description)]]="","",VLOOKUP(Table2425[[#This Row],[Journal Description (Service Description)]],'Lookup Values'!$A:$B,2,FALSE))</f>
        <v/>
      </c>
    </row>
    <row r="361" spans="1:4" x14ac:dyDescent="0.35">
      <c r="A361" t="str">
        <f>IF(Table2425[[#This Row],[Branch Name]]="","",(_xlfn.XLOOKUP(Table2425[[#This Row],[Branch Name]],'Lookup Values'!G:G,'Lookup Values'!H:H,0)))</f>
        <v/>
      </c>
      <c r="B361" t="str">
        <f>IF(Table2425[[#This Row],[Branch Name]]="","",(_xlfn.XLOOKUP(Table2425[[#This Row],[Branch Name]],'Lookup Values'!G:G,'Lookup Values'!I:I,0)))</f>
        <v/>
      </c>
      <c r="C361" t="str">
        <f>IF(Table2425[[#This Row],[Journal Description (Service Description)]]="","",1)</f>
        <v/>
      </c>
      <c r="D361" s="2" t="str">
        <f>IF(Table2425[[#This Row],[Journal Description (Service Description)]]="","",VLOOKUP(Table2425[[#This Row],[Journal Description (Service Description)]],'Lookup Values'!$A:$B,2,FALSE))</f>
        <v/>
      </c>
    </row>
    <row r="362" spans="1:4" x14ac:dyDescent="0.35">
      <c r="A362" t="str">
        <f>IF(Table2425[[#This Row],[Branch Name]]="","",(_xlfn.XLOOKUP(Table2425[[#This Row],[Branch Name]],'Lookup Values'!G:G,'Lookup Values'!H:H,0)))</f>
        <v/>
      </c>
      <c r="B362" t="str">
        <f>IF(Table2425[[#This Row],[Branch Name]]="","",(_xlfn.XLOOKUP(Table2425[[#This Row],[Branch Name]],'Lookup Values'!G:G,'Lookup Values'!I:I,0)))</f>
        <v/>
      </c>
      <c r="C362" t="str">
        <f>IF(Table2425[[#This Row],[Journal Description (Service Description)]]="","",1)</f>
        <v/>
      </c>
      <c r="D362" s="2" t="str">
        <f>IF(Table2425[[#This Row],[Journal Description (Service Description)]]="","",VLOOKUP(Table2425[[#This Row],[Journal Description (Service Description)]],'Lookup Values'!$A:$B,2,FALSE))</f>
        <v/>
      </c>
    </row>
    <row r="363" spans="1:4" x14ac:dyDescent="0.35">
      <c r="A363" t="str">
        <f>IF(Table2425[[#This Row],[Branch Name]]="","",(_xlfn.XLOOKUP(Table2425[[#This Row],[Branch Name]],'Lookup Values'!G:G,'Lookup Values'!H:H,0)))</f>
        <v/>
      </c>
      <c r="B363" t="str">
        <f>IF(Table2425[[#This Row],[Branch Name]]="","",(_xlfn.XLOOKUP(Table2425[[#This Row],[Branch Name]],'Lookup Values'!G:G,'Lookup Values'!I:I,0)))</f>
        <v/>
      </c>
      <c r="C363" t="str">
        <f>IF(Table2425[[#This Row],[Journal Description (Service Description)]]="","",1)</f>
        <v/>
      </c>
      <c r="D363" s="2" t="str">
        <f>IF(Table2425[[#This Row],[Journal Description (Service Description)]]="","",VLOOKUP(Table2425[[#This Row],[Journal Description (Service Description)]],'Lookup Values'!$A:$B,2,FALSE))</f>
        <v/>
      </c>
    </row>
    <row r="364" spans="1:4" x14ac:dyDescent="0.35">
      <c r="A364" t="str">
        <f>IF(Table2425[[#This Row],[Branch Name]]="","",(_xlfn.XLOOKUP(Table2425[[#This Row],[Branch Name]],'Lookup Values'!G:G,'Lookup Values'!H:H,0)))</f>
        <v/>
      </c>
      <c r="B364" t="str">
        <f>IF(Table2425[[#This Row],[Branch Name]]="","",(_xlfn.XLOOKUP(Table2425[[#This Row],[Branch Name]],'Lookup Values'!G:G,'Lookup Values'!I:I,0)))</f>
        <v/>
      </c>
      <c r="C364" t="str">
        <f>IF(Table2425[[#This Row],[Journal Description (Service Description)]]="","",1)</f>
        <v/>
      </c>
      <c r="D364" s="2" t="str">
        <f>IF(Table2425[[#This Row],[Journal Description (Service Description)]]="","",VLOOKUP(Table2425[[#This Row],[Journal Description (Service Description)]],'Lookup Values'!$A:$B,2,FALSE))</f>
        <v/>
      </c>
    </row>
    <row r="365" spans="1:4" x14ac:dyDescent="0.35">
      <c r="A365" t="str">
        <f>IF(Table2425[[#This Row],[Branch Name]]="","",(_xlfn.XLOOKUP(Table2425[[#This Row],[Branch Name]],'Lookup Values'!G:G,'Lookup Values'!H:H,0)))</f>
        <v/>
      </c>
      <c r="B365" t="str">
        <f>IF(Table2425[[#This Row],[Branch Name]]="","",(_xlfn.XLOOKUP(Table2425[[#This Row],[Branch Name]],'Lookup Values'!G:G,'Lookup Values'!I:I,0)))</f>
        <v/>
      </c>
      <c r="C365" t="str">
        <f>IF(Table2425[[#This Row],[Journal Description (Service Description)]]="","",1)</f>
        <v/>
      </c>
      <c r="D365" s="2" t="str">
        <f>IF(Table2425[[#This Row],[Journal Description (Service Description)]]="","",VLOOKUP(Table2425[[#This Row],[Journal Description (Service Description)]],'Lookup Values'!$A:$B,2,FALSE))</f>
        <v/>
      </c>
    </row>
    <row r="366" spans="1:4" x14ac:dyDescent="0.35">
      <c r="A366" t="str">
        <f>IF(Table2425[[#This Row],[Branch Name]]="","",(_xlfn.XLOOKUP(Table2425[[#This Row],[Branch Name]],'Lookup Values'!G:G,'Lookup Values'!H:H,0)))</f>
        <v/>
      </c>
      <c r="B366" t="str">
        <f>IF(Table2425[[#This Row],[Branch Name]]="","",(_xlfn.XLOOKUP(Table2425[[#This Row],[Branch Name]],'Lookup Values'!G:G,'Lookup Values'!I:I,0)))</f>
        <v/>
      </c>
      <c r="C366" t="str">
        <f>IF(Table2425[[#This Row],[Journal Description (Service Description)]]="","",1)</f>
        <v/>
      </c>
      <c r="D366" s="2" t="str">
        <f>IF(Table2425[[#This Row],[Journal Description (Service Description)]]="","",VLOOKUP(Table2425[[#This Row],[Journal Description (Service Description)]],'Lookup Values'!$A:$B,2,FALSE))</f>
        <v/>
      </c>
    </row>
    <row r="367" spans="1:4" x14ac:dyDescent="0.35">
      <c r="A367" t="str">
        <f>IF(Table2425[[#This Row],[Branch Name]]="","",(_xlfn.XLOOKUP(Table2425[[#This Row],[Branch Name]],'Lookup Values'!G:G,'Lookup Values'!H:H,0)))</f>
        <v/>
      </c>
      <c r="B367" t="str">
        <f>IF(Table2425[[#This Row],[Branch Name]]="","",(_xlfn.XLOOKUP(Table2425[[#This Row],[Branch Name]],'Lookup Values'!G:G,'Lookup Values'!I:I,0)))</f>
        <v/>
      </c>
      <c r="C367" t="str">
        <f>IF(Table2425[[#This Row],[Journal Description (Service Description)]]="","",1)</f>
        <v/>
      </c>
      <c r="D367" s="2" t="str">
        <f>IF(Table2425[[#This Row],[Journal Description (Service Description)]]="","",VLOOKUP(Table2425[[#This Row],[Journal Description (Service Description)]],'Lookup Values'!$A:$B,2,FALSE))</f>
        <v/>
      </c>
    </row>
    <row r="368" spans="1:4" x14ac:dyDescent="0.35">
      <c r="A368" t="str">
        <f>IF(Table2425[[#This Row],[Branch Name]]="","",(_xlfn.XLOOKUP(Table2425[[#This Row],[Branch Name]],'Lookup Values'!G:G,'Lookup Values'!H:H,0)))</f>
        <v/>
      </c>
      <c r="B368" t="str">
        <f>IF(Table2425[[#This Row],[Branch Name]]="","",(_xlfn.XLOOKUP(Table2425[[#This Row],[Branch Name]],'Lookup Values'!G:G,'Lookup Values'!I:I,0)))</f>
        <v/>
      </c>
      <c r="C368" t="str">
        <f>IF(Table2425[[#This Row],[Journal Description (Service Description)]]="","",1)</f>
        <v/>
      </c>
      <c r="D368" s="2" t="str">
        <f>IF(Table2425[[#This Row],[Journal Description (Service Description)]]="","",VLOOKUP(Table2425[[#This Row],[Journal Description (Service Description)]],'Lookup Values'!$A:$B,2,FALSE))</f>
        <v/>
      </c>
    </row>
    <row r="369" spans="1:4" x14ac:dyDescent="0.35">
      <c r="A369" t="str">
        <f>IF(Table2425[[#This Row],[Branch Name]]="","",(_xlfn.XLOOKUP(Table2425[[#This Row],[Branch Name]],'Lookup Values'!G:G,'Lookup Values'!H:H,0)))</f>
        <v/>
      </c>
      <c r="B369" t="str">
        <f>IF(Table2425[[#This Row],[Branch Name]]="","",(_xlfn.XLOOKUP(Table2425[[#This Row],[Branch Name]],'Lookup Values'!G:G,'Lookup Values'!I:I,0)))</f>
        <v/>
      </c>
      <c r="C369" t="str">
        <f>IF(Table2425[[#This Row],[Journal Description (Service Description)]]="","",1)</f>
        <v/>
      </c>
      <c r="D369" s="2" t="str">
        <f>IF(Table2425[[#This Row],[Journal Description (Service Description)]]="","",VLOOKUP(Table2425[[#This Row],[Journal Description (Service Description)]],'Lookup Values'!$A:$B,2,FALSE))</f>
        <v/>
      </c>
    </row>
    <row r="370" spans="1:4" x14ac:dyDescent="0.35">
      <c r="A370" t="str">
        <f>IF(Table2425[[#This Row],[Branch Name]]="","",(_xlfn.XLOOKUP(Table2425[[#This Row],[Branch Name]],'Lookup Values'!G:G,'Lookup Values'!H:H,0)))</f>
        <v/>
      </c>
      <c r="B370" t="str">
        <f>IF(Table2425[[#This Row],[Branch Name]]="","",(_xlfn.XLOOKUP(Table2425[[#This Row],[Branch Name]],'Lookup Values'!G:G,'Lookup Values'!I:I,0)))</f>
        <v/>
      </c>
      <c r="C370" t="str">
        <f>IF(Table2425[[#This Row],[Journal Description (Service Description)]]="","",1)</f>
        <v/>
      </c>
      <c r="D370" s="2" t="str">
        <f>IF(Table2425[[#This Row],[Journal Description (Service Description)]]="","",VLOOKUP(Table2425[[#This Row],[Journal Description (Service Description)]],'Lookup Values'!$A:$B,2,FALSE))</f>
        <v/>
      </c>
    </row>
    <row r="371" spans="1:4" x14ac:dyDescent="0.35">
      <c r="A371" t="str">
        <f>IF(Table2425[[#This Row],[Branch Name]]="","",(_xlfn.XLOOKUP(Table2425[[#This Row],[Branch Name]],'Lookup Values'!G:G,'Lookup Values'!H:H,0)))</f>
        <v/>
      </c>
      <c r="B371" t="str">
        <f>IF(Table2425[[#This Row],[Branch Name]]="","",(_xlfn.XLOOKUP(Table2425[[#This Row],[Branch Name]],'Lookup Values'!G:G,'Lookup Values'!I:I,0)))</f>
        <v/>
      </c>
      <c r="C371" t="str">
        <f>IF(Table2425[[#This Row],[Journal Description (Service Description)]]="","",1)</f>
        <v/>
      </c>
      <c r="D371" s="2" t="str">
        <f>IF(Table2425[[#This Row],[Journal Description (Service Description)]]="","",VLOOKUP(Table2425[[#This Row],[Journal Description (Service Description)]],'Lookup Values'!$A:$B,2,FALSE))</f>
        <v/>
      </c>
    </row>
    <row r="372" spans="1:4" x14ac:dyDescent="0.35">
      <c r="A372" t="str">
        <f>IF(Table2425[[#This Row],[Branch Name]]="","",(_xlfn.XLOOKUP(Table2425[[#This Row],[Branch Name]],'Lookup Values'!G:G,'Lookup Values'!H:H,0)))</f>
        <v/>
      </c>
      <c r="B372" t="str">
        <f>IF(Table2425[[#This Row],[Branch Name]]="","",(_xlfn.XLOOKUP(Table2425[[#This Row],[Branch Name]],'Lookup Values'!G:G,'Lookup Values'!I:I,0)))</f>
        <v/>
      </c>
      <c r="C372" t="str">
        <f>IF(Table2425[[#This Row],[Journal Description (Service Description)]]="","",1)</f>
        <v/>
      </c>
      <c r="D372" s="2" t="str">
        <f>IF(Table2425[[#This Row],[Journal Description (Service Description)]]="","",VLOOKUP(Table2425[[#This Row],[Journal Description (Service Description)]],'Lookup Values'!$A:$B,2,FALSE))</f>
        <v/>
      </c>
    </row>
    <row r="373" spans="1:4" x14ac:dyDescent="0.35">
      <c r="A373" t="str">
        <f>IF(Table2425[[#This Row],[Branch Name]]="","",(_xlfn.XLOOKUP(Table2425[[#This Row],[Branch Name]],'Lookup Values'!G:G,'Lookup Values'!H:H,0)))</f>
        <v/>
      </c>
      <c r="B373" t="str">
        <f>IF(Table2425[[#This Row],[Branch Name]]="","",(_xlfn.XLOOKUP(Table2425[[#This Row],[Branch Name]],'Lookup Values'!G:G,'Lookup Values'!I:I,0)))</f>
        <v/>
      </c>
      <c r="C373" t="str">
        <f>IF(Table2425[[#This Row],[Journal Description (Service Description)]]="","",1)</f>
        <v/>
      </c>
      <c r="D373" s="2" t="str">
        <f>IF(Table2425[[#This Row],[Journal Description (Service Description)]]="","",VLOOKUP(Table2425[[#This Row],[Journal Description (Service Description)]],'Lookup Values'!$A:$B,2,FALSE))</f>
        <v/>
      </c>
    </row>
    <row r="374" spans="1:4" x14ac:dyDescent="0.35">
      <c r="A374" t="str">
        <f>IF(Table2425[[#This Row],[Branch Name]]="","",(_xlfn.XLOOKUP(Table2425[[#This Row],[Branch Name]],'Lookup Values'!G:G,'Lookup Values'!H:H,0)))</f>
        <v/>
      </c>
      <c r="B374" t="str">
        <f>IF(Table2425[[#This Row],[Branch Name]]="","",(_xlfn.XLOOKUP(Table2425[[#This Row],[Branch Name]],'Lookup Values'!G:G,'Lookup Values'!I:I,0)))</f>
        <v/>
      </c>
      <c r="C374" t="str">
        <f>IF(Table2425[[#This Row],[Journal Description (Service Description)]]="","",1)</f>
        <v/>
      </c>
      <c r="D374" s="2" t="str">
        <f>IF(Table2425[[#This Row],[Journal Description (Service Description)]]="","",VLOOKUP(Table2425[[#This Row],[Journal Description (Service Description)]],'Lookup Values'!$A:$B,2,FALSE))</f>
        <v/>
      </c>
    </row>
    <row r="375" spans="1:4" x14ac:dyDescent="0.35">
      <c r="A375" t="str">
        <f>IF(Table2425[[#This Row],[Branch Name]]="","",(_xlfn.XLOOKUP(Table2425[[#This Row],[Branch Name]],'Lookup Values'!G:G,'Lookup Values'!H:H,0)))</f>
        <v/>
      </c>
      <c r="B375" t="str">
        <f>IF(Table2425[[#This Row],[Branch Name]]="","",(_xlfn.XLOOKUP(Table2425[[#This Row],[Branch Name]],'Lookup Values'!G:G,'Lookup Values'!I:I,0)))</f>
        <v/>
      </c>
      <c r="C375" t="str">
        <f>IF(Table2425[[#This Row],[Journal Description (Service Description)]]="","",1)</f>
        <v/>
      </c>
      <c r="D375" s="2" t="str">
        <f>IF(Table2425[[#This Row],[Journal Description (Service Description)]]="","",VLOOKUP(Table2425[[#This Row],[Journal Description (Service Description)]],'Lookup Values'!$A:$B,2,FALSE))</f>
        <v/>
      </c>
    </row>
    <row r="376" spans="1:4" x14ac:dyDescent="0.35">
      <c r="A376" t="str">
        <f>IF(Table2425[[#This Row],[Branch Name]]="","",(_xlfn.XLOOKUP(Table2425[[#This Row],[Branch Name]],'Lookup Values'!G:G,'Lookup Values'!H:H,0)))</f>
        <v/>
      </c>
      <c r="B376" t="str">
        <f>IF(Table2425[[#This Row],[Branch Name]]="","",(_xlfn.XLOOKUP(Table2425[[#This Row],[Branch Name]],'Lookup Values'!G:G,'Lookup Values'!I:I,0)))</f>
        <v/>
      </c>
      <c r="C376" t="str">
        <f>IF(Table2425[[#This Row],[Journal Description (Service Description)]]="","",1)</f>
        <v/>
      </c>
      <c r="D376" s="2" t="str">
        <f>IF(Table2425[[#This Row],[Journal Description (Service Description)]]="","",VLOOKUP(Table2425[[#This Row],[Journal Description (Service Description)]],'Lookup Values'!$A:$B,2,FALSE))</f>
        <v/>
      </c>
    </row>
    <row r="377" spans="1:4" x14ac:dyDescent="0.35">
      <c r="A377" t="str">
        <f>IF(Table2425[[#This Row],[Branch Name]]="","",(_xlfn.XLOOKUP(Table2425[[#This Row],[Branch Name]],'Lookup Values'!G:G,'Lookup Values'!H:H,0)))</f>
        <v/>
      </c>
      <c r="B377" t="str">
        <f>IF(Table2425[[#This Row],[Branch Name]]="","",(_xlfn.XLOOKUP(Table2425[[#This Row],[Branch Name]],'Lookup Values'!G:G,'Lookup Values'!I:I,0)))</f>
        <v/>
      </c>
      <c r="C377" t="str">
        <f>IF(Table2425[[#This Row],[Journal Description (Service Description)]]="","",1)</f>
        <v/>
      </c>
      <c r="D377" s="2" t="str">
        <f>IF(Table2425[[#This Row],[Journal Description (Service Description)]]="","",VLOOKUP(Table2425[[#This Row],[Journal Description (Service Description)]],'Lookup Values'!$A:$B,2,FALSE))</f>
        <v/>
      </c>
    </row>
    <row r="378" spans="1:4" x14ac:dyDescent="0.35">
      <c r="A378" t="str">
        <f>IF(Table2425[[#This Row],[Branch Name]]="","",(_xlfn.XLOOKUP(Table2425[[#This Row],[Branch Name]],'Lookup Values'!G:G,'Lookup Values'!H:H,0)))</f>
        <v/>
      </c>
      <c r="B378" t="str">
        <f>IF(Table2425[[#This Row],[Branch Name]]="","",(_xlfn.XLOOKUP(Table2425[[#This Row],[Branch Name]],'Lookup Values'!G:G,'Lookup Values'!I:I,0)))</f>
        <v/>
      </c>
      <c r="C378" t="str">
        <f>IF(Table2425[[#This Row],[Journal Description (Service Description)]]="","",1)</f>
        <v/>
      </c>
      <c r="D378" s="2" t="str">
        <f>IF(Table2425[[#This Row],[Journal Description (Service Description)]]="","",VLOOKUP(Table2425[[#This Row],[Journal Description (Service Description)]],'Lookup Values'!$A:$B,2,FALSE))</f>
        <v/>
      </c>
    </row>
    <row r="379" spans="1:4" x14ac:dyDescent="0.35">
      <c r="A379" t="str">
        <f>IF(Table2425[[#This Row],[Branch Name]]="","",(_xlfn.XLOOKUP(Table2425[[#This Row],[Branch Name]],'Lookup Values'!G:G,'Lookup Values'!H:H,0)))</f>
        <v/>
      </c>
      <c r="B379" t="str">
        <f>IF(Table2425[[#This Row],[Branch Name]]="","",(_xlfn.XLOOKUP(Table2425[[#This Row],[Branch Name]],'Lookup Values'!G:G,'Lookup Values'!I:I,0)))</f>
        <v/>
      </c>
      <c r="C379" t="str">
        <f>IF(Table2425[[#This Row],[Journal Description (Service Description)]]="","",1)</f>
        <v/>
      </c>
      <c r="D379" s="2" t="str">
        <f>IF(Table2425[[#This Row],[Journal Description (Service Description)]]="","",VLOOKUP(Table2425[[#This Row],[Journal Description (Service Description)]],'Lookup Values'!$A:$B,2,FALSE))</f>
        <v/>
      </c>
    </row>
    <row r="380" spans="1:4" x14ac:dyDescent="0.35">
      <c r="A380" t="str">
        <f>IF(Table2425[[#This Row],[Branch Name]]="","",(_xlfn.XLOOKUP(Table2425[[#This Row],[Branch Name]],'Lookup Values'!G:G,'Lookup Values'!H:H,0)))</f>
        <v/>
      </c>
      <c r="B380" t="str">
        <f>IF(Table2425[[#This Row],[Branch Name]]="","",(_xlfn.XLOOKUP(Table2425[[#This Row],[Branch Name]],'Lookup Values'!G:G,'Lookup Values'!I:I,0)))</f>
        <v/>
      </c>
      <c r="C380" t="str">
        <f>IF(Table2425[[#This Row],[Journal Description (Service Description)]]="","",1)</f>
        <v/>
      </c>
      <c r="D380" s="2" t="str">
        <f>IF(Table2425[[#This Row],[Journal Description (Service Description)]]="","",VLOOKUP(Table2425[[#This Row],[Journal Description (Service Description)]],'Lookup Values'!$A:$B,2,FALSE))</f>
        <v/>
      </c>
    </row>
    <row r="381" spans="1:4" x14ac:dyDescent="0.35">
      <c r="A381" t="str">
        <f>IF(Table2425[[#This Row],[Branch Name]]="","",(_xlfn.XLOOKUP(Table2425[[#This Row],[Branch Name]],'Lookup Values'!G:G,'Lookup Values'!H:H,0)))</f>
        <v/>
      </c>
      <c r="B381" t="str">
        <f>IF(Table2425[[#This Row],[Branch Name]]="","",(_xlfn.XLOOKUP(Table2425[[#This Row],[Branch Name]],'Lookup Values'!G:G,'Lookup Values'!I:I,0)))</f>
        <v/>
      </c>
      <c r="C381" t="str">
        <f>IF(Table2425[[#This Row],[Journal Description (Service Description)]]="","",1)</f>
        <v/>
      </c>
      <c r="D381" s="2" t="str">
        <f>IF(Table2425[[#This Row],[Journal Description (Service Description)]]="","",VLOOKUP(Table2425[[#This Row],[Journal Description (Service Description)]],'Lookup Values'!$A:$B,2,FALSE))</f>
        <v/>
      </c>
    </row>
    <row r="382" spans="1:4" x14ac:dyDescent="0.35">
      <c r="A382" t="str">
        <f>IF(Table2425[[#This Row],[Branch Name]]="","",(_xlfn.XLOOKUP(Table2425[[#This Row],[Branch Name]],'Lookup Values'!G:G,'Lookup Values'!H:H,0)))</f>
        <v/>
      </c>
      <c r="B382" t="str">
        <f>IF(Table2425[[#This Row],[Branch Name]]="","",(_xlfn.XLOOKUP(Table2425[[#This Row],[Branch Name]],'Lookup Values'!G:G,'Lookup Values'!I:I,0)))</f>
        <v/>
      </c>
      <c r="C382" t="str">
        <f>IF(Table2425[[#This Row],[Journal Description (Service Description)]]="","",1)</f>
        <v/>
      </c>
      <c r="D382" s="2" t="str">
        <f>IF(Table2425[[#This Row],[Journal Description (Service Description)]]="","",VLOOKUP(Table2425[[#This Row],[Journal Description (Service Description)]],'Lookup Values'!$A:$B,2,FALSE))</f>
        <v/>
      </c>
    </row>
    <row r="383" spans="1:4" x14ac:dyDescent="0.35">
      <c r="A383" t="str">
        <f>IF(Table2425[[#This Row],[Branch Name]]="","",(_xlfn.XLOOKUP(Table2425[[#This Row],[Branch Name]],'Lookup Values'!G:G,'Lookup Values'!H:H,0)))</f>
        <v/>
      </c>
      <c r="B383" t="str">
        <f>IF(Table2425[[#This Row],[Branch Name]]="","",(_xlfn.XLOOKUP(Table2425[[#This Row],[Branch Name]],'Lookup Values'!G:G,'Lookup Values'!I:I,0)))</f>
        <v/>
      </c>
      <c r="C383" t="str">
        <f>IF(Table2425[[#This Row],[Journal Description (Service Description)]]="","",1)</f>
        <v/>
      </c>
      <c r="D383" s="2" t="str">
        <f>IF(Table2425[[#This Row],[Journal Description (Service Description)]]="","",VLOOKUP(Table2425[[#This Row],[Journal Description (Service Description)]],'Lookup Values'!$A:$B,2,FALSE))</f>
        <v/>
      </c>
    </row>
    <row r="384" spans="1:4" x14ac:dyDescent="0.35">
      <c r="A384" t="str">
        <f>IF(Table2425[[#This Row],[Branch Name]]="","",(_xlfn.XLOOKUP(Table2425[[#This Row],[Branch Name]],'Lookup Values'!G:G,'Lookup Values'!H:H,0)))</f>
        <v/>
      </c>
      <c r="B384" t="str">
        <f>IF(Table2425[[#This Row],[Branch Name]]="","",(_xlfn.XLOOKUP(Table2425[[#This Row],[Branch Name]],'Lookup Values'!G:G,'Lookup Values'!I:I,0)))</f>
        <v/>
      </c>
      <c r="C384" t="str">
        <f>IF(Table2425[[#This Row],[Journal Description (Service Description)]]="","",1)</f>
        <v/>
      </c>
      <c r="D384" s="2" t="str">
        <f>IF(Table2425[[#This Row],[Journal Description (Service Description)]]="","",VLOOKUP(Table2425[[#This Row],[Journal Description (Service Description)]],'Lookup Values'!$A:$B,2,FALSE))</f>
        <v/>
      </c>
    </row>
    <row r="385" spans="1:4" x14ac:dyDescent="0.35">
      <c r="A385" t="str">
        <f>IF(Table2425[[#This Row],[Branch Name]]="","",(_xlfn.XLOOKUP(Table2425[[#This Row],[Branch Name]],'Lookup Values'!G:G,'Lookup Values'!H:H,0)))</f>
        <v/>
      </c>
      <c r="B385" t="str">
        <f>IF(Table2425[[#This Row],[Branch Name]]="","",(_xlfn.XLOOKUP(Table2425[[#This Row],[Branch Name]],'Lookup Values'!G:G,'Lookup Values'!I:I,0)))</f>
        <v/>
      </c>
      <c r="C385" t="str">
        <f>IF(Table2425[[#This Row],[Journal Description (Service Description)]]="","",1)</f>
        <v/>
      </c>
      <c r="D385" s="2" t="str">
        <f>IF(Table2425[[#This Row],[Journal Description (Service Description)]]="","",VLOOKUP(Table2425[[#This Row],[Journal Description (Service Description)]],'Lookup Values'!$A:$B,2,FALSE))</f>
        <v/>
      </c>
    </row>
    <row r="386" spans="1:4" x14ac:dyDescent="0.35">
      <c r="A386" t="str">
        <f>IF(Table2425[[#This Row],[Branch Name]]="","",(_xlfn.XLOOKUP(Table2425[[#This Row],[Branch Name]],'Lookup Values'!G:G,'Lookup Values'!H:H,0)))</f>
        <v/>
      </c>
      <c r="B386" t="str">
        <f>IF(Table2425[[#This Row],[Branch Name]]="","",(_xlfn.XLOOKUP(Table2425[[#This Row],[Branch Name]],'Lookup Values'!G:G,'Lookup Values'!I:I,0)))</f>
        <v/>
      </c>
      <c r="C386" t="str">
        <f>IF(Table2425[[#This Row],[Journal Description (Service Description)]]="","",1)</f>
        <v/>
      </c>
      <c r="D386" s="2" t="str">
        <f>IF(Table2425[[#This Row],[Journal Description (Service Description)]]="","",VLOOKUP(Table2425[[#This Row],[Journal Description (Service Description)]],'Lookup Values'!$A:$B,2,FALSE))</f>
        <v/>
      </c>
    </row>
    <row r="387" spans="1:4" x14ac:dyDescent="0.35">
      <c r="A387" t="str">
        <f>IF(Table2425[[#This Row],[Branch Name]]="","",(_xlfn.XLOOKUP(Table2425[[#This Row],[Branch Name]],'Lookup Values'!G:G,'Lookup Values'!H:H,0)))</f>
        <v/>
      </c>
      <c r="B387" t="str">
        <f>IF(Table2425[[#This Row],[Branch Name]]="","",(_xlfn.XLOOKUP(Table2425[[#This Row],[Branch Name]],'Lookup Values'!G:G,'Lookup Values'!I:I,0)))</f>
        <v/>
      </c>
      <c r="C387" t="str">
        <f>IF(Table2425[[#This Row],[Journal Description (Service Description)]]="","",1)</f>
        <v/>
      </c>
      <c r="D387" s="2" t="str">
        <f>IF(Table2425[[#This Row],[Journal Description (Service Description)]]="","",VLOOKUP(Table2425[[#This Row],[Journal Description (Service Description)]],'Lookup Values'!$A:$B,2,FALSE))</f>
        <v/>
      </c>
    </row>
    <row r="388" spans="1:4" x14ac:dyDescent="0.35">
      <c r="A388" t="str">
        <f>IF(Table2425[[#This Row],[Branch Name]]="","",(_xlfn.XLOOKUP(Table2425[[#This Row],[Branch Name]],'Lookup Values'!G:G,'Lookup Values'!H:H,0)))</f>
        <v/>
      </c>
      <c r="B388" t="str">
        <f>IF(Table2425[[#This Row],[Branch Name]]="","",(_xlfn.XLOOKUP(Table2425[[#This Row],[Branch Name]],'Lookup Values'!G:G,'Lookup Values'!I:I,0)))</f>
        <v/>
      </c>
      <c r="C388" t="str">
        <f>IF(Table2425[[#This Row],[Journal Description (Service Description)]]="","",1)</f>
        <v/>
      </c>
      <c r="D388" s="2" t="str">
        <f>IF(Table2425[[#This Row],[Journal Description (Service Description)]]="","",VLOOKUP(Table2425[[#This Row],[Journal Description (Service Description)]],'Lookup Values'!$A:$B,2,FALSE))</f>
        <v/>
      </c>
    </row>
    <row r="389" spans="1:4" x14ac:dyDescent="0.35">
      <c r="A389" t="str">
        <f>IF(Table2425[[#This Row],[Branch Name]]="","",(_xlfn.XLOOKUP(Table2425[[#This Row],[Branch Name]],'Lookup Values'!G:G,'Lookup Values'!H:H,0)))</f>
        <v/>
      </c>
      <c r="B389" t="str">
        <f>IF(Table2425[[#This Row],[Branch Name]]="","",(_xlfn.XLOOKUP(Table2425[[#This Row],[Branch Name]],'Lookup Values'!G:G,'Lookup Values'!I:I,0)))</f>
        <v/>
      </c>
      <c r="C389" t="str">
        <f>IF(Table2425[[#This Row],[Journal Description (Service Description)]]="","",1)</f>
        <v/>
      </c>
      <c r="D389" s="2" t="str">
        <f>IF(Table2425[[#This Row],[Journal Description (Service Description)]]="","",VLOOKUP(Table2425[[#This Row],[Journal Description (Service Description)]],'Lookup Values'!$A:$B,2,FALSE))</f>
        <v/>
      </c>
    </row>
    <row r="390" spans="1:4" x14ac:dyDescent="0.35">
      <c r="A390" t="str">
        <f>IF(Table2425[[#This Row],[Branch Name]]="","",(_xlfn.XLOOKUP(Table2425[[#This Row],[Branch Name]],'Lookup Values'!G:G,'Lookup Values'!H:H,0)))</f>
        <v/>
      </c>
      <c r="B390" t="str">
        <f>IF(Table2425[[#This Row],[Branch Name]]="","",(_xlfn.XLOOKUP(Table2425[[#This Row],[Branch Name]],'Lookup Values'!G:G,'Lookup Values'!I:I,0)))</f>
        <v/>
      </c>
      <c r="C390" t="str">
        <f>IF(Table2425[[#This Row],[Journal Description (Service Description)]]="","",1)</f>
        <v/>
      </c>
      <c r="D390" s="2" t="str">
        <f>IF(Table2425[[#This Row],[Journal Description (Service Description)]]="","",VLOOKUP(Table2425[[#This Row],[Journal Description (Service Description)]],'Lookup Values'!$A:$B,2,FALSE))</f>
        <v/>
      </c>
    </row>
    <row r="391" spans="1:4" x14ac:dyDescent="0.35">
      <c r="A391" t="str">
        <f>IF(Table2425[[#This Row],[Branch Name]]="","",(_xlfn.XLOOKUP(Table2425[[#This Row],[Branch Name]],'Lookup Values'!G:G,'Lookup Values'!H:H,0)))</f>
        <v/>
      </c>
      <c r="B391" t="str">
        <f>IF(Table2425[[#This Row],[Branch Name]]="","",(_xlfn.XLOOKUP(Table2425[[#This Row],[Branch Name]],'Lookup Values'!G:G,'Lookup Values'!I:I,0)))</f>
        <v/>
      </c>
      <c r="C391" t="str">
        <f>IF(Table2425[[#This Row],[Journal Description (Service Description)]]="","",1)</f>
        <v/>
      </c>
      <c r="D391" s="2" t="str">
        <f>IF(Table2425[[#This Row],[Journal Description (Service Description)]]="","",VLOOKUP(Table2425[[#This Row],[Journal Description (Service Description)]],'Lookup Values'!$A:$B,2,FALSE))</f>
        <v/>
      </c>
    </row>
    <row r="392" spans="1:4" x14ac:dyDescent="0.35">
      <c r="A392" t="str">
        <f>IF(Table2425[[#This Row],[Branch Name]]="","",(_xlfn.XLOOKUP(Table2425[[#This Row],[Branch Name]],'Lookup Values'!G:G,'Lookup Values'!H:H,0)))</f>
        <v/>
      </c>
      <c r="B392" t="str">
        <f>IF(Table2425[[#This Row],[Branch Name]]="","",(_xlfn.XLOOKUP(Table2425[[#This Row],[Branch Name]],'Lookup Values'!G:G,'Lookup Values'!I:I,0)))</f>
        <v/>
      </c>
      <c r="C392" t="str">
        <f>IF(Table2425[[#This Row],[Journal Description (Service Description)]]="","",1)</f>
        <v/>
      </c>
      <c r="D392" s="2" t="str">
        <f>IF(Table2425[[#This Row],[Journal Description (Service Description)]]="","",VLOOKUP(Table2425[[#This Row],[Journal Description (Service Description)]],'Lookup Values'!$A:$B,2,FALSE))</f>
        <v/>
      </c>
    </row>
    <row r="393" spans="1:4" x14ac:dyDescent="0.35">
      <c r="A393" t="str">
        <f>IF(Table2425[[#This Row],[Branch Name]]="","",(_xlfn.XLOOKUP(Table2425[[#This Row],[Branch Name]],'Lookup Values'!G:G,'Lookup Values'!H:H,0)))</f>
        <v/>
      </c>
      <c r="B393" t="str">
        <f>IF(Table2425[[#This Row],[Branch Name]]="","",(_xlfn.XLOOKUP(Table2425[[#This Row],[Branch Name]],'Lookup Values'!G:G,'Lookup Values'!I:I,0)))</f>
        <v/>
      </c>
      <c r="C393" t="str">
        <f>IF(Table2425[[#This Row],[Journal Description (Service Description)]]="","",1)</f>
        <v/>
      </c>
      <c r="D393" s="2" t="str">
        <f>IF(Table2425[[#This Row],[Journal Description (Service Description)]]="","",VLOOKUP(Table2425[[#This Row],[Journal Description (Service Description)]],'Lookup Values'!$A:$B,2,FALSE))</f>
        <v/>
      </c>
    </row>
    <row r="394" spans="1:4" x14ac:dyDescent="0.35">
      <c r="A394" t="str">
        <f>IF(Table2425[[#This Row],[Branch Name]]="","",(_xlfn.XLOOKUP(Table2425[[#This Row],[Branch Name]],'Lookup Values'!G:G,'Lookup Values'!H:H,0)))</f>
        <v/>
      </c>
      <c r="B394" t="str">
        <f>IF(Table2425[[#This Row],[Branch Name]]="","",(_xlfn.XLOOKUP(Table2425[[#This Row],[Branch Name]],'Lookup Values'!G:G,'Lookup Values'!I:I,0)))</f>
        <v/>
      </c>
      <c r="C394" t="str">
        <f>IF(Table2425[[#This Row],[Journal Description (Service Description)]]="","",1)</f>
        <v/>
      </c>
      <c r="D394" s="2" t="str">
        <f>IF(Table2425[[#This Row],[Journal Description (Service Description)]]="","",VLOOKUP(Table2425[[#This Row],[Journal Description (Service Description)]],'Lookup Values'!$A:$B,2,FALSE))</f>
        <v/>
      </c>
    </row>
    <row r="395" spans="1:4" x14ac:dyDescent="0.35">
      <c r="A395" t="str">
        <f>IF(Table2425[[#This Row],[Branch Name]]="","",(_xlfn.XLOOKUP(Table2425[[#This Row],[Branch Name]],'Lookup Values'!G:G,'Lookup Values'!H:H,0)))</f>
        <v/>
      </c>
      <c r="B395" t="str">
        <f>IF(Table2425[[#This Row],[Branch Name]]="","",(_xlfn.XLOOKUP(Table2425[[#This Row],[Branch Name]],'Lookup Values'!G:G,'Lookup Values'!I:I,0)))</f>
        <v/>
      </c>
      <c r="C395" t="str">
        <f>IF(Table2425[[#This Row],[Journal Description (Service Description)]]="","",1)</f>
        <v/>
      </c>
      <c r="D395" s="2" t="str">
        <f>IF(Table2425[[#This Row],[Journal Description (Service Description)]]="","",VLOOKUP(Table2425[[#This Row],[Journal Description (Service Description)]],'Lookup Values'!$A:$B,2,FALSE))</f>
        <v/>
      </c>
    </row>
    <row r="396" spans="1:4" x14ac:dyDescent="0.35">
      <c r="A396" t="str">
        <f>IF(Table2425[[#This Row],[Branch Name]]="","",(_xlfn.XLOOKUP(Table2425[[#This Row],[Branch Name]],'Lookup Values'!G:G,'Lookup Values'!H:H,0)))</f>
        <v/>
      </c>
      <c r="B396" t="str">
        <f>IF(Table2425[[#This Row],[Branch Name]]="","",(_xlfn.XLOOKUP(Table2425[[#This Row],[Branch Name]],'Lookup Values'!G:G,'Lookup Values'!I:I,0)))</f>
        <v/>
      </c>
      <c r="C396" t="str">
        <f>IF(Table2425[[#This Row],[Journal Description (Service Description)]]="","",1)</f>
        <v/>
      </c>
      <c r="D396" s="2" t="str">
        <f>IF(Table2425[[#This Row],[Journal Description (Service Description)]]="","",VLOOKUP(Table2425[[#This Row],[Journal Description (Service Description)]],'Lookup Values'!$A:$B,2,FALSE))</f>
        <v/>
      </c>
    </row>
    <row r="397" spans="1:4" x14ac:dyDescent="0.35">
      <c r="A397" t="str">
        <f>IF(Table2425[[#This Row],[Branch Name]]="","",(_xlfn.XLOOKUP(Table2425[[#This Row],[Branch Name]],'Lookup Values'!G:G,'Lookup Values'!H:H,0)))</f>
        <v/>
      </c>
      <c r="B397" t="str">
        <f>IF(Table2425[[#This Row],[Branch Name]]="","",(_xlfn.XLOOKUP(Table2425[[#This Row],[Branch Name]],'Lookup Values'!G:G,'Lookup Values'!I:I,0)))</f>
        <v/>
      </c>
      <c r="C397" t="str">
        <f>IF(Table2425[[#This Row],[Journal Description (Service Description)]]="","",1)</f>
        <v/>
      </c>
      <c r="D397" s="2" t="str">
        <f>IF(Table2425[[#This Row],[Journal Description (Service Description)]]="","",VLOOKUP(Table2425[[#This Row],[Journal Description (Service Description)]],'Lookup Values'!$A:$B,2,FALSE))</f>
        <v/>
      </c>
    </row>
    <row r="398" spans="1:4" x14ac:dyDescent="0.35">
      <c r="A398" t="str">
        <f>IF(Table2425[[#This Row],[Branch Name]]="","",(_xlfn.XLOOKUP(Table2425[[#This Row],[Branch Name]],'Lookup Values'!G:G,'Lookup Values'!H:H,0)))</f>
        <v/>
      </c>
      <c r="B398" t="str">
        <f>IF(Table2425[[#This Row],[Branch Name]]="","",(_xlfn.XLOOKUP(Table2425[[#This Row],[Branch Name]],'Lookup Values'!G:G,'Lookup Values'!I:I,0)))</f>
        <v/>
      </c>
      <c r="C398" t="str">
        <f>IF(Table2425[[#This Row],[Journal Description (Service Description)]]="","",1)</f>
        <v/>
      </c>
      <c r="D398" s="2" t="str">
        <f>IF(Table2425[[#This Row],[Journal Description (Service Description)]]="","",VLOOKUP(Table2425[[#This Row],[Journal Description (Service Description)]],'Lookup Values'!$A:$B,2,FALSE))</f>
        <v/>
      </c>
    </row>
    <row r="399" spans="1:4" x14ac:dyDescent="0.35">
      <c r="A399" t="str">
        <f>IF(Table2425[[#This Row],[Branch Name]]="","",(_xlfn.XLOOKUP(Table2425[[#This Row],[Branch Name]],'Lookup Values'!G:G,'Lookup Values'!H:H,0)))</f>
        <v/>
      </c>
      <c r="B399" t="str">
        <f>IF(Table2425[[#This Row],[Branch Name]]="","",(_xlfn.XLOOKUP(Table2425[[#This Row],[Branch Name]],'Lookup Values'!G:G,'Lookup Values'!I:I,0)))</f>
        <v/>
      </c>
      <c r="C399" t="str">
        <f>IF(Table2425[[#This Row],[Journal Description (Service Description)]]="","",1)</f>
        <v/>
      </c>
      <c r="D399" s="2" t="str">
        <f>IF(Table2425[[#This Row],[Journal Description (Service Description)]]="","",VLOOKUP(Table2425[[#This Row],[Journal Description (Service Description)]],'Lookup Values'!$A:$B,2,FALSE))</f>
        <v/>
      </c>
    </row>
    <row r="400" spans="1:4" x14ac:dyDescent="0.35">
      <c r="A400" t="str">
        <f>IF(Table2425[[#This Row],[Branch Name]]="","",(_xlfn.XLOOKUP(Table2425[[#This Row],[Branch Name]],'Lookup Values'!G:G,'Lookup Values'!H:H,0)))</f>
        <v/>
      </c>
      <c r="B400" t="str">
        <f>IF(Table2425[[#This Row],[Branch Name]]="","",(_xlfn.XLOOKUP(Table2425[[#This Row],[Branch Name]],'Lookup Values'!G:G,'Lookup Values'!I:I,0)))</f>
        <v/>
      </c>
      <c r="C400" t="str">
        <f>IF(Table2425[[#This Row],[Journal Description (Service Description)]]="","",1)</f>
        <v/>
      </c>
      <c r="D400" s="2" t="str">
        <f>IF(Table2425[[#This Row],[Journal Description (Service Description)]]="","",VLOOKUP(Table2425[[#This Row],[Journal Description (Service Description)]],'Lookup Values'!$A:$B,2,FALSE))</f>
        <v/>
      </c>
    </row>
    <row r="401" spans="1:4" x14ac:dyDescent="0.35">
      <c r="A401" t="str">
        <f>IF(Table2425[[#This Row],[Branch Name]]="","",(_xlfn.XLOOKUP(Table2425[[#This Row],[Branch Name]],'Lookup Values'!G:G,'Lookup Values'!H:H,0)))</f>
        <v/>
      </c>
      <c r="B401" t="str">
        <f>IF(Table2425[[#This Row],[Branch Name]]="","",(_xlfn.XLOOKUP(Table2425[[#This Row],[Branch Name]],'Lookup Values'!G:G,'Lookup Values'!I:I,0)))</f>
        <v/>
      </c>
      <c r="C401" t="str">
        <f>IF(Table2425[[#This Row],[Journal Description (Service Description)]]="","",1)</f>
        <v/>
      </c>
      <c r="D401" s="2" t="str">
        <f>IF(Table2425[[#This Row],[Journal Description (Service Description)]]="","",VLOOKUP(Table2425[[#This Row],[Journal Description (Service Description)]],'Lookup Values'!$A:$B,2,FALSE))</f>
        <v/>
      </c>
    </row>
    <row r="402" spans="1:4" x14ac:dyDescent="0.35">
      <c r="A402" t="str">
        <f>IF(Table2425[[#This Row],[Branch Name]]="","",(_xlfn.XLOOKUP(Table2425[[#This Row],[Branch Name]],'Lookup Values'!G:G,'Lookup Values'!H:H,0)))</f>
        <v/>
      </c>
      <c r="B402" t="str">
        <f>IF(Table2425[[#This Row],[Branch Name]]="","",(_xlfn.XLOOKUP(Table2425[[#This Row],[Branch Name]],'Lookup Values'!G:G,'Lookup Values'!I:I,0)))</f>
        <v/>
      </c>
      <c r="C402" t="str">
        <f>IF(Table2425[[#This Row],[Journal Description (Service Description)]]="","",1)</f>
        <v/>
      </c>
      <c r="D402" s="2" t="str">
        <f>IF(Table2425[[#This Row],[Journal Description (Service Description)]]="","",VLOOKUP(Table2425[[#This Row],[Journal Description (Service Description)]],'Lookup Values'!$A:$B,2,FALSE))</f>
        <v/>
      </c>
    </row>
    <row r="403" spans="1:4" x14ac:dyDescent="0.35">
      <c r="A403" t="str">
        <f>IF(Table2425[[#This Row],[Branch Name]]="","",(_xlfn.XLOOKUP(Table2425[[#This Row],[Branch Name]],'Lookup Values'!G:G,'Lookup Values'!H:H,0)))</f>
        <v/>
      </c>
      <c r="B403" t="str">
        <f>IF(Table2425[[#This Row],[Branch Name]]="","",(_xlfn.XLOOKUP(Table2425[[#This Row],[Branch Name]],'Lookup Values'!G:G,'Lookup Values'!I:I,0)))</f>
        <v/>
      </c>
      <c r="C403" t="str">
        <f>IF(Table2425[[#This Row],[Journal Description (Service Description)]]="","",1)</f>
        <v/>
      </c>
      <c r="D403" s="2" t="str">
        <f>IF(Table2425[[#This Row],[Journal Description (Service Description)]]="","",VLOOKUP(Table2425[[#This Row],[Journal Description (Service Description)]],'Lookup Values'!$A:$B,2,FALSE))</f>
        <v/>
      </c>
    </row>
    <row r="404" spans="1:4" x14ac:dyDescent="0.35">
      <c r="A404" t="str">
        <f>IF(Table2425[[#This Row],[Branch Name]]="","",(_xlfn.XLOOKUP(Table2425[[#This Row],[Branch Name]],'Lookup Values'!G:G,'Lookup Values'!H:H,0)))</f>
        <v/>
      </c>
      <c r="B404" t="str">
        <f>IF(Table2425[[#This Row],[Branch Name]]="","",(_xlfn.XLOOKUP(Table2425[[#This Row],[Branch Name]],'Lookup Values'!G:G,'Lookup Values'!I:I,0)))</f>
        <v/>
      </c>
      <c r="C404" t="str">
        <f>IF(Table2425[[#This Row],[Journal Description (Service Description)]]="","",1)</f>
        <v/>
      </c>
      <c r="D404" s="2" t="str">
        <f>IF(Table2425[[#This Row],[Journal Description (Service Description)]]="","",VLOOKUP(Table2425[[#This Row],[Journal Description (Service Description)]],'Lookup Values'!$A:$B,2,FALSE))</f>
        <v/>
      </c>
    </row>
    <row r="405" spans="1:4" x14ac:dyDescent="0.35">
      <c r="A405" t="str">
        <f>IF(Table2425[[#This Row],[Branch Name]]="","",(_xlfn.XLOOKUP(Table2425[[#This Row],[Branch Name]],'Lookup Values'!G:G,'Lookup Values'!H:H,0)))</f>
        <v/>
      </c>
      <c r="B405" t="str">
        <f>IF(Table2425[[#This Row],[Branch Name]]="","",(_xlfn.XLOOKUP(Table2425[[#This Row],[Branch Name]],'Lookup Values'!G:G,'Lookup Values'!I:I,0)))</f>
        <v/>
      </c>
      <c r="C405" t="str">
        <f>IF(Table2425[[#This Row],[Journal Description (Service Description)]]="","",1)</f>
        <v/>
      </c>
      <c r="D405" s="2" t="str">
        <f>IF(Table2425[[#This Row],[Journal Description (Service Description)]]="","",VLOOKUP(Table2425[[#This Row],[Journal Description (Service Description)]],'Lookup Values'!$A:$B,2,FALSE))</f>
        <v/>
      </c>
    </row>
    <row r="406" spans="1:4" x14ac:dyDescent="0.35">
      <c r="A406" t="str">
        <f>IF(Table2425[[#This Row],[Branch Name]]="","",(_xlfn.XLOOKUP(Table2425[[#This Row],[Branch Name]],'Lookup Values'!G:G,'Lookup Values'!H:H,0)))</f>
        <v/>
      </c>
      <c r="B406" t="str">
        <f>IF(Table2425[[#This Row],[Branch Name]]="","",(_xlfn.XLOOKUP(Table2425[[#This Row],[Branch Name]],'Lookup Values'!G:G,'Lookup Values'!I:I,0)))</f>
        <v/>
      </c>
      <c r="C406" t="str">
        <f>IF(Table2425[[#This Row],[Journal Description (Service Description)]]="","",1)</f>
        <v/>
      </c>
      <c r="D406" s="2" t="str">
        <f>IF(Table2425[[#This Row],[Journal Description (Service Description)]]="","",VLOOKUP(Table2425[[#This Row],[Journal Description (Service Description)]],'Lookup Values'!$A:$B,2,FALSE))</f>
        <v/>
      </c>
    </row>
    <row r="407" spans="1:4" x14ac:dyDescent="0.35">
      <c r="A407" t="str">
        <f>IF(Table2425[[#This Row],[Branch Name]]="","",(_xlfn.XLOOKUP(Table2425[[#This Row],[Branch Name]],'Lookup Values'!G:G,'Lookup Values'!H:H,0)))</f>
        <v/>
      </c>
      <c r="B407" t="str">
        <f>IF(Table2425[[#This Row],[Branch Name]]="","",(_xlfn.XLOOKUP(Table2425[[#This Row],[Branch Name]],'Lookup Values'!G:G,'Lookup Values'!I:I,0)))</f>
        <v/>
      </c>
      <c r="C407" t="str">
        <f>IF(Table2425[[#This Row],[Journal Description (Service Description)]]="","",1)</f>
        <v/>
      </c>
      <c r="D407" s="2" t="str">
        <f>IF(Table2425[[#This Row],[Journal Description (Service Description)]]="","",VLOOKUP(Table2425[[#This Row],[Journal Description (Service Description)]],'Lookup Values'!$A:$B,2,FALSE))</f>
        <v/>
      </c>
    </row>
    <row r="408" spans="1:4" x14ac:dyDescent="0.35">
      <c r="A408" t="str">
        <f>IF(Table2425[[#This Row],[Branch Name]]="","",(_xlfn.XLOOKUP(Table2425[[#This Row],[Branch Name]],'Lookup Values'!G:G,'Lookup Values'!H:H,0)))</f>
        <v/>
      </c>
      <c r="B408" t="str">
        <f>IF(Table2425[[#This Row],[Branch Name]]="","",(_xlfn.XLOOKUP(Table2425[[#This Row],[Branch Name]],'Lookup Values'!G:G,'Lookup Values'!I:I,0)))</f>
        <v/>
      </c>
      <c r="C408" t="str">
        <f>IF(Table2425[[#This Row],[Journal Description (Service Description)]]="","",1)</f>
        <v/>
      </c>
      <c r="D408" s="2" t="str">
        <f>IF(Table2425[[#This Row],[Journal Description (Service Description)]]="","",VLOOKUP(Table2425[[#This Row],[Journal Description (Service Description)]],'Lookup Values'!$A:$B,2,FALSE))</f>
        <v/>
      </c>
    </row>
    <row r="409" spans="1:4" x14ac:dyDescent="0.35">
      <c r="A409" t="str">
        <f>IF(Table2425[[#This Row],[Branch Name]]="","",(_xlfn.XLOOKUP(Table2425[[#This Row],[Branch Name]],'Lookup Values'!G:G,'Lookup Values'!H:H,0)))</f>
        <v/>
      </c>
      <c r="B409" t="str">
        <f>IF(Table2425[[#This Row],[Branch Name]]="","",(_xlfn.XLOOKUP(Table2425[[#This Row],[Branch Name]],'Lookup Values'!G:G,'Lookup Values'!I:I,0)))</f>
        <v/>
      </c>
      <c r="C409" t="str">
        <f>IF(Table2425[[#This Row],[Journal Description (Service Description)]]="","",1)</f>
        <v/>
      </c>
      <c r="D409" s="2" t="str">
        <f>IF(Table2425[[#This Row],[Journal Description (Service Description)]]="","",VLOOKUP(Table2425[[#This Row],[Journal Description (Service Description)]],'Lookup Values'!$A:$B,2,FALSE))</f>
        <v/>
      </c>
    </row>
    <row r="410" spans="1:4" x14ac:dyDescent="0.35">
      <c r="A410" t="str">
        <f>IF(Table2425[[#This Row],[Branch Name]]="","",(_xlfn.XLOOKUP(Table2425[[#This Row],[Branch Name]],'Lookup Values'!G:G,'Lookup Values'!H:H,0)))</f>
        <v/>
      </c>
      <c r="B410" t="str">
        <f>IF(Table2425[[#This Row],[Branch Name]]="","",(_xlfn.XLOOKUP(Table2425[[#This Row],[Branch Name]],'Lookup Values'!G:G,'Lookup Values'!I:I,0)))</f>
        <v/>
      </c>
      <c r="C410" t="str">
        <f>IF(Table2425[[#This Row],[Journal Description (Service Description)]]="","",1)</f>
        <v/>
      </c>
      <c r="D410" s="2" t="str">
        <f>IF(Table2425[[#This Row],[Journal Description (Service Description)]]="","",VLOOKUP(Table2425[[#This Row],[Journal Description (Service Description)]],'Lookup Values'!$A:$B,2,FALSE))</f>
        <v/>
      </c>
    </row>
    <row r="411" spans="1:4" x14ac:dyDescent="0.35">
      <c r="A411" t="str">
        <f>IF(Table2425[[#This Row],[Branch Name]]="","",(_xlfn.XLOOKUP(Table2425[[#This Row],[Branch Name]],'Lookup Values'!G:G,'Lookup Values'!H:H,0)))</f>
        <v/>
      </c>
      <c r="B411" t="str">
        <f>IF(Table2425[[#This Row],[Branch Name]]="","",(_xlfn.XLOOKUP(Table2425[[#This Row],[Branch Name]],'Lookup Values'!G:G,'Lookup Values'!I:I,0)))</f>
        <v/>
      </c>
      <c r="C411" t="str">
        <f>IF(Table2425[[#This Row],[Journal Description (Service Description)]]="","",1)</f>
        <v/>
      </c>
      <c r="D411" s="2" t="str">
        <f>IF(Table2425[[#This Row],[Journal Description (Service Description)]]="","",VLOOKUP(Table2425[[#This Row],[Journal Description (Service Description)]],'Lookup Values'!$A:$B,2,FALSE))</f>
        <v/>
      </c>
    </row>
    <row r="412" spans="1:4" x14ac:dyDescent="0.35">
      <c r="A412" t="str">
        <f>IF(Table2425[[#This Row],[Branch Name]]="","",(_xlfn.XLOOKUP(Table2425[[#This Row],[Branch Name]],'Lookup Values'!G:G,'Lookup Values'!H:H,0)))</f>
        <v/>
      </c>
      <c r="B412" t="str">
        <f>IF(Table2425[[#This Row],[Branch Name]]="","",(_xlfn.XLOOKUP(Table2425[[#This Row],[Branch Name]],'Lookup Values'!G:G,'Lookup Values'!I:I,0)))</f>
        <v/>
      </c>
      <c r="C412" t="str">
        <f>IF(Table2425[[#This Row],[Journal Description (Service Description)]]="","",1)</f>
        <v/>
      </c>
      <c r="D412" s="2" t="str">
        <f>IF(Table2425[[#This Row],[Journal Description (Service Description)]]="","",VLOOKUP(Table2425[[#This Row],[Journal Description (Service Description)]],'Lookup Values'!$A:$B,2,FALSE))</f>
        <v/>
      </c>
    </row>
    <row r="413" spans="1:4" x14ac:dyDescent="0.35">
      <c r="A413" t="str">
        <f>IF(Table2425[[#This Row],[Branch Name]]="","",(_xlfn.XLOOKUP(Table2425[[#This Row],[Branch Name]],'Lookup Values'!G:G,'Lookup Values'!H:H,0)))</f>
        <v/>
      </c>
      <c r="B413" t="str">
        <f>IF(Table2425[[#This Row],[Branch Name]]="","",(_xlfn.XLOOKUP(Table2425[[#This Row],[Branch Name]],'Lookup Values'!G:G,'Lookup Values'!I:I,0)))</f>
        <v/>
      </c>
      <c r="C413" t="str">
        <f>IF(Table2425[[#This Row],[Journal Description (Service Description)]]="","",1)</f>
        <v/>
      </c>
      <c r="D413" s="2" t="str">
        <f>IF(Table2425[[#This Row],[Journal Description (Service Description)]]="","",VLOOKUP(Table2425[[#This Row],[Journal Description (Service Description)]],'Lookup Values'!$A:$B,2,FALSE))</f>
        <v/>
      </c>
    </row>
    <row r="414" spans="1:4" x14ac:dyDescent="0.35">
      <c r="A414" t="str">
        <f>IF(Table2425[[#This Row],[Branch Name]]="","",(_xlfn.XLOOKUP(Table2425[[#This Row],[Branch Name]],'Lookup Values'!G:G,'Lookup Values'!H:H,0)))</f>
        <v/>
      </c>
      <c r="B414" t="str">
        <f>IF(Table2425[[#This Row],[Branch Name]]="","",(_xlfn.XLOOKUP(Table2425[[#This Row],[Branch Name]],'Lookup Values'!G:G,'Lookup Values'!I:I,0)))</f>
        <v/>
      </c>
      <c r="C414" t="str">
        <f>IF(Table2425[[#This Row],[Journal Description (Service Description)]]="","",1)</f>
        <v/>
      </c>
      <c r="D414" s="2" t="str">
        <f>IF(Table2425[[#This Row],[Journal Description (Service Description)]]="","",VLOOKUP(Table2425[[#This Row],[Journal Description (Service Description)]],'Lookup Values'!$A:$B,2,FALSE))</f>
        <v/>
      </c>
    </row>
    <row r="415" spans="1:4" x14ac:dyDescent="0.35">
      <c r="A415" t="str">
        <f>IF(Table2425[[#This Row],[Branch Name]]="","",(_xlfn.XLOOKUP(Table2425[[#This Row],[Branch Name]],'Lookup Values'!G:G,'Lookup Values'!H:H,0)))</f>
        <v/>
      </c>
      <c r="B415" t="str">
        <f>IF(Table2425[[#This Row],[Branch Name]]="","",(_xlfn.XLOOKUP(Table2425[[#This Row],[Branch Name]],'Lookup Values'!G:G,'Lookup Values'!I:I,0)))</f>
        <v/>
      </c>
      <c r="C415" t="str">
        <f>IF(Table2425[[#This Row],[Journal Description (Service Description)]]="","",1)</f>
        <v/>
      </c>
      <c r="D415" s="2" t="str">
        <f>IF(Table2425[[#This Row],[Journal Description (Service Description)]]="","",VLOOKUP(Table2425[[#This Row],[Journal Description (Service Description)]],'Lookup Values'!$A:$B,2,FALSE))</f>
        <v/>
      </c>
    </row>
    <row r="416" spans="1:4" x14ac:dyDescent="0.35">
      <c r="A416" t="str">
        <f>IF(Table2425[[#This Row],[Branch Name]]="","",(_xlfn.XLOOKUP(Table2425[[#This Row],[Branch Name]],'Lookup Values'!G:G,'Lookup Values'!H:H,0)))</f>
        <v/>
      </c>
      <c r="B416" t="str">
        <f>IF(Table2425[[#This Row],[Branch Name]]="","",(_xlfn.XLOOKUP(Table2425[[#This Row],[Branch Name]],'Lookup Values'!G:G,'Lookup Values'!I:I,0)))</f>
        <v/>
      </c>
      <c r="C416" t="str">
        <f>IF(Table2425[[#This Row],[Journal Description (Service Description)]]="","",1)</f>
        <v/>
      </c>
      <c r="D416" s="2" t="str">
        <f>IF(Table2425[[#This Row],[Journal Description (Service Description)]]="","",VLOOKUP(Table2425[[#This Row],[Journal Description (Service Description)]],'Lookup Values'!$A:$B,2,FALSE))</f>
        <v/>
      </c>
    </row>
    <row r="417" spans="1:4" x14ac:dyDescent="0.35">
      <c r="A417" t="str">
        <f>IF(Table2425[[#This Row],[Branch Name]]="","",(_xlfn.XLOOKUP(Table2425[[#This Row],[Branch Name]],'Lookup Values'!G:G,'Lookup Values'!H:H,0)))</f>
        <v/>
      </c>
      <c r="B417" t="str">
        <f>IF(Table2425[[#This Row],[Branch Name]]="","",(_xlfn.XLOOKUP(Table2425[[#This Row],[Branch Name]],'Lookup Values'!G:G,'Lookup Values'!I:I,0)))</f>
        <v/>
      </c>
      <c r="C417" t="str">
        <f>IF(Table2425[[#This Row],[Journal Description (Service Description)]]="","",1)</f>
        <v/>
      </c>
      <c r="D417" s="2" t="str">
        <f>IF(Table2425[[#This Row],[Journal Description (Service Description)]]="","",VLOOKUP(Table2425[[#This Row],[Journal Description (Service Description)]],'Lookup Values'!$A:$B,2,FALSE))</f>
        <v/>
      </c>
    </row>
    <row r="418" spans="1:4" x14ac:dyDescent="0.35">
      <c r="A418" t="str">
        <f>IF(Table2425[[#This Row],[Branch Name]]="","",(_xlfn.XLOOKUP(Table2425[[#This Row],[Branch Name]],'Lookup Values'!G:G,'Lookup Values'!H:H,0)))</f>
        <v/>
      </c>
      <c r="B418" t="str">
        <f>IF(Table2425[[#This Row],[Branch Name]]="","",(_xlfn.XLOOKUP(Table2425[[#This Row],[Branch Name]],'Lookup Values'!G:G,'Lookup Values'!I:I,0)))</f>
        <v/>
      </c>
      <c r="C418" t="str">
        <f>IF(Table2425[[#This Row],[Journal Description (Service Description)]]="","",1)</f>
        <v/>
      </c>
      <c r="D418" s="2" t="str">
        <f>IF(Table2425[[#This Row],[Journal Description (Service Description)]]="","",VLOOKUP(Table2425[[#This Row],[Journal Description (Service Description)]],'Lookup Values'!$A:$B,2,FALSE))</f>
        <v/>
      </c>
    </row>
    <row r="419" spans="1:4" x14ac:dyDescent="0.35">
      <c r="A419" t="str">
        <f>IF(Table2425[[#This Row],[Branch Name]]="","",(_xlfn.XLOOKUP(Table2425[[#This Row],[Branch Name]],'Lookup Values'!G:G,'Lookup Values'!H:H,0)))</f>
        <v/>
      </c>
      <c r="B419" t="str">
        <f>IF(Table2425[[#This Row],[Branch Name]]="","",(_xlfn.XLOOKUP(Table2425[[#This Row],[Branch Name]],'Lookup Values'!G:G,'Lookup Values'!I:I,0)))</f>
        <v/>
      </c>
      <c r="C419" t="str">
        <f>IF(Table2425[[#This Row],[Journal Description (Service Description)]]="","",1)</f>
        <v/>
      </c>
      <c r="D419" s="2" t="str">
        <f>IF(Table2425[[#This Row],[Journal Description (Service Description)]]="","",VLOOKUP(Table2425[[#This Row],[Journal Description (Service Description)]],'Lookup Values'!$A:$B,2,FALSE))</f>
        <v/>
      </c>
    </row>
    <row r="420" spans="1:4" x14ac:dyDescent="0.35">
      <c r="A420" t="str">
        <f>IF(Table2425[[#This Row],[Branch Name]]="","",(_xlfn.XLOOKUP(Table2425[[#This Row],[Branch Name]],'Lookup Values'!G:G,'Lookup Values'!H:H,0)))</f>
        <v/>
      </c>
      <c r="B420" t="str">
        <f>IF(Table2425[[#This Row],[Branch Name]]="","",(_xlfn.XLOOKUP(Table2425[[#This Row],[Branch Name]],'Lookup Values'!G:G,'Lookup Values'!I:I,0)))</f>
        <v/>
      </c>
      <c r="C420" t="str">
        <f>IF(Table2425[[#This Row],[Journal Description (Service Description)]]="","",1)</f>
        <v/>
      </c>
      <c r="D420" s="2" t="str">
        <f>IF(Table2425[[#This Row],[Journal Description (Service Description)]]="","",VLOOKUP(Table2425[[#This Row],[Journal Description (Service Description)]],'Lookup Values'!$A:$B,2,FALSE))</f>
        <v/>
      </c>
    </row>
    <row r="421" spans="1:4" x14ac:dyDescent="0.35">
      <c r="A421" t="str">
        <f>IF(Table2425[[#This Row],[Branch Name]]="","",(_xlfn.XLOOKUP(Table2425[[#This Row],[Branch Name]],'Lookup Values'!G:G,'Lookup Values'!H:H,0)))</f>
        <v/>
      </c>
      <c r="B421" t="str">
        <f>IF(Table2425[[#This Row],[Branch Name]]="","",(_xlfn.XLOOKUP(Table2425[[#This Row],[Branch Name]],'Lookup Values'!G:G,'Lookup Values'!I:I,0)))</f>
        <v/>
      </c>
      <c r="C421" t="str">
        <f>IF(Table2425[[#This Row],[Journal Description (Service Description)]]="","",1)</f>
        <v/>
      </c>
      <c r="D421" s="2" t="str">
        <f>IF(Table2425[[#This Row],[Journal Description (Service Description)]]="","",VLOOKUP(Table2425[[#This Row],[Journal Description (Service Description)]],'Lookup Values'!$A:$B,2,FALSE))</f>
        <v/>
      </c>
    </row>
    <row r="422" spans="1:4" x14ac:dyDescent="0.35">
      <c r="A422" t="str">
        <f>IF(Table2425[[#This Row],[Branch Name]]="","",(_xlfn.XLOOKUP(Table2425[[#This Row],[Branch Name]],'Lookup Values'!G:G,'Lookup Values'!H:H,0)))</f>
        <v/>
      </c>
      <c r="B422" t="str">
        <f>IF(Table2425[[#This Row],[Branch Name]]="","",(_xlfn.XLOOKUP(Table2425[[#This Row],[Branch Name]],'Lookup Values'!G:G,'Lookup Values'!I:I,0)))</f>
        <v/>
      </c>
      <c r="C422" t="str">
        <f>IF(Table2425[[#This Row],[Journal Description (Service Description)]]="","",1)</f>
        <v/>
      </c>
      <c r="D422" s="2" t="str">
        <f>IF(Table2425[[#This Row],[Journal Description (Service Description)]]="","",VLOOKUP(Table2425[[#This Row],[Journal Description (Service Description)]],'Lookup Values'!$A:$B,2,FALSE))</f>
        <v/>
      </c>
    </row>
    <row r="423" spans="1:4" x14ac:dyDescent="0.35">
      <c r="A423" t="str">
        <f>IF(Table2425[[#This Row],[Branch Name]]="","",(_xlfn.XLOOKUP(Table2425[[#This Row],[Branch Name]],'Lookup Values'!G:G,'Lookup Values'!H:H,0)))</f>
        <v/>
      </c>
      <c r="B423" t="str">
        <f>IF(Table2425[[#This Row],[Branch Name]]="","",(_xlfn.XLOOKUP(Table2425[[#This Row],[Branch Name]],'Lookup Values'!G:G,'Lookup Values'!I:I,0)))</f>
        <v/>
      </c>
      <c r="C423" t="str">
        <f>IF(Table2425[[#This Row],[Journal Description (Service Description)]]="","",1)</f>
        <v/>
      </c>
      <c r="D423" s="2" t="str">
        <f>IF(Table2425[[#This Row],[Journal Description (Service Description)]]="","",VLOOKUP(Table2425[[#This Row],[Journal Description (Service Description)]],'Lookup Values'!$A:$B,2,FALSE))</f>
        <v/>
      </c>
    </row>
    <row r="424" spans="1:4" x14ac:dyDescent="0.35">
      <c r="A424" t="str">
        <f>IF(Table2425[[#This Row],[Branch Name]]="","",(_xlfn.XLOOKUP(Table2425[[#This Row],[Branch Name]],'Lookup Values'!G:G,'Lookup Values'!H:H,0)))</f>
        <v/>
      </c>
      <c r="B424" t="str">
        <f>IF(Table2425[[#This Row],[Branch Name]]="","",(_xlfn.XLOOKUP(Table2425[[#This Row],[Branch Name]],'Lookup Values'!G:G,'Lookup Values'!I:I,0)))</f>
        <v/>
      </c>
      <c r="C424" t="str">
        <f>IF(Table2425[[#This Row],[Journal Description (Service Description)]]="","",1)</f>
        <v/>
      </c>
      <c r="D424" s="2" t="str">
        <f>IF(Table2425[[#This Row],[Journal Description (Service Description)]]="","",VLOOKUP(Table2425[[#This Row],[Journal Description (Service Description)]],'Lookup Values'!$A:$B,2,FALSE))</f>
        <v/>
      </c>
    </row>
    <row r="425" spans="1:4" x14ac:dyDescent="0.35">
      <c r="A425" t="str">
        <f>IF(Table2425[[#This Row],[Branch Name]]="","",(_xlfn.XLOOKUP(Table2425[[#This Row],[Branch Name]],'Lookup Values'!G:G,'Lookup Values'!H:H,0)))</f>
        <v/>
      </c>
      <c r="B425" t="str">
        <f>IF(Table2425[[#This Row],[Branch Name]]="","",(_xlfn.XLOOKUP(Table2425[[#This Row],[Branch Name]],'Lookup Values'!G:G,'Lookup Values'!I:I,0)))</f>
        <v/>
      </c>
      <c r="C425" t="str">
        <f>IF(Table2425[[#This Row],[Journal Description (Service Description)]]="","",1)</f>
        <v/>
      </c>
      <c r="D425" s="2" t="str">
        <f>IF(Table2425[[#This Row],[Journal Description (Service Description)]]="","",VLOOKUP(Table2425[[#This Row],[Journal Description (Service Description)]],'Lookup Values'!$A:$B,2,FALSE))</f>
        <v/>
      </c>
    </row>
    <row r="426" spans="1:4" x14ac:dyDescent="0.35">
      <c r="A426" t="str">
        <f>IF(Table2425[[#This Row],[Branch Name]]="","",(_xlfn.XLOOKUP(Table2425[[#This Row],[Branch Name]],'Lookup Values'!G:G,'Lookup Values'!H:H,0)))</f>
        <v/>
      </c>
      <c r="B426" t="str">
        <f>IF(Table2425[[#This Row],[Branch Name]]="","",(_xlfn.XLOOKUP(Table2425[[#This Row],[Branch Name]],'Lookup Values'!G:G,'Lookup Values'!I:I,0)))</f>
        <v/>
      </c>
      <c r="C426" t="str">
        <f>IF(Table2425[[#This Row],[Journal Description (Service Description)]]="","",1)</f>
        <v/>
      </c>
      <c r="D426" s="2" t="str">
        <f>IF(Table2425[[#This Row],[Journal Description (Service Description)]]="","",VLOOKUP(Table2425[[#This Row],[Journal Description (Service Description)]],'Lookup Values'!$A:$B,2,FALSE))</f>
        <v/>
      </c>
    </row>
    <row r="427" spans="1:4" x14ac:dyDescent="0.35">
      <c r="A427" t="str">
        <f>IF(Table2425[[#This Row],[Branch Name]]="","",(_xlfn.XLOOKUP(Table2425[[#This Row],[Branch Name]],'Lookup Values'!G:G,'Lookup Values'!H:H,0)))</f>
        <v/>
      </c>
      <c r="B427" t="str">
        <f>IF(Table2425[[#This Row],[Branch Name]]="","",(_xlfn.XLOOKUP(Table2425[[#This Row],[Branch Name]],'Lookup Values'!G:G,'Lookup Values'!I:I,0)))</f>
        <v/>
      </c>
      <c r="C427" t="str">
        <f>IF(Table2425[[#This Row],[Journal Description (Service Description)]]="","",1)</f>
        <v/>
      </c>
      <c r="D427" s="2" t="str">
        <f>IF(Table2425[[#This Row],[Journal Description (Service Description)]]="","",VLOOKUP(Table2425[[#This Row],[Journal Description (Service Description)]],'Lookup Values'!$A:$B,2,FALSE))</f>
        <v/>
      </c>
    </row>
    <row r="428" spans="1:4" x14ac:dyDescent="0.35">
      <c r="A428" t="str">
        <f>IF(Table2425[[#This Row],[Branch Name]]="","",(_xlfn.XLOOKUP(Table2425[[#This Row],[Branch Name]],'Lookup Values'!G:G,'Lookup Values'!H:H,0)))</f>
        <v/>
      </c>
      <c r="B428" t="str">
        <f>IF(Table2425[[#This Row],[Branch Name]]="","",(_xlfn.XLOOKUP(Table2425[[#This Row],[Branch Name]],'Lookup Values'!G:G,'Lookup Values'!I:I,0)))</f>
        <v/>
      </c>
      <c r="C428" t="str">
        <f>IF(Table2425[[#This Row],[Journal Description (Service Description)]]="","",1)</f>
        <v/>
      </c>
      <c r="D428" s="2" t="str">
        <f>IF(Table2425[[#This Row],[Journal Description (Service Description)]]="","",VLOOKUP(Table2425[[#This Row],[Journal Description (Service Description)]],'Lookup Values'!$A:$B,2,FALSE))</f>
        <v/>
      </c>
    </row>
    <row r="429" spans="1:4" x14ac:dyDescent="0.35">
      <c r="A429" t="str">
        <f>IF(Table2425[[#This Row],[Branch Name]]="","",(_xlfn.XLOOKUP(Table2425[[#This Row],[Branch Name]],'Lookup Values'!G:G,'Lookup Values'!H:H,0)))</f>
        <v/>
      </c>
      <c r="B429" t="str">
        <f>IF(Table2425[[#This Row],[Branch Name]]="","",(_xlfn.XLOOKUP(Table2425[[#This Row],[Branch Name]],'Lookup Values'!G:G,'Lookup Values'!I:I,0)))</f>
        <v/>
      </c>
      <c r="C429" t="str">
        <f>IF(Table2425[[#This Row],[Journal Description (Service Description)]]="","",1)</f>
        <v/>
      </c>
      <c r="D429" s="2" t="str">
        <f>IF(Table2425[[#This Row],[Journal Description (Service Description)]]="","",VLOOKUP(Table2425[[#This Row],[Journal Description (Service Description)]],'Lookup Values'!$A:$B,2,FALSE))</f>
        <v/>
      </c>
    </row>
    <row r="430" spans="1:4" x14ac:dyDescent="0.35">
      <c r="A430" t="str">
        <f>IF(Table2425[[#This Row],[Branch Name]]="","",(_xlfn.XLOOKUP(Table2425[[#This Row],[Branch Name]],'Lookup Values'!G:G,'Lookup Values'!H:H,0)))</f>
        <v/>
      </c>
      <c r="B430" t="str">
        <f>IF(Table2425[[#This Row],[Branch Name]]="","",(_xlfn.XLOOKUP(Table2425[[#This Row],[Branch Name]],'Lookup Values'!G:G,'Lookup Values'!I:I,0)))</f>
        <v/>
      </c>
      <c r="C430" t="str">
        <f>IF(Table2425[[#This Row],[Journal Description (Service Description)]]="","",1)</f>
        <v/>
      </c>
      <c r="D430" s="2" t="str">
        <f>IF(Table2425[[#This Row],[Journal Description (Service Description)]]="","",VLOOKUP(Table2425[[#This Row],[Journal Description (Service Description)]],'Lookup Values'!$A:$B,2,FALSE))</f>
        <v/>
      </c>
    </row>
    <row r="431" spans="1:4" x14ac:dyDescent="0.35">
      <c r="A431" t="str">
        <f>IF(Table2425[[#This Row],[Branch Name]]="","",(_xlfn.XLOOKUP(Table2425[[#This Row],[Branch Name]],'Lookup Values'!G:G,'Lookup Values'!H:H,0)))</f>
        <v/>
      </c>
      <c r="B431" t="str">
        <f>IF(Table2425[[#This Row],[Branch Name]]="","",(_xlfn.XLOOKUP(Table2425[[#This Row],[Branch Name]],'Lookup Values'!G:G,'Lookup Values'!I:I,0)))</f>
        <v/>
      </c>
      <c r="C431" t="str">
        <f>IF(Table2425[[#This Row],[Journal Description (Service Description)]]="","",1)</f>
        <v/>
      </c>
      <c r="D431" s="2" t="str">
        <f>IF(Table2425[[#This Row],[Journal Description (Service Description)]]="","",VLOOKUP(Table2425[[#This Row],[Journal Description (Service Description)]],'Lookup Values'!$A:$B,2,FALSE))</f>
        <v/>
      </c>
    </row>
    <row r="432" spans="1:4" x14ac:dyDescent="0.35">
      <c r="A432" t="str">
        <f>IF(Table2425[[#This Row],[Branch Name]]="","",(_xlfn.XLOOKUP(Table2425[[#This Row],[Branch Name]],'Lookup Values'!G:G,'Lookup Values'!H:H,0)))</f>
        <v/>
      </c>
      <c r="B432" t="str">
        <f>IF(Table2425[[#This Row],[Branch Name]]="","",(_xlfn.XLOOKUP(Table2425[[#This Row],[Branch Name]],'Lookup Values'!G:G,'Lookup Values'!I:I,0)))</f>
        <v/>
      </c>
      <c r="C432" t="str">
        <f>IF(Table2425[[#This Row],[Journal Description (Service Description)]]="","",1)</f>
        <v/>
      </c>
      <c r="D432" s="2" t="str">
        <f>IF(Table2425[[#This Row],[Journal Description (Service Description)]]="","",VLOOKUP(Table2425[[#This Row],[Journal Description (Service Description)]],'Lookup Values'!$A:$B,2,FALSE))</f>
        <v/>
      </c>
    </row>
    <row r="433" spans="1:4" x14ac:dyDescent="0.35">
      <c r="A433" t="str">
        <f>IF(Table2425[[#This Row],[Branch Name]]="","",(_xlfn.XLOOKUP(Table2425[[#This Row],[Branch Name]],'Lookup Values'!G:G,'Lookup Values'!H:H,0)))</f>
        <v/>
      </c>
      <c r="B433" t="str">
        <f>IF(Table2425[[#This Row],[Branch Name]]="","",(_xlfn.XLOOKUP(Table2425[[#This Row],[Branch Name]],'Lookup Values'!G:G,'Lookup Values'!I:I,0)))</f>
        <v/>
      </c>
      <c r="C433" t="str">
        <f>IF(Table2425[[#This Row],[Journal Description (Service Description)]]="","",1)</f>
        <v/>
      </c>
      <c r="D433" s="2" t="str">
        <f>IF(Table2425[[#This Row],[Journal Description (Service Description)]]="","",VLOOKUP(Table2425[[#This Row],[Journal Description (Service Description)]],'Lookup Values'!$A:$B,2,FALSE))</f>
        <v/>
      </c>
    </row>
    <row r="434" spans="1:4" x14ac:dyDescent="0.35">
      <c r="A434" t="str">
        <f>IF(Table2425[[#This Row],[Branch Name]]="","",(_xlfn.XLOOKUP(Table2425[[#This Row],[Branch Name]],'Lookup Values'!G:G,'Lookup Values'!H:H,0)))</f>
        <v/>
      </c>
      <c r="B434" t="str">
        <f>IF(Table2425[[#This Row],[Branch Name]]="","",(_xlfn.XLOOKUP(Table2425[[#This Row],[Branch Name]],'Lookup Values'!G:G,'Lookup Values'!I:I,0)))</f>
        <v/>
      </c>
      <c r="C434" t="str">
        <f>IF(Table2425[[#This Row],[Journal Description (Service Description)]]="","",1)</f>
        <v/>
      </c>
      <c r="D434" s="2" t="str">
        <f>IF(Table2425[[#This Row],[Journal Description (Service Description)]]="","",VLOOKUP(Table2425[[#This Row],[Journal Description (Service Description)]],'Lookup Values'!$A:$B,2,FALSE))</f>
        <v/>
      </c>
    </row>
    <row r="435" spans="1:4" x14ac:dyDescent="0.35">
      <c r="A435" t="str">
        <f>IF(Table2425[[#This Row],[Branch Name]]="","",(_xlfn.XLOOKUP(Table2425[[#This Row],[Branch Name]],'Lookup Values'!G:G,'Lookup Values'!H:H,0)))</f>
        <v/>
      </c>
      <c r="B435" t="str">
        <f>IF(Table2425[[#This Row],[Branch Name]]="","",(_xlfn.XLOOKUP(Table2425[[#This Row],[Branch Name]],'Lookup Values'!G:G,'Lookup Values'!I:I,0)))</f>
        <v/>
      </c>
      <c r="C435" t="str">
        <f>IF(Table2425[[#This Row],[Journal Description (Service Description)]]="","",1)</f>
        <v/>
      </c>
      <c r="D435" s="2" t="str">
        <f>IF(Table2425[[#This Row],[Journal Description (Service Description)]]="","",VLOOKUP(Table2425[[#This Row],[Journal Description (Service Description)]],'Lookup Values'!$A:$B,2,FALSE))</f>
        <v/>
      </c>
    </row>
    <row r="436" spans="1:4" x14ac:dyDescent="0.35">
      <c r="A436" t="str">
        <f>IF(Table2425[[#This Row],[Branch Name]]="","",(_xlfn.XLOOKUP(Table2425[[#This Row],[Branch Name]],'Lookup Values'!G:G,'Lookup Values'!H:H,0)))</f>
        <v/>
      </c>
      <c r="B436" t="str">
        <f>IF(Table2425[[#This Row],[Branch Name]]="","",(_xlfn.XLOOKUP(Table2425[[#This Row],[Branch Name]],'Lookup Values'!G:G,'Lookup Values'!I:I,0)))</f>
        <v/>
      </c>
      <c r="C436" t="str">
        <f>IF(Table2425[[#This Row],[Journal Description (Service Description)]]="","",1)</f>
        <v/>
      </c>
      <c r="D436" s="2" t="str">
        <f>IF(Table2425[[#This Row],[Journal Description (Service Description)]]="","",VLOOKUP(Table2425[[#This Row],[Journal Description (Service Description)]],'Lookup Values'!$A:$B,2,FALSE))</f>
        <v/>
      </c>
    </row>
    <row r="437" spans="1:4" x14ac:dyDescent="0.35">
      <c r="A437" t="str">
        <f>IF(Table2425[[#This Row],[Branch Name]]="","",(_xlfn.XLOOKUP(Table2425[[#This Row],[Branch Name]],'Lookup Values'!G:G,'Lookup Values'!H:H,0)))</f>
        <v/>
      </c>
      <c r="B437" t="str">
        <f>IF(Table2425[[#This Row],[Branch Name]]="","",(_xlfn.XLOOKUP(Table2425[[#This Row],[Branch Name]],'Lookup Values'!G:G,'Lookup Values'!I:I,0)))</f>
        <v/>
      </c>
      <c r="C437" t="str">
        <f>IF(Table2425[[#This Row],[Journal Description (Service Description)]]="","",1)</f>
        <v/>
      </c>
      <c r="D437" s="2" t="str">
        <f>IF(Table2425[[#This Row],[Journal Description (Service Description)]]="","",VLOOKUP(Table2425[[#This Row],[Journal Description (Service Description)]],'Lookup Values'!$A:$B,2,FALSE))</f>
        <v/>
      </c>
    </row>
    <row r="438" spans="1:4" x14ac:dyDescent="0.35">
      <c r="A438" t="str">
        <f>IF(Table2425[[#This Row],[Branch Name]]="","",(_xlfn.XLOOKUP(Table2425[[#This Row],[Branch Name]],'Lookup Values'!G:G,'Lookup Values'!H:H,0)))</f>
        <v/>
      </c>
      <c r="B438" t="str">
        <f>IF(Table2425[[#This Row],[Branch Name]]="","",(_xlfn.XLOOKUP(Table2425[[#This Row],[Branch Name]],'Lookup Values'!G:G,'Lookup Values'!I:I,0)))</f>
        <v/>
      </c>
      <c r="C438" t="str">
        <f>IF(Table2425[[#This Row],[Journal Description (Service Description)]]="","",1)</f>
        <v/>
      </c>
      <c r="D438" s="2" t="str">
        <f>IF(Table2425[[#This Row],[Journal Description (Service Description)]]="","",VLOOKUP(Table2425[[#This Row],[Journal Description (Service Description)]],'Lookup Values'!$A:$B,2,FALSE))</f>
        <v/>
      </c>
    </row>
    <row r="439" spans="1:4" x14ac:dyDescent="0.35">
      <c r="A439" t="str">
        <f>IF(Table2425[[#This Row],[Branch Name]]="","",(_xlfn.XLOOKUP(Table2425[[#This Row],[Branch Name]],'Lookup Values'!G:G,'Lookup Values'!H:H,0)))</f>
        <v/>
      </c>
      <c r="B439" t="str">
        <f>IF(Table2425[[#This Row],[Branch Name]]="","",(_xlfn.XLOOKUP(Table2425[[#This Row],[Branch Name]],'Lookup Values'!G:G,'Lookup Values'!I:I,0)))</f>
        <v/>
      </c>
      <c r="C439" t="str">
        <f>IF(Table2425[[#This Row],[Journal Description (Service Description)]]="","",1)</f>
        <v/>
      </c>
      <c r="D439" s="2" t="str">
        <f>IF(Table2425[[#This Row],[Journal Description (Service Description)]]="","",VLOOKUP(Table2425[[#This Row],[Journal Description (Service Description)]],'Lookup Values'!$A:$B,2,FALSE))</f>
        <v/>
      </c>
    </row>
    <row r="440" spans="1:4" x14ac:dyDescent="0.35">
      <c r="A440" t="str">
        <f>IF(Table2425[[#This Row],[Branch Name]]="","",(_xlfn.XLOOKUP(Table2425[[#This Row],[Branch Name]],'Lookup Values'!G:G,'Lookup Values'!H:H,0)))</f>
        <v/>
      </c>
      <c r="B440" t="str">
        <f>IF(Table2425[[#This Row],[Branch Name]]="","",(_xlfn.XLOOKUP(Table2425[[#This Row],[Branch Name]],'Lookup Values'!G:G,'Lookup Values'!I:I,0)))</f>
        <v/>
      </c>
      <c r="C440" t="str">
        <f>IF(Table2425[[#This Row],[Journal Description (Service Description)]]="","",1)</f>
        <v/>
      </c>
      <c r="D440" s="2" t="str">
        <f>IF(Table2425[[#This Row],[Journal Description (Service Description)]]="","",VLOOKUP(Table2425[[#This Row],[Journal Description (Service Description)]],'Lookup Values'!$A:$B,2,FALSE))</f>
        <v/>
      </c>
    </row>
    <row r="441" spans="1:4" x14ac:dyDescent="0.35">
      <c r="A441" t="str">
        <f>IF(Table2425[[#This Row],[Branch Name]]="","",(_xlfn.XLOOKUP(Table2425[[#This Row],[Branch Name]],'Lookup Values'!G:G,'Lookup Values'!H:H,0)))</f>
        <v/>
      </c>
      <c r="B441" t="str">
        <f>IF(Table2425[[#This Row],[Branch Name]]="","",(_xlfn.XLOOKUP(Table2425[[#This Row],[Branch Name]],'Lookup Values'!G:G,'Lookup Values'!I:I,0)))</f>
        <v/>
      </c>
      <c r="C441" t="str">
        <f>IF(Table2425[[#This Row],[Journal Description (Service Description)]]="","",1)</f>
        <v/>
      </c>
      <c r="D441" s="2" t="str">
        <f>IF(Table2425[[#This Row],[Journal Description (Service Description)]]="","",VLOOKUP(Table2425[[#This Row],[Journal Description (Service Description)]],'Lookup Values'!$A:$B,2,FALSE))</f>
        <v/>
      </c>
    </row>
    <row r="442" spans="1:4" x14ac:dyDescent="0.35">
      <c r="A442" t="str">
        <f>IF(Table2425[[#This Row],[Branch Name]]="","",(_xlfn.XLOOKUP(Table2425[[#This Row],[Branch Name]],'Lookup Values'!G:G,'Lookup Values'!H:H,0)))</f>
        <v/>
      </c>
      <c r="B442" t="str">
        <f>IF(Table2425[[#This Row],[Branch Name]]="","",(_xlfn.XLOOKUP(Table2425[[#This Row],[Branch Name]],'Lookup Values'!G:G,'Lookup Values'!I:I,0)))</f>
        <v/>
      </c>
      <c r="C442" t="str">
        <f>IF(Table2425[[#This Row],[Journal Description (Service Description)]]="","",1)</f>
        <v/>
      </c>
      <c r="D442" s="2" t="str">
        <f>IF(Table2425[[#This Row],[Journal Description (Service Description)]]="","",VLOOKUP(Table2425[[#This Row],[Journal Description (Service Description)]],'Lookup Values'!$A:$B,2,FALSE))</f>
        <v/>
      </c>
    </row>
    <row r="443" spans="1:4" x14ac:dyDescent="0.35">
      <c r="A443" t="str">
        <f>IF(Table2425[[#This Row],[Branch Name]]="","",(_xlfn.XLOOKUP(Table2425[[#This Row],[Branch Name]],'Lookup Values'!G:G,'Lookup Values'!H:H,0)))</f>
        <v/>
      </c>
      <c r="B443" t="str">
        <f>IF(Table2425[[#This Row],[Branch Name]]="","",(_xlfn.XLOOKUP(Table2425[[#This Row],[Branch Name]],'Lookup Values'!G:G,'Lookup Values'!I:I,0)))</f>
        <v/>
      </c>
      <c r="C443" t="str">
        <f>IF(Table2425[[#This Row],[Journal Description (Service Description)]]="","",1)</f>
        <v/>
      </c>
      <c r="D443" s="2" t="str">
        <f>IF(Table2425[[#This Row],[Journal Description (Service Description)]]="","",VLOOKUP(Table2425[[#This Row],[Journal Description (Service Description)]],'Lookup Values'!$A:$B,2,FALSE))</f>
        <v/>
      </c>
    </row>
    <row r="444" spans="1:4" x14ac:dyDescent="0.35">
      <c r="A444" t="str">
        <f>IF(Table2425[[#This Row],[Branch Name]]="","",(_xlfn.XLOOKUP(Table2425[[#This Row],[Branch Name]],'Lookup Values'!G:G,'Lookup Values'!H:H,0)))</f>
        <v/>
      </c>
      <c r="B444" t="str">
        <f>IF(Table2425[[#This Row],[Branch Name]]="","",(_xlfn.XLOOKUP(Table2425[[#This Row],[Branch Name]],'Lookup Values'!G:G,'Lookup Values'!I:I,0)))</f>
        <v/>
      </c>
      <c r="C444" t="str">
        <f>IF(Table2425[[#This Row],[Journal Description (Service Description)]]="","",1)</f>
        <v/>
      </c>
      <c r="D444" s="2" t="str">
        <f>IF(Table2425[[#This Row],[Journal Description (Service Description)]]="","",VLOOKUP(Table2425[[#This Row],[Journal Description (Service Description)]],'Lookup Values'!$A:$B,2,FALSE))</f>
        <v/>
      </c>
    </row>
    <row r="445" spans="1:4" x14ac:dyDescent="0.35">
      <c r="A445" t="str">
        <f>IF(Table2425[[#This Row],[Branch Name]]="","",(_xlfn.XLOOKUP(Table2425[[#This Row],[Branch Name]],'Lookup Values'!G:G,'Lookup Values'!H:H,0)))</f>
        <v/>
      </c>
      <c r="B445" t="str">
        <f>IF(Table2425[[#This Row],[Branch Name]]="","",(_xlfn.XLOOKUP(Table2425[[#This Row],[Branch Name]],'Lookup Values'!G:G,'Lookup Values'!I:I,0)))</f>
        <v/>
      </c>
      <c r="C445" t="str">
        <f>IF(Table2425[[#This Row],[Journal Description (Service Description)]]="","",1)</f>
        <v/>
      </c>
      <c r="D445" s="2" t="str">
        <f>IF(Table2425[[#This Row],[Journal Description (Service Description)]]="","",VLOOKUP(Table2425[[#This Row],[Journal Description (Service Description)]],'Lookup Values'!$A:$B,2,FALSE))</f>
        <v/>
      </c>
    </row>
    <row r="446" spans="1:4" x14ac:dyDescent="0.35">
      <c r="A446" t="str">
        <f>IF(Table2425[[#This Row],[Branch Name]]="","",(_xlfn.XLOOKUP(Table2425[[#This Row],[Branch Name]],'Lookup Values'!G:G,'Lookup Values'!H:H,0)))</f>
        <v/>
      </c>
      <c r="B446" t="str">
        <f>IF(Table2425[[#This Row],[Branch Name]]="","",(_xlfn.XLOOKUP(Table2425[[#This Row],[Branch Name]],'Lookup Values'!G:G,'Lookup Values'!I:I,0)))</f>
        <v/>
      </c>
      <c r="C446" t="str">
        <f>IF(Table2425[[#This Row],[Journal Description (Service Description)]]="","",1)</f>
        <v/>
      </c>
      <c r="D446" s="2" t="str">
        <f>IF(Table2425[[#This Row],[Journal Description (Service Description)]]="","",VLOOKUP(Table2425[[#This Row],[Journal Description (Service Description)]],'Lookup Values'!$A:$B,2,FALSE))</f>
        <v/>
      </c>
    </row>
    <row r="447" spans="1:4" x14ac:dyDescent="0.35">
      <c r="A447" t="str">
        <f>IF(Table2425[[#This Row],[Branch Name]]="","",(_xlfn.XLOOKUP(Table2425[[#This Row],[Branch Name]],'Lookup Values'!G:G,'Lookup Values'!H:H,0)))</f>
        <v/>
      </c>
      <c r="B447" t="str">
        <f>IF(Table2425[[#This Row],[Branch Name]]="","",(_xlfn.XLOOKUP(Table2425[[#This Row],[Branch Name]],'Lookup Values'!G:G,'Lookup Values'!I:I,0)))</f>
        <v/>
      </c>
      <c r="C447" t="str">
        <f>IF(Table2425[[#This Row],[Journal Description (Service Description)]]="","",1)</f>
        <v/>
      </c>
      <c r="D447" s="2" t="str">
        <f>IF(Table2425[[#This Row],[Journal Description (Service Description)]]="","",VLOOKUP(Table2425[[#This Row],[Journal Description (Service Description)]],'Lookup Values'!$A:$B,2,FALSE))</f>
        <v/>
      </c>
    </row>
    <row r="448" spans="1:4" x14ac:dyDescent="0.35">
      <c r="A448" t="str">
        <f>IF(Table2425[[#This Row],[Branch Name]]="","",(_xlfn.XLOOKUP(Table2425[[#This Row],[Branch Name]],'Lookup Values'!G:G,'Lookup Values'!H:H,0)))</f>
        <v/>
      </c>
      <c r="B448" t="str">
        <f>IF(Table2425[[#This Row],[Branch Name]]="","",(_xlfn.XLOOKUP(Table2425[[#This Row],[Branch Name]],'Lookup Values'!G:G,'Lookup Values'!I:I,0)))</f>
        <v/>
      </c>
      <c r="C448" t="str">
        <f>IF(Table2425[[#This Row],[Journal Description (Service Description)]]="","",1)</f>
        <v/>
      </c>
      <c r="D448" s="2" t="str">
        <f>IF(Table2425[[#This Row],[Journal Description (Service Description)]]="","",VLOOKUP(Table2425[[#This Row],[Journal Description (Service Description)]],'Lookup Values'!$A:$B,2,FALSE))</f>
        <v/>
      </c>
    </row>
    <row r="449" spans="1:4" x14ac:dyDescent="0.35">
      <c r="A449" t="str">
        <f>IF(Table2425[[#This Row],[Branch Name]]="","",(_xlfn.XLOOKUP(Table2425[[#This Row],[Branch Name]],'Lookup Values'!G:G,'Lookup Values'!H:H,0)))</f>
        <v/>
      </c>
      <c r="B449" t="str">
        <f>IF(Table2425[[#This Row],[Branch Name]]="","",(_xlfn.XLOOKUP(Table2425[[#This Row],[Branch Name]],'Lookup Values'!G:G,'Lookup Values'!I:I,0)))</f>
        <v/>
      </c>
      <c r="C449" t="str">
        <f>IF(Table2425[[#This Row],[Journal Description (Service Description)]]="","",1)</f>
        <v/>
      </c>
      <c r="D449" s="2" t="str">
        <f>IF(Table2425[[#This Row],[Journal Description (Service Description)]]="","",VLOOKUP(Table2425[[#This Row],[Journal Description (Service Description)]],'Lookup Values'!$A:$B,2,FALSE))</f>
        <v/>
      </c>
    </row>
    <row r="450" spans="1:4" x14ac:dyDescent="0.35">
      <c r="A450" t="str">
        <f>IF(Table2425[[#This Row],[Branch Name]]="","",(_xlfn.XLOOKUP(Table2425[[#This Row],[Branch Name]],'Lookup Values'!G:G,'Lookup Values'!H:H,0)))</f>
        <v/>
      </c>
      <c r="B450" t="str">
        <f>IF(Table2425[[#This Row],[Branch Name]]="","",(_xlfn.XLOOKUP(Table2425[[#This Row],[Branch Name]],'Lookup Values'!G:G,'Lookup Values'!I:I,0)))</f>
        <v/>
      </c>
      <c r="C450" t="str">
        <f>IF(Table2425[[#This Row],[Journal Description (Service Description)]]="","",1)</f>
        <v/>
      </c>
      <c r="D450" s="2" t="str">
        <f>IF(Table2425[[#This Row],[Journal Description (Service Description)]]="","",VLOOKUP(Table2425[[#This Row],[Journal Description (Service Description)]],'Lookup Values'!$A:$B,2,FALSE))</f>
        <v/>
      </c>
    </row>
    <row r="451" spans="1:4" x14ac:dyDescent="0.35">
      <c r="A451" t="str">
        <f>IF(Table2425[[#This Row],[Branch Name]]="","",(_xlfn.XLOOKUP(Table2425[[#This Row],[Branch Name]],'Lookup Values'!G:G,'Lookup Values'!H:H,0)))</f>
        <v/>
      </c>
      <c r="B451" t="str">
        <f>IF(Table2425[[#This Row],[Branch Name]]="","",(_xlfn.XLOOKUP(Table2425[[#This Row],[Branch Name]],'Lookup Values'!G:G,'Lookup Values'!I:I,0)))</f>
        <v/>
      </c>
      <c r="C451" t="str">
        <f>IF(Table2425[[#This Row],[Journal Description (Service Description)]]="","",1)</f>
        <v/>
      </c>
      <c r="D451" s="2" t="str">
        <f>IF(Table2425[[#This Row],[Journal Description (Service Description)]]="","",VLOOKUP(Table2425[[#This Row],[Journal Description (Service Description)]],'Lookup Values'!$A:$B,2,FALSE))</f>
        <v/>
      </c>
    </row>
    <row r="452" spans="1:4" x14ac:dyDescent="0.35">
      <c r="A452" t="str">
        <f>IF(Table2425[[#This Row],[Branch Name]]="","",(_xlfn.XLOOKUP(Table2425[[#This Row],[Branch Name]],'Lookup Values'!G:G,'Lookup Values'!H:H,0)))</f>
        <v/>
      </c>
      <c r="B452" t="str">
        <f>IF(Table2425[[#This Row],[Branch Name]]="","",(_xlfn.XLOOKUP(Table2425[[#This Row],[Branch Name]],'Lookup Values'!G:G,'Lookup Values'!I:I,0)))</f>
        <v/>
      </c>
      <c r="C452" t="str">
        <f>IF(Table2425[[#This Row],[Journal Description (Service Description)]]="","",1)</f>
        <v/>
      </c>
      <c r="D452" s="2" t="str">
        <f>IF(Table2425[[#This Row],[Journal Description (Service Description)]]="","",VLOOKUP(Table2425[[#This Row],[Journal Description (Service Description)]],'Lookup Values'!$A:$B,2,FALSE))</f>
        <v/>
      </c>
    </row>
    <row r="453" spans="1:4" x14ac:dyDescent="0.35">
      <c r="A453" t="str">
        <f>IF(Table2425[[#This Row],[Branch Name]]="","",(_xlfn.XLOOKUP(Table2425[[#This Row],[Branch Name]],'Lookup Values'!G:G,'Lookup Values'!H:H,0)))</f>
        <v/>
      </c>
      <c r="B453" t="str">
        <f>IF(Table2425[[#This Row],[Branch Name]]="","",(_xlfn.XLOOKUP(Table2425[[#This Row],[Branch Name]],'Lookup Values'!G:G,'Lookup Values'!I:I,0)))</f>
        <v/>
      </c>
      <c r="C453" t="str">
        <f>IF(Table2425[[#This Row],[Journal Description (Service Description)]]="","",1)</f>
        <v/>
      </c>
      <c r="D453" s="2" t="str">
        <f>IF(Table2425[[#This Row],[Journal Description (Service Description)]]="","",VLOOKUP(Table2425[[#This Row],[Journal Description (Service Description)]],'Lookup Values'!$A:$B,2,FALSE))</f>
        <v/>
      </c>
    </row>
    <row r="454" spans="1:4" x14ac:dyDescent="0.35">
      <c r="A454" t="str">
        <f>IF(Table2425[[#This Row],[Branch Name]]="","",(_xlfn.XLOOKUP(Table2425[[#This Row],[Branch Name]],'Lookup Values'!G:G,'Lookup Values'!H:H,0)))</f>
        <v/>
      </c>
      <c r="B454" t="str">
        <f>IF(Table2425[[#This Row],[Branch Name]]="","",(_xlfn.XLOOKUP(Table2425[[#This Row],[Branch Name]],'Lookup Values'!G:G,'Lookup Values'!I:I,0)))</f>
        <v/>
      </c>
      <c r="C454" t="str">
        <f>IF(Table2425[[#This Row],[Journal Description (Service Description)]]="","",1)</f>
        <v/>
      </c>
      <c r="D454" s="2" t="str">
        <f>IF(Table2425[[#This Row],[Journal Description (Service Description)]]="","",VLOOKUP(Table2425[[#This Row],[Journal Description (Service Description)]],'Lookup Values'!$A:$B,2,FALSE))</f>
        <v/>
      </c>
    </row>
    <row r="455" spans="1:4" x14ac:dyDescent="0.35">
      <c r="A455" t="str">
        <f>IF(Table2425[[#This Row],[Branch Name]]="","",(_xlfn.XLOOKUP(Table2425[[#This Row],[Branch Name]],'Lookup Values'!G:G,'Lookup Values'!H:H,0)))</f>
        <v/>
      </c>
      <c r="B455" t="str">
        <f>IF(Table2425[[#This Row],[Branch Name]]="","",(_xlfn.XLOOKUP(Table2425[[#This Row],[Branch Name]],'Lookup Values'!G:G,'Lookup Values'!I:I,0)))</f>
        <v/>
      </c>
      <c r="C455" t="str">
        <f>IF(Table2425[[#This Row],[Journal Description (Service Description)]]="","",1)</f>
        <v/>
      </c>
      <c r="D455" s="2" t="str">
        <f>IF(Table2425[[#This Row],[Journal Description (Service Description)]]="","",VLOOKUP(Table2425[[#This Row],[Journal Description (Service Description)]],'Lookup Values'!$A:$B,2,FALSE))</f>
        <v/>
      </c>
    </row>
    <row r="456" spans="1:4" x14ac:dyDescent="0.35">
      <c r="A456" t="str">
        <f>IF(Table2425[[#This Row],[Branch Name]]="","",(_xlfn.XLOOKUP(Table2425[[#This Row],[Branch Name]],'Lookup Values'!G:G,'Lookup Values'!H:H,0)))</f>
        <v/>
      </c>
      <c r="B456" t="str">
        <f>IF(Table2425[[#This Row],[Branch Name]]="","",(_xlfn.XLOOKUP(Table2425[[#This Row],[Branch Name]],'Lookup Values'!G:G,'Lookup Values'!I:I,0)))</f>
        <v/>
      </c>
      <c r="C456" t="str">
        <f>IF(Table2425[[#This Row],[Journal Description (Service Description)]]="","",1)</f>
        <v/>
      </c>
      <c r="D456" s="2" t="str">
        <f>IF(Table2425[[#This Row],[Journal Description (Service Description)]]="","",VLOOKUP(Table2425[[#This Row],[Journal Description (Service Description)]],'Lookup Values'!$A:$B,2,FALSE))</f>
        <v/>
      </c>
    </row>
    <row r="457" spans="1:4" x14ac:dyDescent="0.35">
      <c r="A457" t="str">
        <f>IF(Table2425[[#This Row],[Branch Name]]="","",(_xlfn.XLOOKUP(Table2425[[#This Row],[Branch Name]],'Lookup Values'!G:G,'Lookup Values'!H:H,0)))</f>
        <v/>
      </c>
      <c r="B457" t="str">
        <f>IF(Table2425[[#This Row],[Branch Name]]="","",(_xlfn.XLOOKUP(Table2425[[#This Row],[Branch Name]],'Lookup Values'!G:G,'Lookup Values'!I:I,0)))</f>
        <v/>
      </c>
      <c r="C457" t="str">
        <f>IF(Table2425[[#This Row],[Journal Description (Service Description)]]="","",1)</f>
        <v/>
      </c>
      <c r="D457" s="2" t="str">
        <f>IF(Table2425[[#This Row],[Journal Description (Service Description)]]="","",VLOOKUP(Table2425[[#This Row],[Journal Description (Service Description)]],'Lookup Values'!$A:$B,2,FALSE))</f>
        <v/>
      </c>
    </row>
    <row r="458" spans="1:4" x14ac:dyDescent="0.35">
      <c r="A458" t="str">
        <f>IF(Table2425[[#This Row],[Branch Name]]="","",(_xlfn.XLOOKUP(Table2425[[#This Row],[Branch Name]],'Lookup Values'!G:G,'Lookup Values'!H:H,0)))</f>
        <v/>
      </c>
      <c r="B458" t="str">
        <f>IF(Table2425[[#This Row],[Branch Name]]="","",(_xlfn.XLOOKUP(Table2425[[#This Row],[Branch Name]],'Lookup Values'!G:G,'Lookup Values'!I:I,0)))</f>
        <v/>
      </c>
      <c r="C458" t="str">
        <f>IF(Table2425[[#This Row],[Journal Description (Service Description)]]="","",1)</f>
        <v/>
      </c>
      <c r="D458" s="2" t="str">
        <f>IF(Table2425[[#This Row],[Journal Description (Service Description)]]="","",VLOOKUP(Table2425[[#This Row],[Journal Description (Service Description)]],'Lookup Values'!$A:$B,2,FALSE))</f>
        <v/>
      </c>
    </row>
    <row r="459" spans="1:4" x14ac:dyDescent="0.35">
      <c r="A459" t="str">
        <f>IF(Table2425[[#This Row],[Branch Name]]="","",(_xlfn.XLOOKUP(Table2425[[#This Row],[Branch Name]],'Lookup Values'!G:G,'Lookup Values'!H:H,0)))</f>
        <v/>
      </c>
      <c r="B459" t="str">
        <f>IF(Table2425[[#This Row],[Branch Name]]="","",(_xlfn.XLOOKUP(Table2425[[#This Row],[Branch Name]],'Lookup Values'!G:G,'Lookup Values'!I:I,0)))</f>
        <v/>
      </c>
      <c r="C459" t="str">
        <f>IF(Table2425[[#This Row],[Journal Description (Service Description)]]="","",1)</f>
        <v/>
      </c>
      <c r="D459" s="2" t="str">
        <f>IF(Table2425[[#This Row],[Journal Description (Service Description)]]="","",VLOOKUP(Table2425[[#This Row],[Journal Description (Service Description)]],'Lookup Values'!$A:$B,2,FALSE))</f>
        <v/>
      </c>
    </row>
    <row r="460" spans="1:4" x14ac:dyDescent="0.35">
      <c r="A460" t="str">
        <f>IF(Table2425[[#This Row],[Branch Name]]="","",(_xlfn.XLOOKUP(Table2425[[#This Row],[Branch Name]],'Lookup Values'!G:G,'Lookup Values'!H:H,0)))</f>
        <v/>
      </c>
      <c r="B460" t="str">
        <f>IF(Table2425[[#This Row],[Branch Name]]="","",(_xlfn.XLOOKUP(Table2425[[#This Row],[Branch Name]],'Lookup Values'!G:G,'Lookup Values'!I:I,0)))</f>
        <v/>
      </c>
      <c r="C460" t="str">
        <f>IF(Table2425[[#This Row],[Journal Description (Service Description)]]="","",1)</f>
        <v/>
      </c>
      <c r="D460" s="2" t="str">
        <f>IF(Table2425[[#This Row],[Journal Description (Service Description)]]="","",VLOOKUP(Table2425[[#This Row],[Journal Description (Service Description)]],'Lookup Values'!$A:$B,2,FALSE))</f>
        <v/>
      </c>
    </row>
    <row r="461" spans="1:4" x14ac:dyDescent="0.35">
      <c r="A461" t="str">
        <f>IF(Table2425[[#This Row],[Branch Name]]="","",(_xlfn.XLOOKUP(Table2425[[#This Row],[Branch Name]],'Lookup Values'!G:G,'Lookup Values'!H:H,0)))</f>
        <v/>
      </c>
      <c r="B461" t="str">
        <f>IF(Table2425[[#This Row],[Branch Name]]="","",(_xlfn.XLOOKUP(Table2425[[#This Row],[Branch Name]],'Lookup Values'!G:G,'Lookup Values'!I:I,0)))</f>
        <v/>
      </c>
      <c r="C461" t="str">
        <f>IF(Table2425[[#This Row],[Journal Description (Service Description)]]="","",1)</f>
        <v/>
      </c>
      <c r="D461" s="2" t="str">
        <f>IF(Table2425[[#This Row],[Journal Description (Service Description)]]="","",VLOOKUP(Table2425[[#This Row],[Journal Description (Service Description)]],'Lookup Values'!$A:$B,2,FALSE))</f>
        <v/>
      </c>
    </row>
    <row r="462" spans="1:4" x14ac:dyDescent="0.35">
      <c r="A462" t="str">
        <f>IF(Table2425[[#This Row],[Branch Name]]="","",(_xlfn.XLOOKUP(Table2425[[#This Row],[Branch Name]],'Lookup Values'!G:G,'Lookup Values'!H:H,0)))</f>
        <v/>
      </c>
      <c r="B462" t="str">
        <f>IF(Table2425[[#This Row],[Branch Name]]="","",(_xlfn.XLOOKUP(Table2425[[#This Row],[Branch Name]],'Lookup Values'!G:G,'Lookup Values'!I:I,0)))</f>
        <v/>
      </c>
      <c r="C462" t="str">
        <f>IF(Table2425[[#This Row],[Journal Description (Service Description)]]="","",1)</f>
        <v/>
      </c>
      <c r="D462" s="2" t="str">
        <f>IF(Table2425[[#This Row],[Journal Description (Service Description)]]="","",VLOOKUP(Table2425[[#This Row],[Journal Description (Service Description)]],'Lookup Values'!$A:$B,2,FALSE))</f>
        <v/>
      </c>
    </row>
    <row r="463" spans="1:4" x14ac:dyDescent="0.35">
      <c r="A463" t="str">
        <f>IF(Table2425[[#This Row],[Branch Name]]="","",(_xlfn.XLOOKUP(Table2425[[#This Row],[Branch Name]],'Lookup Values'!G:G,'Lookup Values'!H:H,0)))</f>
        <v/>
      </c>
      <c r="B463" t="str">
        <f>IF(Table2425[[#This Row],[Branch Name]]="","",(_xlfn.XLOOKUP(Table2425[[#This Row],[Branch Name]],'Lookup Values'!G:G,'Lookup Values'!I:I,0)))</f>
        <v/>
      </c>
      <c r="C463" t="str">
        <f>IF(Table2425[[#This Row],[Journal Description (Service Description)]]="","",1)</f>
        <v/>
      </c>
      <c r="D463" s="2" t="str">
        <f>IF(Table2425[[#This Row],[Journal Description (Service Description)]]="","",VLOOKUP(Table2425[[#This Row],[Journal Description (Service Description)]],'Lookup Values'!$A:$B,2,FALSE))</f>
        <v/>
      </c>
    </row>
    <row r="464" spans="1:4" x14ac:dyDescent="0.35">
      <c r="A464" t="str">
        <f>IF(Table2425[[#This Row],[Branch Name]]="","",(_xlfn.XLOOKUP(Table2425[[#This Row],[Branch Name]],'Lookup Values'!G:G,'Lookup Values'!H:H,0)))</f>
        <v/>
      </c>
      <c r="B464" t="str">
        <f>IF(Table2425[[#This Row],[Branch Name]]="","",(_xlfn.XLOOKUP(Table2425[[#This Row],[Branch Name]],'Lookup Values'!G:G,'Lookup Values'!I:I,0)))</f>
        <v/>
      </c>
      <c r="C464" t="str">
        <f>IF(Table2425[[#This Row],[Journal Description (Service Description)]]="","",1)</f>
        <v/>
      </c>
      <c r="D464" s="2" t="str">
        <f>IF(Table2425[[#This Row],[Journal Description (Service Description)]]="","",VLOOKUP(Table2425[[#This Row],[Journal Description (Service Description)]],'Lookup Values'!$A:$B,2,FALSE))</f>
        <v/>
      </c>
    </row>
    <row r="465" spans="1:4" x14ac:dyDescent="0.35">
      <c r="A465" t="str">
        <f>IF(Table2425[[#This Row],[Branch Name]]="","",(_xlfn.XLOOKUP(Table2425[[#This Row],[Branch Name]],'Lookup Values'!G:G,'Lookup Values'!H:H,0)))</f>
        <v/>
      </c>
      <c r="B465" t="str">
        <f>IF(Table2425[[#This Row],[Branch Name]]="","",(_xlfn.XLOOKUP(Table2425[[#This Row],[Branch Name]],'Lookup Values'!G:G,'Lookup Values'!I:I,0)))</f>
        <v/>
      </c>
      <c r="C465" t="str">
        <f>IF(Table2425[[#This Row],[Journal Description (Service Description)]]="","",1)</f>
        <v/>
      </c>
      <c r="D465" s="2" t="str">
        <f>IF(Table2425[[#This Row],[Journal Description (Service Description)]]="","",VLOOKUP(Table2425[[#This Row],[Journal Description (Service Description)]],'Lookup Values'!$A:$B,2,FALSE))</f>
        <v/>
      </c>
    </row>
    <row r="466" spans="1:4" x14ac:dyDescent="0.35">
      <c r="A466" t="str">
        <f>IF(Table2425[[#This Row],[Branch Name]]="","",(_xlfn.XLOOKUP(Table2425[[#This Row],[Branch Name]],'Lookup Values'!G:G,'Lookup Values'!H:H,0)))</f>
        <v/>
      </c>
      <c r="B466" t="str">
        <f>IF(Table2425[[#This Row],[Branch Name]]="","",(_xlfn.XLOOKUP(Table2425[[#This Row],[Branch Name]],'Lookup Values'!G:G,'Lookup Values'!I:I,0)))</f>
        <v/>
      </c>
      <c r="C466" t="str">
        <f>IF(Table2425[[#This Row],[Journal Description (Service Description)]]="","",1)</f>
        <v/>
      </c>
      <c r="D466" s="2" t="str">
        <f>IF(Table2425[[#This Row],[Journal Description (Service Description)]]="","",VLOOKUP(Table2425[[#This Row],[Journal Description (Service Description)]],'Lookup Values'!$A:$B,2,FALSE))</f>
        <v/>
      </c>
    </row>
    <row r="467" spans="1:4" x14ac:dyDescent="0.35">
      <c r="A467" t="str">
        <f>IF(Table2425[[#This Row],[Branch Name]]="","",(_xlfn.XLOOKUP(Table2425[[#This Row],[Branch Name]],'Lookup Values'!G:G,'Lookup Values'!H:H,0)))</f>
        <v/>
      </c>
      <c r="B467" t="str">
        <f>IF(Table2425[[#This Row],[Branch Name]]="","",(_xlfn.XLOOKUP(Table2425[[#This Row],[Branch Name]],'Lookup Values'!G:G,'Lookup Values'!I:I,0)))</f>
        <v/>
      </c>
      <c r="C467" t="str">
        <f>IF(Table2425[[#This Row],[Journal Description (Service Description)]]="","",1)</f>
        <v/>
      </c>
      <c r="D467" s="2" t="str">
        <f>IF(Table2425[[#This Row],[Journal Description (Service Description)]]="","",VLOOKUP(Table2425[[#This Row],[Journal Description (Service Description)]],'Lookup Values'!$A:$B,2,FALSE))</f>
        <v/>
      </c>
    </row>
    <row r="468" spans="1:4" x14ac:dyDescent="0.35">
      <c r="A468" t="str">
        <f>IF(Table2425[[#This Row],[Branch Name]]="","",(_xlfn.XLOOKUP(Table2425[[#This Row],[Branch Name]],'Lookup Values'!G:G,'Lookup Values'!H:H,0)))</f>
        <v/>
      </c>
      <c r="B468" t="str">
        <f>IF(Table2425[[#This Row],[Branch Name]]="","",(_xlfn.XLOOKUP(Table2425[[#This Row],[Branch Name]],'Lookup Values'!G:G,'Lookup Values'!I:I,0)))</f>
        <v/>
      </c>
      <c r="C468" t="str">
        <f>IF(Table2425[[#This Row],[Journal Description (Service Description)]]="","",1)</f>
        <v/>
      </c>
      <c r="D468" s="2" t="str">
        <f>IF(Table2425[[#This Row],[Journal Description (Service Description)]]="","",VLOOKUP(Table2425[[#This Row],[Journal Description (Service Description)]],'Lookup Values'!$A:$B,2,FALSE))</f>
        <v/>
      </c>
    </row>
    <row r="469" spans="1:4" x14ac:dyDescent="0.35">
      <c r="A469" t="str">
        <f>IF(Table2425[[#This Row],[Branch Name]]="","",(_xlfn.XLOOKUP(Table2425[[#This Row],[Branch Name]],'Lookup Values'!G:G,'Lookup Values'!H:H,0)))</f>
        <v/>
      </c>
      <c r="B469" t="str">
        <f>IF(Table2425[[#This Row],[Branch Name]]="","",(_xlfn.XLOOKUP(Table2425[[#This Row],[Branch Name]],'Lookup Values'!G:G,'Lookup Values'!I:I,0)))</f>
        <v/>
      </c>
      <c r="C469" t="str">
        <f>IF(Table2425[[#This Row],[Journal Description (Service Description)]]="","",1)</f>
        <v/>
      </c>
      <c r="D469" s="2" t="str">
        <f>IF(Table2425[[#This Row],[Journal Description (Service Description)]]="","",VLOOKUP(Table2425[[#This Row],[Journal Description (Service Description)]],'Lookup Values'!$A:$B,2,FALSE))</f>
        <v/>
      </c>
    </row>
    <row r="470" spans="1:4" x14ac:dyDescent="0.35">
      <c r="A470" t="str">
        <f>IF(Table2425[[#This Row],[Branch Name]]="","",(_xlfn.XLOOKUP(Table2425[[#This Row],[Branch Name]],'Lookup Values'!G:G,'Lookup Values'!H:H,0)))</f>
        <v/>
      </c>
      <c r="B470" t="str">
        <f>IF(Table2425[[#This Row],[Branch Name]]="","",(_xlfn.XLOOKUP(Table2425[[#This Row],[Branch Name]],'Lookup Values'!G:G,'Lookup Values'!I:I,0)))</f>
        <v/>
      </c>
      <c r="C470" t="str">
        <f>IF(Table2425[[#This Row],[Journal Description (Service Description)]]="","",1)</f>
        <v/>
      </c>
      <c r="D470" s="2" t="str">
        <f>IF(Table2425[[#This Row],[Journal Description (Service Description)]]="","",VLOOKUP(Table2425[[#This Row],[Journal Description (Service Description)]],'Lookup Values'!$A:$B,2,FALSE))</f>
        <v/>
      </c>
    </row>
    <row r="471" spans="1:4" x14ac:dyDescent="0.35">
      <c r="A471" t="str">
        <f>IF(Table2425[[#This Row],[Branch Name]]="","",(_xlfn.XLOOKUP(Table2425[[#This Row],[Branch Name]],'Lookup Values'!G:G,'Lookup Values'!H:H,0)))</f>
        <v/>
      </c>
      <c r="B471" t="str">
        <f>IF(Table2425[[#This Row],[Branch Name]]="","",(_xlfn.XLOOKUP(Table2425[[#This Row],[Branch Name]],'Lookup Values'!G:G,'Lookup Values'!I:I,0)))</f>
        <v/>
      </c>
      <c r="C471" t="str">
        <f>IF(Table2425[[#This Row],[Journal Description (Service Description)]]="","",1)</f>
        <v/>
      </c>
      <c r="D471" s="2" t="str">
        <f>IF(Table2425[[#This Row],[Journal Description (Service Description)]]="","",VLOOKUP(Table2425[[#This Row],[Journal Description (Service Description)]],'Lookup Values'!$A:$B,2,FALSE))</f>
        <v/>
      </c>
    </row>
    <row r="472" spans="1:4" x14ac:dyDescent="0.35">
      <c r="A472" t="str">
        <f>IF(Table2425[[#This Row],[Branch Name]]="","",(_xlfn.XLOOKUP(Table2425[[#This Row],[Branch Name]],'Lookup Values'!G:G,'Lookup Values'!H:H,0)))</f>
        <v/>
      </c>
      <c r="B472" t="str">
        <f>IF(Table2425[[#This Row],[Branch Name]]="","",(_xlfn.XLOOKUP(Table2425[[#This Row],[Branch Name]],'Lookup Values'!G:G,'Lookup Values'!I:I,0)))</f>
        <v/>
      </c>
      <c r="C472" t="str">
        <f>IF(Table2425[[#This Row],[Journal Description (Service Description)]]="","",1)</f>
        <v/>
      </c>
      <c r="D472" s="2" t="str">
        <f>IF(Table2425[[#This Row],[Journal Description (Service Description)]]="","",VLOOKUP(Table2425[[#This Row],[Journal Description (Service Description)]],'Lookup Values'!$A:$B,2,FALSE))</f>
        <v/>
      </c>
    </row>
    <row r="473" spans="1:4" x14ac:dyDescent="0.35">
      <c r="A473" t="str">
        <f>IF(Table2425[[#This Row],[Branch Name]]="","",(_xlfn.XLOOKUP(Table2425[[#This Row],[Branch Name]],'Lookup Values'!G:G,'Lookup Values'!H:H,0)))</f>
        <v/>
      </c>
      <c r="B473" t="str">
        <f>IF(Table2425[[#This Row],[Branch Name]]="","",(_xlfn.XLOOKUP(Table2425[[#This Row],[Branch Name]],'Lookup Values'!G:G,'Lookup Values'!I:I,0)))</f>
        <v/>
      </c>
      <c r="C473" t="str">
        <f>IF(Table2425[[#This Row],[Journal Description (Service Description)]]="","",1)</f>
        <v/>
      </c>
      <c r="D473" s="2" t="str">
        <f>IF(Table2425[[#This Row],[Journal Description (Service Description)]]="","",VLOOKUP(Table2425[[#This Row],[Journal Description (Service Description)]],'Lookup Values'!$A:$B,2,FALSE))</f>
        <v/>
      </c>
    </row>
    <row r="474" spans="1:4" x14ac:dyDescent="0.35">
      <c r="A474" t="str">
        <f>IF(Table2425[[#This Row],[Branch Name]]="","",(_xlfn.XLOOKUP(Table2425[[#This Row],[Branch Name]],'Lookup Values'!G:G,'Lookup Values'!H:H,0)))</f>
        <v/>
      </c>
      <c r="B474" t="str">
        <f>IF(Table2425[[#This Row],[Branch Name]]="","",(_xlfn.XLOOKUP(Table2425[[#This Row],[Branch Name]],'Lookup Values'!G:G,'Lookup Values'!I:I,0)))</f>
        <v/>
      </c>
      <c r="C474" t="str">
        <f>IF(Table2425[[#This Row],[Journal Description (Service Description)]]="","",1)</f>
        <v/>
      </c>
      <c r="D474" s="2" t="str">
        <f>IF(Table2425[[#This Row],[Journal Description (Service Description)]]="","",VLOOKUP(Table2425[[#This Row],[Journal Description (Service Description)]],'Lookup Values'!$A:$B,2,FALSE))</f>
        <v/>
      </c>
    </row>
    <row r="475" spans="1:4" x14ac:dyDescent="0.35">
      <c r="A475" t="str">
        <f>IF(Table2425[[#This Row],[Branch Name]]="","",(_xlfn.XLOOKUP(Table2425[[#This Row],[Branch Name]],'Lookup Values'!G:G,'Lookup Values'!H:H,0)))</f>
        <v/>
      </c>
      <c r="B475" t="str">
        <f>IF(Table2425[[#This Row],[Branch Name]]="","",(_xlfn.XLOOKUP(Table2425[[#This Row],[Branch Name]],'Lookup Values'!G:G,'Lookup Values'!I:I,0)))</f>
        <v/>
      </c>
      <c r="C475" t="str">
        <f>IF(Table2425[[#This Row],[Journal Description (Service Description)]]="","",1)</f>
        <v/>
      </c>
      <c r="D475" s="2" t="str">
        <f>IF(Table2425[[#This Row],[Journal Description (Service Description)]]="","",VLOOKUP(Table2425[[#This Row],[Journal Description (Service Description)]],'Lookup Values'!$A:$B,2,FALSE))</f>
        <v/>
      </c>
    </row>
    <row r="476" spans="1:4" x14ac:dyDescent="0.35">
      <c r="A476" t="str">
        <f>IF(Table2425[[#This Row],[Branch Name]]="","",(_xlfn.XLOOKUP(Table2425[[#This Row],[Branch Name]],'Lookup Values'!G:G,'Lookup Values'!H:H,0)))</f>
        <v/>
      </c>
      <c r="B476" t="str">
        <f>IF(Table2425[[#This Row],[Branch Name]]="","",(_xlfn.XLOOKUP(Table2425[[#This Row],[Branch Name]],'Lookup Values'!G:G,'Lookup Values'!I:I,0)))</f>
        <v/>
      </c>
      <c r="C476" t="str">
        <f>IF(Table2425[[#This Row],[Journal Description (Service Description)]]="","",1)</f>
        <v/>
      </c>
      <c r="D476" s="2" t="str">
        <f>IF(Table2425[[#This Row],[Journal Description (Service Description)]]="","",VLOOKUP(Table2425[[#This Row],[Journal Description (Service Description)]],'Lookup Values'!$A:$B,2,FALSE))</f>
        <v/>
      </c>
    </row>
    <row r="477" spans="1:4" x14ac:dyDescent="0.35">
      <c r="A477" t="str">
        <f>IF(Table2425[[#This Row],[Branch Name]]="","",(_xlfn.XLOOKUP(Table2425[[#This Row],[Branch Name]],'Lookup Values'!G:G,'Lookup Values'!H:H,0)))</f>
        <v/>
      </c>
      <c r="B477" t="str">
        <f>IF(Table2425[[#This Row],[Branch Name]]="","",(_xlfn.XLOOKUP(Table2425[[#This Row],[Branch Name]],'Lookup Values'!G:G,'Lookup Values'!I:I,0)))</f>
        <v/>
      </c>
      <c r="C477" t="str">
        <f>IF(Table2425[[#This Row],[Journal Description (Service Description)]]="","",1)</f>
        <v/>
      </c>
      <c r="D477" s="2" t="str">
        <f>IF(Table2425[[#This Row],[Journal Description (Service Description)]]="","",VLOOKUP(Table2425[[#This Row],[Journal Description (Service Description)]],'Lookup Values'!$A:$B,2,FALSE))</f>
        <v/>
      </c>
    </row>
    <row r="478" spans="1:4" x14ac:dyDescent="0.35">
      <c r="A478" t="str">
        <f>IF(Table2425[[#This Row],[Branch Name]]="","",(_xlfn.XLOOKUP(Table2425[[#This Row],[Branch Name]],'Lookup Values'!G:G,'Lookup Values'!H:H,0)))</f>
        <v/>
      </c>
      <c r="B478" t="str">
        <f>IF(Table2425[[#This Row],[Branch Name]]="","",(_xlfn.XLOOKUP(Table2425[[#This Row],[Branch Name]],'Lookup Values'!G:G,'Lookup Values'!I:I,0)))</f>
        <v/>
      </c>
      <c r="C478" t="str">
        <f>IF(Table2425[[#This Row],[Journal Description (Service Description)]]="","",1)</f>
        <v/>
      </c>
      <c r="D478" s="2" t="str">
        <f>IF(Table2425[[#This Row],[Journal Description (Service Description)]]="","",VLOOKUP(Table2425[[#This Row],[Journal Description (Service Description)]],'Lookup Values'!$A:$B,2,FALSE))</f>
        <v/>
      </c>
    </row>
    <row r="479" spans="1:4" x14ac:dyDescent="0.35">
      <c r="A479" t="str">
        <f>IF(Table2425[[#This Row],[Branch Name]]="","",(_xlfn.XLOOKUP(Table2425[[#This Row],[Branch Name]],'Lookup Values'!G:G,'Lookup Values'!H:H,0)))</f>
        <v/>
      </c>
      <c r="B479" t="str">
        <f>IF(Table2425[[#This Row],[Branch Name]]="","",(_xlfn.XLOOKUP(Table2425[[#This Row],[Branch Name]],'Lookup Values'!G:G,'Lookup Values'!I:I,0)))</f>
        <v/>
      </c>
      <c r="C479" t="str">
        <f>IF(Table2425[[#This Row],[Journal Description (Service Description)]]="","",1)</f>
        <v/>
      </c>
      <c r="D479" s="2" t="str">
        <f>IF(Table2425[[#This Row],[Journal Description (Service Description)]]="","",VLOOKUP(Table2425[[#This Row],[Journal Description (Service Description)]],'Lookup Values'!$A:$B,2,FALSE))</f>
        <v/>
      </c>
    </row>
    <row r="480" spans="1:4" x14ac:dyDescent="0.35">
      <c r="A480" t="str">
        <f>IF(Table2425[[#This Row],[Branch Name]]="","",(_xlfn.XLOOKUP(Table2425[[#This Row],[Branch Name]],'Lookup Values'!G:G,'Lookup Values'!H:H,0)))</f>
        <v/>
      </c>
      <c r="B480" t="str">
        <f>IF(Table2425[[#This Row],[Branch Name]]="","",(_xlfn.XLOOKUP(Table2425[[#This Row],[Branch Name]],'Lookup Values'!G:G,'Lookup Values'!I:I,0)))</f>
        <v/>
      </c>
      <c r="C480" t="str">
        <f>IF(Table2425[[#This Row],[Journal Description (Service Description)]]="","",1)</f>
        <v/>
      </c>
      <c r="D480" s="2" t="str">
        <f>IF(Table2425[[#This Row],[Journal Description (Service Description)]]="","",VLOOKUP(Table2425[[#This Row],[Journal Description (Service Description)]],'Lookup Values'!$A:$B,2,FALSE))</f>
        <v/>
      </c>
    </row>
    <row r="481" spans="1:4" x14ac:dyDescent="0.35">
      <c r="A481" t="str">
        <f>IF(Table2425[[#This Row],[Branch Name]]="","",(_xlfn.XLOOKUP(Table2425[[#This Row],[Branch Name]],'Lookup Values'!G:G,'Lookup Values'!H:H,0)))</f>
        <v/>
      </c>
      <c r="B481" t="str">
        <f>IF(Table2425[[#This Row],[Branch Name]]="","",(_xlfn.XLOOKUP(Table2425[[#This Row],[Branch Name]],'Lookup Values'!G:G,'Lookup Values'!I:I,0)))</f>
        <v/>
      </c>
      <c r="C481" t="str">
        <f>IF(Table2425[[#This Row],[Journal Description (Service Description)]]="","",1)</f>
        <v/>
      </c>
      <c r="D481" s="2" t="str">
        <f>IF(Table2425[[#This Row],[Journal Description (Service Description)]]="","",VLOOKUP(Table2425[[#This Row],[Journal Description (Service Description)]],'Lookup Values'!$A:$B,2,FALSE))</f>
        <v/>
      </c>
    </row>
    <row r="482" spans="1:4" x14ac:dyDescent="0.35">
      <c r="A482" t="str">
        <f>IF(Table2425[[#This Row],[Branch Name]]="","",(_xlfn.XLOOKUP(Table2425[[#This Row],[Branch Name]],'Lookup Values'!G:G,'Lookup Values'!H:H,0)))</f>
        <v/>
      </c>
      <c r="B482" t="str">
        <f>IF(Table2425[[#This Row],[Branch Name]]="","",(_xlfn.XLOOKUP(Table2425[[#This Row],[Branch Name]],'Lookup Values'!G:G,'Lookup Values'!I:I,0)))</f>
        <v/>
      </c>
      <c r="C482" t="str">
        <f>IF(Table2425[[#This Row],[Journal Description (Service Description)]]="","",1)</f>
        <v/>
      </c>
      <c r="D482" s="2" t="str">
        <f>IF(Table2425[[#This Row],[Journal Description (Service Description)]]="","",VLOOKUP(Table2425[[#This Row],[Journal Description (Service Description)]],'Lookup Values'!$A:$B,2,FALSE))</f>
        <v/>
      </c>
    </row>
    <row r="483" spans="1:4" x14ac:dyDescent="0.35">
      <c r="A483" t="str">
        <f>IF(Table2425[[#This Row],[Branch Name]]="","",(_xlfn.XLOOKUP(Table2425[[#This Row],[Branch Name]],'Lookup Values'!G:G,'Lookup Values'!H:H,0)))</f>
        <v/>
      </c>
      <c r="B483" t="str">
        <f>IF(Table2425[[#This Row],[Branch Name]]="","",(_xlfn.XLOOKUP(Table2425[[#This Row],[Branch Name]],'Lookup Values'!G:G,'Lookup Values'!I:I,0)))</f>
        <v/>
      </c>
      <c r="C483" t="str">
        <f>IF(Table2425[[#This Row],[Journal Description (Service Description)]]="","",1)</f>
        <v/>
      </c>
      <c r="D483" s="2" t="str">
        <f>IF(Table2425[[#This Row],[Journal Description (Service Description)]]="","",VLOOKUP(Table2425[[#This Row],[Journal Description (Service Description)]],'Lookup Values'!$A:$B,2,FALSE))</f>
        <v/>
      </c>
    </row>
    <row r="484" spans="1:4" x14ac:dyDescent="0.35">
      <c r="A484" t="str">
        <f>IF(Table2425[[#This Row],[Branch Name]]="","",(_xlfn.XLOOKUP(Table2425[[#This Row],[Branch Name]],'Lookup Values'!G:G,'Lookup Values'!H:H,0)))</f>
        <v/>
      </c>
      <c r="B484" t="str">
        <f>IF(Table2425[[#This Row],[Branch Name]]="","",(_xlfn.XLOOKUP(Table2425[[#This Row],[Branch Name]],'Lookup Values'!G:G,'Lookup Values'!I:I,0)))</f>
        <v/>
      </c>
      <c r="C484" t="str">
        <f>IF(Table2425[[#This Row],[Journal Description (Service Description)]]="","",1)</f>
        <v/>
      </c>
      <c r="D484" s="2" t="str">
        <f>IF(Table2425[[#This Row],[Journal Description (Service Description)]]="","",VLOOKUP(Table2425[[#This Row],[Journal Description (Service Description)]],'Lookup Values'!$A:$B,2,FALSE))</f>
        <v/>
      </c>
    </row>
    <row r="485" spans="1:4" x14ac:dyDescent="0.35">
      <c r="A485" t="str">
        <f>IF(Table2425[[#This Row],[Branch Name]]="","",(_xlfn.XLOOKUP(Table2425[[#This Row],[Branch Name]],'Lookup Values'!G:G,'Lookup Values'!H:H,0)))</f>
        <v/>
      </c>
      <c r="B485" t="str">
        <f>IF(Table2425[[#This Row],[Branch Name]]="","",(_xlfn.XLOOKUP(Table2425[[#This Row],[Branch Name]],'Lookup Values'!G:G,'Lookup Values'!I:I,0)))</f>
        <v/>
      </c>
      <c r="C485" t="str">
        <f>IF(Table2425[[#This Row],[Journal Description (Service Description)]]="","",1)</f>
        <v/>
      </c>
      <c r="D485" s="2" t="str">
        <f>IF(Table2425[[#This Row],[Journal Description (Service Description)]]="","",VLOOKUP(Table2425[[#This Row],[Journal Description (Service Description)]],'Lookup Values'!$A:$B,2,FALSE))</f>
        <v/>
      </c>
    </row>
    <row r="486" spans="1:4" x14ac:dyDescent="0.35">
      <c r="A486" t="str">
        <f>IF(Table2425[[#This Row],[Branch Name]]="","",(_xlfn.XLOOKUP(Table2425[[#This Row],[Branch Name]],'Lookup Values'!G:G,'Lookup Values'!H:H,0)))</f>
        <v/>
      </c>
      <c r="B486" t="str">
        <f>IF(Table2425[[#This Row],[Branch Name]]="","",(_xlfn.XLOOKUP(Table2425[[#This Row],[Branch Name]],'Lookup Values'!G:G,'Lookup Values'!I:I,0)))</f>
        <v/>
      </c>
      <c r="C486" t="str">
        <f>IF(Table2425[[#This Row],[Journal Description (Service Description)]]="","",1)</f>
        <v/>
      </c>
      <c r="D486" s="2" t="str">
        <f>IF(Table2425[[#This Row],[Journal Description (Service Description)]]="","",VLOOKUP(Table2425[[#This Row],[Journal Description (Service Description)]],'Lookup Values'!$A:$B,2,FALSE))</f>
        <v/>
      </c>
    </row>
    <row r="487" spans="1:4" x14ac:dyDescent="0.35">
      <c r="A487" t="str">
        <f>IF(Table2425[[#This Row],[Branch Name]]="","",(_xlfn.XLOOKUP(Table2425[[#This Row],[Branch Name]],'Lookup Values'!G:G,'Lookup Values'!H:H,0)))</f>
        <v/>
      </c>
      <c r="B487" t="str">
        <f>IF(Table2425[[#This Row],[Branch Name]]="","",(_xlfn.XLOOKUP(Table2425[[#This Row],[Branch Name]],'Lookup Values'!G:G,'Lookup Values'!I:I,0)))</f>
        <v/>
      </c>
      <c r="C487" t="str">
        <f>IF(Table2425[[#This Row],[Journal Description (Service Description)]]="","",1)</f>
        <v/>
      </c>
      <c r="D487" s="2" t="str">
        <f>IF(Table2425[[#This Row],[Journal Description (Service Description)]]="","",VLOOKUP(Table2425[[#This Row],[Journal Description (Service Description)]],'Lookup Values'!$A:$B,2,FALSE))</f>
        <v/>
      </c>
    </row>
    <row r="488" spans="1:4" x14ac:dyDescent="0.35">
      <c r="A488" t="str">
        <f>IF(Table2425[[#This Row],[Branch Name]]="","",(_xlfn.XLOOKUP(Table2425[[#This Row],[Branch Name]],'Lookup Values'!G:G,'Lookup Values'!H:H,0)))</f>
        <v/>
      </c>
      <c r="B488" t="str">
        <f>IF(Table2425[[#This Row],[Branch Name]]="","",(_xlfn.XLOOKUP(Table2425[[#This Row],[Branch Name]],'Lookup Values'!G:G,'Lookup Values'!I:I,0)))</f>
        <v/>
      </c>
      <c r="C488" t="str">
        <f>IF(Table2425[[#This Row],[Journal Description (Service Description)]]="","",1)</f>
        <v/>
      </c>
      <c r="D488" s="2" t="str">
        <f>IF(Table2425[[#This Row],[Journal Description (Service Description)]]="","",VLOOKUP(Table2425[[#This Row],[Journal Description (Service Description)]],'Lookup Values'!$A:$B,2,FALSE))</f>
        <v/>
      </c>
    </row>
    <row r="489" spans="1:4" x14ac:dyDescent="0.35">
      <c r="A489" t="str">
        <f>IF(Table2425[[#This Row],[Branch Name]]="","",(_xlfn.XLOOKUP(Table2425[[#This Row],[Branch Name]],'Lookup Values'!G:G,'Lookup Values'!H:H,0)))</f>
        <v/>
      </c>
      <c r="B489" t="str">
        <f>IF(Table2425[[#This Row],[Branch Name]]="","",(_xlfn.XLOOKUP(Table2425[[#This Row],[Branch Name]],'Lookup Values'!G:G,'Lookup Values'!I:I,0)))</f>
        <v/>
      </c>
      <c r="C489" t="str">
        <f>IF(Table2425[[#This Row],[Journal Description (Service Description)]]="","",1)</f>
        <v/>
      </c>
      <c r="D489" s="2" t="str">
        <f>IF(Table2425[[#This Row],[Journal Description (Service Description)]]="","",VLOOKUP(Table2425[[#This Row],[Journal Description (Service Description)]],'Lookup Values'!$A:$B,2,FALSE))</f>
        <v/>
      </c>
    </row>
    <row r="490" spans="1:4" x14ac:dyDescent="0.35">
      <c r="A490" t="str">
        <f>IF(Table2425[[#This Row],[Branch Name]]="","",(_xlfn.XLOOKUP(Table2425[[#This Row],[Branch Name]],'Lookup Values'!G:G,'Lookup Values'!H:H,0)))</f>
        <v/>
      </c>
      <c r="B490" t="str">
        <f>IF(Table2425[[#This Row],[Branch Name]]="","",(_xlfn.XLOOKUP(Table2425[[#This Row],[Branch Name]],'Lookup Values'!G:G,'Lookup Values'!I:I,0)))</f>
        <v/>
      </c>
      <c r="C490" t="str">
        <f>IF(Table2425[[#This Row],[Journal Description (Service Description)]]="","",1)</f>
        <v/>
      </c>
      <c r="D490" s="2" t="str">
        <f>IF(Table2425[[#This Row],[Journal Description (Service Description)]]="","",VLOOKUP(Table2425[[#This Row],[Journal Description (Service Description)]],'Lookup Values'!$A:$B,2,FALSE))</f>
        <v/>
      </c>
    </row>
    <row r="491" spans="1:4" x14ac:dyDescent="0.35">
      <c r="A491" t="str">
        <f>IF(Table2425[[#This Row],[Branch Name]]="","",(_xlfn.XLOOKUP(Table2425[[#This Row],[Branch Name]],'Lookup Values'!G:G,'Lookup Values'!H:H,0)))</f>
        <v/>
      </c>
      <c r="B491" t="str">
        <f>IF(Table2425[[#This Row],[Branch Name]]="","",(_xlfn.XLOOKUP(Table2425[[#This Row],[Branch Name]],'Lookup Values'!G:G,'Lookup Values'!I:I,0)))</f>
        <v/>
      </c>
      <c r="C491" t="str">
        <f>IF(Table2425[[#This Row],[Journal Description (Service Description)]]="","",1)</f>
        <v/>
      </c>
      <c r="D491" s="2" t="str">
        <f>IF(Table2425[[#This Row],[Journal Description (Service Description)]]="","",VLOOKUP(Table2425[[#This Row],[Journal Description (Service Description)]],'Lookup Values'!$A:$B,2,FALSE))</f>
        <v/>
      </c>
    </row>
    <row r="492" spans="1:4" x14ac:dyDescent="0.35">
      <c r="A492" t="str">
        <f>IF(Table2425[[#This Row],[Branch Name]]="","",(_xlfn.XLOOKUP(Table2425[[#This Row],[Branch Name]],'Lookup Values'!G:G,'Lookup Values'!H:H,0)))</f>
        <v/>
      </c>
      <c r="B492" t="str">
        <f>IF(Table2425[[#This Row],[Branch Name]]="","",(_xlfn.XLOOKUP(Table2425[[#This Row],[Branch Name]],'Lookup Values'!G:G,'Lookup Values'!I:I,0)))</f>
        <v/>
      </c>
      <c r="C492" t="str">
        <f>IF(Table2425[[#This Row],[Journal Description (Service Description)]]="","",1)</f>
        <v/>
      </c>
      <c r="D492" s="2" t="str">
        <f>IF(Table2425[[#This Row],[Journal Description (Service Description)]]="","",VLOOKUP(Table2425[[#This Row],[Journal Description (Service Description)]],'Lookup Values'!$A:$B,2,FALSE))</f>
        <v/>
      </c>
    </row>
    <row r="493" spans="1:4" x14ac:dyDescent="0.35">
      <c r="A493" t="str">
        <f>IF(Table2425[[#This Row],[Branch Name]]="","",(_xlfn.XLOOKUP(Table2425[[#This Row],[Branch Name]],'Lookup Values'!G:G,'Lookup Values'!H:H,0)))</f>
        <v/>
      </c>
      <c r="B493" t="str">
        <f>IF(Table2425[[#This Row],[Branch Name]]="","",(_xlfn.XLOOKUP(Table2425[[#This Row],[Branch Name]],'Lookup Values'!G:G,'Lookup Values'!I:I,0)))</f>
        <v/>
      </c>
      <c r="C493" t="str">
        <f>IF(Table2425[[#This Row],[Journal Description (Service Description)]]="","",1)</f>
        <v/>
      </c>
      <c r="D493" s="2" t="str">
        <f>IF(Table2425[[#This Row],[Journal Description (Service Description)]]="","",VLOOKUP(Table2425[[#This Row],[Journal Description (Service Description)]],'Lookup Values'!$A:$B,2,FALSE))</f>
        <v/>
      </c>
    </row>
    <row r="494" spans="1:4" x14ac:dyDescent="0.35">
      <c r="A494" t="str">
        <f>IF(Table2425[[#This Row],[Branch Name]]="","",(_xlfn.XLOOKUP(Table2425[[#This Row],[Branch Name]],'Lookup Values'!G:G,'Lookup Values'!H:H,0)))</f>
        <v/>
      </c>
      <c r="B494" t="str">
        <f>IF(Table2425[[#This Row],[Branch Name]]="","",(_xlfn.XLOOKUP(Table2425[[#This Row],[Branch Name]],'Lookup Values'!G:G,'Lookup Values'!I:I,0)))</f>
        <v/>
      </c>
      <c r="C494" t="str">
        <f>IF(Table2425[[#This Row],[Journal Description (Service Description)]]="","",1)</f>
        <v/>
      </c>
      <c r="D494" s="2" t="str">
        <f>IF(Table2425[[#This Row],[Journal Description (Service Description)]]="","",VLOOKUP(Table2425[[#This Row],[Journal Description (Service Description)]],'Lookup Values'!$A:$B,2,FALSE))</f>
        <v/>
      </c>
    </row>
    <row r="495" spans="1:4" x14ac:dyDescent="0.35">
      <c r="A495" t="str">
        <f>IF(Table2425[[#This Row],[Branch Name]]="","",(_xlfn.XLOOKUP(Table2425[[#This Row],[Branch Name]],'Lookup Values'!G:G,'Lookup Values'!H:H,0)))</f>
        <v/>
      </c>
      <c r="B495" t="str">
        <f>IF(Table2425[[#This Row],[Branch Name]]="","",(_xlfn.XLOOKUP(Table2425[[#This Row],[Branch Name]],'Lookup Values'!G:G,'Lookup Values'!I:I,0)))</f>
        <v/>
      </c>
      <c r="C495" t="str">
        <f>IF(Table2425[[#This Row],[Journal Description (Service Description)]]="","",1)</f>
        <v/>
      </c>
      <c r="D495" s="2" t="str">
        <f>IF(Table2425[[#This Row],[Journal Description (Service Description)]]="","",VLOOKUP(Table2425[[#This Row],[Journal Description (Service Description)]],'Lookup Values'!$A:$B,2,FALSE))</f>
        <v/>
      </c>
    </row>
    <row r="496" spans="1:4" x14ac:dyDescent="0.35">
      <c r="A496" t="str">
        <f>IF(Table2425[[#This Row],[Branch Name]]="","",(_xlfn.XLOOKUP(Table2425[[#This Row],[Branch Name]],'Lookup Values'!G:G,'Lookup Values'!H:H,0)))</f>
        <v/>
      </c>
      <c r="B496" t="str">
        <f>IF(Table2425[[#This Row],[Branch Name]]="","",(_xlfn.XLOOKUP(Table2425[[#This Row],[Branch Name]],'Lookup Values'!G:G,'Lookup Values'!I:I,0)))</f>
        <v/>
      </c>
      <c r="C496" t="str">
        <f>IF(Table2425[[#This Row],[Journal Description (Service Description)]]="","",1)</f>
        <v/>
      </c>
      <c r="D496" s="2" t="str">
        <f>IF(Table2425[[#This Row],[Journal Description (Service Description)]]="","",VLOOKUP(Table2425[[#This Row],[Journal Description (Service Description)]],'Lookup Values'!$A:$B,2,FALSE))</f>
        <v/>
      </c>
    </row>
    <row r="497" spans="1:4" x14ac:dyDescent="0.35">
      <c r="A497" t="str">
        <f>IF(Table2425[[#This Row],[Branch Name]]="","",(_xlfn.XLOOKUP(Table2425[[#This Row],[Branch Name]],'Lookup Values'!G:G,'Lookup Values'!H:H,0)))</f>
        <v/>
      </c>
      <c r="B497" t="str">
        <f>IF(Table2425[[#This Row],[Branch Name]]="","",(_xlfn.XLOOKUP(Table2425[[#This Row],[Branch Name]],'Lookup Values'!G:G,'Lookup Values'!I:I,0)))</f>
        <v/>
      </c>
      <c r="C497" t="str">
        <f>IF(Table2425[[#This Row],[Journal Description (Service Description)]]="","",1)</f>
        <v/>
      </c>
      <c r="D497" s="2" t="str">
        <f>IF(Table2425[[#This Row],[Journal Description (Service Description)]]="","",VLOOKUP(Table2425[[#This Row],[Journal Description (Service Description)]],'Lookup Values'!$A:$B,2,FALSE))</f>
        <v/>
      </c>
    </row>
    <row r="498" spans="1:4" x14ac:dyDescent="0.35">
      <c r="A498" t="str">
        <f>IF(Table2425[[#This Row],[Branch Name]]="","",(_xlfn.XLOOKUP(Table2425[[#This Row],[Branch Name]],'Lookup Values'!G:G,'Lookup Values'!H:H,0)))</f>
        <v/>
      </c>
      <c r="B498" t="str">
        <f>IF(Table2425[[#This Row],[Branch Name]]="","",(_xlfn.XLOOKUP(Table2425[[#This Row],[Branch Name]],'Lookup Values'!G:G,'Lookup Values'!I:I,0)))</f>
        <v/>
      </c>
      <c r="C498" t="str">
        <f>IF(Table2425[[#This Row],[Journal Description (Service Description)]]="","",1)</f>
        <v/>
      </c>
      <c r="D498" s="2" t="str">
        <f>IF(Table2425[[#This Row],[Journal Description (Service Description)]]="","",VLOOKUP(Table2425[[#This Row],[Journal Description (Service Description)]],'Lookup Values'!$A:$B,2,FALSE))</f>
        <v/>
      </c>
    </row>
    <row r="499" spans="1:4" x14ac:dyDescent="0.35">
      <c r="A499" t="str">
        <f>IF(Table2425[[#This Row],[Branch Name]]="","",(_xlfn.XLOOKUP(Table2425[[#This Row],[Branch Name]],'Lookup Values'!G:G,'Lookup Values'!H:H,0)))</f>
        <v/>
      </c>
      <c r="B499" t="str">
        <f>IF(Table2425[[#This Row],[Branch Name]]="","",(_xlfn.XLOOKUP(Table2425[[#This Row],[Branch Name]],'Lookup Values'!G:G,'Lookup Values'!I:I,0)))</f>
        <v/>
      </c>
      <c r="C499" t="str">
        <f>IF(Table2425[[#This Row],[Journal Description (Service Description)]]="","",1)</f>
        <v/>
      </c>
      <c r="D499" s="2" t="str">
        <f>IF(Table2425[[#This Row],[Journal Description (Service Description)]]="","",VLOOKUP(Table2425[[#This Row],[Journal Description (Service Description)]],'Lookup Values'!$A:$B,2,FALSE))</f>
        <v/>
      </c>
    </row>
    <row r="500" spans="1:4" x14ac:dyDescent="0.35">
      <c r="A500" t="str">
        <f>IF(Table2425[[#This Row],[Branch Name]]="","",(_xlfn.XLOOKUP(Table2425[[#This Row],[Branch Name]],'Lookup Values'!G:G,'Lookup Values'!H:H,0)))</f>
        <v/>
      </c>
      <c r="B500" t="str">
        <f>IF(Table2425[[#This Row],[Branch Name]]="","",(_xlfn.XLOOKUP(Table2425[[#This Row],[Branch Name]],'Lookup Values'!G:G,'Lookup Values'!I:I,0)))</f>
        <v/>
      </c>
      <c r="C500" t="str">
        <f>IF(Table2425[[#This Row],[Journal Description (Service Description)]]="","",1)</f>
        <v/>
      </c>
      <c r="D500" s="2" t="str">
        <f>IF(Table2425[[#This Row],[Journal Description (Service Description)]]="","",VLOOKUP(Table2425[[#This Row],[Journal Description (Service Description)]],'Lookup Values'!$A:$B,2,FALSE))</f>
        <v/>
      </c>
    </row>
    <row r="501" spans="1:4" x14ac:dyDescent="0.35">
      <c r="A501" t="str">
        <f>IF(Table2425[[#This Row],[Branch Name]]="","",(_xlfn.XLOOKUP(Table2425[[#This Row],[Branch Name]],'Lookup Values'!G:G,'Lookup Values'!H:H,0)))</f>
        <v/>
      </c>
      <c r="B501" t="str">
        <f>IF(Table2425[[#This Row],[Branch Name]]="","",(_xlfn.XLOOKUP(Table2425[[#This Row],[Branch Name]],'Lookup Values'!G:G,'Lookup Values'!I:I,0)))</f>
        <v/>
      </c>
      <c r="C501" t="str">
        <f>IF(Table2425[[#This Row],[Journal Description (Service Description)]]="","",1)</f>
        <v/>
      </c>
      <c r="D501" s="2" t="str">
        <f>IF(Table2425[[#This Row],[Journal Description (Service Description)]]="","",VLOOKUP(Table2425[[#This Row],[Journal Description (Service Description)]],'Lookup Values'!$A:$B,2,FALSE))</f>
        <v/>
      </c>
    </row>
    <row r="502" spans="1:4" x14ac:dyDescent="0.35">
      <c r="A502" t="str">
        <f>IF(Table2425[[#This Row],[Branch Name]]="","",(_xlfn.XLOOKUP(Table2425[[#This Row],[Branch Name]],'Lookup Values'!G:G,'Lookup Values'!H:H,0)))</f>
        <v/>
      </c>
      <c r="B502" t="str">
        <f>IF(Table2425[[#This Row],[Branch Name]]="","",(_xlfn.XLOOKUP(Table2425[[#This Row],[Branch Name]],'Lookup Values'!G:G,'Lookup Values'!I:I,0)))</f>
        <v/>
      </c>
      <c r="C502" t="str">
        <f>IF(Table2425[[#This Row],[Journal Description (Service Description)]]="","",1)</f>
        <v/>
      </c>
      <c r="D502" s="2" t="str">
        <f>IF(Table2425[[#This Row],[Journal Description (Service Description)]]="","",VLOOKUP(Table2425[[#This Row],[Journal Description (Service Description)]],'Lookup Values'!$A:$B,2,FALSE))</f>
        <v/>
      </c>
    </row>
    <row r="503" spans="1:4" x14ac:dyDescent="0.35">
      <c r="A503" t="str">
        <f>IF(Table2425[[#This Row],[Branch Name]]="","",(_xlfn.XLOOKUP(Table2425[[#This Row],[Branch Name]],'Lookup Values'!G:G,'Lookup Values'!H:H,0)))</f>
        <v/>
      </c>
      <c r="B503" t="str">
        <f>IF(Table2425[[#This Row],[Branch Name]]="","",(_xlfn.XLOOKUP(Table2425[[#This Row],[Branch Name]],'Lookup Values'!G:G,'Lookup Values'!I:I,0)))</f>
        <v/>
      </c>
      <c r="C503" t="str">
        <f>IF(Table2425[[#This Row],[Journal Description (Service Description)]]="","",1)</f>
        <v/>
      </c>
      <c r="D503" s="2" t="str">
        <f>IF(Table2425[[#This Row],[Journal Description (Service Description)]]="","",VLOOKUP(Table2425[[#This Row],[Journal Description (Service Description)]],'Lookup Values'!$A:$B,2,FALSE))</f>
        <v/>
      </c>
    </row>
    <row r="504" spans="1:4" x14ac:dyDescent="0.35">
      <c r="A504" t="str">
        <f>IF(Table2425[[#This Row],[Branch Name]]="","",(_xlfn.XLOOKUP(Table2425[[#This Row],[Branch Name]],'Lookup Values'!G:G,'Lookup Values'!H:H,0)))</f>
        <v/>
      </c>
      <c r="B504" t="str">
        <f>IF(Table2425[[#This Row],[Branch Name]]="","",(_xlfn.XLOOKUP(Table2425[[#This Row],[Branch Name]],'Lookup Values'!G:G,'Lookup Values'!I:I,0)))</f>
        <v/>
      </c>
      <c r="C504" t="str">
        <f>IF(Table2425[[#This Row],[Journal Description (Service Description)]]="","",1)</f>
        <v/>
      </c>
      <c r="D504" s="2" t="str">
        <f>IF(Table2425[[#This Row],[Journal Description (Service Description)]]="","",VLOOKUP(Table2425[[#This Row],[Journal Description (Service Description)]],'Lookup Values'!$A:$B,2,FALSE))</f>
        <v/>
      </c>
    </row>
    <row r="505" spans="1:4" x14ac:dyDescent="0.35">
      <c r="A505" t="str">
        <f>IF(Table2425[[#This Row],[Branch Name]]="","",(_xlfn.XLOOKUP(Table2425[[#This Row],[Branch Name]],'Lookup Values'!G:G,'Lookup Values'!H:H,0)))</f>
        <v/>
      </c>
      <c r="B505" t="str">
        <f>IF(Table2425[[#This Row],[Branch Name]]="","",(_xlfn.XLOOKUP(Table2425[[#This Row],[Branch Name]],'Lookup Values'!G:G,'Lookup Values'!I:I,0)))</f>
        <v/>
      </c>
      <c r="C505" t="str">
        <f>IF(Table2425[[#This Row],[Journal Description (Service Description)]]="","",1)</f>
        <v/>
      </c>
      <c r="D505" s="2" t="str">
        <f>IF(Table2425[[#This Row],[Journal Description (Service Description)]]="","",VLOOKUP(Table2425[[#This Row],[Journal Description (Service Description)]],'Lookup Values'!$A:$B,2,FALSE))</f>
        <v/>
      </c>
    </row>
    <row r="506" spans="1:4" x14ac:dyDescent="0.35">
      <c r="A506" t="str">
        <f>IF(Table2425[[#This Row],[Branch Name]]="","",(_xlfn.XLOOKUP(Table2425[[#This Row],[Branch Name]],'Lookup Values'!G:G,'Lookup Values'!H:H,0)))</f>
        <v/>
      </c>
      <c r="B506" t="str">
        <f>IF(Table2425[[#This Row],[Branch Name]]="","",(_xlfn.XLOOKUP(Table2425[[#This Row],[Branch Name]],'Lookup Values'!G:G,'Lookup Values'!I:I,0)))</f>
        <v/>
      </c>
      <c r="C506" t="str">
        <f>IF(Table2425[[#This Row],[Journal Description (Service Description)]]="","",1)</f>
        <v/>
      </c>
      <c r="D506" s="2" t="str">
        <f>IF(Table2425[[#This Row],[Journal Description (Service Description)]]="","",VLOOKUP(Table2425[[#This Row],[Journal Description (Service Description)]],'Lookup Values'!$A:$B,2,FALSE))</f>
        <v/>
      </c>
    </row>
    <row r="507" spans="1:4" x14ac:dyDescent="0.35">
      <c r="A507" t="str">
        <f>IF(Table2425[[#This Row],[Branch Name]]="","",(_xlfn.XLOOKUP(Table2425[[#This Row],[Branch Name]],'Lookup Values'!G:G,'Lookup Values'!H:H,0)))</f>
        <v/>
      </c>
      <c r="B507" t="str">
        <f>IF(Table2425[[#This Row],[Branch Name]]="","",(_xlfn.XLOOKUP(Table2425[[#This Row],[Branch Name]],'Lookup Values'!G:G,'Lookup Values'!I:I,0)))</f>
        <v/>
      </c>
      <c r="C507" t="str">
        <f>IF(Table2425[[#This Row],[Journal Description (Service Description)]]="","",1)</f>
        <v/>
      </c>
      <c r="D507" s="2" t="str">
        <f>IF(Table2425[[#This Row],[Journal Description (Service Description)]]="","",VLOOKUP(Table2425[[#This Row],[Journal Description (Service Description)]],'Lookup Values'!$A:$B,2,FALSE))</f>
        <v/>
      </c>
    </row>
    <row r="508" spans="1:4" x14ac:dyDescent="0.35">
      <c r="A508" t="str">
        <f>IF(Table2425[[#This Row],[Branch Name]]="","",(_xlfn.XLOOKUP(Table2425[[#This Row],[Branch Name]],'Lookup Values'!G:G,'Lookup Values'!H:H,0)))</f>
        <v/>
      </c>
      <c r="B508" t="str">
        <f>IF(Table2425[[#This Row],[Branch Name]]="","",(_xlfn.XLOOKUP(Table2425[[#This Row],[Branch Name]],'Lookup Values'!G:G,'Lookup Values'!I:I,0)))</f>
        <v/>
      </c>
      <c r="C508" t="str">
        <f>IF(Table2425[[#This Row],[Journal Description (Service Description)]]="","",1)</f>
        <v/>
      </c>
      <c r="D508" s="2" t="str">
        <f>IF(Table2425[[#This Row],[Journal Description (Service Description)]]="","",VLOOKUP(Table2425[[#This Row],[Journal Description (Service Description)]],'Lookup Values'!$A:$B,2,FALSE))</f>
        <v/>
      </c>
    </row>
    <row r="509" spans="1:4" x14ac:dyDescent="0.35">
      <c r="A509" t="str">
        <f>IF(Table2425[[#This Row],[Branch Name]]="","",(_xlfn.XLOOKUP(Table2425[[#This Row],[Branch Name]],'Lookup Values'!G:G,'Lookup Values'!H:H,0)))</f>
        <v/>
      </c>
      <c r="B509" t="str">
        <f>IF(Table2425[[#This Row],[Branch Name]]="","",(_xlfn.XLOOKUP(Table2425[[#This Row],[Branch Name]],'Lookup Values'!G:G,'Lookup Values'!I:I,0)))</f>
        <v/>
      </c>
      <c r="C509" t="str">
        <f>IF(Table2425[[#This Row],[Journal Description (Service Description)]]="","",1)</f>
        <v/>
      </c>
      <c r="D509" s="2" t="str">
        <f>IF(Table2425[[#This Row],[Journal Description (Service Description)]]="","",VLOOKUP(Table2425[[#This Row],[Journal Description (Service Description)]],'Lookup Values'!$A:$B,2,FALSE))</f>
        <v/>
      </c>
    </row>
    <row r="510" spans="1:4" x14ac:dyDescent="0.35">
      <c r="A510" t="str">
        <f>IF(Table2425[[#This Row],[Branch Name]]="","",(_xlfn.XLOOKUP(Table2425[[#This Row],[Branch Name]],'Lookup Values'!G:G,'Lookup Values'!H:H,0)))</f>
        <v/>
      </c>
      <c r="B510" t="str">
        <f>IF(Table2425[[#This Row],[Branch Name]]="","",(_xlfn.XLOOKUP(Table2425[[#This Row],[Branch Name]],'Lookup Values'!G:G,'Lookup Values'!I:I,0)))</f>
        <v/>
      </c>
      <c r="C510" t="str">
        <f>IF(Table2425[[#This Row],[Journal Description (Service Description)]]="","",1)</f>
        <v/>
      </c>
      <c r="D510" s="2" t="str">
        <f>IF(Table2425[[#This Row],[Journal Description (Service Description)]]="","",VLOOKUP(Table2425[[#This Row],[Journal Description (Service Description)]],'Lookup Values'!$A:$B,2,FALSE))</f>
        <v/>
      </c>
    </row>
    <row r="511" spans="1:4" x14ac:dyDescent="0.35">
      <c r="A511" t="str">
        <f>IF(Table2425[[#This Row],[Branch Name]]="","",(_xlfn.XLOOKUP(Table2425[[#This Row],[Branch Name]],'Lookup Values'!G:G,'Lookup Values'!H:H,0)))</f>
        <v/>
      </c>
      <c r="B511" t="str">
        <f>IF(Table2425[[#This Row],[Branch Name]]="","",(_xlfn.XLOOKUP(Table2425[[#This Row],[Branch Name]],'Lookup Values'!G:G,'Lookup Values'!I:I,0)))</f>
        <v/>
      </c>
      <c r="C511" t="str">
        <f>IF(Table2425[[#This Row],[Journal Description (Service Description)]]="","",1)</f>
        <v/>
      </c>
      <c r="D511" s="2" t="str">
        <f>IF(Table2425[[#This Row],[Journal Description (Service Description)]]="","",VLOOKUP(Table2425[[#This Row],[Journal Description (Service Description)]],'Lookup Values'!$A:$B,2,FALSE))</f>
        <v/>
      </c>
    </row>
    <row r="512" spans="1:4" x14ac:dyDescent="0.35">
      <c r="A512" t="str">
        <f>IF(Table2425[[#This Row],[Branch Name]]="","",(_xlfn.XLOOKUP(Table2425[[#This Row],[Branch Name]],'Lookup Values'!G:G,'Lookup Values'!H:H,0)))</f>
        <v/>
      </c>
      <c r="B512" t="str">
        <f>IF(Table2425[[#This Row],[Branch Name]]="","",(_xlfn.XLOOKUP(Table2425[[#This Row],[Branch Name]],'Lookup Values'!G:G,'Lookup Values'!I:I,0)))</f>
        <v/>
      </c>
      <c r="C512" t="str">
        <f>IF(Table2425[[#This Row],[Journal Description (Service Description)]]="","",1)</f>
        <v/>
      </c>
      <c r="D512" s="2" t="str">
        <f>IF(Table2425[[#This Row],[Journal Description (Service Description)]]="","",VLOOKUP(Table2425[[#This Row],[Journal Description (Service Description)]],'Lookup Values'!$A:$B,2,FALSE))</f>
        <v/>
      </c>
    </row>
    <row r="513" spans="1:4" x14ac:dyDescent="0.35">
      <c r="A513" t="str">
        <f>IF(Table2425[[#This Row],[Branch Name]]="","",(_xlfn.XLOOKUP(Table2425[[#This Row],[Branch Name]],'Lookup Values'!G:G,'Lookup Values'!H:H,0)))</f>
        <v/>
      </c>
      <c r="B513" t="str">
        <f>IF(Table2425[[#This Row],[Branch Name]]="","",(_xlfn.XLOOKUP(Table2425[[#This Row],[Branch Name]],'Lookup Values'!G:G,'Lookup Values'!I:I,0)))</f>
        <v/>
      </c>
      <c r="C513" t="str">
        <f>IF(Table2425[[#This Row],[Journal Description (Service Description)]]="","",1)</f>
        <v/>
      </c>
      <c r="D513" s="2" t="str">
        <f>IF(Table2425[[#This Row],[Journal Description (Service Description)]]="","",VLOOKUP(Table2425[[#This Row],[Journal Description (Service Description)]],'Lookup Values'!$A:$B,2,FALSE))</f>
        <v/>
      </c>
    </row>
    <row r="514" spans="1:4" x14ac:dyDescent="0.35">
      <c r="A514" t="str">
        <f>IF(Table2425[[#This Row],[Branch Name]]="","",(_xlfn.XLOOKUP(Table2425[[#This Row],[Branch Name]],'Lookup Values'!G:G,'Lookup Values'!H:H,0)))</f>
        <v/>
      </c>
      <c r="B514" t="str">
        <f>IF(Table2425[[#This Row],[Branch Name]]="","",(_xlfn.XLOOKUP(Table2425[[#This Row],[Branch Name]],'Lookup Values'!G:G,'Lookup Values'!I:I,0)))</f>
        <v/>
      </c>
      <c r="C514" t="str">
        <f>IF(Table2425[[#This Row],[Journal Description (Service Description)]]="","",1)</f>
        <v/>
      </c>
      <c r="D514" s="2" t="str">
        <f>IF(Table2425[[#This Row],[Journal Description (Service Description)]]="","",VLOOKUP(Table2425[[#This Row],[Journal Description (Service Description)]],'Lookup Values'!$A:$B,2,FALSE))</f>
        <v/>
      </c>
    </row>
    <row r="515" spans="1:4" x14ac:dyDescent="0.35">
      <c r="A515" t="str">
        <f>IF(Table2425[[#This Row],[Branch Name]]="","",(_xlfn.XLOOKUP(Table2425[[#This Row],[Branch Name]],'Lookup Values'!G:G,'Lookup Values'!H:H,0)))</f>
        <v/>
      </c>
      <c r="B515" t="str">
        <f>IF(Table2425[[#This Row],[Branch Name]]="","",(_xlfn.XLOOKUP(Table2425[[#This Row],[Branch Name]],'Lookup Values'!G:G,'Lookup Values'!I:I,0)))</f>
        <v/>
      </c>
      <c r="C515" t="str">
        <f>IF(Table2425[[#This Row],[Journal Description (Service Description)]]="","",1)</f>
        <v/>
      </c>
      <c r="D515" s="2" t="str">
        <f>IF(Table2425[[#This Row],[Journal Description (Service Description)]]="","",VLOOKUP(Table2425[[#This Row],[Journal Description (Service Description)]],'Lookup Values'!$A:$B,2,FALSE))</f>
        <v/>
      </c>
    </row>
    <row r="516" spans="1:4" x14ac:dyDescent="0.35">
      <c r="A516" t="str">
        <f>IF(Table2425[[#This Row],[Branch Name]]="","",(_xlfn.XLOOKUP(Table2425[[#This Row],[Branch Name]],'Lookup Values'!G:G,'Lookup Values'!H:H,0)))</f>
        <v/>
      </c>
      <c r="B516" t="str">
        <f>IF(Table2425[[#This Row],[Branch Name]]="","",(_xlfn.XLOOKUP(Table2425[[#This Row],[Branch Name]],'Lookup Values'!G:G,'Lookup Values'!I:I,0)))</f>
        <v/>
      </c>
      <c r="C516" t="str">
        <f>IF(Table2425[[#This Row],[Journal Description (Service Description)]]="","",1)</f>
        <v/>
      </c>
      <c r="D516" s="2" t="str">
        <f>IF(Table2425[[#This Row],[Journal Description (Service Description)]]="","",VLOOKUP(Table2425[[#This Row],[Journal Description (Service Description)]],'Lookup Values'!$A:$B,2,FALSE))</f>
        <v/>
      </c>
    </row>
    <row r="517" spans="1:4" x14ac:dyDescent="0.35">
      <c r="A517" t="str">
        <f>IF(Table2425[[#This Row],[Branch Name]]="","",(_xlfn.XLOOKUP(Table2425[[#This Row],[Branch Name]],'Lookup Values'!G:G,'Lookup Values'!H:H,0)))</f>
        <v/>
      </c>
      <c r="B517" t="str">
        <f>IF(Table2425[[#This Row],[Branch Name]]="","",(_xlfn.XLOOKUP(Table2425[[#This Row],[Branch Name]],'Lookup Values'!G:G,'Lookup Values'!I:I,0)))</f>
        <v/>
      </c>
      <c r="C517" t="str">
        <f>IF(Table2425[[#This Row],[Journal Description (Service Description)]]="","",1)</f>
        <v/>
      </c>
      <c r="D517" s="2" t="str">
        <f>IF(Table2425[[#This Row],[Journal Description (Service Description)]]="","",VLOOKUP(Table2425[[#This Row],[Journal Description (Service Description)]],'Lookup Values'!$A:$B,2,FALSE))</f>
        <v/>
      </c>
    </row>
    <row r="518" spans="1:4" x14ac:dyDescent="0.35">
      <c r="A518" t="str">
        <f>IF(Table2425[[#This Row],[Branch Name]]="","",(_xlfn.XLOOKUP(Table2425[[#This Row],[Branch Name]],'Lookup Values'!G:G,'Lookup Values'!H:H,0)))</f>
        <v/>
      </c>
      <c r="B518" t="str">
        <f>IF(Table2425[[#This Row],[Branch Name]]="","",(_xlfn.XLOOKUP(Table2425[[#This Row],[Branch Name]],'Lookup Values'!G:G,'Lookup Values'!I:I,0)))</f>
        <v/>
      </c>
      <c r="C518" t="str">
        <f>IF(Table2425[[#This Row],[Journal Description (Service Description)]]="","",1)</f>
        <v/>
      </c>
      <c r="D518" s="2" t="str">
        <f>IF(Table2425[[#This Row],[Journal Description (Service Description)]]="","",VLOOKUP(Table2425[[#This Row],[Journal Description (Service Description)]],'Lookup Values'!$A:$B,2,FALSE))</f>
        <v/>
      </c>
    </row>
    <row r="519" spans="1:4" x14ac:dyDescent="0.35">
      <c r="A519" t="str">
        <f>IF(Table2425[[#This Row],[Branch Name]]="","",(_xlfn.XLOOKUP(Table2425[[#This Row],[Branch Name]],'Lookup Values'!G:G,'Lookup Values'!H:H,0)))</f>
        <v/>
      </c>
      <c r="B519" t="str">
        <f>IF(Table2425[[#This Row],[Branch Name]]="","",(_xlfn.XLOOKUP(Table2425[[#This Row],[Branch Name]],'Lookup Values'!G:G,'Lookup Values'!I:I,0)))</f>
        <v/>
      </c>
      <c r="C519" t="str">
        <f>IF(Table2425[[#This Row],[Journal Description (Service Description)]]="","",1)</f>
        <v/>
      </c>
      <c r="D519" s="2" t="str">
        <f>IF(Table2425[[#This Row],[Journal Description (Service Description)]]="","",VLOOKUP(Table2425[[#This Row],[Journal Description (Service Description)]],'Lookup Values'!$A:$B,2,FALSE))</f>
        <v/>
      </c>
    </row>
    <row r="520" spans="1:4" x14ac:dyDescent="0.35">
      <c r="A520" t="str">
        <f>IF(Table2425[[#This Row],[Branch Name]]="","",(_xlfn.XLOOKUP(Table2425[[#This Row],[Branch Name]],'Lookup Values'!G:G,'Lookup Values'!H:H,0)))</f>
        <v/>
      </c>
      <c r="B520" t="str">
        <f>IF(Table2425[[#This Row],[Branch Name]]="","",(_xlfn.XLOOKUP(Table2425[[#This Row],[Branch Name]],'Lookup Values'!G:G,'Lookup Values'!I:I,0)))</f>
        <v/>
      </c>
      <c r="C520" t="str">
        <f>IF(Table2425[[#This Row],[Journal Description (Service Description)]]="","",1)</f>
        <v/>
      </c>
      <c r="D520" s="2" t="str">
        <f>IF(Table2425[[#This Row],[Journal Description (Service Description)]]="","",VLOOKUP(Table2425[[#This Row],[Journal Description (Service Description)]],'Lookup Values'!$A:$B,2,FALSE))</f>
        <v/>
      </c>
    </row>
    <row r="521" spans="1:4" x14ac:dyDescent="0.35">
      <c r="A521" t="str">
        <f>IF(Table2425[[#This Row],[Branch Name]]="","",(_xlfn.XLOOKUP(Table2425[[#This Row],[Branch Name]],'Lookup Values'!G:G,'Lookup Values'!H:H,0)))</f>
        <v/>
      </c>
      <c r="B521" t="str">
        <f>IF(Table2425[[#This Row],[Branch Name]]="","",(_xlfn.XLOOKUP(Table2425[[#This Row],[Branch Name]],'Lookup Values'!G:G,'Lookup Values'!I:I,0)))</f>
        <v/>
      </c>
      <c r="C521" t="str">
        <f>IF(Table2425[[#This Row],[Journal Description (Service Description)]]="","",1)</f>
        <v/>
      </c>
      <c r="D521" s="2" t="str">
        <f>IF(Table2425[[#This Row],[Journal Description (Service Description)]]="","",VLOOKUP(Table2425[[#This Row],[Journal Description (Service Description)]],'Lookup Values'!$A:$B,2,FALSE))</f>
        <v/>
      </c>
    </row>
    <row r="522" spans="1:4" x14ac:dyDescent="0.35">
      <c r="A522" t="str">
        <f>IF(Table2425[[#This Row],[Branch Name]]="","",(_xlfn.XLOOKUP(Table2425[[#This Row],[Branch Name]],'Lookup Values'!G:G,'Lookup Values'!H:H,0)))</f>
        <v/>
      </c>
      <c r="B522" t="str">
        <f>IF(Table2425[[#This Row],[Branch Name]]="","",(_xlfn.XLOOKUP(Table2425[[#This Row],[Branch Name]],'Lookup Values'!G:G,'Lookup Values'!I:I,0)))</f>
        <v/>
      </c>
      <c r="C522" t="str">
        <f>IF(Table2425[[#This Row],[Journal Description (Service Description)]]="","",1)</f>
        <v/>
      </c>
      <c r="D522" s="2" t="str">
        <f>IF(Table2425[[#This Row],[Journal Description (Service Description)]]="","",VLOOKUP(Table2425[[#This Row],[Journal Description (Service Description)]],'Lookup Values'!$A:$B,2,FALSE))</f>
        <v/>
      </c>
    </row>
    <row r="523" spans="1:4" x14ac:dyDescent="0.35">
      <c r="A523" t="str">
        <f>IF(Table2425[[#This Row],[Branch Name]]="","",(_xlfn.XLOOKUP(Table2425[[#This Row],[Branch Name]],'Lookup Values'!G:G,'Lookup Values'!H:H,0)))</f>
        <v/>
      </c>
      <c r="B523" t="str">
        <f>IF(Table2425[[#This Row],[Branch Name]]="","",(_xlfn.XLOOKUP(Table2425[[#This Row],[Branch Name]],'Lookup Values'!G:G,'Lookup Values'!I:I,0)))</f>
        <v/>
      </c>
      <c r="C523" t="str">
        <f>IF(Table2425[[#This Row],[Journal Description (Service Description)]]="","",1)</f>
        <v/>
      </c>
      <c r="D523" s="2" t="str">
        <f>IF(Table2425[[#This Row],[Journal Description (Service Description)]]="","",VLOOKUP(Table2425[[#This Row],[Journal Description (Service Description)]],'Lookup Values'!$A:$B,2,FALSE))</f>
        <v/>
      </c>
    </row>
    <row r="524" spans="1:4" x14ac:dyDescent="0.35">
      <c r="A524" t="str">
        <f>IF(Table2425[[#This Row],[Branch Name]]="","",(_xlfn.XLOOKUP(Table2425[[#This Row],[Branch Name]],'Lookup Values'!G:G,'Lookup Values'!H:H,0)))</f>
        <v/>
      </c>
      <c r="B524" t="str">
        <f>IF(Table2425[[#This Row],[Branch Name]]="","",(_xlfn.XLOOKUP(Table2425[[#This Row],[Branch Name]],'Lookup Values'!G:G,'Lookup Values'!I:I,0)))</f>
        <v/>
      </c>
      <c r="C524" t="str">
        <f>IF(Table2425[[#This Row],[Journal Description (Service Description)]]="","",1)</f>
        <v/>
      </c>
      <c r="D524" s="2" t="str">
        <f>IF(Table2425[[#This Row],[Journal Description (Service Description)]]="","",VLOOKUP(Table2425[[#This Row],[Journal Description (Service Description)]],'Lookup Values'!$A:$B,2,FALSE))</f>
        <v/>
      </c>
    </row>
    <row r="525" spans="1:4" x14ac:dyDescent="0.35">
      <c r="A525" t="str">
        <f>IF(Table2425[[#This Row],[Branch Name]]="","",(_xlfn.XLOOKUP(Table2425[[#This Row],[Branch Name]],'Lookup Values'!G:G,'Lookup Values'!H:H,0)))</f>
        <v/>
      </c>
      <c r="B525" t="str">
        <f>IF(Table2425[[#This Row],[Branch Name]]="","",(_xlfn.XLOOKUP(Table2425[[#This Row],[Branch Name]],'Lookup Values'!G:G,'Lookup Values'!I:I,0)))</f>
        <v/>
      </c>
      <c r="C525" t="str">
        <f>IF(Table2425[[#This Row],[Journal Description (Service Description)]]="","",1)</f>
        <v/>
      </c>
      <c r="D525" s="2" t="str">
        <f>IF(Table2425[[#This Row],[Journal Description (Service Description)]]="","",VLOOKUP(Table2425[[#This Row],[Journal Description (Service Description)]],'Lookup Values'!$A:$B,2,FALSE))</f>
        <v/>
      </c>
    </row>
    <row r="526" spans="1:4" x14ac:dyDescent="0.35">
      <c r="A526" t="str">
        <f>IF(Table2425[[#This Row],[Branch Name]]="","",(_xlfn.XLOOKUP(Table2425[[#This Row],[Branch Name]],'Lookup Values'!G:G,'Lookup Values'!H:H,0)))</f>
        <v/>
      </c>
      <c r="B526" t="str">
        <f>IF(Table2425[[#This Row],[Branch Name]]="","",(_xlfn.XLOOKUP(Table2425[[#This Row],[Branch Name]],'Lookup Values'!G:G,'Lookup Values'!I:I,0)))</f>
        <v/>
      </c>
      <c r="C526" t="str">
        <f>IF(Table2425[[#This Row],[Journal Description (Service Description)]]="","",1)</f>
        <v/>
      </c>
      <c r="D526" s="2" t="str">
        <f>IF(Table2425[[#This Row],[Journal Description (Service Description)]]="","",VLOOKUP(Table2425[[#This Row],[Journal Description (Service Description)]],'Lookup Values'!$A:$B,2,FALSE))</f>
        <v/>
      </c>
    </row>
    <row r="527" spans="1:4" x14ac:dyDescent="0.35">
      <c r="A527" t="str">
        <f>IF(Table2425[[#This Row],[Branch Name]]="","",(_xlfn.XLOOKUP(Table2425[[#This Row],[Branch Name]],'Lookup Values'!G:G,'Lookup Values'!H:H,0)))</f>
        <v/>
      </c>
      <c r="B527" t="str">
        <f>IF(Table2425[[#This Row],[Branch Name]]="","",(_xlfn.XLOOKUP(Table2425[[#This Row],[Branch Name]],'Lookup Values'!G:G,'Lookup Values'!I:I,0)))</f>
        <v/>
      </c>
      <c r="C527" t="str">
        <f>IF(Table2425[[#This Row],[Journal Description (Service Description)]]="","",1)</f>
        <v/>
      </c>
      <c r="D527" s="2" t="str">
        <f>IF(Table2425[[#This Row],[Journal Description (Service Description)]]="","",VLOOKUP(Table2425[[#This Row],[Journal Description (Service Description)]],'Lookup Values'!$A:$B,2,FALSE))</f>
        <v/>
      </c>
    </row>
    <row r="528" spans="1:4" x14ac:dyDescent="0.35">
      <c r="A528" t="str">
        <f>IF(Table2425[[#This Row],[Branch Name]]="","",(_xlfn.XLOOKUP(Table2425[[#This Row],[Branch Name]],'Lookup Values'!G:G,'Lookup Values'!H:H,0)))</f>
        <v/>
      </c>
      <c r="B528" t="str">
        <f>IF(Table2425[[#This Row],[Branch Name]]="","",(_xlfn.XLOOKUP(Table2425[[#This Row],[Branch Name]],'Lookup Values'!G:G,'Lookup Values'!I:I,0)))</f>
        <v/>
      </c>
      <c r="C528" t="str">
        <f>IF(Table2425[[#This Row],[Journal Description (Service Description)]]="","",1)</f>
        <v/>
      </c>
      <c r="D528" s="2" t="str">
        <f>IF(Table2425[[#This Row],[Journal Description (Service Description)]]="","",VLOOKUP(Table2425[[#This Row],[Journal Description (Service Description)]],'Lookup Values'!$A:$B,2,FALSE))</f>
        <v/>
      </c>
    </row>
    <row r="529" spans="1:4" x14ac:dyDescent="0.35">
      <c r="A529" t="str">
        <f>IF(Table2425[[#This Row],[Branch Name]]="","",(_xlfn.XLOOKUP(Table2425[[#This Row],[Branch Name]],'Lookup Values'!G:G,'Lookup Values'!H:H,0)))</f>
        <v/>
      </c>
      <c r="B529" t="str">
        <f>IF(Table2425[[#This Row],[Branch Name]]="","",(_xlfn.XLOOKUP(Table2425[[#This Row],[Branch Name]],'Lookup Values'!G:G,'Lookup Values'!I:I,0)))</f>
        <v/>
      </c>
      <c r="C529" t="str">
        <f>IF(Table2425[[#This Row],[Journal Description (Service Description)]]="","",1)</f>
        <v/>
      </c>
      <c r="D529" s="2" t="str">
        <f>IF(Table2425[[#This Row],[Journal Description (Service Description)]]="","",VLOOKUP(Table2425[[#This Row],[Journal Description (Service Description)]],'Lookup Values'!$A:$B,2,FALSE))</f>
        <v/>
      </c>
    </row>
    <row r="530" spans="1:4" x14ac:dyDescent="0.35">
      <c r="A530" t="str">
        <f>IF(Table2425[[#This Row],[Branch Name]]="","",(_xlfn.XLOOKUP(Table2425[[#This Row],[Branch Name]],'Lookup Values'!G:G,'Lookup Values'!H:H,0)))</f>
        <v/>
      </c>
      <c r="B530" t="str">
        <f>IF(Table2425[[#This Row],[Branch Name]]="","",(_xlfn.XLOOKUP(Table2425[[#This Row],[Branch Name]],'Lookup Values'!G:G,'Lookup Values'!I:I,0)))</f>
        <v/>
      </c>
      <c r="C530" t="str">
        <f>IF(Table2425[[#This Row],[Journal Description (Service Description)]]="","",1)</f>
        <v/>
      </c>
      <c r="D530" s="2" t="str">
        <f>IF(Table2425[[#This Row],[Journal Description (Service Description)]]="","",VLOOKUP(Table2425[[#This Row],[Journal Description (Service Description)]],'Lookup Values'!$A:$B,2,FALSE))</f>
        <v/>
      </c>
    </row>
    <row r="531" spans="1:4" x14ac:dyDescent="0.35">
      <c r="A531" t="str">
        <f>IF(Table2425[[#This Row],[Branch Name]]="","",(_xlfn.XLOOKUP(Table2425[[#This Row],[Branch Name]],'Lookup Values'!G:G,'Lookup Values'!H:H,0)))</f>
        <v/>
      </c>
      <c r="B531" t="str">
        <f>IF(Table2425[[#This Row],[Branch Name]]="","",(_xlfn.XLOOKUP(Table2425[[#This Row],[Branch Name]],'Lookup Values'!G:G,'Lookup Values'!I:I,0)))</f>
        <v/>
      </c>
      <c r="C531" t="str">
        <f>IF(Table2425[[#This Row],[Journal Description (Service Description)]]="","",1)</f>
        <v/>
      </c>
      <c r="D531" s="2" t="str">
        <f>IF(Table2425[[#This Row],[Journal Description (Service Description)]]="","",VLOOKUP(Table2425[[#This Row],[Journal Description (Service Description)]],'Lookup Values'!$A:$B,2,FALSE))</f>
        <v/>
      </c>
    </row>
    <row r="532" spans="1:4" x14ac:dyDescent="0.35">
      <c r="A532" t="str">
        <f>IF(Table2425[[#This Row],[Branch Name]]="","",(_xlfn.XLOOKUP(Table2425[[#This Row],[Branch Name]],'Lookup Values'!G:G,'Lookup Values'!H:H,0)))</f>
        <v/>
      </c>
      <c r="B532" t="str">
        <f>IF(Table2425[[#This Row],[Branch Name]]="","",(_xlfn.XLOOKUP(Table2425[[#This Row],[Branch Name]],'Lookup Values'!G:G,'Lookup Values'!I:I,0)))</f>
        <v/>
      </c>
      <c r="C532" t="str">
        <f>IF(Table2425[[#This Row],[Journal Description (Service Description)]]="","",1)</f>
        <v/>
      </c>
      <c r="D532" s="2" t="str">
        <f>IF(Table2425[[#This Row],[Journal Description (Service Description)]]="","",VLOOKUP(Table2425[[#This Row],[Journal Description (Service Description)]],'Lookup Values'!$A:$B,2,FALSE))</f>
        <v/>
      </c>
    </row>
  </sheetData>
  <protectedRanges>
    <protectedRange sqref="D9 D278:D532" name="Amount"/>
    <protectedRange sqref="D10:D277" name="Amount_1"/>
  </protectedRanges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5A46747-1CFA-42C2-8BB5-448647B98345}">
          <x14:formula1>
            <xm:f>'Lookup Values'!$A$2:$A$7</xm:f>
          </x14:formula1>
          <xm:sqref>F524:F532</xm:sqref>
        </x14:dataValidation>
        <x14:dataValidation type="list" allowBlank="1" showInputMessage="1" showErrorMessage="1" xr:uid="{573F554D-4B7D-4A1A-98A5-B52BBD024BDB}">
          <x14:formula1>
            <xm:f>'Lookup Values'!$A$2:$A$39</xm:f>
          </x14:formula1>
          <xm:sqref>F126:F523</xm:sqref>
        </x14:dataValidation>
        <x14:dataValidation type="list" allowBlank="1" showInputMessage="1" showErrorMessage="1" xr:uid="{8ADE664B-CA52-4A12-A305-1D6D4FBD3ADC}">
          <x14:formula1>
            <xm:f>'Lookup Values'!$A$2:$A$9</xm:f>
          </x14:formula1>
          <xm:sqref>F10:F125</xm:sqref>
        </x14:dataValidation>
        <x14:dataValidation type="list" allowBlank="1" showInputMessage="1" showErrorMessage="1" xr:uid="{0E74C442-11D8-4DF8-8D17-10763A3FAA54}">
          <x14:formula1>
            <xm:f>'Lookup Values'!$G$2:$G$35</xm:f>
          </x14:formula1>
          <xm:sqref>E10:E532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58B01-4E53-4BBA-B65D-89EE3E51A78D}">
  <sheetPr codeName="Sheet8"/>
  <dimension ref="A1:K40"/>
  <sheetViews>
    <sheetView workbookViewId="0">
      <selection activeCell="A4" sqref="A4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13.7265625" bestFit="1" customWidth="1"/>
  </cols>
  <sheetData>
    <row r="1" spans="1:11" ht="18.5" x14ac:dyDescent="0.45">
      <c r="A1" s="23" t="s">
        <v>155</v>
      </c>
    </row>
    <row r="3" spans="1:11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11" x14ac:dyDescent="0.35">
      <c r="A4" s="49" t="s">
        <v>73</v>
      </c>
      <c r="B4" s="50" t="s">
        <v>201</v>
      </c>
      <c r="C4" s="44" t="s">
        <v>159</v>
      </c>
      <c r="D4" t="s">
        <v>160</v>
      </c>
      <c r="E4">
        <v>1</v>
      </c>
      <c r="F4" s="44">
        <v>14</v>
      </c>
      <c r="G4" s="44" t="s">
        <v>56</v>
      </c>
      <c r="H4" s="43" t="s">
        <v>35</v>
      </c>
      <c r="I4" s="34" t="s">
        <v>94</v>
      </c>
      <c r="J4" s="37"/>
      <c r="K4" s="37"/>
    </row>
    <row r="5" spans="1:11" x14ac:dyDescent="0.35">
      <c r="A5" s="49"/>
      <c r="B5" s="50"/>
      <c r="C5" s="44"/>
      <c r="D5" s="44"/>
      <c r="E5" s="44"/>
      <c r="F5" s="43"/>
      <c r="G5" s="34"/>
      <c r="H5" s="37"/>
      <c r="I5" s="37"/>
    </row>
    <row r="6" spans="1:11" x14ac:dyDescent="0.35">
      <c r="A6" s="49"/>
      <c r="B6" s="50"/>
      <c r="C6" s="44"/>
      <c r="D6" s="44"/>
      <c r="E6" s="44"/>
      <c r="F6" s="43"/>
      <c r="G6" s="34"/>
      <c r="H6" s="37"/>
      <c r="I6" s="37"/>
    </row>
    <row r="7" spans="1:11" x14ac:dyDescent="0.35">
      <c r="A7" s="49"/>
      <c r="B7" s="50"/>
      <c r="C7" s="44"/>
      <c r="D7" s="44"/>
      <c r="E7" s="44"/>
      <c r="F7" s="43"/>
      <c r="G7" s="34"/>
      <c r="H7" s="37"/>
      <c r="I7" s="37"/>
    </row>
    <row r="8" spans="1:11" x14ac:dyDescent="0.35">
      <c r="A8" s="49"/>
      <c r="B8" s="50"/>
      <c r="C8" s="44"/>
      <c r="D8" s="44"/>
      <c r="E8" s="44"/>
      <c r="F8" s="43"/>
      <c r="G8" s="34"/>
      <c r="H8" s="37"/>
      <c r="I8" s="37"/>
    </row>
    <row r="9" spans="1:11" x14ac:dyDescent="0.35">
      <c r="A9" s="49"/>
      <c r="B9" s="50"/>
      <c r="C9" s="44"/>
      <c r="D9" s="44"/>
      <c r="E9" s="44"/>
      <c r="F9" s="43"/>
      <c r="G9" s="34"/>
      <c r="H9" s="37"/>
      <c r="I9" s="37"/>
    </row>
    <row r="10" spans="1:11" x14ac:dyDescent="0.35">
      <c r="A10" s="49"/>
      <c r="B10" s="50"/>
      <c r="C10" s="44"/>
      <c r="D10" s="44"/>
      <c r="E10" s="44"/>
      <c r="F10" s="43"/>
      <c r="G10" s="34"/>
      <c r="H10" s="37"/>
      <c r="I10" s="37"/>
    </row>
    <row r="11" spans="1:11" x14ac:dyDescent="0.35">
      <c r="A11" s="49"/>
      <c r="B11" s="50"/>
      <c r="C11" s="44"/>
      <c r="D11" s="44"/>
      <c r="E11" s="44"/>
      <c r="F11" s="43"/>
      <c r="G11" s="34"/>
      <c r="H11" s="37"/>
      <c r="I11" s="37"/>
    </row>
    <row r="12" spans="1:11" x14ac:dyDescent="0.35">
      <c r="A12" s="49"/>
      <c r="B12" s="50"/>
      <c r="C12" s="44"/>
      <c r="D12" s="44"/>
      <c r="E12" s="44"/>
      <c r="F12" s="43"/>
      <c r="G12" s="34"/>
      <c r="H12" s="37"/>
      <c r="I12" s="37"/>
    </row>
    <row r="13" spans="1:11" x14ac:dyDescent="0.35">
      <c r="A13" s="49"/>
      <c r="B13" s="50"/>
      <c r="C13" s="44"/>
      <c r="D13" s="44"/>
      <c r="E13" s="44"/>
      <c r="F13" s="43"/>
      <c r="G13" s="34"/>
      <c r="H13" s="37"/>
      <c r="I13" s="37"/>
    </row>
    <row r="14" spans="1:11" x14ac:dyDescent="0.35">
      <c r="A14" s="49"/>
      <c r="B14" s="50"/>
      <c r="C14" s="44"/>
      <c r="D14" s="44"/>
      <c r="E14" s="44"/>
      <c r="F14" s="43"/>
      <c r="G14" s="34"/>
      <c r="H14" s="37"/>
      <c r="I14" s="37"/>
    </row>
    <row r="15" spans="1:11" x14ac:dyDescent="0.35">
      <c r="A15" s="49"/>
      <c r="B15" s="50"/>
      <c r="C15" s="44"/>
      <c r="D15" s="44"/>
      <c r="E15" s="44"/>
      <c r="F15" s="43"/>
      <c r="G15" s="34"/>
      <c r="H15" s="37"/>
      <c r="I15" s="37"/>
    </row>
    <row r="16" spans="1:11" x14ac:dyDescent="0.35">
      <c r="A16" s="49"/>
      <c r="B16" s="50"/>
      <c r="C16" s="44"/>
      <c r="D16" s="44"/>
      <c r="E16" s="44"/>
      <c r="F16" s="43"/>
      <c r="G16" s="34"/>
      <c r="H16" s="37"/>
      <c r="I16" s="37"/>
    </row>
    <row r="17" spans="1:9" x14ac:dyDescent="0.35">
      <c r="A17" s="49"/>
      <c r="B17" s="50"/>
      <c r="C17" s="44"/>
      <c r="D17" s="44"/>
      <c r="E17" s="44"/>
      <c r="F17" s="43"/>
      <c r="G17" s="34"/>
      <c r="H17" s="37"/>
      <c r="I17" s="37"/>
    </row>
    <row r="18" spans="1:9" x14ac:dyDescent="0.35">
      <c r="A18" s="49"/>
      <c r="B18" s="50"/>
      <c r="C18" s="44"/>
      <c r="D18" s="44"/>
      <c r="E18" s="44"/>
      <c r="F18" s="43"/>
      <c r="G18" s="34"/>
      <c r="H18" s="37"/>
      <c r="I18" s="37"/>
    </row>
    <row r="19" spans="1:9" x14ac:dyDescent="0.35">
      <c r="A19" s="49"/>
      <c r="B19" s="50"/>
      <c r="C19" s="44"/>
      <c r="D19" s="44"/>
      <c r="E19" s="44"/>
      <c r="F19" s="43"/>
      <c r="G19" s="34"/>
      <c r="H19" s="37"/>
      <c r="I19" s="37"/>
    </row>
    <row r="20" spans="1:9" x14ac:dyDescent="0.35">
      <c r="A20" s="49"/>
      <c r="B20" s="50"/>
      <c r="C20" s="44"/>
      <c r="D20" s="44"/>
      <c r="E20" s="44"/>
      <c r="F20" s="43"/>
      <c r="G20" s="34"/>
      <c r="H20" s="37"/>
      <c r="I20" s="37"/>
    </row>
    <row r="21" spans="1:9" x14ac:dyDescent="0.35">
      <c r="A21" s="49"/>
      <c r="B21" s="50"/>
      <c r="C21" s="44"/>
      <c r="D21" s="44"/>
      <c r="E21" s="44"/>
      <c r="F21" s="43"/>
      <c r="G21" s="34"/>
      <c r="H21" s="37"/>
      <c r="I21" s="37"/>
    </row>
    <row r="22" spans="1:9" x14ac:dyDescent="0.35">
      <c r="A22" s="49"/>
      <c r="B22" s="50"/>
      <c r="C22" s="44"/>
      <c r="D22" s="44"/>
      <c r="E22" s="44"/>
      <c r="F22" s="43"/>
      <c r="G22" s="34"/>
      <c r="H22" s="37"/>
      <c r="I22" s="37"/>
    </row>
    <row r="23" spans="1:9" x14ac:dyDescent="0.35">
      <c r="A23" s="49"/>
      <c r="B23" s="50"/>
      <c r="C23" s="44"/>
      <c r="D23" s="44"/>
      <c r="E23" s="44"/>
      <c r="F23" s="43"/>
      <c r="G23" s="34"/>
      <c r="H23" s="37"/>
      <c r="I23" s="37"/>
    </row>
    <row r="24" spans="1:9" x14ac:dyDescent="0.35">
      <c r="A24" s="49"/>
      <c r="B24" s="34"/>
      <c r="C24" s="44"/>
      <c r="D24" s="44"/>
      <c r="E24" s="44"/>
      <c r="F24" s="43"/>
      <c r="G24" s="34"/>
      <c r="H24" s="27"/>
      <c r="I24" s="27"/>
    </row>
    <row r="25" spans="1:9" x14ac:dyDescent="0.35">
      <c r="A25" s="49"/>
      <c r="B25" s="50"/>
      <c r="C25" s="44"/>
      <c r="D25" s="44"/>
      <c r="E25" s="44"/>
      <c r="F25" s="43"/>
      <c r="G25" s="34"/>
      <c r="H25" s="37"/>
      <c r="I25" s="37"/>
    </row>
    <row r="26" spans="1:9" x14ac:dyDescent="0.35">
      <c r="A26" s="49"/>
      <c r="B26" s="50"/>
      <c r="C26" s="44"/>
      <c r="D26" s="44"/>
      <c r="E26" s="44"/>
      <c r="F26" s="43"/>
      <c r="G26" s="34"/>
      <c r="H26" s="37"/>
      <c r="I26" s="37"/>
    </row>
    <row r="27" spans="1:9" x14ac:dyDescent="0.35">
      <c r="A27" s="49"/>
      <c r="B27" s="50"/>
      <c r="C27" s="44"/>
      <c r="D27" s="44"/>
      <c r="E27" s="44"/>
      <c r="F27" s="43"/>
      <c r="G27" s="34"/>
      <c r="H27" s="37"/>
      <c r="I27" s="37"/>
    </row>
    <row r="28" spans="1:9" x14ac:dyDescent="0.35">
      <c r="A28" s="49"/>
      <c r="B28" s="51"/>
      <c r="C28" s="44"/>
      <c r="D28" s="44"/>
      <c r="E28" s="44"/>
      <c r="F28" s="43"/>
      <c r="G28" s="34"/>
      <c r="H28" s="39"/>
      <c r="I28" s="39"/>
    </row>
    <row r="29" spans="1:9" x14ac:dyDescent="0.35">
      <c r="A29" s="49"/>
      <c r="B29" s="50"/>
      <c r="C29" s="44"/>
      <c r="D29" s="44"/>
      <c r="E29" s="44"/>
      <c r="F29" s="43"/>
      <c r="G29" s="34"/>
      <c r="H29" s="37"/>
      <c r="I29" s="37"/>
    </row>
    <row r="30" spans="1:9" x14ac:dyDescent="0.35">
      <c r="A30" s="49"/>
      <c r="B30" s="50"/>
      <c r="C30" s="44"/>
      <c r="D30" s="44"/>
      <c r="E30" s="44"/>
      <c r="F30" s="43"/>
      <c r="G30" s="34"/>
      <c r="H30" s="37"/>
      <c r="I30" s="37"/>
    </row>
    <row r="31" spans="1:9" x14ac:dyDescent="0.35">
      <c r="A31" s="49"/>
      <c r="B31" s="50"/>
      <c r="C31" s="44"/>
      <c r="D31" s="44"/>
      <c r="E31" s="44"/>
      <c r="F31" s="43"/>
      <c r="G31" s="34"/>
      <c r="H31" s="27"/>
      <c r="I31" s="27"/>
    </row>
    <row r="32" spans="1:9" x14ac:dyDescent="0.35">
      <c r="A32" s="49"/>
      <c r="B32" s="50"/>
      <c r="C32" s="44"/>
      <c r="D32" s="44"/>
      <c r="E32" s="44"/>
      <c r="F32" s="43"/>
      <c r="G32" s="34"/>
      <c r="H32" s="37"/>
      <c r="I32" s="37"/>
    </row>
    <row r="33" spans="1:9" x14ac:dyDescent="0.35">
      <c r="A33" s="49"/>
      <c r="B33" s="50"/>
      <c r="C33" s="44"/>
      <c r="D33" s="44"/>
      <c r="E33" s="44"/>
      <c r="F33" s="43"/>
      <c r="G33" s="34"/>
      <c r="H33" s="37"/>
      <c r="I33" s="37"/>
    </row>
    <row r="34" spans="1:9" x14ac:dyDescent="0.35">
      <c r="A34" s="49"/>
      <c r="B34" s="50"/>
      <c r="C34" s="44"/>
      <c r="D34" s="44"/>
      <c r="E34" s="44"/>
      <c r="F34" s="43"/>
      <c r="G34" s="34"/>
      <c r="H34" s="37"/>
      <c r="I34" s="37"/>
    </row>
    <row r="35" spans="1:9" x14ac:dyDescent="0.35">
      <c r="A35" s="49"/>
      <c r="B35" s="50"/>
      <c r="C35" s="44"/>
      <c r="D35" s="44"/>
      <c r="E35" s="44"/>
      <c r="F35" s="43"/>
      <c r="G35" s="34"/>
      <c r="H35" s="37"/>
      <c r="I35" s="37"/>
    </row>
    <row r="36" spans="1:9" x14ac:dyDescent="0.35">
      <c r="A36" s="49"/>
      <c r="B36" s="50"/>
      <c r="C36" s="44"/>
      <c r="D36" s="44"/>
      <c r="E36" s="44"/>
      <c r="F36" s="43"/>
      <c r="G36" s="34"/>
      <c r="H36" s="37"/>
      <c r="I36" s="37"/>
    </row>
    <row r="37" spans="1:9" x14ac:dyDescent="0.35">
      <c r="A37" s="49"/>
      <c r="B37" s="50"/>
      <c r="C37" s="44"/>
      <c r="D37" s="44"/>
      <c r="E37" s="44"/>
      <c r="F37" s="43"/>
      <c r="G37" s="34"/>
      <c r="H37" s="27"/>
      <c r="I37" s="27"/>
    </row>
    <row r="38" spans="1:9" x14ac:dyDescent="0.35">
      <c r="A38" s="49"/>
      <c r="B38" s="50"/>
      <c r="C38" s="44"/>
      <c r="D38" s="44"/>
      <c r="E38" s="44"/>
      <c r="F38" s="43"/>
      <c r="G38" s="34"/>
      <c r="H38" s="27"/>
      <c r="I38" s="27"/>
    </row>
    <row r="39" spans="1:9" x14ac:dyDescent="0.35">
      <c r="A39" s="49"/>
      <c r="B39" s="44"/>
      <c r="C39" s="44"/>
      <c r="D39" s="44"/>
      <c r="E39" s="44"/>
      <c r="F39" s="43"/>
      <c r="G39" s="34"/>
      <c r="H39" s="27"/>
      <c r="I39" s="27"/>
    </row>
    <row r="40" spans="1:9" x14ac:dyDescent="0.35">
      <c r="A40" s="49"/>
      <c r="B40" s="44"/>
      <c r="C40" s="44"/>
      <c r="D40" s="44"/>
      <c r="E40" s="44"/>
      <c r="F40" s="43"/>
      <c r="G40" s="34"/>
      <c r="H40" s="27"/>
      <c r="I40" s="27"/>
    </row>
  </sheetData>
  <protectedRanges>
    <protectedRange sqref="H4 F5:F40" name="Amount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B565B05-52DA-423E-961C-25CCDD834368}">
          <x14:formula1>
            <xm:f>'Lookup Values'!$A$2:$A$39</xm:f>
          </x14:formula1>
          <xm:sqref>H37:H38</xm:sqref>
        </x14:dataValidation>
        <x14:dataValidation type="list" allowBlank="1" showInputMessage="1" showErrorMessage="1" xr:uid="{6603A701-38FD-44F9-A03D-D1432B7EE53A}">
          <x14:formula1>
            <xm:f>'Lookup Values'!$A$2:$A$9</xm:f>
          </x14:formula1>
          <xm:sqref>H39:H40 H5:H36 J4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B9CA0-4525-48E5-A38F-62B75AD4F3FF}">
  <sheetPr codeName="Sheet9"/>
  <dimension ref="A1:G513"/>
  <sheetViews>
    <sheetView workbookViewId="0">
      <selection activeCell="B19" sqref="B19"/>
    </sheetView>
  </sheetViews>
  <sheetFormatPr defaultColWidth="9.1796875" defaultRowHeight="14.5" x14ac:dyDescent="0.35"/>
  <cols>
    <col min="1" max="1" width="14.1796875" customWidth="1"/>
    <col min="2" max="2" width="18.54296875" bestFit="1" customWidth="1"/>
    <col min="3" max="3" width="16.7265625" customWidth="1"/>
    <col min="4" max="4" width="19.54296875" style="2" customWidth="1"/>
    <col min="5" max="5" width="46.26953125" customWidth="1"/>
    <col min="6" max="6" width="47.1796875" bestFit="1" customWidth="1"/>
    <col min="7" max="7" width="3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x14ac:dyDescent="0.35">
      <c r="A3" s="6" t="s">
        <v>28</v>
      </c>
      <c r="B3" s="7" t="s">
        <v>238</v>
      </c>
    </row>
    <row r="4" spans="1:7" x14ac:dyDescent="0.35">
      <c r="A4" s="8" t="s">
        <v>29</v>
      </c>
      <c r="B4" s="9">
        <v>44439</v>
      </c>
      <c r="C4" s="5"/>
    </row>
    <row r="5" spans="1:7" ht="15" thickBot="1" x14ac:dyDescent="0.4">
      <c r="A5" s="10" t="s">
        <v>30</v>
      </c>
      <c r="B5" s="11" t="s">
        <v>213</v>
      </c>
      <c r="C5" s="15"/>
    </row>
    <row r="8" spans="1:7" x14ac:dyDescent="0.3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35">
      <c r="A9" t="s">
        <v>6</v>
      </c>
      <c r="B9" s="12" t="s">
        <v>7</v>
      </c>
      <c r="C9" s="12">
        <f>IF(Table24254[[#This Row],[Journal Description (Service Description)]]="","",1)</f>
        <v>1</v>
      </c>
      <c r="D9" s="3" t="e">
        <f>-SUM(D10:D23,'Parks Journal input August 2021'!F4:F14)</f>
        <v>#N/A</v>
      </c>
      <c r="E9" s="1" t="s">
        <v>12</v>
      </c>
      <c r="F9" s="1" t="s">
        <v>13</v>
      </c>
      <c r="G9" s="13" t="str">
        <f>TEXT(B4,"mmm-yy")</f>
        <v>Aug-21</v>
      </c>
    </row>
    <row r="10" spans="1:7" x14ac:dyDescent="0.35">
      <c r="A10" t="s">
        <v>23</v>
      </c>
      <c r="B10" t="s">
        <v>206</v>
      </c>
      <c r="C10" s="27">
        <v>1</v>
      </c>
      <c r="D10" s="2">
        <f>IF(Table24254[[#This Row],[Journal Description (Service Description)]]="","",VLOOKUP(Table24254[[#This Row],[Journal Description (Service Description)]],'Lookup Values'!$A:$B,2,FALSE))</f>
        <v>39</v>
      </c>
      <c r="E10" s="27" t="s">
        <v>63</v>
      </c>
      <c r="F10" s="27" t="s">
        <v>36</v>
      </c>
      <c r="G10" s="27" t="s">
        <v>224</v>
      </c>
    </row>
    <row r="11" spans="1:7" x14ac:dyDescent="0.35">
      <c r="A11" t="s">
        <v>23</v>
      </c>
      <c r="B11" t="s">
        <v>206</v>
      </c>
      <c r="C11" s="27">
        <v>1</v>
      </c>
      <c r="D11" s="2">
        <f>IF(Table24254[[#This Row],[Journal Description (Service Description)]]="","",VLOOKUP(Table24254[[#This Row],[Journal Description (Service Description)]],'Lookup Values'!$A:$B,2,FALSE))</f>
        <v>39</v>
      </c>
      <c r="E11" s="27" t="s">
        <v>63</v>
      </c>
      <c r="F11" s="27" t="s">
        <v>36</v>
      </c>
      <c r="G11" s="27" t="s">
        <v>225</v>
      </c>
    </row>
    <row r="12" spans="1:7" x14ac:dyDescent="0.35">
      <c r="A12" t="s">
        <v>23</v>
      </c>
      <c r="B12" t="s">
        <v>206</v>
      </c>
      <c r="C12" s="27">
        <v>1</v>
      </c>
      <c r="D12" s="2">
        <f>IF(Table24254[[#This Row],[Journal Description (Service Description)]]="","",VLOOKUP(Table24254[[#This Row],[Journal Description (Service Description)]],'Lookup Values'!$A:$B,2,FALSE))</f>
        <v>39</v>
      </c>
      <c r="E12" s="27" t="s">
        <v>63</v>
      </c>
      <c r="F12" s="27" t="s">
        <v>36</v>
      </c>
      <c r="G12" s="27" t="s">
        <v>226</v>
      </c>
    </row>
    <row r="13" spans="1:7" x14ac:dyDescent="0.35">
      <c r="A13" t="s">
        <v>6</v>
      </c>
      <c r="B13" t="s">
        <v>237</v>
      </c>
      <c r="C13" s="27">
        <v>1</v>
      </c>
      <c r="D13" s="2" t="e">
        <f>IF(Table24254[[#This Row],[Journal Description (Service Description)]]="","",VLOOKUP(Table24254[[#This Row],[Journal Description (Service Description)]],'Lookup Values'!$A:$B,2,FALSE))</f>
        <v>#N/A</v>
      </c>
      <c r="E13" s="27" t="s">
        <v>47</v>
      </c>
      <c r="F13" s="27" t="s">
        <v>90</v>
      </c>
      <c r="G13" s="27" t="s">
        <v>172</v>
      </c>
    </row>
    <row r="14" spans="1:7" x14ac:dyDescent="0.35">
      <c r="A14" t="s">
        <v>6</v>
      </c>
      <c r="B14" t="s">
        <v>237</v>
      </c>
      <c r="C14" s="27">
        <v>1</v>
      </c>
      <c r="D14" s="2">
        <f>IF(Table24254[[#This Row],[Journal Description (Service Description)]]="","",VLOOKUP(Table24254[[#This Row],[Journal Description (Service Description)]],'Lookup Values'!$A:$B,2,FALSE))</f>
        <v>26</v>
      </c>
      <c r="E14" s="27" t="s">
        <v>47</v>
      </c>
      <c r="F14" s="27" t="s">
        <v>35</v>
      </c>
      <c r="G14" s="27" t="s">
        <v>227</v>
      </c>
    </row>
    <row r="15" spans="1:7" x14ac:dyDescent="0.35">
      <c r="A15" t="s">
        <v>6</v>
      </c>
      <c r="B15" t="s">
        <v>237</v>
      </c>
      <c r="C15" s="27">
        <v>1</v>
      </c>
      <c r="D15" s="2">
        <f>IF(Table24254[[#This Row],[Journal Description (Service Description)]]="","",VLOOKUP(Table24254[[#This Row],[Journal Description (Service Description)]],'Lookup Values'!$A:$B,2,FALSE))</f>
        <v>58</v>
      </c>
      <c r="E15" s="27" t="s">
        <v>47</v>
      </c>
      <c r="F15" s="27" t="s">
        <v>34</v>
      </c>
      <c r="G15" s="27" t="s">
        <v>228</v>
      </c>
    </row>
    <row r="16" spans="1:7" x14ac:dyDescent="0.35">
      <c r="A16" t="s">
        <v>23</v>
      </c>
      <c r="B16" t="str">
        <f>IF(Table24254[[#This Row],[Branch Name]]="","",(_xlfn.XLOOKUP(Table24254[[#This Row],[Branch Name]],'Lookup Values'!G:G,'Lookup Values'!I:I,0)))</f>
        <v>100009-200-7B213</v>
      </c>
      <c r="C16" s="27">
        <v>1</v>
      </c>
      <c r="D16" s="2">
        <f>IF(Table24254[[#This Row],[Journal Description (Service Description)]]="","",VLOOKUP(Table24254[[#This Row],[Journal Description (Service Description)]],'Lookup Values'!$A:$B,2,FALSE))</f>
        <v>58</v>
      </c>
      <c r="E16" s="27" t="s">
        <v>62</v>
      </c>
      <c r="F16" s="27" t="s">
        <v>34</v>
      </c>
      <c r="G16" s="27" t="s">
        <v>229</v>
      </c>
    </row>
    <row r="17" spans="1:7" x14ac:dyDescent="0.35">
      <c r="A17" t="s">
        <v>23</v>
      </c>
      <c r="B17" t="s">
        <v>24</v>
      </c>
      <c r="C17" s="27">
        <v>1</v>
      </c>
      <c r="D17" s="2">
        <f>IF(Table24254[[#This Row],[Journal Description (Service Description)]]="","",VLOOKUP(Table24254[[#This Row],[Journal Description (Service Description)]],'Lookup Values'!$A:$B,2,FALSE))</f>
        <v>58</v>
      </c>
      <c r="E17" s="27" t="s">
        <v>64</v>
      </c>
      <c r="F17" s="27" t="s">
        <v>34</v>
      </c>
      <c r="G17" s="27" t="s">
        <v>230</v>
      </c>
    </row>
    <row r="18" spans="1:7" x14ac:dyDescent="0.35">
      <c r="A18" t="s">
        <v>23</v>
      </c>
      <c r="B18" t="s">
        <v>206</v>
      </c>
      <c r="C18" s="27">
        <v>1</v>
      </c>
      <c r="D18" s="2">
        <f>IF(Table24254[[#This Row],[Journal Description (Service Description)]]="","",VLOOKUP(Table24254[[#This Row],[Journal Description (Service Description)]],'Lookup Values'!$A:$B,2,FALSE))</f>
        <v>82</v>
      </c>
      <c r="E18" s="27" t="s">
        <v>63</v>
      </c>
      <c r="F18" s="27" t="s">
        <v>33</v>
      </c>
      <c r="G18" s="27" t="s">
        <v>225</v>
      </c>
    </row>
    <row r="19" spans="1:7" x14ac:dyDescent="0.35">
      <c r="A19" t="s">
        <v>23</v>
      </c>
      <c r="B19" t="s">
        <v>206</v>
      </c>
      <c r="C19" s="27">
        <v>1</v>
      </c>
      <c r="D19" s="2">
        <f>IF(Table24254[[#This Row],[Journal Description (Service Description)]]="","",VLOOKUP(Table24254[[#This Row],[Journal Description (Service Description)]],'Lookup Values'!$A:$B,2,FALSE))</f>
        <v>82</v>
      </c>
      <c r="E19" s="27" t="s">
        <v>63</v>
      </c>
      <c r="F19" s="27" t="s">
        <v>33</v>
      </c>
      <c r="G19" s="27" t="s">
        <v>224</v>
      </c>
    </row>
    <row r="20" spans="1:7" x14ac:dyDescent="0.35">
      <c r="A20" t="s">
        <v>6</v>
      </c>
      <c r="B20" t="s">
        <v>142</v>
      </c>
      <c r="C20" s="27">
        <v>1</v>
      </c>
      <c r="D20" s="2">
        <f>IF(Table24254[[#This Row],[Journal Description (Service Description)]]="","",VLOOKUP(Table24254[[#This Row],[Journal Description (Service Description)]],'Lookup Values'!$A:$B,2,FALSE))</f>
        <v>82</v>
      </c>
      <c r="E20" s="27" t="s">
        <v>44</v>
      </c>
      <c r="F20" s="27" t="s">
        <v>33</v>
      </c>
      <c r="G20" s="27" t="s">
        <v>234</v>
      </c>
    </row>
    <row r="21" spans="1:7" x14ac:dyDescent="0.35">
      <c r="A21" t="s">
        <v>23</v>
      </c>
      <c r="B21" t="s">
        <v>206</v>
      </c>
      <c r="C21" s="27">
        <v>1</v>
      </c>
      <c r="D21" s="2">
        <f>IF(Table24254[[#This Row],[Journal Description (Service Description)]]="","",VLOOKUP(Table24254[[#This Row],[Journal Description (Service Description)]],'Lookup Values'!$A:$B,2,FALSE))</f>
        <v>82</v>
      </c>
      <c r="E21" s="27" t="s">
        <v>63</v>
      </c>
      <c r="F21" s="27" t="s">
        <v>33</v>
      </c>
      <c r="G21" s="27" t="s">
        <v>224</v>
      </c>
    </row>
    <row r="22" spans="1:7" x14ac:dyDescent="0.35">
      <c r="A22" t="s">
        <v>6</v>
      </c>
      <c r="B22" t="s">
        <v>237</v>
      </c>
      <c r="C22" s="27">
        <v>1</v>
      </c>
      <c r="D22" s="2">
        <f>IF(Table24254[[#This Row],[Journal Description (Service Description)]]="","",VLOOKUP(Table24254[[#This Row],[Journal Description (Service Description)]],'Lookup Values'!$A:$B,2,FALSE))</f>
        <v>82</v>
      </c>
      <c r="E22" s="27" t="s">
        <v>47</v>
      </c>
      <c r="F22" s="27" t="s">
        <v>33</v>
      </c>
      <c r="G22" s="27" t="s">
        <v>236</v>
      </c>
    </row>
    <row r="23" spans="1:7" x14ac:dyDescent="0.35">
      <c r="A23" t="s">
        <v>23</v>
      </c>
      <c r="B23" t="str">
        <f>IF(Table24254[[#This Row],[Branch Name]]="","",(_xlfn.XLOOKUP(Table24254[[#This Row],[Branch Name]],'Lookup Values'!G:G,'Lookup Values'!I:I,0)))</f>
        <v>100009-200-7B213</v>
      </c>
      <c r="C23" s="27">
        <v>1</v>
      </c>
      <c r="D23" s="2">
        <f>IF(Table24254[[#This Row],[Journal Description (Service Description)]]="","",VLOOKUP(Table24254[[#This Row],[Journal Description (Service Description)]],'Lookup Values'!$A:$B,2,FALSE))</f>
        <v>82</v>
      </c>
      <c r="E23" s="27" t="s">
        <v>62</v>
      </c>
      <c r="F23" s="27" t="s">
        <v>33</v>
      </c>
      <c r="G23" s="27" t="s">
        <v>229</v>
      </c>
    </row>
    <row r="28" spans="1:7" x14ac:dyDescent="0.35">
      <c r="B28" t="str">
        <f>IF(Table24254[[#This Row],[Branch Name]]="","",(_xlfn.XLOOKUP(Table24254[[#This Row],[Branch Name]],'Lookup Values'!G:G,'Lookup Values'!I:I,0)))</f>
        <v/>
      </c>
      <c r="C28" s="27"/>
      <c r="D28" s="2" t="str">
        <f>IF(Table24254[[#This Row],[Journal Description (Service Description)]]="","",VLOOKUP(Table24254[[#This Row],[Journal Description (Service Description)]],'Lookup Values'!$A:$B,2,FALSE))</f>
        <v/>
      </c>
      <c r="E28" s="27"/>
      <c r="F28" s="27"/>
      <c r="G28" s="27"/>
    </row>
    <row r="29" spans="1:7" x14ac:dyDescent="0.35">
      <c r="B29" t="str">
        <f>IF(Table24254[[#This Row],[Branch Name]]="","",(_xlfn.XLOOKUP(Table24254[[#This Row],[Branch Name]],'Lookup Values'!G:G,'Lookup Values'!I:I,0)))</f>
        <v/>
      </c>
      <c r="C29" s="27"/>
      <c r="D29" s="2" t="str">
        <f>IF(Table24254[[#This Row],[Journal Description (Service Description)]]="","",VLOOKUP(Table24254[[#This Row],[Journal Description (Service Description)]],'Lookup Values'!$A:$B,2,FALSE))</f>
        <v/>
      </c>
      <c r="E29" s="27"/>
      <c r="F29" s="27"/>
      <c r="G29" s="27"/>
    </row>
    <row r="30" spans="1:7" x14ac:dyDescent="0.35">
      <c r="B30" t="str">
        <f>IF(Table24254[[#This Row],[Branch Name]]="","",(_xlfn.XLOOKUP(Table24254[[#This Row],[Branch Name]],'Lookup Values'!G:G,'Lookup Values'!I:I,0)))</f>
        <v/>
      </c>
      <c r="C30" s="27"/>
      <c r="D30" s="2" t="str">
        <f>IF(Table24254[[#This Row],[Journal Description (Service Description)]]="","",VLOOKUP(Table24254[[#This Row],[Journal Description (Service Description)]],'Lookup Values'!$A:$B,2,FALSE))</f>
        <v/>
      </c>
      <c r="E30" s="27"/>
      <c r="F30" s="27"/>
      <c r="G30" s="27"/>
    </row>
    <row r="31" spans="1:7" x14ac:dyDescent="0.35">
      <c r="B31" t="str">
        <f>IF(Table24254[[#This Row],[Branch Name]]="","",(_xlfn.XLOOKUP(Table24254[[#This Row],[Branch Name]],'Lookup Values'!G:G,'Lookup Values'!I:I,0)))</f>
        <v/>
      </c>
      <c r="C31" s="27"/>
      <c r="D31" s="2" t="str">
        <f>IF(Table24254[[#This Row],[Journal Description (Service Description)]]="","",VLOOKUP(Table24254[[#This Row],[Journal Description (Service Description)]],'Lookup Values'!$A:$B,2,FALSE))</f>
        <v/>
      </c>
      <c r="E31" s="27"/>
      <c r="F31" s="27"/>
      <c r="G31" s="27"/>
    </row>
    <row r="32" spans="1:7" x14ac:dyDescent="0.35">
      <c r="B32" t="str">
        <f>IF(Table24254[[#This Row],[Branch Name]]="","",(_xlfn.XLOOKUP(Table24254[[#This Row],[Branch Name]],'Lookup Values'!G:G,'Lookup Values'!I:I,0)))</f>
        <v/>
      </c>
      <c r="C32" s="27"/>
      <c r="D32" s="2" t="str">
        <f>IF(Table24254[[#This Row],[Journal Description (Service Description)]]="","",VLOOKUP(Table24254[[#This Row],[Journal Description (Service Description)]],'Lookup Values'!$A:$B,2,FALSE))</f>
        <v/>
      </c>
      <c r="E32" s="27"/>
      <c r="F32" s="27"/>
      <c r="G32" s="27"/>
    </row>
    <row r="33" spans="1:7" x14ac:dyDescent="0.35">
      <c r="B33" t="str">
        <f>IF(Table24254[[#This Row],[Branch Name]]="","",(_xlfn.XLOOKUP(Table24254[[#This Row],[Branch Name]],'Lookup Values'!G:G,'Lookup Values'!I:I,0)))</f>
        <v/>
      </c>
      <c r="C33" s="27"/>
      <c r="D33" s="2" t="str">
        <f>IF(Table24254[[#This Row],[Journal Description (Service Description)]]="","",VLOOKUP(Table24254[[#This Row],[Journal Description (Service Description)]],'Lookup Values'!$A:$B,2,FALSE))</f>
        <v/>
      </c>
      <c r="E33" s="27"/>
      <c r="F33" s="27"/>
      <c r="G33" s="27"/>
    </row>
    <row r="34" spans="1:7" x14ac:dyDescent="0.35">
      <c r="B34" t="str">
        <f>IF(Table24254[[#This Row],[Branch Name]]="","",(_xlfn.XLOOKUP(Table24254[[#This Row],[Branch Name]],'Lookup Values'!G:G,'Lookup Values'!I:I,0)))</f>
        <v/>
      </c>
      <c r="C34" s="27"/>
      <c r="D34" s="2" t="str">
        <f>IF(Table24254[[#This Row],[Journal Description (Service Description)]]="","",VLOOKUP(Table24254[[#This Row],[Journal Description (Service Description)]],'Lookup Values'!$A:$B,2,FALSE))</f>
        <v/>
      </c>
      <c r="E34" s="27"/>
      <c r="F34" s="27"/>
      <c r="G34" s="27"/>
    </row>
    <row r="35" spans="1:7" x14ac:dyDescent="0.35">
      <c r="A35" s="27"/>
      <c r="B35" t="str">
        <f>IF(Table24254[[#This Row],[Branch Name]]="","",(_xlfn.XLOOKUP(Table24254[[#This Row],[Branch Name]],'Lookup Values'!G:G,'Lookup Values'!I:I,0)))</f>
        <v/>
      </c>
      <c r="C35" s="27"/>
      <c r="D35" s="2" t="str">
        <f>IF(Table24254[[#This Row],[Journal Description (Service Description)]]="","",VLOOKUP(Table24254[[#This Row],[Journal Description (Service Description)]],'Lookup Values'!$A:$B,2,FALSE))</f>
        <v/>
      </c>
      <c r="E35" s="27"/>
      <c r="F35" s="27"/>
      <c r="G35" s="27"/>
    </row>
    <row r="36" spans="1:7" x14ac:dyDescent="0.35">
      <c r="A36" s="27"/>
      <c r="B36" t="str">
        <f>IF(Table24254[[#This Row],[Branch Name]]="","",(_xlfn.XLOOKUP(Table24254[[#This Row],[Branch Name]],'Lookup Values'!G:G,'Lookup Values'!I:I,0)))</f>
        <v/>
      </c>
      <c r="C36" s="27"/>
      <c r="D36" s="2" t="str">
        <f>IF(Table24254[[#This Row],[Journal Description (Service Description)]]="","",VLOOKUP(Table24254[[#This Row],[Journal Description (Service Description)]],'Lookup Values'!$A:$B,2,FALSE))</f>
        <v/>
      </c>
      <c r="E36" s="27"/>
      <c r="F36" s="27"/>
      <c r="G36" s="27"/>
    </row>
    <row r="37" spans="1:7" x14ac:dyDescent="0.35">
      <c r="B37" t="str">
        <f>IF(Table24254[[#This Row],[Branch Name]]="","",(_xlfn.XLOOKUP(Table24254[[#This Row],[Branch Name]],'Lookup Values'!G:G,'Lookup Values'!I:I,0)))</f>
        <v/>
      </c>
      <c r="C37" s="27"/>
      <c r="D37" s="2" t="str">
        <f>IF(Table24254[[#This Row],[Journal Description (Service Description)]]="","",VLOOKUP(Table24254[[#This Row],[Journal Description (Service Description)]],'Lookup Values'!$A:$B,2,FALSE))</f>
        <v/>
      </c>
      <c r="E37" s="27"/>
      <c r="F37" s="27"/>
      <c r="G37" s="27"/>
    </row>
    <row r="38" spans="1:7" x14ac:dyDescent="0.35">
      <c r="B38" t="str">
        <f>IF(Table24254[[#This Row],[Branch Name]]="","",(_xlfn.XLOOKUP(Table24254[[#This Row],[Branch Name]],'Lookup Values'!G:G,'Lookup Values'!I:I,0)))</f>
        <v/>
      </c>
      <c r="C38" s="27"/>
      <c r="D38" s="2" t="str">
        <f>IF(Table24254[[#This Row],[Journal Description (Service Description)]]="","",VLOOKUP(Table24254[[#This Row],[Journal Description (Service Description)]],'Lookup Values'!$A:$B,2,FALSE))</f>
        <v/>
      </c>
      <c r="E38" s="27"/>
      <c r="F38" s="27"/>
      <c r="G38" s="27"/>
    </row>
    <row r="39" spans="1:7" x14ac:dyDescent="0.35">
      <c r="B39" t="str">
        <f>IF(Table24254[[#This Row],[Branch Name]]="","",(_xlfn.XLOOKUP(Table24254[[#This Row],[Branch Name]],'Lookup Values'!G:G,'Lookup Values'!I:I,0)))</f>
        <v/>
      </c>
      <c r="C39" s="27"/>
      <c r="D39" s="2" t="str">
        <f>IF(Table24254[[#This Row],[Journal Description (Service Description)]]="","",VLOOKUP(Table24254[[#This Row],[Journal Description (Service Description)]],'Lookup Values'!$A:$B,2,FALSE))</f>
        <v/>
      </c>
      <c r="E39" s="27"/>
      <c r="F39" s="27"/>
      <c r="G39" s="27"/>
    </row>
    <row r="40" spans="1:7" x14ac:dyDescent="0.35">
      <c r="B40" t="str">
        <f>IF(Table24254[[#This Row],[Branch Name]]="","",(_xlfn.XLOOKUP(Table24254[[#This Row],[Branch Name]],'Lookup Values'!G:G,'Lookup Values'!I:I,0)))</f>
        <v/>
      </c>
      <c r="C40" s="27"/>
      <c r="D40" s="2" t="str">
        <f>IF(Table24254[[#This Row],[Journal Description (Service Description)]]="","",VLOOKUP(Table24254[[#This Row],[Journal Description (Service Description)]],'Lookup Values'!$A:$B,2,FALSE))</f>
        <v/>
      </c>
      <c r="E40" s="27"/>
      <c r="F40" s="27"/>
      <c r="G40" s="27"/>
    </row>
    <row r="41" spans="1:7" x14ac:dyDescent="0.35">
      <c r="B41" t="str">
        <f>IF(Table24254[[#This Row],[Branch Name]]="","",(_xlfn.XLOOKUP(Table24254[[#This Row],[Branch Name]],'Lookup Values'!G:G,'Lookup Values'!I:I,0)))</f>
        <v/>
      </c>
      <c r="C41" s="27"/>
      <c r="D41" s="2" t="str">
        <f>IF(Table24254[[#This Row],[Journal Description (Service Description)]]="","",VLOOKUP(Table24254[[#This Row],[Journal Description (Service Description)]],'Lookup Values'!$A:$B,2,FALSE))</f>
        <v/>
      </c>
      <c r="E41" s="27"/>
      <c r="F41" s="27"/>
      <c r="G41" s="27"/>
    </row>
    <row r="42" spans="1:7" x14ac:dyDescent="0.35">
      <c r="B42" t="str">
        <f>IF(Table24254[[#This Row],[Branch Name]]="","",(_xlfn.XLOOKUP(Table24254[[#This Row],[Branch Name]],'Lookup Values'!G:G,'Lookup Values'!I:I,0)))</f>
        <v/>
      </c>
      <c r="C42" s="27"/>
      <c r="D42" s="2" t="str">
        <f>IF(Table24254[[#This Row],[Journal Description (Service Description)]]="","",VLOOKUP(Table24254[[#This Row],[Journal Description (Service Description)]],'Lookup Values'!$A:$B,2,FALSE))</f>
        <v/>
      </c>
      <c r="E42" s="27"/>
      <c r="F42" s="27"/>
      <c r="G42" s="27"/>
    </row>
    <row r="43" spans="1:7" x14ac:dyDescent="0.35">
      <c r="B43" t="str">
        <f>IF(Table24254[[#This Row],[Branch Name]]="","",(_xlfn.XLOOKUP(Table24254[[#This Row],[Branch Name]],'Lookup Values'!G:G,'Lookup Values'!I:I,0)))</f>
        <v/>
      </c>
      <c r="C43" s="27"/>
      <c r="D43" s="2" t="str">
        <f>IF(Table24254[[#This Row],[Journal Description (Service Description)]]="","",VLOOKUP(Table24254[[#This Row],[Journal Description (Service Description)]],'Lookup Values'!$A:$B,2,FALSE))</f>
        <v/>
      </c>
      <c r="E43" s="27"/>
      <c r="F43" s="27"/>
      <c r="G43" s="27"/>
    </row>
    <row r="44" spans="1:7" x14ac:dyDescent="0.35">
      <c r="B44" t="str">
        <f>IF(Table24254[[#This Row],[Branch Name]]="","",(_xlfn.XLOOKUP(Table24254[[#This Row],[Branch Name]],'Lookup Values'!G:G,'Lookup Values'!I:I,0)))</f>
        <v/>
      </c>
      <c r="C44" s="27"/>
      <c r="D44" s="2" t="str">
        <f>IF(Table24254[[#This Row],[Journal Description (Service Description)]]="","",VLOOKUP(Table24254[[#This Row],[Journal Description (Service Description)]],'Lookup Values'!$A:$B,2,FALSE))</f>
        <v/>
      </c>
      <c r="E44" s="27"/>
      <c r="F44" s="27"/>
      <c r="G44" s="27"/>
    </row>
    <row r="45" spans="1:7" x14ac:dyDescent="0.35">
      <c r="B45" t="str">
        <f>IF(Table24254[[#This Row],[Branch Name]]="","",(_xlfn.XLOOKUP(Table24254[[#This Row],[Branch Name]],'Lookup Values'!G:G,'Lookup Values'!I:I,0)))</f>
        <v/>
      </c>
      <c r="C45" s="27"/>
      <c r="D45" s="2" t="str">
        <f>IF(Table24254[[#This Row],[Journal Description (Service Description)]]="","",VLOOKUP(Table24254[[#This Row],[Journal Description (Service Description)]],'Lookup Values'!$A:$B,2,FALSE))</f>
        <v/>
      </c>
      <c r="E45" s="27"/>
      <c r="F45" s="27"/>
      <c r="G45" s="27"/>
    </row>
    <row r="46" spans="1:7" x14ac:dyDescent="0.35">
      <c r="B46" t="str">
        <f>IF(Table24254[[#This Row],[Branch Name]]="","",(_xlfn.XLOOKUP(Table24254[[#This Row],[Branch Name]],'Lookup Values'!G:G,'Lookup Values'!I:I,0)))</f>
        <v/>
      </c>
      <c r="C46" s="27"/>
      <c r="D46" s="2" t="str">
        <f>IF(Table24254[[#This Row],[Journal Description (Service Description)]]="","",VLOOKUP(Table24254[[#This Row],[Journal Description (Service Description)]],'Lookup Values'!$A:$B,2,FALSE))</f>
        <v/>
      </c>
      <c r="E46" s="27"/>
      <c r="F46" s="27"/>
      <c r="G46" s="27"/>
    </row>
    <row r="47" spans="1:7" x14ac:dyDescent="0.35">
      <c r="B47" t="str">
        <f>IF(Table24254[[#This Row],[Branch Name]]="","",(_xlfn.XLOOKUP(Table24254[[#This Row],[Branch Name]],'Lookup Values'!G:G,'Lookup Values'!I:I,0)))</f>
        <v/>
      </c>
      <c r="C47" s="27"/>
      <c r="D47" s="2" t="str">
        <f>IF(Table24254[[#This Row],[Journal Description (Service Description)]]="","",VLOOKUP(Table24254[[#This Row],[Journal Description (Service Description)]],'Lookup Values'!$A:$B,2,FALSE))</f>
        <v/>
      </c>
      <c r="E47" s="27"/>
      <c r="F47" s="27"/>
      <c r="G47" s="27"/>
    </row>
    <row r="48" spans="1:7" x14ac:dyDescent="0.35">
      <c r="B48" t="str">
        <f>IF(Table24254[[#This Row],[Branch Name]]="","",(_xlfn.XLOOKUP(Table24254[[#This Row],[Branch Name]],'Lookup Values'!G:G,'Lookup Values'!I:I,0)))</f>
        <v/>
      </c>
      <c r="C48" s="27"/>
      <c r="D48" s="2" t="str">
        <f>IF(Table24254[[#This Row],[Journal Description (Service Description)]]="","",VLOOKUP(Table24254[[#This Row],[Journal Description (Service Description)]],'Lookup Values'!$A:$B,2,FALSE))</f>
        <v/>
      </c>
      <c r="E48" s="27"/>
      <c r="F48" s="27"/>
      <c r="G48" s="27"/>
    </row>
    <row r="49" spans="1:7" x14ac:dyDescent="0.35">
      <c r="B49" t="str">
        <f>IF(Table24254[[#This Row],[Branch Name]]="","",(_xlfn.XLOOKUP(Table24254[[#This Row],[Branch Name]],'Lookup Values'!G:G,'Lookup Values'!I:I,0)))</f>
        <v/>
      </c>
      <c r="C49" s="27"/>
      <c r="D49" s="2" t="str">
        <f>IF(Table24254[[#This Row],[Journal Description (Service Description)]]="","",VLOOKUP(Table24254[[#This Row],[Journal Description (Service Description)]],'Lookup Values'!$A:$B,2,FALSE))</f>
        <v/>
      </c>
      <c r="E49" s="27"/>
      <c r="F49" s="27"/>
      <c r="G49" s="27"/>
    </row>
    <row r="50" spans="1:7" x14ac:dyDescent="0.35">
      <c r="B50" t="str">
        <f>IF(Table24254[[#This Row],[Branch Name]]="","",(_xlfn.XLOOKUP(Table24254[[#This Row],[Branch Name]],'Lookup Values'!G:G,'Lookup Values'!I:I,0)))</f>
        <v/>
      </c>
      <c r="C50" s="27"/>
      <c r="D50" s="2" t="str">
        <f>IF(Table24254[[#This Row],[Journal Description (Service Description)]]="","",VLOOKUP(Table24254[[#This Row],[Journal Description (Service Description)]],'Lookup Values'!$A:$B,2,FALSE))</f>
        <v/>
      </c>
      <c r="E50" s="27"/>
      <c r="F50" s="27"/>
      <c r="G50" s="27"/>
    </row>
    <row r="51" spans="1:7" s="27" customFormat="1" x14ac:dyDescent="0.35">
      <c r="A51"/>
      <c r="B51" t="str">
        <f>IF(Table24254[[#This Row],[Branch Name]]="","",(_xlfn.XLOOKUP(Table24254[[#This Row],[Branch Name]],'Lookup Values'!G:G,'Lookup Values'!I:I,0)))</f>
        <v/>
      </c>
      <c r="D51" s="2" t="str">
        <f>IF(Table24254[[#This Row],[Journal Description (Service Description)]]="","",VLOOKUP(Table24254[[#This Row],[Journal Description (Service Description)]],'Lookup Values'!$A:$B,2,FALSE))</f>
        <v/>
      </c>
    </row>
    <row r="52" spans="1:7" s="27" customFormat="1" x14ac:dyDescent="0.35">
      <c r="A52"/>
      <c r="B52" t="str">
        <f>IF(Table24254[[#This Row],[Branch Name]]="","",(_xlfn.XLOOKUP(Table24254[[#This Row],[Branch Name]],'Lookup Values'!G:G,'Lookup Values'!I:I,0)))</f>
        <v/>
      </c>
      <c r="D52" s="2" t="str">
        <f>IF(Table24254[[#This Row],[Journal Description (Service Description)]]="","",VLOOKUP(Table24254[[#This Row],[Journal Description (Service Description)]],'Lookup Values'!$A:$B,2,FALSE))</f>
        <v/>
      </c>
    </row>
    <row r="53" spans="1:7" x14ac:dyDescent="0.35">
      <c r="B53" t="str">
        <f>IF(Table24254[[#This Row],[Branch Name]]="","",(_xlfn.XLOOKUP(Table24254[[#This Row],[Branch Name]],'Lookup Values'!G:G,'Lookup Values'!I:I,0)))</f>
        <v/>
      </c>
      <c r="C53" s="27"/>
      <c r="D53" s="2" t="str">
        <f>IF(Table24254[[#This Row],[Journal Description (Service Description)]]="","",VLOOKUP(Table24254[[#This Row],[Journal Description (Service Description)]],'Lookup Values'!$A:$B,2,FALSE))</f>
        <v/>
      </c>
      <c r="E53" s="27"/>
      <c r="F53" s="27"/>
      <c r="G53" s="27"/>
    </row>
    <row r="54" spans="1:7" x14ac:dyDescent="0.35">
      <c r="B54" t="str">
        <f>IF(Table24254[[#This Row],[Branch Name]]="","",(_xlfn.XLOOKUP(Table24254[[#This Row],[Branch Name]],'Lookup Values'!G:G,'Lookup Values'!I:I,0)))</f>
        <v/>
      </c>
      <c r="C54" s="27"/>
      <c r="D54" s="2" t="str">
        <f>IF(Table24254[[#This Row],[Journal Description (Service Description)]]="","",VLOOKUP(Table24254[[#This Row],[Journal Description (Service Description)]],'Lookup Values'!$A:$B,2,FALSE))</f>
        <v/>
      </c>
      <c r="E54" s="27"/>
      <c r="F54" s="27"/>
      <c r="G54" s="27"/>
    </row>
    <row r="55" spans="1:7" x14ac:dyDescent="0.35">
      <c r="B55" t="str">
        <f>IF(Table24254[[#This Row],[Branch Name]]="","",(_xlfn.XLOOKUP(Table24254[[#This Row],[Branch Name]],'Lookup Values'!G:G,'Lookup Values'!I:I,0)))</f>
        <v/>
      </c>
      <c r="C55" s="27"/>
      <c r="D55" s="2" t="str">
        <f>IF(Table24254[[#This Row],[Journal Description (Service Description)]]="","",VLOOKUP(Table24254[[#This Row],[Journal Description (Service Description)]],'Lookup Values'!$A:$B,2,FALSE))</f>
        <v/>
      </c>
      <c r="E55" s="27"/>
      <c r="F55" s="27"/>
      <c r="G55" s="27"/>
    </row>
    <row r="56" spans="1:7" x14ac:dyDescent="0.35">
      <c r="B56" t="str">
        <f>IF(Table24254[[#This Row],[Branch Name]]="","",(_xlfn.XLOOKUP(Table24254[[#This Row],[Branch Name]],'Lookup Values'!G:G,'Lookup Values'!I:I,0)))</f>
        <v/>
      </c>
      <c r="C56" s="27"/>
      <c r="D56" s="2" t="str">
        <f>IF(Table24254[[#This Row],[Journal Description (Service Description)]]="","",VLOOKUP(Table24254[[#This Row],[Journal Description (Service Description)]],'Lookup Values'!$A:$B,2,FALSE))</f>
        <v/>
      </c>
      <c r="E56" s="27"/>
      <c r="F56" s="27"/>
      <c r="G56" s="27"/>
    </row>
    <row r="57" spans="1:7" x14ac:dyDescent="0.35">
      <c r="B57" t="str">
        <f>IF(Table24254[[#This Row],[Branch Name]]="","",(_xlfn.XLOOKUP(Table24254[[#This Row],[Branch Name]],'Lookup Values'!G:G,'Lookup Values'!I:I,0)))</f>
        <v/>
      </c>
      <c r="C57" s="27"/>
      <c r="D57" s="2" t="str">
        <f>IF(Table24254[[#This Row],[Journal Description (Service Description)]]="","",VLOOKUP(Table24254[[#This Row],[Journal Description (Service Description)]],'Lookup Values'!$A:$B,2,FALSE))</f>
        <v/>
      </c>
      <c r="E57" s="27"/>
      <c r="F57" s="27"/>
      <c r="G57" s="27"/>
    </row>
    <row r="58" spans="1:7" x14ac:dyDescent="0.35">
      <c r="B58" t="str">
        <f>IF(Table24254[[#This Row],[Branch Name]]="","",(_xlfn.XLOOKUP(Table24254[[#This Row],[Branch Name]],'Lookup Values'!G:G,'Lookup Values'!I:I,0)))</f>
        <v/>
      </c>
      <c r="C58" s="27"/>
      <c r="D58" s="2" t="str">
        <f>IF(Table24254[[#This Row],[Journal Description (Service Description)]]="","",VLOOKUP(Table24254[[#This Row],[Journal Description (Service Description)]],'Lookup Values'!$A:$B,2,FALSE))</f>
        <v/>
      </c>
      <c r="E58" s="27"/>
      <c r="F58" s="27"/>
      <c r="G58" s="27"/>
    </row>
    <row r="59" spans="1:7" x14ac:dyDescent="0.35">
      <c r="B59" t="str">
        <f>IF(Table24254[[#This Row],[Branch Name]]="","",(_xlfn.XLOOKUP(Table24254[[#This Row],[Branch Name]],'Lookup Values'!G:G,'Lookup Values'!I:I,0)))</f>
        <v/>
      </c>
      <c r="C59" s="27"/>
      <c r="D59" s="2" t="str">
        <f>IF(Table24254[[#This Row],[Journal Description (Service Description)]]="","",VLOOKUP(Table24254[[#This Row],[Journal Description (Service Description)]],'Lookup Values'!$A:$B,2,FALSE))</f>
        <v/>
      </c>
      <c r="E59" s="27"/>
      <c r="F59" s="27"/>
      <c r="G59" s="27"/>
    </row>
    <row r="60" spans="1:7" x14ac:dyDescent="0.35">
      <c r="A60" s="27"/>
      <c r="B60" t="str">
        <f>IF(Table24254[[#This Row],[Branch Name]]="","",(_xlfn.XLOOKUP(Table24254[[#This Row],[Branch Name]],'Lookup Values'!G:G,'Lookup Values'!I:I,0)))</f>
        <v/>
      </c>
      <c r="C60" s="27"/>
      <c r="D60" s="2" t="str">
        <f>IF(Table24254[[#This Row],[Journal Description (Service Description)]]="","",VLOOKUP(Table24254[[#This Row],[Journal Description (Service Description)]],'Lookup Values'!$A:$B,2,FALSE))</f>
        <v/>
      </c>
      <c r="E60" s="27"/>
      <c r="F60" s="27"/>
      <c r="G60" s="27"/>
    </row>
    <row r="61" spans="1:7" x14ac:dyDescent="0.35">
      <c r="A61" s="27"/>
      <c r="B61" t="str">
        <f>IF(Table24254[[#This Row],[Branch Name]]="","",(_xlfn.XLOOKUP(Table24254[[#This Row],[Branch Name]],'Lookup Values'!G:G,'Lookup Values'!I:I,0)))</f>
        <v/>
      </c>
      <c r="C61" s="27"/>
      <c r="D61" s="2" t="str">
        <f>IF(Table24254[[#This Row],[Journal Description (Service Description)]]="","",VLOOKUP(Table24254[[#This Row],[Journal Description (Service Description)]],'Lookup Values'!$A:$B,2,FALSE))</f>
        <v/>
      </c>
      <c r="E61" s="27"/>
      <c r="F61" s="27"/>
      <c r="G61" s="27"/>
    </row>
    <row r="62" spans="1:7" x14ac:dyDescent="0.35">
      <c r="A62" s="27"/>
      <c r="B62" t="str">
        <f>IF(Table24254[[#This Row],[Branch Name]]="","",(_xlfn.XLOOKUP(Table24254[[#This Row],[Branch Name]],'Lookup Values'!G:G,'Lookup Values'!I:I,0)))</f>
        <v/>
      </c>
      <c r="C62" s="27"/>
      <c r="D62" s="2" t="str">
        <f>IF(Table24254[[#This Row],[Journal Description (Service Description)]]="","",VLOOKUP(Table24254[[#This Row],[Journal Description (Service Description)]],'Lookup Values'!$A:$B,2,FALSE))</f>
        <v/>
      </c>
      <c r="E62" s="27"/>
      <c r="F62" s="27"/>
      <c r="G62" s="27"/>
    </row>
    <row r="63" spans="1:7" x14ac:dyDescent="0.35">
      <c r="A63" s="27"/>
      <c r="B63" t="str">
        <f>IF(Table24254[[#This Row],[Branch Name]]="","",(_xlfn.XLOOKUP(Table24254[[#This Row],[Branch Name]],'Lookup Values'!G:G,'Lookup Values'!I:I,0)))</f>
        <v/>
      </c>
      <c r="C63" s="27"/>
      <c r="D63" s="2" t="str">
        <f>IF(Table24254[[#This Row],[Journal Description (Service Description)]]="","",VLOOKUP(Table24254[[#This Row],[Journal Description (Service Description)]],'Lookup Values'!$A:$B,2,FALSE))</f>
        <v/>
      </c>
      <c r="E63" s="27"/>
      <c r="F63" s="27"/>
      <c r="G63" s="27"/>
    </row>
    <row r="64" spans="1:7" x14ac:dyDescent="0.35">
      <c r="A64" s="27"/>
      <c r="B64" t="str">
        <f>IF(Table24254[[#This Row],[Branch Name]]="","",(_xlfn.XLOOKUP(Table24254[[#This Row],[Branch Name]],'Lookup Values'!G:G,'Lookup Values'!I:I,0)))</f>
        <v/>
      </c>
      <c r="C64" s="27"/>
      <c r="D64" s="2" t="str">
        <f>IF(Table24254[[#This Row],[Journal Description (Service Description)]]="","",VLOOKUP(Table24254[[#This Row],[Journal Description (Service Description)]],'Lookup Values'!$A:$B,2,FALSE))</f>
        <v/>
      </c>
      <c r="E64" s="27"/>
      <c r="F64" s="27"/>
      <c r="G64" s="27"/>
    </row>
    <row r="65" spans="1:7" x14ac:dyDescent="0.35">
      <c r="A65" s="27"/>
      <c r="B65" t="str">
        <f>IF(Table24254[[#This Row],[Branch Name]]="","",(_xlfn.XLOOKUP(Table24254[[#This Row],[Branch Name]],'Lookup Values'!G:G,'Lookup Values'!I:I,0)))</f>
        <v/>
      </c>
      <c r="C65" s="27"/>
      <c r="D65" s="2" t="str">
        <f>IF(Table24254[[#This Row],[Journal Description (Service Description)]]="","",VLOOKUP(Table24254[[#This Row],[Journal Description (Service Description)]],'Lookup Values'!$A:$B,2,FALSE))</f>
        <v/>
      </c>
      <c r="E65" s="27"/>
      <c r="F65" s="27"/>
      <c r="G65" s="27"/>
    </row>
    <row r="66" spans="1:7" x14ac:dyDescent="0.35">
      <c r="A66" s="27"/>
      <c r="B66" t="str">
        <f>IF(Table24254[[#This Row],[Branch Name]]="","",(_xlfn.XLOOKUP(Table24254[[#This Row],[Branch Name]],'Lookup Values'!G:G,'Lookup Values'!I:I,0)))</f>
        <v/>
      </c>
      <c r="C66" s="27"/>
      <c r="D66" s="2" t="str">
        <f>IF(Table24254[[#This Row],[Journal Description (Service Description)]]="","",VLOOKUP(Table24254[[#This Row],[Journal Description (Service Description)]],'Lookup Values'!$A:$B,2,FALSE))</f>
        <v/>
      </c>
      <c r="E66" s="27"/>
      <c r="F66" s="27"/>
      <c r="G66" s="29"/>
    </row>
    <row r="67" spans="1:7" x14ac:dyDescent="0.35">
      <c r="A67" s="27"/>
      <c r="B67" t="str">
        <f>IF(Table24254[[#This Row],[Branch Name]]="","",(_xlfn.XLOOKUP(Table24254[[#This Row],[Branch Name]],'Lookup Values'!G:G,'Lookup Values'!I:I,0)))</f>
        <v/>
      </c>
      <c r="C67" s="27"/>
      <c r="D67" s="2" t="str">
        <f>IF(Table24254[[#This Row],[Journal Description (Service Description)]]="","",VLOOKUP(Table24254[[#This Row],[Journal Description (Service Description)]],'Lookup Values'!$A:$B,2,FALSE))</f>
        <v/>
      </c>
      <c r="E67" s="27"/>
      <c r="F67" s="27"/>
      <c r="G67" s="27"/>
    </row>
    <row r="68" spans="1:7" x14ac:dyDescent="0.35">
      <c r="A68" s="27"/>
      <c r="B68" t="str">
        <f>IF(Table24254[[#This Row],[Branch Name]]="","",(_xlfn.XLOOKUP(Table24254[[#This Row],[Branch Name]],'Lookup Values'!G:G,'Lookup Values'!I:I,0)))</f>
        <v/>
      </c>
      <c r="C68" s="27"/>
      <c r="D68" s="2" t="str">
        <f>IF(Table24254[[#This Row],[Journal Description (Service Description)]]="","",VLOOKUP(Table24254[[#This Row],[Journal Description (Service Description)]],'Lookup Values'!$A:$B,2,FALSE))</f>
        <v/>
      </c>
      <c r="E68" s="27"/>
      <c r="F68" s="27"/>
      <c r="G68" s="27"/>
    </row>
    <row r="69" spans="1:7" x14ac:dyDescent="0.35">
      <c r="A69" s="27"/>
      <c r="B69" t="str">
        <f>IF(Table24254[[#This Row],[Branch Name]]="","",(_xlfn.XLOOKUP(Table24254[[#This Row],[Branch Name]],'Lookup Values'!G:G,'Lookup Values'!I:I,0)))</f>
        <v/>
      </c>
      <c r="C69" s="27"/>
      <c r="D69" s="2" t="str">
        <f>IF(Table24254[[#This Row],[Journal Description (Service Description)]]="","",VLOOKUP(Table24254[[#This Row],[Journal Description (Service Description)]],'Lookup Values'!$A:$B,2,FALSE))</f>
        <v/>
      </c>
      <c r="E69" s="27"/>
      <c r="F69" s="27"/>
      <c r="G69" s="27"/>
    </row>
    <row r="70" spans="1:7" x14ac:dyDescent="0.35">
      <c r="A70" s="27"/>
      <c r="B70" t="str">
        <f>IF(Table24254[[#This Row],[Branch Name]]="","",(_xlfn.XLOOKUP(Table24254[[#This Row],[Branch Name]],'Lookup Values'!G:G,'Lookup Values'!I:I,0)))</f>
        <v/>
      </c>
      <c r="C70" s="27"/>
      <c r="D70" s="2" t="str">
        <f>IF(Table24254[[#This Row],[Journal Description (Service Description)]]="","",VLOOKUP(Table24254[[#This Row],[Journal Description (Service Description)]],'Lookup Values'!$A:$B,2,FALSE))</f>
        <v/>
      </c>
      <c r="E70" s="27"/>
      <c r="F70" s="27"/>
      <c r="G70" s="27"/>
    </row>
    <row r="71" spans="1:7" x14ac:dyDescent="0.35">
      <c r="A71" s="27"/>
      <c r="B71" t="str">
        <f>IF(Table24254[[#This Row],[Branch Name]]="","",(_xlfn.XLOOKUP(Table24254[[#This Row],[Branch Name]],'Lookup Values'!G:G,'Lookup Values'!I:I,0)))</f>
        <v/>
      </c>
      <c r="C71" s="27"/>
      <c r="D71" s="2" t="str">
        <f>IF(Table24254[[#This Row],[Journal Description (Service Description)]]="","",VLOOKUP(Table24254[[#This Row],[Journal Description (Service Description)]],'Lookup Values'!$A:$B,2,FALSE))</f>
        <v/>
      </c>
      <c r="E71" s="27"/>
      <c r="F71" s="27"/>
      <c r="G71" s="27"/>
    </row>
    <row r="72" spans="1:7" x14ac:dyDescent="0.35">
      <c r="A72" s="27"/>
      <c r="B72" t="str">
        <f>IF(Table24254[[#This Row],[Branch Name]]="","",(_xlfn.XLOOKUP(Table24254[[#This Row],[Branch Name]],'Lookup Values'!G:G,'Lookup Values'!I:I,0)))</f>
        <v/>
      </c>
      <c r="C72" s="27"/>
      <c r="D72" s="2" t="str">
        <f>IF(Table24254[[#This Row],[Journal Description (Service Description)]]="","",VLOOKUP(Table24254[[#This Row],[Journal Description (Service Description)]],'Lookup Values'!$A:$B,2,FALSE))</f>
        <v/>
      </c>
      <c r="E72" s="27"/>
      <c r="F72" s="27"/>
      <c r="G72" s="27"/>
    </row>
    <row r="73" spans="1:7" x14ac:dyDescent="0.35">
      <c r="A73" s="27"/>
      <c r="B73" t="str">
        <f>IF(Table24254[[#This Row],[Branch Name]]="","",(_xlfn.XLOOKUP(Table24254[[#This Row],[Branch Name]],'Lookup Values'!G:G,'Lookup Values'!I:I,0)))</f>
        <v/>
      </c>
      <c r="C73" s="27"/>
      <c r="D73" s="2" t="str">
        <f>IF(Table24254[[#This Row],[Journal Description (Service Description)]]="","",VLOOKUP(Table24254[[#This Row],[Journal Description (Service Description)]],'Lookup Values'!$A:$B,2,FALSE))</f>
        <v/>
      </c>
      <c r="E73" s="27"/>
      <c r="F73" s="27"/>
      <c r="G73" s="27"/>
    </row>
    <row r="74" spans="1:7" x14ac:dyDescent="0.35">
      <c r="B74" t="str">
        <f>IF(Table24254[[#This Row],[Branch Name]]="","",(_xlfn.XLOOKUP(Table24254[[#This Row],[Branch Name]],'Lookup Values'!G:G,'Lookup Values'!I:I,0)))</f>
        <v/>
      </c>
      <c r="C74" s="27"/>
      <c r="D74" s="2" t="str">
        <f>IF(Table24254[[#This Row],[Journal Description (Service Description)]]="","",VLOOKUP(Table24254[[#This Row],[Journal Description (Service Description)]],'Lookup Values'!$A:$B,2,FALSE))</f>
        <v/>
      </c>
      <c r="E74" s="27"/>
      <c r="F74" s="27"/>
      <c r="G74" s="27"/>
    </row>
    <row r="75" spans="1:7" x14ac:dyDescent="0.35">
      <c r="B75" t="str">
        <f>IF(Table24254[[#This Row],[Branch Name]]="","",(_xlfn.XLOOKUP(Table24254[[#This Row],[Branch Name]],'Lookup Values'!G:G,'Lookup Values'!I:I,0)))</f>
        <v/>
      </c>
      <c r="C75" s="27"/>
      <c r="D75" s="2" t="str">
        <f>IF(Table24254[[#This Row],[Journal Description (Service Description)]]="","",VLOOKUP(Table24254[[#This Row],[Journal Description (Service Description)]],'Lookup Values'!$A:$B,2,FALSE))</f>
        <v/>
      </c>
      <c r="E75" s="27"/>
      <c r="F75" s="27"/>
      <c r="G75" s="27"/>
    </row>
    <row r="76" spans="1:7" x14ac:dyDescent="0.35">
      <c r="B76" t="str">
        <f>IF(Table24254[[#This Row],[Branch Name]]="","",(_xlfn.XLOOKUP(Table24254[[#This Row],[Branch Name]],'Lookup Values'!G:G,'Lookup Values'!I:I,0)))</f>
        <v/>
      </c>
      <c r="C76" s="27"/>
      <c r="D76" s="2" t="str">
        <f>IF(Table24254[[#This Row],[Journal Description (Service Description)]]="","",VLOOKUP(Table24254[[#This Row],[Journal Description (Service Description)]],'Lookup Values'!$A:$B,2,FALSE))</f>
        <v/>
      </c>
      <c r="E76" s="27"/>
      <c r="F76" s="27"/>
      <c r="G76" s="27"/>
    </row>
    <row r="77" spans="1:7" x14ac:dyDescent="0.35">
      <c r="B77" t="str">
        <f>IF(Table24254[[#This Row],[Branch Name]]="","",(_xlfn.XLOOKUP(Table24254[[#This Row],[Branch Name]],'Lookup Values'!G:G,'Lookup Values'!I:I,0)))</f>
        <v/>
      </c>
      <c r="C77" s="27"/>
      <c r="D77" s="2" t="str">
        <f>IF(Table24254[[#This Row],[Journal Description (Service Description)]]="","",VLOOKUP(Table24254[[#This Row],[Journal Description (Service Description)]],'Lookup Values'!$A:$B,2,FALSE))</f>
        <v/>
      </c>
      <c r="E77" s="27"/>
      <c r="F77" s="27"/>
      <c r="G77" s="27"/>
    </row>
    <row r="78" spans="1:7" x14ac:dyDescent="0.35">
      <c r="B78" t="str">
        <f>IF(Table24254[[#This Row],[Branch Name]]="","",(_xlfn.XLOOKUP(Table24254[[#This Row],[Branch Name]],'Lookup Values'!G:G,'Lookup Values'!I:I,0)))</f>
        <v/>
      </c>
      <c r="C78" s="27"/>
      <c r="D78" s="2" t="str">
        <f>IF(Table24254[[#This Row],[Journal Description (Service Description)]]="","",VLOOKUP(Table24254[[#This Row],[Journal Description (Service Description)]],'Lookup Values'!$A:$B,2,FALSE))</f>
        <v/>
      </c>
      <c r="E78" s="27"/>
      <c r="F78" s="27"/>
      <c r="G78" s="27"/>
    </row>
    <row r="79" spans="1:7" x14ac:dyDescent="0.35">
      <c r="B79" t="str">
        <f>IF(Table24254[[#This Row],[Branch Name]]="","",(_xlfn.XLOOKUP(Table24254[[#This Row],[Branch Name]],'Lookup Values'!G:G,'Lookup Values'!I:I,0)))</f>
        <v/>
      </c>
      <c r="C79" s="27"/>
      <c r="D79" s="2" t="str">
        <f>IF(Table24254[[#This Row],[Journal Description (Service Description)]]="","",VLOOKUP(Table24254[[#This Row],[Journal Description (Service Description)]],'Lookup Values'!$A:$B,2,FALSE))</f>
        <v/>
      </c>
      <c r="E79" s="27"/>
      <c r="F79" s="27"/>
      <c r="G79" s="27"/>
    </row>
    <row r="80" spans="1:7" x14ac:dyDescent="0.35">
      <c r="B80" t="str">
        <f>IF(Table24254[[#This Row],[Branch Name]]="","",(_xlfn.XLOOKUP(Table24254[[#This Row],[Branch Name]],'Lookup Values'!G:G,'Lookup Values'!I:I,0)))</f>
        <v/>
      </c>
      <c r="C80" s="27"/>
      <c r="D80" s="2" t="str">
        <f>IF(Table24254[[#This Row],[Journal Description (Service Description)]]="","",VLOOKUP(Table24254[[#This Row],[Journal Description (Service Description)]],'Lookup Values'!$A:$B,2,FALSE))</f>
        <v/>
      </c>
      <c r="E80" s="27"/>
      <c r="F80" s="27"/>
      <c r="G80" s="27"/>
    </row>
    <row r="81" spans="1:7" x14ac:dyDescent="0.35">
      <c r="B81" t="str">
        <f>IF(Table24254[[#This Row],[Branch Name]]="","",(_xlfn.XLOOKUP(Table24254[[#This Row],[Branch Name]],'Lookup Values'!G:G,'Lookup Values'!I:I,0)))</f>
        <v/>
      </c>
      <c r="C81" s="27"/>
      <c r="D81" s="2" t="str">
        <f>IF(Table24254[[#This Row],[Journal Description (Service Description)]]="","",VLOOKUP(Table24254[[#This Row],[Journal Description (Service Description)]],'Lookup Values'!$A:$B,2,FALSE))</f>
        <v/>
      </c>
      <c r="E81" s="27"/>
      <c r="F81" s="27"/>
      <c r="G81" s="27"/>
    </row>
    <row r="82" spans="1:7" x14ac:dyDescent="0.35">
      <c r="B82" t="str">
        <f>IF(Table24254[[#This Row],[Branch Name]]="","",(_xlfn.XLOOKUP(Table24254[[#This Row],[Branch Name]],'Lookup Values'!G:G,'Lookup Values'!I:I,0)))</f>
        <v/>
      </c>
      <c r="C82" s="27"/>
      <c r="D82" s="2" t="str">
        <f>IF(Table24254[[#This Row],[Journal Description (Service Description)]]="","",VLOOKUP(Table24254[[#This Row],[Journal Description (Service Description)]],'Lookup Values'!$A:$B,2,FALSE))</f>
        <v/>
      </c>
      <c r="E82" s="27"/>
      <c r="F82" s="27"/>
      <c r="G82" s="27"/>
    </row>
    <row r="83" spans="1:7" x14ac:dyDescent="0.35">
      <c r="B83" t="str">
        <f>IF(Table24254[[#This Row],[Branch Name]]="","",(_xlfn.XLOOKUP(Table24254[[#This Row],[Branch Name]],'Lookup Values'!G:G,'Lookup Values'!I:I,0)))</f>
        <v/>
      </c>
      <c r="C83" s="27"/>
      <c r="D83" s="2" t="str">
        <f>IF(Table24254[[#This Row],[Journal Description (Service Description)]]="","",VLOOKUP(Table24254[[#This Row],[Journal Description (Service Description)]],'Lookup Values'!$A:$B,2,FALSE))</f>
        <v/>
      </c>
      <c r="E83" s="27"/>
      <c r="F83" s="27"/>
      <c r="G83" s="27"/>
    </row>
    <row r="84" spans="1:7" x14ac:dyDescent="0.35">
      <c r="B84" t="str">
        <f>IF(Table24254[[#This Row],[Branch Name]]="","",(_xlfn.XLOOKUP(Table24254[[#This Row],[Branch Name]],'Lookup Values'!G:G,'Lookup Values'!I:I,0)))</f>
        <v/>
      </c>
      <c r="C84" s="27"/>
      <c r="D84" s="2" t="str">
        <f>IF(Table24254[[#This Row],[Journal Description (Service Description)]]="","",VLOOKUP(Table24254[[#This Row],[Journal Description (Service Description)]],'Lookup Values'!$A:$B,2,FALSE))</f>
        <v/>
      </c>
      <c r="E84" s="27"/>
      <c r="F84" s="27"/>
      <c r="G84" s="27"/>
    </row>
    <row r="85" spans="1:7" x14ac:dyDescent="0.35">
      <c r="B85" t="str">
        <f>IF(Table24254[[#This Row],[Branch Name]]="","",(_xlfn.XLOOKUP(Table24254[[#This Row],[Branch Name]],'Lookup Values'!G:G,'Lookup Values'!I:I,0)))</f>
        <v/>
      </c>
      <c r="C85" s="27"/>
      <c r="D85" s="2" t="str">
        <f>IF(Table24254[[#This Row],[Journal Description (Service Description)]]="","",VLOOKUP(Table24254[[#This Row],[Journal Description (Service Description)]],'Lookup Values'!$A:$B,2,FALSE))</f>
        <v/>
      </c>
      <c r="E85" s="27"/>
      <c r="F85" s="27"/>
      <c r="G85" s="27"/>
    </row>
    <row r="86" spans="1:7" x14ac:dyDescent="0.35">
      <c r="B86" t="str">
        <f>IF(Table24254[[#This Row],[Branch Name]]="","",(_xlfn.XLOOKUP(Table24254[[#This Row],[Branch Name]],'Lookup Values'!G:G,'Lookup Values'!I:I,0)))</f>
        <v/>
      </c>
      <c r="C86" s="27"/>
      <c r="D86" s="2" t="str">
        <f>IF(Table24254[[#This Row],[Journal Description (Service Description)]]="","",VLOOKUP(Table24254[[#This Row],[Journal Description (Service Description)]],'Lookup Values'!$A:$B,2,FALSE))</f>
        <v/>
      </c>
      <c r="E86" s="27"/>
      <c r="F86" s="27"/>
      <c r="G86" s="27"/>
    </row>
    <row r="87" spans="1:7" x14ac:dyDescent="0.35">
      <c r="B87" t="str">
        <f>IF(Table24254[[#This Row],[Branch Name]]="","",(_xlfn.XLOOKUP(Table24254[[#This Row],[Branch Name]],'Lookup Values'!G:G,'Lookup Values'!I:I,0)))</f>
        <v/>
      </c>
      <c r="C87" s="27"/>
      <c r="D87" s="2" t="str">
        <f>IF(Table24254[[#This Row],[Journal Description (Service Description)]]="","",VLOOKUP(Table24254[[#This Row],[Journal Description (Service Description)]],'Lookup Values'!$A:$B,2,FALSE))</f>
        <v/>
      </c>
      <c r="E87" s="27"/>
      <c r="F87" s="27"/>
      <c r="G87" s="27"/>
    </row>
    <row r="88" spans="1:7" x14ac:dyDescent="0.35">
      <c r="B88" t="str">
        <f>IF(Table24254[[#This Row],[Branch Name]]="","",(_xlfn.XLOOKUP(Table24254[[#This Row],[Branch Name]],'Lookup Values'!G:G,'Lookup Values'!I:I,0)))</f>
        <v/>
      </c>
      <c r="C88" s="27"/>
      <c r="D88" s="2" t="str">
        <f>IF(Table24254[[#This Row],[Journal Description (Service Description)]]="","",VLOOKUP(Table24254[[#This Row],[Journal Description (Service Description)]],'Lookup Values'!$A:$B,2,FALSE))</f>
        <v/>
      </c>
      <c r="E88" s="27"/>
      <c r="F88" s="27"/>
      <c r="G88" s="27"/>
    </row>
    <row r="89" spans="1:7" x14ac:dyDescent="0.35">
      <c r="B89" t="str">
        <f>IF(Table24254[[#This Row],[Branch Name]]="","",(_xlfn.XLOOKUP(Table24254[[#This Row],[Branch Name]],'Lookup Values'!G:G,'Lookup Values'!I:I,0)))</f>
        <v/>
      </c>
      <c r="C89" s="27"/>
      <c r="D89" s="2" t="str">
        <f>IF(Table24254[[#This Row],[Journal Description (Service Description)]]="","",VLOOKUP(Table24254[[#This Row],[Journal Description (Service Description)]],'Lookup Values'!$A:$B,2,FALSE))</f>
        <v/>
      </c>
      <c r="E89" s="27"/>
      <c r="F89" s="27"/>
      <c r="G89" s="27"/>
    </row>
    <row r="90" spans="1:7" x14ac:dyDescent="0.35">
      <c r="B90" t="str">
        <f>IF(Table24254[[#This Row],[Branch Name]]="","",(_xlfn.XLOOKUP(Table24254[[#This Row],[Branch Name]],'Lookup Values'!G:G,'Lookup Values'!I:I,0)))</f>
        <v/>
      </c>
      <c r="C90" s="27"/>
      <c r="D90" s="2" t="str">
        <f>IF(Table24254[[#This Row],[Journal Description (Service Description)]]="","",VLOOKUP(Table24254[[#This Row],[Journal Description (Service Description)]],'Lookup Values'!$A:$B,2,FALSE))</f>
        <v/>
      </c>
      <c r="E90" s="27"/>
      <c r="F90" s="27"/>
      <c r="G90" s="27"/>
    </row>
    <row r="91" spans="1:7" x14ac:dyDescent="0.35">
      <c r="B91" t="str">
        <f>IF(Table24254[[#This Row],[Branch Name]]="","",(_xlfn.XLOOKUP(Table24254[[#This Row],[Branch Name]],'Lookup Values'!G:G,'Lookup Values'!I:I,0)))</f>
        <v/>
      </c>
      <c r="C91" s="27"/>
      <c r="D91" s="2" t="str">
        <f>IF(Table24254[[#This Row],[Journal Description (Service Description)]]="","",VLOOKUP(Table24254[[#This Row],[Journal Description (Service Description)]],'Lookup Values'!$A:$B,2,FALSE))</f>
        <v/>
      </c>
      <c r="E91" s="27"/>
      <c r="F91" s="27"/>
      <c r="G91" s="27"/>
    </row>
    <row r="92" spans="1:7" x14ac:dyDescent="0.35">
      <c r="B92" t="str">
        <f>IF(Table24254[[#This Row],[Branch Name]]="","",(_xlfn.XLOOKUP(Table24254[[#This Row],[Branch Name]],'Lookup Values'!G:G,'Lookup Values'!I:I,0)))</f>
        <v/>
      </c>
      <c r="C92" s="27"/>
      <c r="D92" s="2" t="str">
        <f>IF(Table24254[[#This Row],[Journal Description (Service Description)]]="","",VLOOKUP(Table24254[[#This Row],[Journal Description (Service Description)]],'Lookup Values'!$A:$B,2,FALSE))</f>
        <v/>
      </c>
      <c r="E92" s="27"/>
      <c r="F92" s="27"/>
      <c r="G92" s="27"/>
    </row>
    <row r="93" spans="1:7" x14ac:dyDescent="0.35">
      <c r="B93" t="str">
        <f>IF(Table24254[[#This Row],[Branch Name]]="","",(_xlfn.XLOOKUP(Table24254[[#This Row],[Branch Name]],'Lookup Values'!G:G,'Lookup Values'!I:I,0)))</f>
        <v/>
      </c>
      <c r="C93" s="27"/>
      <c r="D93" s="2" t="str">
        <f>IF(Table24254[[#This Row],[Journal Description (Service Description)]]="","",VLOOKUP(Table24254[[#This Row],[Journal Description (Service Description)]],'Lookup Values'!$A:$B,2,FALSE))</f>
        <v/>
      </c>
      <c r="E93" s="27"/>
      <c r="F93" s="27"/>
      <c r="G93" s="27"/>
    </row>
    <row r="94" spans="1:7" x14ac:dyDescent="0.35">
      <c r="B94" t="str">
        <f>IF(Table24254[[#This Row],[Branch Name]]="","",(_xlfn.XLOOKUP(Table24254[[#This Row],[Branch Name]],'Lookup Values'!G:G,'Lookup Values'!I:I,0)))</f>
        <v/>
      </c>
      <c r="C94" s="27"/>
      <c r="D94" s="2" t="str">
        <f>IF(Table24254[[#This Row],[Journal Description (Service Description)]]="","",VLOOKUP(Table24254[[#This Row],[Journal Description (Service Description)]],'Lookup Values'!$A:$B,2,FALSE))</f>
        <v/>
      </c>
      <c r="E94" s="27"/>
      <c r="F94" s="27"/>
      <c r="G94" s="27"/>
    </row>
    <row r="95" spans="1:7" x14ac:dyDescent="0.35">
      <c r="B95" t="str">
        <f>IF(Table24254[[#This Row],[Branch Name]]="","",(_xlfn.XLOOKUP(Table24254[[#This Row],[Branch Name]],'Lookup Values'!G:G,'Lookup Values'!I:I,0)))</f>
        <v/>
      </c>
      <c r="C95" s="27"/>
      <c r="D95" s="2" t="str">
        <f>IF(Table24254[[#This Row],[Journal Description (Service Description)]]="","",VLOOKUP(Table24254[[#This Row],[Journal Description (Service Description)]],'Lookup Values'!$A:$B,2,FALSE))</f>
        <v/>
      </c>
      <c r="E95" s="27"/>
      <c r="F95" s="27"/>
      <c r="G95" s="27"/>
    </row>
    <row r="96" spans="1:7" x14ac:dyDescent="0.35">
      <c r="A96" s="27"/>
      <c r="B96" t="str">
        <f>IF(Table24254[[#This Row],[Branch Name]]="","",(_xlfn.XLOOKUP(Table24254[[#This Row],[Branch Name]],'Lookup Values'!G:G,'Lookup Values'!I:I,0)))</f>
        <v/>
      </c>
      <c r="C96" s="27"/>
      <c r="D96" s="2" t="str">
        <f>IF(Table24254[[#This Row],[Journal Description (Service Description)]]="","",VLOOKUP(Table24254[[#This Row],[Journal Description (Service Description)]],'Lookup Values'!$A:$B,2,FALSE))</f>
        <v/>
      </c>
      <c r="E96" s="27"/>
      <c r="F96" s="27"/>
      <c r="G96" s="27"/>
    </row>
    <row r="97" spans="1:7" x14ac:dyDescent="0.35">
      <c r="B97" t="str">
        <f>IF(Table24254[[#This Row],[Branch Name]]="","",(_xlfn.XLOOKUP(Table24254[[#This Row],[Branch Name]],'Lookup Values'!G:G,'Lookup Values'!I:I,0)))</f>
        <v/>
      </c>
      <c r="C97" s="27"/>
      <c r="D97" s="2" t="str">
        <f>IF(Table24254[[#This Row],[Journal Description (Service Description)]]="","",VLOOKUP(Table24254[[#This Row],[Journal Description (Service Description)]],'Lookup Values'!$A:$B,2,FALSE))</f>
        <v/>
      </c>
      <c r="E97" s="27"/>
      <c r="F97" s="27"/>
      <c r="G97" s="27"/>
    </row>
    <row r="98" spans="1:7" x14ac:dyDescent="0.35">
      <c r="B98" t="str">
        <f>IF(Table24254[[#This Row],[Branch Name]]="","",(_xlfn.XLOOKUP(Table24254[[#This Row],[Branch Name]],'Lookup Values'!G:G,'Lookup Values'!I:I,0)))</f>
        <v/>
      </c>
      <c r="C98" s="27"/>
      <c r="D98" s="2" t="str">
        <f>IF(Table24254[[#This Row],[Journal Description (Service Description)]]="","",VLOOKUP(Table24254[[#This Row],[Journal Description (Service Description)]],'Lookup Values'!$A:$B,2,FALSE))</f>
        <v/>
      </c>
      <c r="E98" s="27"/>
      <c r="F98" s="27"/>
      <c r="G98" s="27"/>
    </row>
    <row r="99" spans="1:7" x14ac:dyDescent="0.35">
      <c r="A99" s="27"/>
      <c r="B99" t="str">
        <f>IF(Table24254[[#This Row],[Branch Name]]="","",(_xlfn.XLOOKUP(Table24254[[#This Row],[Branch Name]],'Lookup Values'!G:G,'Lookup Values'!I:I,0)))</f>
        <v/>
      </c>
      <c r="C99" s="27"/>
      <c r="D99" s="2" t="str">
        <f>IF(Table24254[[#This Row],[Journal Description (Service Description)]]="","",VLOOKUP(Table24254[[#This Row],[Journal Description (Service Description)]],'Lookup Values'!$A:$B,2,FALSE))</f>
        <v/>
      </c>
      <c r="E99" s="27"/>
      <c r="F99" s="27"/>
      <c r="G99" s="27"/>
    </row>
    <row r="100" spans="1:7" x14ac:dyDescent="0.35">
      <c r="A100" s="27"/>
      <c r="B100" t="str">
        <f>IF(Table24254[[#This Row],[Branch Name]]="","",(_xlfn.XLOOKUP(Table24254[[#This Row],[Branch Name]],'Lookup Values'!G:G,'Lookup Values'!I:I,0)))</f>
        <v/>
      </c>
      <c r="C100" s="27"/>
      <c r="D100" s="2" t="str">
        <f>IF(Table24254[[#This Row],[Journal Description (Service Description)]]="","",VLOOKUP(Table24254[[#This Row],[Journal Description (Service Description)]],'Lookup Values'!$A:$B,2,FALSE))</f>
        <v/>
      </c>
      <c r="E100" s="27"/>
      <c r="F100" s="27"/>
      <c r="G100" s="27"/>
    </row>
    <row r="101" spans="1:7" x14ac:dyDescent="0.35">
      <c r="B101" t="str">
        <f>IF(Table24254[[#This Row],[Branch Name]]="","",(_xlfn.XLOOKUP(Table24254[[#This Row],[Branch Name]],'Lookup Values'!G:G,'Lookup Values'!I:I,0)))</f>
        <v/>
      </c>
      <c r="C101" s="27"/>
      <c r="D101" s="2" t="str">
        <f>IF(Table24254[[#This Row],[Journal Description (Service Description)]]="","",VLOOKUP(Table24254[[#This Row],[Journal Description (Service Description)]],'Lookup Values'!$A:$B,2,FALSE))</f>
        <v/>
      </c>
      <c r="E101" s="27"/>
      <c r="F101" s="27"/>
      <c r="G101" s="27"/>
    </row>
    <row r="102" spans="1:7" x14ac:dyDescent="0.35">
      <c r="B102" t="str">
        <f>IF(Table24254[[#This Row],[Branch Name]]="","",(_xlfn.XLOOKUP(Table24254[[#This Row],[Branch Name]],'Lookup Values'!G:G,'Lookup Values'!I:I,0)))</f>
        <v/>
      </c>
      <c r="C102" s="27"/>
      <c r="D102" s="2" t="str">
        <f>IF(Table24254[[#This Row],[Journal Description (Service Description)]]="","",VLOOKUP(Table24254[[#This Row],[Journal Description (Service Description)]],'Lookup Values'!$A:$B,2,FALSE))</f>
        <v/>
      </c>
      <c r="E102" s="27"/>
      <c r="F102" s="27"/>
      <c r="G102" s="27"/>
    </row>
    <row r="103" spans="1:7" x14ac:dyDescent="0.35">
      <c r="B103" t="str">
        <f>IF(Table24254[[#This Row],[Branch Name]]="","",(_xlfn.XLOOKUP(Table24254[[#This Row],[Branch Name]],'Lookup Values'!G:G,'Lookup Values'!I:I,0)))</f>
        <v/>
      </c>
      <c r="C103" s="27"/>
      <c r="D103" s="2" t="str">
        <f>IF(Table24254[[#This Row],[Journal Description (Service Description)]]="","",VLOOKUP(Table24254[[#This Row],[Journal Description (Service Description)]],'Lookup Values'!$A:$B,2,FALSE))</f>
        <v/>
      </c>
      <c r="E103" s="27"/>
      <c r="F103" s="27"/>
      <c r="G103" s="27"/>
    </row>
    <row r="104" spans="1:7" x14ac:dyDescent="0.35">
      <c r="B104" t="str">
        <f>IF(Table24254[[#This Row],[Branch Name]]="","",(_xlfn.XLOOKUP(Table24254[[#This Row],[Branch Name]],'Lookup Values'!G:G,'Lookup Values'!I:I,0)))</f>
        <v/>
      </c>
      <c r="C104" s="27"/>
      <c r="D104" s="2" t="str">
        <f>IF(Table24254[[#This Row],[Journal Description (Service Description)]]="","",VLOOKUP(Table24254[[#This Row],[Journal Description (Service Description)]],'Lookup Values'!$A:$B,2,FALSE))</f>
        <v/>
      </c>
      <c r="E104" s="27"/>
      <c r="F104" s="27"/>
      <c r="G104" s="27"/>
    </row>
    <row r="105" spans="1:7" x14ac:dyDescent="0.35">
      <c r="B105" t="str">
        <f>IF(Table24254[[#This Row],[Branch Name]]="","",(_xlfn.XLOOKUP(Table24254[[#This Row],[Branch Name]],'Lookup Values'!G:G,'Lookup Values'!I:I,0)))</f>
        <v/>
      </c>
      <c r="C105" s="27"/>
      <c r="D105" s="2" t="str">
        <f>IF(Table24254[[#This Row],[Journal Description (Service Description)]]="","",VLOOKUP(Table24254[[#This Row],[Journal Description (Service Description)]],'Lookup Values'!$A:$B,2,FALSE))</f>
        <v/>
      </c>
      <c r="E105" s="27"/>
      <c r="F105" s="27"/>
      <c r="G105" s="27"/>
    </row>
    <row r="106" spans="1:7" x14ac:dyDescent="0.35">
      <c r="A106" s="27"/>
      <c r="B106" t="str">
        <f>IF(Table24254[[#This Row],[Branch Name]]="","",(_xlfn.XLOOKUP(Table24254[[#This Row],[Branch Name]],'Lookup Values'!G:G,'Lookup Values'!I:I,0)))</f>
        <v/>
      </c>
      <c r="C106" s="27"/>
      <c r="D106" s="2" t="str">
        <f>IF(Table24254[[#This Row],[Journal Description (Service Description)]]="","",VLOOKUP(Table24254[[#This Row],[Journal Description (Service Description)]],'Lookup Values'!$A:$B,2,FALSE))</f>
        <v/>
      </c>
      <c r="E106" s="27"/>
      <c r="F106" s="27"/>
      <c r="G106" s="27"/>
    </row>
    <row r="107" spans="1:7" x14ac:dyDescent="0.35">
      <c r="A107" s="27"/>
      <c r="B107" t="str">
        <f>IF(Table24254[[#This Row],[Branch Name]]="","",(_xlfn.XLOOKUP(Table24254[[#This Row],[Branch Name]],'Lookup Values'!G:G,'Lookup Values'!I:I,0)))</f>
        <v/>
      </c>
      <c r="C107" s="27"/>
      <c r="D107" s="2" t="str">
        <f>IF(Table24254[[#This Row],[Journal Description (Service Description)]]="","",VLOOKUP(Table24254[[#This Row],[Journal Description (Service Description)]],'Lookup Values'!$A:$B,2,FALSE))</f>
        <v/>
      </c>
      <c r="E107" s="27"/>
      <c r="F107" s="27"/>
      <c r="G107" s="27"/>
    </row>
    <row r="108" spans="1:7" x14ac:dyDescent="0.35">
      <c r="A108" s="27"/>
      <c r="B108" t="str">
        <f>IF(Table24254[[#This Row],[Branch Name]]="","",(_xlfn.XLOOKUP(Table24254[[#This Row],[Branch Name]],'Lookup Values'!G:G,'Lookup Values'!I:I,0)))</f>
        <v/>
      </c>
      <c r="C108" s="27"/>
      <c r="D108" s="2" t="str">
        <f>IF(Table24254[[#This Row],[Journal Description (Service Description)]]="","",VLOOKUP(Table24254[[#This Row],[Journal Description (Service Description)]],'Lookup Values'!$A:$B,2,FALSE))</f>
        <v/>
      </c>
      <c r="E108" s="27"/>
      <c r="F108" s="27"/>
      <c r="G108" s="27"/>
    </row>
    <row r="109" spans="1:7" x14ac:dyDescent="0.35">
      <c r="B109" t="str">
        <f>IF(Table24254[[#This Row],[Branch Name]]="","",(_xlfn.XLOOKUP(Table24254[[#This Row],[Branch Name]],'Lookup Values'!G:G,'Lookup Values'!I:I,0)))</f>
        <v/>
      </c>
      <c r="D109" s="2" t="str">
        <f>IF(Table24254[[#This Row],[Journal Description (Service Description)]]="","",VLOOKUP(Table24254[[#This Row],[Journal Description (Service Description)]],'Lookup Values'!$A:$B,2,FALSE))</f>
        <v/>
      </c>
      <c r="G109" s="25"/>
    </row>
    <row r="110" spans="1:7" x14ac:dyDescent="0.35">
      <c r="B110" t="str">
        <f>IF(Table24254[[#This Row],[Branch Name]]="","",(_xlfn.XLOOKUP(Table24254[[#This Row],[Branch Name]],'Lookup Values'!G:G,'Lookup Values'!I:I,0)))</f>
        <v/>
      </c>
      <c r="D110" s="2" t="str">
        <f>IF(Table24254[[#This Row],[Journal Description (Service Description)]]="","",VLOOKUP(Table24254[[#This Row],[Journal Description (Service Description)]],'Lookup Values'!$A:$B,2,FALSE))</f>
        <v/>
      </c>
    </row>
    <row r="111" spans="1:7" x14ac:dyDescent="0.35">
      <c r="A111" s="27"/>
      <c r="B111" t="str">
        <f>IF(Table24254[[#This Row],[Branch Name]]="","",(_xlfn.XLOOKUP(Table24254[[#This Row],[Branch Name]],'Lookup Values'!G:G,'Lookup Values'!I:I,0)))</f>
        <v/>
      </c>
      <c r="C111" s="27"/>
      <c r="D111" s="2" t="str">
        <f>IF(Table24254[[#This Row],[Journal Description (Service Description)]]="","",VLOOKUP(Table24254[[#This Row],[Journal Description (Service Description)]],'Lookup Values'!$A:$B,2,FALSE))</f>
        <v/>
      </c>
      <c r="E111" s="27"/>
      <c r="F111" s="27"/>
      <c r="G111" s="29"/>
    </row>
    <row r="112" spans="1:7" x14ac:dyDescent="0.35">
      <c r="A112" s="27"/>
      <c r="B112" t="str">
        <f>IF(Table24254[[#This Row],[Branch Name]]="","",(_xlfn.XLOOKUP(Table24254[[#This Row],[Branch Name]],'Lookup Values'!G:G,'Lookup Values'!I:I,0)))</f>
        <v/>
      </c>
      <c r="C112" s="27"/>
      <c r="D112" s="2" t="str">
        <f>IF(Table24254[[#This Row],[Journal Description (Service Description)]]="","",VLOOKUP(Table24254[[#This Row],[Journal Description (Service Description)]],'Lookup Values'!$A:$B,2,FALSE))</f>
        <v/>
      </c>
      <c r="E112" s="27"/>
      <c r="F112" s="27"/>
      <c r="G112" s="27"/>
    </row>
    <row r="113" spans="1:7" x14ac:dyDescent="0.35">
      <c r="A113" s="27"/>
      <c r="B113" t="str">
        <f>IF(Table24254[[#This Row],[Branch Name]]="","",(_xlfn.XLOOKUP(Table24254[[#This Row],[Branch Name]],'Lookup Values'!G:G,'Lookup Values'!I:I,0)))</f>
        <v/>
      </c>
      <c r="C113" s="27"/>
      <c r="D113" s="2" t="str">
        <f>IF(Table24254[[#This Row],[Journal Description (Service Description)]]="","",VLOOKUP(Table24254[[#This Row],[Journal Description (Service Description)]],'Lookup Values'!$A:$B,2,FALSE))</f>
        <v/>
      </c>
      <c r="E113" s="27"/>
      <c r="F113" s="27"/>
      <c r="G113" s="27"/>
    </row>
    <row r="114" spans="1:7" x14ac:dyDescent="0.35">
      <c r="B114" t="str">
        <f>IF(Table24254[[#This Row],[Branch Name]]="","",(_xlfn.XLOOKUP(Table24254[[#This Row],[Branch Name]],'Lookup Values'!G:G,'Lookup Values'!I:I,0)))</f>
        <v/>
      </c>
      <c r="D114" s="2" t="str">
        <f>IF(Table24254[[#This Row],[Journal Description (Service Description)]]="","",VLOOKUP(Table24254[[#This Row],[Journal Description (Service Description)]],'Lookup Values'!$A:$B,2,FALSE))</f>
        <v/>
      </c>
    </row>
    <row r="115" spans="1:7" x14ac:dyDescent="0.35">
      <c r="A115" s="27"/>
      <c r="B115" t="str">
        <f>IF(Table24254[[#This Row],[Branch Name]]="","",(_xlfn.XLOOKUP(Table24254[[#This Row],[Branch Name]],'Lookup Values'!G:G,'Lookup Values'!I:I,0)))</f>
        <v/>
      </c>
      <c r="C115" s="27"/>
      <c r="D115" s="2" t="str">
        <f>IF(Table24254[[#This Row],[Journal Description (Service Description)]]="","",VLOOKUP(Table24254[[#This Row],[Journal Description (Service Description)]],'Lookup Values'!$A:$B,2,FALSE))</f>
        <v/>
      </c>
      <c r="E115" s="27"/>
      <c r="F115" s="27"/>
      <c r="G115" s="27"/>
    </row>
    <row r="116" spans="1:7" x14ac:dyDescent="0.35">
      <c r="B116" t="str">
        <f>IF(Table24254[[#This Row],[Branch Name]]="","",(_xlfn.XLOOKUP(Table24254[[#This Row],[Branch Name]],'Lookup Values'!G:G,'Lookup Values'!I:I,0)))</f>
        <v/>
      </c>
      <c r="D116" s="2" t="str">
        <f>IF(Table24254[[#This Row],[Journal Description (Service Description)]]="","",VLOOKUP(Table24254[[#This Row],[Journal Description (Service Description)]],'Lookup Values'!$A:$B,2,FALSE))</f>
        <v/>
      </c>
    </row>
    <row r="117" spans="1:7" x14ac:dyDescent="0.35">
      <c r="B117" t="str">
        <f>IF(Table24254[[#This Row],[Branch Name]]="","",(_xlfn.XLOOKUP(Table24254[[#This Row],[Branch Name]],'Lookup Values'!G:G,'Lookup Values'!I:I,0)))</f>
        <v/>
      </c>
      <c r="D117" s="2" t="str">
        <f>IF(Table24254[[#This Row],[Journal Description (Service Description)]]="","",VLOOKUP(Table24254[[#This Row],[Journal Description (Service Description)]],'Lookup Values'!$A:$B,2,FALSE))</f>
        <v/>
      </c>
    </row>
    <row r="118" spans="1:7" x14ac:dyDescent="0.35">
      <c r="B118" t="str">
        <f>IF(Table24254[[#This Row],[Branch Name]]="","",(_xlfn.XLOOKUP(Table24254[[#This Row],[Branch Name]],'Lookup Values'!G:G,'Lookup Values'!I:I,0)))</f>
        <v/>
      </c>
      <c r="D118" s="2" t="str">
        <f>IF(Table24254[[#This Row],[Journal Description (Service Description)]]="","",VLOOKUP(Table24254[[#This Row],[Journal Description (Service Description)]],'Lookup Values'!$A:$B,2,FALSE))</f>
        <v/>
      </c>
    </row>
    <row r="119" spans="1:7" x14ac:dyDescent="0.35">
      <c r="B119" t="str">
        <f>IF(Table24254[[#This Row],[Branch Name]]="","",(_xlfn.XLOOKUP(Table24254[[#This Row],[Branch Name]],'Lookup Values'!G:G,'Lookup Values'!I:I,0)))</f>
        <v/>
      </c>
      <c r="D119" s="2" t="str">
        <f>IF(Table24254[[#This Row],[Journal Description (Service Description)]]="","",VLOOKUP(Table24254[[#This Row],[Journal Description (Service Description)]],'Lookup Values'!$A:$B,2,FALSE))</f>
        <v/>
      </c>
    </row>
    <row r="120" spans="1:7" x14ac:dyDescent="0.35">
      <c r="B120" t="str">
        <f>IF(Table24254[[#This Row],[Branch Name]]="","",(_xlfn.XLOOKUP(Table24254[[#This Row],[Branch Name]],'Lookup Values'!G:G,'Lookup Values'!I:I,0)))</f>
        <v/>
      </c>
      <c r="D120" s="2" t="str">
        <f>IF(Table24254[[#This Row],[Journal Description (Service Description)]]="","",VLOOKUP(Table24254[[#This Row],[Journal Description (Service Description)]],'Lookup Values'!$A:$B,2,FALSE))</f>
        <v/>
      </c>
    </row>
    <row r="121" spans="1:7" x14ac:dyDescent="0.35">
      <c r="B121" t="str">
        <f>IF(Table24254[[#This Row],[Branch Name]]="","",(_xlfn.XLOOKUP(Table24254[[#This Row],[Branch Name]],'Lookup Values'!G:G,'Lookup Values'!I:I,0)))</f>
        <v/>
      </c>
      <c r="D121" s="2" t="str">
        <f>IF(Table24254[[#This Row],[Journal Description (Service Description)]]="","",VLOOKUP(Table24254[[#This Row],[Journal Description (Service Description)]],'Lookup Values'!$A:$B,2,FALSE))</f>
        <v/>
      </c>
    </row>
    <row r="122" spans="1:7" x14ac:dyDescent="0.35">
      <c r="B122" t="str">
        <f>IF(Table24254[[#This Row],[Branch Name]]="","",(_xlfn.XLOOKUP(Table24254[[#This Row],[Branch Name]],'Lookup Values'!G:G,'Lookup Values'!I:I,0)))</f>
        <v/>
      </c>
      <c r="D122" s="2" t="str">
        <f>IF(Table24254[[#This Row],[Journal Description (Service Description)]]="","",VLOOKUP(Table24254[[#This Row],[Journal Description (Service Description)]],'Lookup Values'!$A:$B,2,FALSE))</f>
        <v/>
      </c>
    </row>
    <row r="123" spans="1:7" x14ac:dyDescent="0.35">
      <c r="B123" t="str">
        <f>IF(Table24254[[#This Row],[Branch Name]]="","",(_xlfn.XLOOKUP(Table24254[[#This Row],[Branch Name]],'Lookup Values'!G:G,'Lookup Values'!I:I,0)))</f>
        <v/>
      </c>
      <c r="D123" s="2" t="str">
        <f>IF(Table24254[[#This Row],[Journal Description (Service Description)]]="","",VLOOKUP(Table24254[[#This Row],[Journal Description (Service Description)]],'Lookup Values'!$A:$B,2,FALSE))</f>
        <v/>
      </c>
    </row>
    <row r="124" spans="1:7" x14ac:dyDescent="0.35">
      <c r="B124" t="str">
        <f>IF(Table24254[[#This Row],[Branch Name]]="","",(_xlfn.XLOOKUP(Table24254[[#This Row],[Branch Name]],'Lookup Values'!G:G,'Lookup Values'!I:I,0)))</f>
        <v/>
      </c>
      <c r="D124" s="2" t="str">
        <f>IF(Table24254[[#This Row],[Journal Description (Service Description)]]="","",VLOOKUP(Table24254[[#This Row],[Journal Description (Service Description)]],'Lookup Values'!$A:$B,2,FALSE))</f>
        <v/>
      </c>
    </row>
    <row r="125" spans="1:7" x14ac:dyDescent="0.35">
      <c r="B125" t="str">
        <f>IF(Table24254[[#This Row],[Branch Name]]="","",(_xlfn.XLOOKUP(Table24254[[#This Row],[Branch Name]],'Lookup Values'!G:G,'Lookup Values'!I:I,0)))</f>
        <v/>
      </c>
      <c r="D125" s="2" t="str">
        <f>IF(Table24254[[#This Row],[Journal Description (Service Description)]]="","",VLOOKUP(Table24254[[#This Row],[Journal Description (Service Description)]],'Lookup Values'!$A:$B,2,FALSE))</f>
        <v/>
      </c>
    </row>
    <row r="126" spans="1:7" x14ac:dyDescent="0.35">
      <c r="B126" t="str">
        <f>IF(Table24254[[#This Row],[Branch Name]]="","",(_xlfn.XLOOKUP(Table24254[[#This Row],[Branch Name]],'Lookup Values'!G:G,'Lookup Values'!I:I,0)))</f>
        <v/>
      </c>
      <c r="D126" s="2" t="str">
        <f>IF(Table24254[[#This Row],[Journal Description (Service Description)]]="","",VLOOKUP(Table24254[[#This Row],[Journal Description (Service Description)]],'Lookup Values'!$A:$B,2,FALSE))</f>
        <v/>
      </c>
    </row>
    <row r="127" spans="1:7" x14ac:dyDescent="0.35">
      <c r="B127" t="str">
        <f>IF(Table24254[[#This Row],[Branch Name]]="","",(_xlfn.XLOOKUP(Table24254[[#This Row],[Branch Name]],'Lookup Values'!G:G,'Lookup Values'!I:I,0)))</f>
        <v/>
      </c>
      <c r="D127" s="2" t="str">
        <f>IF(Table24254[[#This Row],[Journal Description (Service Description)]]="","",VLOOKUP(Table24254[[#This Row],[Journal Description (Service Description)]],'Lookup Values'!$A:$B,2,FALSE))</f>
        <v/>
      </c>
    </row>
    <row r="128" spans="1:7" x14ac:dyDescent="0.35">
      <c r="B128" t="str">
        <f>IF(Table24254[[#This Row],[Branch Name]]="","",(_xlfn.XLOOKUP(Table24254[[#This Row],[Branch Name]],'Lookup Values'!G:G,'Lookup Values'!I:I,0)))</f>
        <v/>
      </c>
      <c r="D128" s="2" t="str">
        <f>IF(Table24254[[#This Row],[Journal Description (Service Description)]]="","",VLOOKUP(Table24254[[#This Row],[Journal Description (Service Description)]],'Lookup Values'!$A:$B,2,FALSE))</f>
        <v/>
      </c>
    </row>
    <row r="129" spans="2:4" x14ac:dyDescent="0.35">
      <c r="B129" t="str">
        <f>IF(Table24254[[#This Row],[Branch Name]]="","",(_xlfn.XLOOKUP(Table24254[[#This Row],[Branch Name]],'Lookup Values'!G:G,'Lookup Values'!I:I,0)))</f>
        <v/>
      </c>
      <c r="D129" s="2" t="str">
        <f>IF(Table24254[[#This Row],[Journal Description (Service Description)]]="","",VLOOKUP(Table24254[[#This Row],[Journal Description (Service Description)]],'Lookup Values'!$A:$B,2,FALSE))</f>
        <v/>
      </c>
    </row>
    <row r="130" spans="2:4" x14ac:dyDescent="0.35">
      <c r="B130" t="str">
        <f>IF(Table24254[[#This Row],[Branch Name]]="","",(_xlfn.XLOOKUP(Table24254[[#This Row],[Branch Name]],'Lookup Values'!G:G,'Lookup Values'!I:I,0)))</f>
        <v/>
      </c>
      <c r="D130" s="2" t="str">
        <f>IF(Table24254[[#This Row],[Journal Description (Service Description)]]="","",VLOOKUP(Table24254[[#This Row],[Journal Description (Service Description)]],'Lookup Values'!$A:$B,2,FALSE))</f>
        <v/>
      </c>
    </row>
    <row r="131" spans="2:4" x14ac:dyDescent="0.35">
      <c r="B131" t="str">
        <f>IF(Table24254[[#This Row],[Branch Name]]="","",(_xlfn.XLOOKUP(Table24254[[#This Row],[Branch Name]],'Lookup Values'!G:G,'Lookup Values'!I:I,0)))</f>
        <v/>
      </c>
      <c r="D131" s="2" t="str">
        <f>IF(Table24254[[#This Row],[Journal Description (Service Description)]]="","",VLOOKUP(Table24254[[#This Row],[Journal Description (Service Description)]],'Lookup Values'!$A:$B,2,FALSE))</f>
        <v/>
      </c>
    </row>
    <row r="132" spans="2:4" x14ac:dyDescent="0.35">
      <c r="B132" t="str">
        <f>IF(Table24254[[#This Row],[Branch Name]]="","",(_xlfn.XLOOKUP(Table24254[[#This Row],[Branch Name]],'Lookup Values'!G:G,'Lookup Values'!I:I,0)))</f>
        <v/>
      </c>
      <c r="D132" s="2" t="str">
        <f>IF(Table24254[[#This Row],[Journal Description (Service Description)]]="","",VLOOKUP(Table24254[[#This Row],[Journal Description (Service Description)]],'Lookup Values'!$A:$B,2,FALSE))</f>
        <v/>
      </c>
    </row>
    <row r="133" spans="2:4" x14ac:dyDescent="0.35">
      <c r="B133" t="str">
        <f>IF(Table24254[[#This Row],[Branch Name]]="","",(_xlfn.XLOOKUP(Table24254[[#This Row],[Branch Name]],'Lookup Values'!G:G,'Lookup Values'!I:I,0)))</f>
        <v/>
      </c>
      <c r="D133" s="2" t="str">
        <f>IF(Table24254[[#This Row],[Journal Description (Service Description)]]="","",VLOOKUP(Table24254[[#This Row],[Journal Description (Service Description)]],'Lookup Values'!$A:$B,2,FALSE))</f>
        <v/>
      </c>
    </row>
    <row r="134" spans="2:4" x14ac:dyDescent="0.35">
      <c r="B134" t="str">
        <f>IF(Table24254[[#This Row],[Branch Name]]="","",(_xlfn.XLOOKUP(Table24254[[#This Row],[Branch Name]],'Lookup Values'!G:G,'Lookup Values'!I:I,0)))</f>
        <v/>
      </c>
      <c r="D134" s="2" t="str">
        <f>IF(Table24254[[#This Row],[Journal Description (Service Description)]]="","",VLOOKUP(Table24254[[#This Row],[Journal Description (Service Description)]],'Lookup Values'!$A:$B,2,FALSE))</f>
        <v/>
      </c>
    </row>
    <row r="135" spans="2:4" x14ac:dyDescent="0.35">
      <c r="B135" t="str">
        <f>IF(Table24254[[#This Row],[Branch Name]]="","",(_xlfn.XLOOKUP(Table24254[[#This Row],[Branch Name]],'Lookup Values'!G:G,'Lookup Values'!I:I,0)))</f>
        <v/>
      </c>
      <c r="D135" s="2" t="str">
        <f>IF(Table24254[[#This Row],[Journal Description (Service Description)]]="","",VLOOKUP(Table24254[[#This Row],[Journal Description (Service Description)]],'Lookup Values'!$A:$B,2,FALSE))</f>
        <v/>
      </c>
    </row>
    <row r="136" spans="2:4" x14ac:dyDescent="0.35">
      <c r="B136" t="str">
        <f>IF(Table24254[[#This Row],[Branch Name]]="","",(_xlfn.XLOOKUP(Table24254[[#This Row],[Branch Name]],'Lookup Values'!G:G,'Lookup Values'!I:I,0)))</f>
        <v/>
      </c>
      <c r="D136" s="2" t="str">
        <f>IF(Table24254[[#This Row],[Journal Description (Service Description)]]="","",VLOOKUP(Table24254[[#This Row],[Journal Description (Service Description)]],'Lookup Values'!$A:$B,2,FALSE))</f>
        <v/>
      </c>
    </row>
    <row r="137" spans="2:4" x14ac:dyDescent="0.35">
      <c r="B137" t="str">
        <f>IF(Table24254[[#This Row],[Branch Name]]="","",(_xlfn.XLOOKUP(Table24254[[#This Row],[Branch Name]],'Lookup Values'!G:G,'Lookup Values'!I:I,0)))</f>
        <v/>
      </c>
      <c r="D137" s="2" t="str">
        <f>IF(Table24254[[#This Row],[Journal Description (Service Description)]]="","",VLOOKUP(Table24254[[#This Row],[Journal Description (Service Description)]],'Lookup Values'!$A:$B,2,FALSE))</f>
        <v/>
      </c>
    </row>
    <row r="138" spans="2:4" x14ac:dyDescent="0.35">
      <c r="B138" t="str">
        <f>IF(Table24254[[#This Row],[Branch Name]]="","",(_xlfn.XLOOKUP(Table24254[[#This Row],[Branch Name]],'Lookup Values'!G:G,'Lookup Values'!I:I,0)))</f>
        <v/>
      </c>
      <c r="D138" s="2" t="str">
        <f>IF(Table24254[[#This Row],[Journal Description (Service Description)]]="","",VLOOKUP(Table24254[[#This Row],[Journal Description (Service Description)]],'Lookup Values'!$A:$B,2,FALSE))</f>
        <v/>
      </c>
    </row>
    <row r="139" spans="2:4" x14ac:dyDescent="0.35">
      <c r="B139" t="str">
        <f>IF(Table24254[[#This Row],[Branch Name]]="","",(_xlfn.XLOOKUP(Table24254[[#This Row],[Branch Name]],'Lookup Values'!G:G,'Lookup Values'!I:I,0)))</f>
        <v/>
      </c>
      <c r="D139" s="2" t="str">
        <f>IF(Table24254[[#This Row],[Journal Description (Service Description)]]="","",VLOOKUP(Table24254[[#This Row],[Journal Description (Service Description)]],'Lookup Values'!$A:$B,2,FALSE))</f>
        <v/>
      </c>
    </row>
    <row r="140" spans="2:4" x14ac:dyDescent="0.35">
      <c r="B140" t="str">
        <f>IF(Table24254[[#This Row],[Branch Name]]="","",(_xlfn.XLOOKUP(Table24254[[#This Row],[Branch Name]],'Lookup Values'!G:G,'Lookup Values'!I:I,0)))</f>
        <v/>
      </c>
      <c r="D140" s="2" t="str">
        <f>IF(Table24254[[#This Row],[Journal Description (Service Description)]]="","",VLOOKUP(Table24254[[#This Row],[Journal Description (Service Description)]],'Lookup Values'!$A:$B,2,FALSE))</f>
        <v/>
      </c>
    </row>
    <row r="141" spans="2:4" x14ac:dyDescent="0.35">
      <c r="B141" t="str">
        <f>IF(Table24254[[#This Row],[Branch Name]]="","",(_xlfn.XLOOKUP(Table24254[[#This Row],[Branch Name]],'Lookup Values'!G:G,'Lookup Values'!I:I,0)))</f>
        <v/>
      </c>
      <c r="D141" s="2" t="str">
        <f>IF(Table24254[[#This Row],[Journal Description (Service Description)]]="","",VLOOKUP(Table24254[[#This Row],[Journal Description (Service Description)]],'Lookup Values'!$A:$B,2,FALSE))</f>
        <v/>
      </c>
    </row>
    <row r="142" spans="2:4" x14ac:dyDescent="0.35">
      <c r="B142" t="str">
        <f>IF(Table24254[[#This Row],[Branch Name]]="","",(_xlfn.XLOOKUP(Table24254[[#This Row],[Branch Name]],'Lookup Values'!G:G,'Lookup Values'!I:I,0)))</f>
        <v/>
      </c>
      <c r="D142" s="2" t="str">
        <f>IF(Table24254[[#This Row],[Journal Description (Service Description)]]="","",VLOOKUP(Table24254[[#This Row],[Journal Description (Service Description)]],'Lookup Values'!$A:$B,2,FALSE))</f>
        <v/>
      </c>
    </row>
    <row r="143" spans="2:4" x14ac:dyDescent="0.35">
      <c r="B143" t="str">
        <f>IF(Table24254[[#This Row],[Branch Name]]="","",(_xlfn.XLOOKUP(Table24254[[#This Row],[Branch Name]],'Lookup Values'!G:G,'Lookup Values'!I:I,0)))</f>
        <v/>
      </c>
      <c r="D143" s="2" t="str">
        <f>IF(Table24254[[#This Row],[Journal Description (Service Description)]]="","",VLOOKUP(Table24254[[#This Row],[Journal Description (Service Description)]],'Lookup Values'!$A:$B,2,FALSE))</f>
        <v/>
      </c>
    </row>
    <row r="144" spans="2:4" x14ac:dyDescent="0.35">
      <c r="B144" t="str">
        <f>IF(Table24254[[#This Row],[Branch Name]]="","",(_xlfn.XLOOKUP(Table24254[[#This Row],[Branch Name]],'Lookup Values'!G:G,'Lookup Values'!I:I,0)))</f>
        <v/>
      </c>
      <c r="D144" s="2" t="str">
        <f>IF(Table24254[[#This Row],[Journal Description (Service Description)]]="","",VLOOKUP(Table24254[[#This Row],[Journal Description (Service Description)]],'Lookup Values'!$A:$B,2,FALSE))</f>
        <v/>
      </c>
    </row>
    <row r="145" spans="2:4" x14ac:dyDescent="0.35">
      <c r="B145" t="str">
        <f>IF(Table24254[[#This Row],[Branch Name]]="","",(_xlfn.XLOOKUP(Table24254[[#This Row],[Branch Name]],'Lookup Values'!G:G,'Lookup Values'!I:I,0)))</f>
        <v/>
      </c>
      <c r="D145" s="2" t="str">
        <f>IF(Table24254[[#This Row],[Journal Description (Service Description)]]="","",VLOOKUP(Table24254[[#This Row],[Journal Description (Service Description)]],'Lookup Values'!$A:$B,2,FALSE))</f>
        <v/>
      </c>
    </row>
    <row r="146" spans="2:4" x14ac:dyDescent="0.35">
      <c r="B146" t="str">
        <f>IF(Table24254[[#This Row],[Branch Name]]="","",(_xlfn.XLOOKUP(Table24254[[#This Row],[Branch Name]],'Lookup Values'!G:G,'Lookup Values'!I:I,0)))</f>
        <v/>
      </c>
      <c r="D146" s="2" t="str">
        <f>IF(Table24254[[#This Row],[Journal Description (Service Description)]]="","",VLOOKUP(Table24254[[#This Row],[Journal Description (Service Description)]],'Lookup Values'!$A:$B,2,FALSE))</f>
        <v/>
      </c>
    </row>
    <row r="147" spans="2:4" x14ac:dyDescent="0.35">
      <c r="B147" t="str">
        <f>IF(Table24254[[#This Row],[Branch Name]]="","",(_xlfn.XLOOKUP(Table24254[[#This Row],[Branch Name]],'Lookup Values'!G:G,'Lookup Values'!I:I,0)))</f>
        <v/>
      </c>
      <c r="D147" s="2" t="str">
        <f>IF(Table24254[[#This Row],[Journal Description (Service Description)]]="","",VLOOKUP(Table24254[[#This Row],[Journal Description (Service Description)]],'Lookup Values'!$A:$B,2,FALSE))</f>
        <v/>
      </c>
    </row>
    <row r="148" spans="2:4" x14ac:dyDescent="0.35">
      <c r="B148" t="str">
        <f>IF(Table24254[[#This Row],[Branch Name]]="","",(_xlfn.XLOOKUP(Table24254[[#This Row],[Branch Name]],'Lookup Values'!G:G,'Lookup Values'!I:I,0)))</f>
        <v/>
      </c>
      <c r="D148" s="2" t="str">
        <f>IF(Table24254[[#This Row],[Journal Description (Service Description)]]="","",VLOOKUP(Table24254[[#This Row],[Journal Description (Service Description)]],'Lookup Values'!$A:$B,2,FALSE))</f>
        <v/>
      </c>
    </row>
    <row r="149" spans="2:4" x14ac:dyDescent="0.35">
      <c r="B149" t="str">
        <f>IF(Table24254[[#This Row],[Branch Name]]="","",(_xlfn.XLOOKUP(Table24254[[#This Row],[Branch Name]],'Lookup Values'!G:G,'Lookup Values'!I:I,0)))</f>
        <v/>
      </c>
      <c r="D149" s="2" t="str">
        <f>IF(Table24254[[#This Row],[Journal Description (Service Description)]]="","",VLOOKUP(Table24254[[#This Row],[Journal Description (Service Description)]],'Lookup Values'!$A:$B,2,FALSE))</f>
        <v/>
      </c>
    </row>
    <row r="150" spans="2:4" x14ac:dyDescent="0.35">
      <c r="B150" t="str">
        <f>IF(Table24254[[#This Row],[Branch Name]]="","",(_xlfn.XLOOKUP(Table24254[[#This Row],[Branch Name]],'Lookup Values'!G:G,'Lookup Values'!I:I,0)))</f>
        <v/>
      </c>
      <c r="D150" s="2" t="str">
        <f>IF(Table24254[[#This Row],[Journal Description (Service Description)]]="","",VLOOKUP(Table24254[[#This Row],[Journal Description (Service Description)]],'Lookup Values'!$A:$B,2,FALSE))</f>
        <v/>
      </c>
    </row>
    <row r="151" spans="2:4" x14ac:dyDescent="0.35">
      <c r="B151" t="str">
        <f>IF(Table24254[[#This Row],[Branch Name]]="","",(_xlfn.XLOOKUP(Table24254[[#This Row],[Branch Name]],'Lookup Values'!G:G,'Lookup Values'!I:I,0)))</f>
        <v/>
      </c>
      <c r="D151" s="2" t="str">
        <f>IF(Table24254[[#This Row],[Journal Description (Service Description)]]="","",VLOOKUP(Table24254[[#This Row],[Journal Description (Service Description)]],'Lookup Values'!$A:$B,2,FALSE))</f>
        <v/>
      </c>
    </row>
    <row r="152" spans="2:4" x14ac:dyDescent="0.35">
      <c r="B152" t="str">
        <f>IF(Table24254[[#This Row],[Branch Name]]="","",(_xlfn.XLOOKUP(Table24254[[#This Row],[Branch Name]],'Lookup Values'!G:G,'Lookup Values'!I:I,0)))</f>
        <v/>
      </c>
      <c r="D152" s="2" t="str">
        <f>IF(Table24254[[#This Row],[Journal Description (Service Description)]]="","",VLOOKUP(Table24254[[#This Row],[Journal Description (Service Description)]],'Lookup Values'!$A:$B,2,FALSE))</f>
        <v/>
      </c>
    </row>
    <row r="153" spans="2:4" x14ac:dyDescent="0.35">
      <c r="B153" t="str">
        <f>IF(Table24254[[#This Row],[Branch Name]]="","",(_xlfn.XLOOKUP(Table24254[[#This Row],[Branch Name]],'Lookup Values'!G:G,'Lookup Values'!I:I,0)))</f>
        <v/>
      </c>
      <c r="D153" s="2" t="str">
        <f>IF(Table24254[[#This Row],[Journal Description (Service Description)]]="","",VLOOKUP(Table24254[[#This Row],[Journal Description (Service Description)]],'Lookup Values'!$A:$B,2,FALSE))</f>
        <v/>
      </c>
    </row>
    <row r="154" spans="2:4" x14ac:dyDescent="0.35">
      <c r="B154" t="str">
        <f>IF(Table24254[[#This Row],[Branch Name]]="","",(_xlfn.XLOOKUP(Table24254[[#This Row],[Branch Name]],'Lookup Values'!G:G,'Lookup Values'!I:I,0)))</f>
        <v/>
      </c>
      <c r="D154" s="2" t="str">
        <f>IF(Table24254[[#This Row],[Journal Description (Service Description)]]="","",VLOOKUP(Table24254[[#This Row],[Journal Description (Service Description)]],'Lookup Values'!$A:$B,2,FALSE))</f>
        <v/>
      </c>
    </row>
    <row r="155" spans="2:4" x14ac:dyDescent="0.35">
      <c r="B155" t="str">
        <f>IF(Table24254[[#This Row],[Branch Name]]="","",(_xlfn.XLOOKUP(Table24254[[#This Row],[Branch Name]],'Lookup Values'!G:G,'Lookup Values'!I:I,0)))</f>
        <v/>
      </c>
      <c r="D155" s="2" t="str">
        <f>IF(Table24254[[#This Row],[Journal Description (Service Description)]]="","",VLOOKUP(Table24254[[#This Row],[Journal Description (Service Description)]],'Lookup Values'!$A:$B,2,FALSE))</f>
        <v/>
      </c>
    </row>
    <row r="156" spans="2:4" x14ac:dyDescent="0.35">
      <c r="B156" t="str">
        <f>IF(Table24254[[#This Row],[Branch Name]]="","",(_xlfn.XLOOKUP(Table24254[[#This Row],[Branch Name]],'Lookup Values'!G:G,'Lookup Values'!I:I,0)))</f>
        <v/>
      </c>
      <c r="D156" s="2" t="str">
        <f>IF(Table24254[[#This Row],[Journal Description (Service Description)]]="","",VLOOKUP(Table24254[[#This Row],[Journal Description (Service Description)]],'Lookup Values'!$A:$B,2,FALSE))</f>
        <v/>
      </c>
    </row>
    <row r="157" spans="2:4" x14ac:dyDescent="0.35">
      <c r="B157" t="str">
        <f>IF(Table24254[[#This Row],[Branch Name]]="","",(_xlfn.XLOOKUP(Table24254[[#This Row],[Branch Name]],'Lookup Values'!G:G,'Lookup Values'!I:I,0)))</f>
        <v/>
      </c>
      <c r="D157" s="2" t="str">
        <f>IF(Table24254[[#This Row],[Journal Description (Service Description)]]="","",VLOOKUP(Table24254[[#This Row],[Journal Description (Service Description)]],'Lookup Values'!$A:$B,2,FALSE))</f>
        <v/>
      </c>
    </row>
    <row r="158" spans="2:4" x14ac:dyDescent="0.35">
      <c r="B158" t="str">
        <f>IF(Table24254[[#This Row],[Branch Name]]="","",(_xlfn.XLOOKUP(Table24254[[#This Row],[Branch Name]],'Lookup Values'!G:G,'Lookup Values'!I:I,0)))</f>
        <v/>
      </c>
      <c r="D158" s="2" t="str">
        <f>IF(Table24254[[#This Row],[Journal Description (Service Description)]]="","",VLOOKUP(Table24254[[#This Row],[Journal Description (Service Description)]],'Lookup Values'!$A:$B,2,FALSE))</f>
        <v/>
      </c>
    </row>
    <row r="159" spans="2:4" x14ac:dyDescent="0.35">
      <c r="B159" t="str">
        <f>IF(Table24254[[#This Row],[Branch Name]]="","",(_xlfn.XLOOKUP(Table24254[[#This Row],[Branch Name]],'Lookup Values'!G:G,'Lookup Values'!I:I,0)))</f>
        <v/>
      </c>
      <c r="D159" s="2" t="str">
        <f>IF(Table24254[[#This Row],[Journal Description (Service Description)]]="","",VLOOKUP(Table24254[[#This Row],[Journal Description (Service Description)]],'Lookup Values'!$A:$B,2,FALSE))</f>
        <v/>
      </c>
    </row>
    <row r="160" spans="2:4" x14ac:dyDescent="0.35">
      <c r="B160" t="str">
        <f>IF(Table24254[[#This Row],[Branch Name]]="","",(_xlfn.XLOOKUP(Table24254[[#This Row],[Branch Name]],'Lookup Values'!G:G,'Lookup Values'!I:I,0)))</f>
        <v/>
      </c>
      <c r="D160" s="2" t="str">
        <f>IF(Table24254[[#This Row],[Journal Description (Service Description)]]="","",VLOOKUP(Table24254[[#This Row],[Journal Description (Service Description)]],'Lookup Values'!$A:$B,2,FALSE))</f>
        <v/>
      </c>
    </row>
    <row r="161" spans="2:4" x14ac:dyDescent="0.35">
      <c r="B161" t="str">
        <f>IF(Table24254[[#This Row],[Branch Name]]="","",(_xlfn.XLOOKUP(Table24254[[#This Row],[Branch Name]],'Lookup Values'!G:G,'Lookup Values'!I:I,0)))</f>
        <v/>
      </c>
      <c r="D161" s="2" t="str">
        <f>IF(Table24254[[#This Row],[Journal Description (Service Description)]]="","",VLOOKUP(Table24254[[#This Row],[Journal Description (Service Description)]],'Lookup Values'!$A:$B,2,FALSE))</f>
        <v/>
      </c>
    </row>
    <row r="162" spans="2:4" x14ac:dyDescent="0.35">
      <c r="B162" t="str">
        <f>IF(Table24254[[#This Row],[Branch Name]]="","",(_xlfn.XLOOKUP(Table24254[[#This Row],[Branch Name]],'Lookup Values'!G:G,'Lookup Values'!I:I,0)))</f>
        <v/>
      </c>
      <c r="D162" s="2" t="str">
        <f>IF(Table24254[[#This Row],[Journal Description (Service Description)]]="","",VLOOKUP(Table24254[[#This Row],[Journal Description (Service Description)]],'Lookup Values'!$A:$B,2,FALSE))</f>
        <v/>
      </c>
    </row>
    <row r="163" spans="2:4" x14ac:dyDescent="0.35">
      <c r="B163" t="str">
        <f>IF(Table24254[[#This Row],[Branch Name]]="","",(_xlfn.XLOOKUP(Table24254[[#This Row],[Branch Name]],'Lookup Values'!G:G,'Lookup Values'!I:I,0)))</f>
        <v/>
      </c>
      <c r="D163" s="2" t="str">
        <f>IF(Table24254[[#This Row],[Journal Description (Service Description)]]="","",VLOOKUP(Table24254[[#This Row],[Journal Description (Service Description)]],'Lookup Values'!$A:$B,2,FALSE))</f>
        <v/>
      </c>
    </row>
    <row r="164" spans="2:4" x14ac:dyDescent="0.35">
      <c r="B164" t="str">
        <f>IF(Table24254[[#This Row],[Branch Name]]="","",(_xlfn.XLOOKUP(Table24254[[#This Row],[Branch Name]],'Lookup Values'!G:G,'Lookup Values'!I:I,0)))</f>
        <v/>
      </c>
      <c r="D164" s="2" t="str">
        <f>IF(Table24254[[#This Row],[Journal Description (Service Description)]]="","",VLOOKUP(Table24254[[#This Row],[Journal Description (Service Description)]],'Lookup Values'!$A:$B,2,FALSE))</f>
        <v/>
      </c>
    </row>
    <row r="165" spans="2:4" x14ac:dyDescent="0.35">
      <c r="B165" t="str">
        <f>IF(Table24254[[#This Row],[Branch Name]]="","",(_xlfn.XLOOKUP(Table24254[[#This Row],[Branch Name]],'Lookup Values'!G:G,'Lookup Values'!I:I,0)))</f>
        <v/>
      </c>
      <c r="D165" s="2" t="str">
        <f>IF(Table24254[[#This Row],[Journal Description (Service Description)]]="","",VLOOKUP(Table24254[[#This Row],[Journal Description (Service Description)]],'Lookup Values'!$A:$B,2,FALSE))</f>
        <v/>
      </c>
    </row>
    <row r="166" spans="2:4" x14ac:dyDescent="0.35">
      <c r="B166" t="str">
        <f>IF(Table24254[[#This Row],[Branch Name]]="","",(_xlfn.XLOOKUP(Table24254[[#This Row],[Branch Name]],'Lookup Values'!G:G,'Lookup Values'!I:I,0)))</f>
        <v/>
      </c>
      <c r="D166" s="2" t="str">
        <f>IF(Table24254[[#This Row],[Journal Description (Service Description)]]="","",VLOOKUP(Table24254[[#This Row],[Journal Description (Service Description)]],'Lookup Values'!$A:$B,2,FALSE))</f>
        <v/>
      </c>
    </row>
    <row r="167" spans="2:4" x14ac:dyDescent="0.35">
      <c r="B167" t="str">
        <f>IF(Table24254[[#This Row],[Branch Name]]="","",(_xlfn.XLOOKUP(Table24254[[#This Row],[Branch Name]],'Lookup Values'!G:G,'Lookup Values'!I:I,0)))</f>
        <v/>
      </c>
      <c r="D167" s="2" t="str">
        <f>IF(Table24254[[#This Row],[Journal Description (Service Description)]]="","",VLOOKUP(Table24254[[#This Row],[Journal Description (Service Description)]],'Lookup Values'!$A:$B,2,FALSE))</f>
        <v/>
      </c>
    </row>
    <row r="168" spans="2:4" x14ac:dyDescent="0.35">
      <c r="B168" t="str">
        <f>IF(Table24254[[#This Row],[Branch Name]]="","",(_xlfn.XLOOKUP(Table24254[[#This Row],[Branch Name]],'Lookup Values'!G:G,'Lookup Values'!I:I,0)))</f>
        <v/>
      </c>
      <c r="D168" s="2" t="str">
        <f>IF(Table24254[[#This Row],[Journal Description (Service Description)]]="","",VLOOKUP(Table24254[[#This Row],[Journal Description (Service Description)]],'Lookup Values'!$A:$B,2,FALSE))</f>
        <v/>
      </c>
    </row>
    <row r="169" spans="2:4" x14ac:dyDescent="0.35">
      <c r="B169" t="str">
        <f>IF(Table24254[[#This Row],[Branch Name]]="","",(_xlfn.XLOOKUP(Table24254[[#This Row],[Branch Name]],'Lookup Values'!G:G,'Lookup Values'!I:I,0)))</f>
        <v/>
      </c>
      <c r="D169" s="2" t="str">
        <f>IF(Table24254[[#This Row],[Journal Description (Service Description)]]="","",VLOOKUP(Table24254[[#This Row],[Journal Description (Service Description)]],'Lookup Values'!$A:$B,2,FALSE))</f>
        <v/>
      </c>
    </row>
    <row r="170" spans="2:4" x14ac:dyDescent="0.35">
      <c r="B170" t="str">
        <f>IF(Table24254[[#This Row],[Branch Name]]="","",(_xlfn.XLOOKUP(Table24254[[#This Row],[Branch Name]],'Lookup Values'!G:G,'Lookup Values'!I:I,0)))</f>
        <v/>
      </c>
      <c r="D170" s="2" t="str">
        <f>IF(Table24254[[#This Row],[Journal Description (Service Description)]]="","",VLOOKUP(Table24254[[#This Row],[Journal Description (Service Description)]],'Lookup Values'!$A:$B,2,FALSE))</f>
        <v/>
      </c>
    </row>
    <row r="171" spans="2:4" x14ac:dyDescent="0.35">
      <c r="B171" t="str">
        <f>IF(Table24254[[#This Row],[Branch Name]]="","",(_xlfn.XLOOKUP(Table24254[[#This Row],[Branch Name]],'Lookup Values'!G:G,'Lookup Values'!I:I,0)))</f>
        <v/>
      </c>
      <c r="D171" s="2" t="str">
        <f>IF(Table24254[[#This Row],[Journal Description (Service Description)]]="","",VLOOKUP(Table24254[[#This Row],[Journal Description (Service Description)]],'Lookup Values'!$A:$B,2,FALSE))</f>
        <v/>
      </c>
    </row>
    <row r="172" spans="2:4" x14ac:dyDescent="0.35">
      <c r="B172" t="str">
        <f>IF(Table24254[[#This Row],[Branch Name]]="","",(_xlfn.XLOOKUP(Table24254[[#This Row],[Branch Name]],'Lookup Values'!G:G,'Lookup Values'!I:I,0)))</f>
        <v/>
      </c>
      <c r="D172" s="2" t="str">
        <f>IF(Table24254[[#This Row],[Journal Description (Service Description)]]="","",VLOOKUP(Table24254[[#This Row],[Journal Description (Service Description)]],'Lookup Values'!$A:$B,2,FALSE))</f>
        <v/>
      </c>
    </row>
    <row r="173" spans="2:4" x14ac:dyDescent="0.35">
      <c r="B173" t="str">
        <f>IF(Table24254[[#This Row],[Branch Name]]="","",(_xlfn.XLOOKUP(Table24254[[#This Row],[Branch Name]],'Lookup Values'!G:G,'Lookup Values'!I:I,0)))</f>
        <v/>
      </c>
      <c r="D173" s="2" t="str">
        <f>IF(Table24254[[#This Row],[Journal Description (Service Description)]]="","",VLOOKUP(Table24254[[#This Row],[Journal Description (Service Description)]],'Lookup Values'!$A:$B,2,FALSE))</f>
        <v/>
      </c>
    </row>
    <row r="174" spans="2:4" x14ac:dyDescent="0.35">
      <c r="B174" t="str">
        <f>IF(Table24254[[#This Row],[Branch Name]]="","",(_xlfn.XLOOKUP(Table24254[[#This Row],[Branch Name]],'Lookup Values'!G:G,'Lookup Values'!I:I,0)))</f>
        <v/>
      </c>
      <c r="D174" s="2" t="str">
        <f>IF(Table24254[[#This Row],[Journal Description (Service Description)]]="","",VLOOKUP(Table24254[[#This Row],[Journal Description (Service Description)]],'Lookup Values'!$A:$B,2,FALSE))</f>
        <v/>
      </c>
    </row>
    <row r="175" spans="2:4" x14ac:dyDescent="0.35">
      <c r="B175" t="str">
        <f>IF(Table24254[[#This Row],[Branch Name]]="","",(_xlfn.XLOOKUP(Table24254[[#This Row],[Branch Name]],'Lookup Values'!G:G,'Lookup Values'!I:I,0)))</f>
        <v/>
      </c>
      <c r="D175" s="2" t="str">
        <f>IF(Table24254[[#This Row],[Journal Description (Service Description)]]="","",VLOOKUP(Table24254[[#This Row],[Journal Description (Service Description)]],'Lookup Values'!$A:$B,2,FALSE))</f>
        <v/>
      </c>
    </row>
    <row r="176" spans="2:4" x14ac:dyDescent="0.35">
      <c r="B176" t="str">
        <f>IF(Table24254[[#This Row],[Branch Name]]="","",(_xlfn.XLOOKUP(Table24254[[#This Row],[Branch Name]],'Lookup Values'!G:G,'Lookup Values'!I:I,0)))</f>
        <v/>
      </c>
      <c r="D176" s="2" t="str">
        <f>IF(Table24254[[#This Row],[Journal Description (Service Description)]]="","",VLOOKUP(Table24254[[#This Row],[Journal Description (Service Description)]],'Lookup Values'!$A:$B,2,FALSE))</f>
        <v/>
      </c>
    </row>
    <row r="177" spans="2:4" x14ac:dyDescent="0.35">
      <c r="B177" t="str">
        <f>IF(Table24254[[#This Row],[Branch Name]]="","",(_xlfn.XLOOKUP(Table24254[[#This Row],[Branch Name]],'Lookup Values'!G:G,'Lookup Values'!I:I,0)))</f>
        <v/>
      </c>
      <c r="D177" s="2" t="str">
        <f>IF(Table24254[[#This Row],[Journal Description (Service Description)]]="","",VLOOKUP(Table24254[[#This Row],[Journal Description (Service Description)]],'Lookup Values'!$A:$B,2,FALSE))</f>
        <v/>
      </c>
    </row>
    <row r="178" spans="2:4" x14ac:dyDescent="0.35">
      <c r="B178" t="str">
        <f>IF(Table24254[[#This Row],[Branch Name]]="","",(_xlfn.XLOOKUP(Table24254[[#This Row],[Branch Name]],'Lookup Values'!G:G,'Lookup Values'!I:I,0)))</f>
        <v/>
      </c>
      <c r="D178" s="2" t="str">
        <f>IF(Table24254[[#This Row],[Journal Description (Service Description)]]="","",VLOOKUP(Table24254[[#This Row],[Journal Description (Service Description)]],'Lookup Values'!$A:$B,2,FALSE))</f>
        <v/>
      </c>
    </row>
    <row r="179" spans="2:4" x14ac:dyDescent="0.35">
      <c r="B179" t="str">
        <f>IF(Table24254[[#This Row],[Branch Name]]="","",(_xlfn.XLOOKUP(Table24254[[#This Row],[Branch Name]],'Lookup Values'!G:G,'Lookup Values'!I:I,0)))</f>
        <v/>
      </c>
      <c r="D179" s="2" t="str">
        <f>IF(Table24254[[#This Row],[Journal Description (Service Description)]]="","",VLOOKUP(Table24254[[#This Row],[Journal Description (Service Description)]],'Lookup Values'!$A:$B,2,FALSE))</f>
        <v/>
      </c>
    </row>
    <row r="180" spans="2:4" x14ac:dyDescent="0.35">
      <c r="B180" t="str">
        <f>IF(Table24254[[#This Row],[Branch Name]]="","",(_xlfn.XLOOKUP(Table24254[[#This Row],[Branch Name]],'Lookup Values'!G:G,'Lookup Values'!I:I,0)))</f>
        <v/>
      </c>
      <c r="D180" s="2" t="str">
        <f>IF(Table24254[[#This Row],[Journal Description (Service Description)]]="","",VLOOKUP(Table24254[[#This Row],[Journal Description (Service Description)]],'Lookup Values'!$A:$B,2,FALSE))</f>
        <v/>
      </c>
    </row>
    <row r="181" spans="2:4" x14ac:dyDescent="0.35">
      <c r="B181" t="str">
        <f>IF(Table24254[[#This Row],[Branch Name]]="","",(_xlfn.XLOOKUP(Table24254[[#This Row],[Branch Name]],'Lookup Values'!G:G,'Lookup Values'!I:I,0)))</f>
        <v/>
      </c>
      <c r="D181" s="2" t="str">
        <f>IF(Table24254[[#This Row],[Journal Description (Service Description)]]="","",VLOOKUP(Table24254[[#This Row],[Journal Description (Service Description)]],'Lookup Values'!$A:$B,2,FALSE))</f>
        <v/>
      </c>
    </row>
    <row r="182" spans="2:4" x14ac:dyDescent="0.35">
      <c r="B182" t="str">
        <f>IF(Table24254[[#This Row],[Branch Name]]="","",(_xlfn.XLOOKUP(Table24254[[#This Row],[Branch Name]],'Lookup Values'!G:G,'Lookup Values'!I:I,0)))</f>
        <v/>
      </c>
      <c r="D182" s="2" t="str">
        <f>IF(Table24254[[#This Row],[Journal Description (Service Description)]]="","",VLOOKUP(Table24254[[#This Row],[Journal Description (Service Description)]],'Lookup Values'!$A:$B,2,FALSE))</f>
        <v/>
      </c>
    </row>
    <row r="183" spans="2:4" x14ac:dyDescent="0.35">
      <c r="B183" t="str">
        <f>IF(Table24254[[#This Row],[Branch Name]]="","",(_xlfn.XLOOKUP(Table24254[[#This Row],[Branch Name]],'Lookup Values'!G:G,'Lookup Values'!I:I,0)))</f>
        <v/>
      </c>
      <c r="D183" s="2" t="str">
        <f>IF(Table24254[[#This Row],[Journal Description (Service Description)]]="","",VLOOKUP(Table24254[[#This Row],[Journal Description (Service Description)]],'Lookup Values'!$A:$B,2,FALSE))</f>
        <v/>
      </c>
    </row>
    <row r="184" spans="2:4" x14ac:dyDescent="0.35">
      <c r="B184" t="str">
        <f>IF(Table24254[[#This Row],[Branch Name]]="","",(_xlfn.XLOOKUP(Table24254[[#This Row],[Branch Name]],'Lookup Values'!G:G,'Lookup Values'!I:I,0)))</f>
        <v/>
      </c>
      <c r="D184" s="2" t="str">
        <f>IF(Table24254[[#This Row],[Journal Description (Service Description)]]="","",VLOOKUP(Table24254[[#This Row],[Journal Description (Service Description)]],'Lookup Values'!$A:$B,2,FALSE))</f>
        <v/>
      </c>
    </row>
    <row r="185" spans="2:4" x14ac:dyDescent="0.35">
      <c r="B185" t="str">
        <f>IF(Table24254[[#This Row],[Branch Name]]="","",(_xlfn.XLOOKUP(Table24254[[#This Row],[Branch Name]],'Lookup Values'!G:G,'Lookup Values'!I:I,0)))</f>
        <v/>
      </c>
      <c r="D185" s="2" t="str">
        <f>IF(Table24254[[#This Row],[Journal Description (Service Description)]]="","",VLOOKUP(Table24254[[#This Row],[Journal Description (Service Description)]],'Lookup Values'!$A:$B,2,FALSE))</f>
        <v/>
      </c>
    </row>
    <row r="186" spans="2:4" x14ac:dyDescent="0.35">
      <c r="B186" t="str">
        <f>IF(Table24254[[#This Row],[Branch Name]]="","",(_xlfn.XLOOKUP(Table24254[[#This Row],[Branch Name]],'Lookup Values'!G:G,'Lookup Values'!I:I,0)))</f>
        <v/>
      </c>
      <c r="D186" s="2" t="str">
        <f>IF(Table24254[[#This Row],[Journal Description (Service Description)]]="","",VLOOKUP(Table24254[[#This Row],[Journal Description (Service Description)]],'Lookup Values'!$A:$B,2,FALSE))</f>
        <v/>
      </c>
    </row>
    <row r="187" spans="2:4" x14ac:dyDescent="0.35">
      <c r="B187" t="str">
        <f>IF(Table24254[[#This Row],[Branch Name]]="","",(_xlfn.XLOOKUP(Table24254[[#This Row],[Branch Name]],'Lookup Values'!G:G,'Lookup Values'!I:I,0)))</f>
        <v/>
      </c>
      <c r="D187" s="2" t="str">
        <f>IF(Table24254[[#This Row],[Journal Description (Service Description)]]="","",VLOOKUP(Table24254[[#This Row],[Journal Description (Service Description)]],'Lookup Values'!$A:$B,2,FALSE))</f>
        <v/>
      </c>
    </row>
    <row r="188" spans="2:4" x14ac:dyDescent="0.35">
      <c r="B188" t="str">
        <f>IF(Table24254[[#This Row],[Branch Name]]="","",(_xlfn.XLOOKUP(Table24254[[#This Row],[Branch Name]],'Lookup Values'!G:G,'Lookup Values'!I:I,0)))</f>
        <v/>
      </c>
      <c r="D188" s="2" t="str">
        <f>IF(Table24254[[#This Row],[Journal Description (Service Description)]]="","",VLOOKUP(Table24254[[#This Row],[Journal Description (Service Description)]],'Lookup Values'!$A:$B,2,FALSE))</f>
        <v/>
      </c>
    </row>
    <row r="189" spans="2:4" x14ac:dyDescent="0.35">
      <c r="B189" t="str">
        <f>IF(Table24254[[#This Row],[Branch Name]]="","",(_xlfn.XLOOKUP(Table24254[[#This Row],[Branch Name]],'Lookup Values'!G:G,'Lookup Values'!I:I,0)))</f>
        <v/>
      </c>
      <c r="D189" s="2" t="str">
        <f>IF(Table24254[[#This Row],[Journal Description (Service Description)]]="","",VLOOKUP(Table24254[[#This Row],[Journal Description (Service Description)]],'Lookup Values'!$A:$B,2,FALSE))</f>
        <v/>
      </c>
    </row>
    <row r="190" spans="2:4" x14ac:dyDescent="0.35">
      <c r="B190" t="str">
        <f>IF(Table24254[[#This Row],[Branch Name]]="","",(_xlfn.XLOOKUP(Table24254[[#This Row],[Branch Name]],'Lookup Values'!G:G,'Lookup Values'!I:I,0)))</f>
        <v/>
      </c>
      <c r="D190" s="2" t="str">
        <f>IF(Table24254[[#This Row],[Journal Description (Service Description)]]="","",VLOOKUP(Table24254[[#This Row],[Journal Description (Service Description)]],'Lookup Values'!$A:$B,2,FALSE))</f>
        <v/>
      </c>
    </row>
    <row r="191" spans="2:4" x14ac:dyDescent="0.35">
      <c r="B191" t="str">
        <f>IF(Table24254[[#This Row],[Branch Name]]="","",(_xlfn.XLOOKUP(Table24254[[#This Row],[Branch Name]],'Lookup Values'!G:G,'Lookup Values'!I:I,0)))</f>
        <v/>
      </c>
      <c r="D191" s="2" t="str">
        <f>IF(Table24254[[#This Row],[Journal Description (Service Description)]]="","",VLOOKUP(Table24254[[#This Row],[Journal Description (Service Description)]],'Lookup Values'!$A:$B,2,FALSE))</f>
        <v/>
      </c>
    </row>
    <row r="192" spans="2:4" x14ac:dyDescent="0.35">
      <c r="B192" t="str">
        <f>IF(Table24254[[#This Row],[Branch Name]]="","",(_xlfn.XLOOKUP(Table24254[[#This Row],[Branch Name]],'Lookup Values'!G:G,'Lookup Values'!I:I,0)))</f>
        <v/>
      </c>
      <c r="D192" s="2" t="str">
        <f>IF(Table24254[[#This Row],[Journal Description (Service Description)]]="","",VLOOKUP(Table24254[[#This Row],[Journal Description (Service Description)]],'Lookup Values'!$A:$B,2,FALSE))</f>
        <v/>
      </c>
    </row>
    <row r="193" spans="2:4" x14ac:dyDescent="0.35">
      <c r="B193" t="str">
        <f>IF(Table24254[[#This Row],[Branch Name]]="","",(_xlfn.XLOOKUP(Table24254[[#This Row],[Branch Name]],'Lookup Values'!G:G,'Lookup Values'!I:I,0)))</f>
        <v/>
      </c>
      <c r="D193" s="2" t="str">
        <f>IF(Table24254[[#This Row],[Journal Description (Service Description)]]="","",VLOOKUP(Table24254[[#This Row],[Journal Description (Service Description)]],'Lookup Values'!$A:$B,2,FALSE))</f>
        <v/>
      </c>
    </row>
    <row r="194" spans="2:4" x14ac:dyDescent="0.35">
      <c r="B194" t="str">
        <f>IF(Table24254[[#This Row],[Branch Name]]="","",(_xlfn.XLOOKUP(Table24254[[#This Row],[Branch Name]],'Lookup Values'!G:G,'Lookup Values'!I:I,0)))</f>
        <v/>
      </c>
      <c r="D194" s="2" t="str">
        <f>IF(Table24254[[#This Row],[Journal Description (Service Description)]]="","",VLOOKUP(Table24254[[#This Row],[Journal Description (Service Description)]],'Lookup Values'!$A:$B,2,FALSE))</f>
        <v/>
      </c>
    </row>
    <row r="195" spans="2:4" x14ac:dyDescent="0.35">
      <c r="B195" t="str">
        <f>IF(Table24254[[#This Row],[Branch Name]]="","",(_xlfn.XLOOKUP(Table24254[[#This Row],[Branch Name]],'Lookup Values'!G:G,'Lookup Values'!I:I,0)))</f>
        <v/>
      </c>
      <c r="D195" s="2" t="str">
        <f>IF(Table24254[[#This Row],[Journal Description (Service Description)]]="","",VLOOKUP(Table24254[[#This Row],[Journal Description (Service Description)]],'Lookup Values'!$A:$B,2,FALSE))</f>
        <v/>
      </c>
    </row>
    <row r="196" spans="2:4" x14ac:dyDescent="0.35">
      <c r="B196" t="str">
        <f>IF(Table24254[[#This Row],[Branch Name]]="","",(_xlfn.XLOOKUP(Table24254[[#This Row],[Branch Name]],'Lookup Values'!G:G,'Lookup Values'!I:I,0)))</f>
        <v/>
      </c>
      <c r="D196" s="2" t="str">
        <f>IF(Table24254[[#This Row],[Journal Description (Service Description)]]="","",VLOOKUP(Table24254[[#This Row],[Journal Description (Service Description)]],'Lookup Values'!$A:$B,2,FALSE))</f>
        <v/>
      </c>
    </row>
    <row r="197" spans="2:4" x14ac:dyDescent="0.35">
      <c r="B197" t="str">
        <f>IF(Table24254[[#This Row],[Branch Name]]="","",(_xlfn.XLOOKUP(Table24254[[#This Row],[Branch Name]],'Lookup Values'!G:G,'Lookup Values'!I:I,0)))</f>
        <v/>
      </c>
      <c r="D197" s="2" t="str">
        <f>IF(Table24254[[#This Row],[Journal Description (Service Description)]]="","",VLOOKUP(Table24254[[#This Row],[Journal Description (Service Description)]],'Lookup Values'!$A:$B,2,FALSE))</f>
        <v/>
      </c>
    </row>
    <row r="198" spans="2:4" x14ac:dyDescent="0.35">
      <c r="B198" t="str">
        <f>IF(Table24254[[#This Row],[Branch Name]]="","",(_xlfn.XLOOKUP(Table24254[[#This Row],[Branch Name]],'Lookup Values'!G:G,'Lookup Values'!I:I,0)))</f>
        <v/>
      </c>
      <c r="D198" s="2" t="str">
        <f>IF(Table24254[[#This Row],[Journal Description (Service Description)]]="","",VLOOKUP(Table24254[[#This Row],[Journal Description (Service Description)]],'Lookup Values'!$A:$B,2,FALSE))</f>
        <v/>
      </c>
    </row>
    <row r="199" spans="2:4" x14ac:dyDescent="0.35">
      <c r="B199" t="str">
        <f>IF(Table24254[[#This Row],[Branch Name]]="","",(_xlfn.XLOOKUP(Table24254[[#This Row],[Branch Name]],'Lookup Values'!G:G,'Lookup Values'!I:I,0)))</f>
        <v/>
      </c>
      <c r="D199" s="2" t="str">
        <f>IF(Table24254[[#This Row],[Journal Description (Service Description)]]="","",VLOOKUP(Table24254[[#This Row],[Journal Description (Service Description)]],'Lookup Values'!$A:$B,2,FALSE))</f>
        <v/>
      </c>
    </row>
    <row r="200" spans="2:4" x14ac:dyDescent="0.35">
      <c r="B200" t="str">
        <f>IF(Table24254[[#This Row],[Branch Name]]="","",(_xlfn.XLOOKUP(Table24254[[#This Row],[Branch Name]],'Lookup Values'!G:G,'Lookup Values'!I:I,0)))</f>
        <v/>
      </c>
      <c r="D200" s="2" t="str">
        <f>IF(Table24254[[#This Row],[Journal Description (Service Description)]]="","",VLOOKUP(Table24254[[#This Row],[Journal Description (Service Description)]],'Lookup Values'!$A:$B,2,FALSE))</f>
        <v/>
      </c>
    </row>
    <row r="201" spans="2:4" x14ac:dyDescent="0.35">
      <c r="B201" t="str">
        <f>IF(Table24254[[#This Row],[Branch Name]]="","",(_xlfn.XLOOKUP(Table24254[[#This Row],[Branch Name]],'Lookup Values'!G:G,'Lookup Values'!I:I,0)))</f>
        <v/>
      </c>
      <c r="D201" s="2" t="str">
        <f>IF(Table24254[[#This Row],[Journal Description (Service Description)]]="","",VLOOKUP(Table24254[[#This Row],[Journal Description (Service Description)]],'Lookup Values'!$A:$B,2,FALSE))</f>
        <v/>
      </c>
    </row>
    <row r="202" spans="2:4" x14ac:dyDescent="0.35">
      <c r="B202" t="str">
        <f>IF(Table24254[[#This Row],[Branch Name]]="","",(_xlfn.XLOOKUP(Table24254[[#This Row],[Branch Name]],'Lookup Values'!G:G,'Lookup Values'!I:I,0)))</f>
        <v/>
      </c>
      <c r="D202" s="2" t="str">
        <f>IF(Table24254[[#This Row],[Journal Description (Service Description)]]="","",VLOOKUP(Table24254[[#This Row],[Journal Description (Service Description)]],'Lookup Values'!$A:$B,2,FALSE))</f>
        <v/>
      </c>
    </row>
    <row r="203" spans="2:4" x14ac:dyDescent="0.35">
      <c r="B203" t="str">
        <f>IF(Table24254[[#This Row],[Branch Name]]="","",(_xlfn.XLOOKUP(Table24254[[#This Row],[Branch Name]],'Lookup Values'!G:G,'Lookup Values'!I:I,0)))</f>
        <v/>
      </c>
      <c r="D203" s="2" t="str">
        <f>IF(Table24254[[#This Row],[Journal Description (Service Description)]]="","",VLOOKUP(Table24254[[#This Row],[Journal Description (Service Description)]],'Lookup Values'!$A:$B,2,FALSE))</f>
        <v/>
      </c>
    </row>
    <row r="204" spans="2:4" x14ac:dyDescent="0.35">
      <c r="B204" t="str">
        <f>IF(Table24254[[#This Row],[Branch Name]]="","",(_xlfn.XLOOKUP(Table24254[[#This Row],[Branch Name]],'Lookup Values'!G:G,'Lookup Values'!I:I,0)))</f>
        <v/>
      </c>
      <c r="D204" s="2" t="str">
        <f>IF(Table24254[[#This Row],[Journal Description (Service Description)]]="","",VLOOKUP(Table24254[[#This Row],[Journal Description (Service Description)]],'Lookup Values'!$A:$B,2,FALSE))</f>
        <v/>
      </c>
    </row>
    <row r="205" spans="2:4" x14ac:dyDescent="0.35">
      <c r="B205" t="str">
        <f>IF(Table24254[[#This Row],[Branch Name]]="","",(_xlfn.XLOOKUP(Table24254[[#This Row],[Branch Name]],'Lookup Values'!G:G,'Lookup Values'!I:I,0)))</f>
        <v/>
      </c>
      <c r="D205" s="2" t="str">
        <f>IF(Table24254[[#This Row],[Journal Description (Service Description)]]="","",VLOOKUP(Table24254[[#This Row],[Journal Description (Service Description)]],'Lookup Values'!$A:$B,2,FALSE))</f>
        <v/>
      </c>
    </row>
    <row r="206" spans="2:4" x14ac:dyDescent="0.35">
      <c r="B206" t="str">
        <f>IF(Table24254[[#This Row],[Branch Name]]="","",(_xlfn.XLOOKUP(Table24254[[#This Row],[Branch Name]],'Lookup Values'!G:G,'Lookup Values'!I:I,0)))</f>
        <v/>
      </c>
      <c r="D206" s="2" t="str">
        <f>IF(Table24254[[#This Row],[Journal Description (Service Description)]]="","",VLOOKUP(Table24254[[#This Row],[Journal Description (Service Description)]],'Lookup Values'!$A:$B,2,FALSE))</f>
        <v/>
      </c>
    </row>
    <row r="207" spans="2:4" x14ac:dyDescent="0.35">
      <c r="B207" t="str">
        <f>IF(Table24254[[#This Row],[Branch Name]]="","",(_xlfn.XLOOKUP(Table24254[[#This Row],[Branch Name]],'Lookup Values'!G:G,'Lookup Values'!I:I,0)))</f>
        <v/>
      </c>
      <c r="D207" s="2" t="str">
        <f>IF(Table24254[[#This Row],[Journal Description (Service Description)]]="","",VLOOKUP(Table24254[[#This Row],[Journal Description (Service Description)]],'Lookup Values'!$A:$B,2,FALSE))</f>
        <v/>
      </c>
    </row>
    <row r="208" spans="2:4" x14ac:dyDescent="0.35">
      <c r="B208" t="str">
        <f>IF(Table24254[[#This Row],[Branch Name]]="","",(_xlfn.XLOOKUP(Table24254[[#This Row],[Branch Name]],'Lookup Values'!G:G,'Lookup Values'!I:I,0)))</f>
        <v/>
      </c>
      <c r="D208" s="2" t="str">
        <f>IF(Table24254[[#This Row],[Journal Description (Service Description)]]="","",VLOOKUP(Table24254[[#This Row],[Journal Description (Service Description)]],'Lookup Values'!$A:$B,2,FALSE))</f>
        <v/>
      </c>
    </row>
    <row r="209" spans="2:4" x14ac:dyDescent="0.35">
      <c r="B209" t="str">
        <f>IF(Table24254[[#This Row],[Branch Name]]="","",(_xlfn.XLOOKUP(Table24254[[#This Row],[Branch Name]],'Lookup Values'!G:G,'Lookup Values'!I:I,0)))</f>
        <v/>
      </c>
      <c r="D209" s="2" t="str">
        <f>IF(Table24254[[#This Row],[Journal Description (Service Description)]]="","",VLOOKUP(Table24254[[#This Row],[Journal Description (Service Description)]],'Lookup Values'!$A:$B,2,FALSE))</f>
        <v/>
      </c>
    </row>
    <row r="210" spans="2:4" x14ac:dyDescent="0.35">
      <c r="B210" t="str">
        <f>IF(Table24254[[#This Row],[Branch Name]]="","",(_xlfn.XLOOKUP(Table24254[[#This Row],[Branch Name]],'Lookup Values'!G:G,'Lookup Values'!I:I,0)))</f>
        <v/>
      </c>
      <c r="D210" s="2" t="str">
        <f>IF(Table24254[[#This Row],[Journal Description (Service Description)]]="","",VLOOKUP(Table24254[[#This Row],[Journal Description (Service Description)]],'Lookup Values'!$A:$B,2,FALSE))</f>
        <v/>
      </c>
    </row>
    <row r="211" spans="2:4" x14ac:dyDescent="0.35">
      <c r="B211" t="str">
        <f>IF(Table24254[[#This Row],[Branch Name]]="","",(_xlfn.XLOOKUP(Table24254[[#This Row],[Branch Name]],'Lookup Values'!G:G,'Lookup Values'!I:I,0)))</f>
        <v/>
      </c>
      <c r="D211" s="2" t="str">
        <f>IF(Table24254[[#This Row],[Journal Description (Service Description)]]="","",VLOOKUP(Table24254[[#This Row],[Journal Description (Service Description)]],'Lookup Values'!$A:$B,2,FALSE))</f>
        <v/>
      </c>
    </row>
    <row r="212" spans="2:4" x14ac:dyDescent="0.35">
      <c r="B212" t="str">
        <f>IF(Table24254[[#This Row],[Branch Name]]="","",(_xlfn.XLOOKUP(Table24254[[#This Row],[Branch Name]],'Lookup Values'!G:G,'Lookup Values'!I:I,0)))</f>
        <v/>
      </c>
      <c r="D212" s="2" t="str">
        <f>IF(Table24254[[#This Row],[Journal Description (Service Description)]]="","",VLOOKUP(Table24254[[#This Row],[Journal Description (Service Description)]],'Lookup Values'!$A:$B,2,FALSE))</f>
        <v/>
      </c>
    </row>
    <row r="213" spans="2:4" x14ac:dyDescent="0.35">
      <c r="B213" t="str">
        <f>IF(Table24254[[#This Row],[Branch Name]]="","",(_xlfn.XLOOKUP(Table24254[[#This Row],[Branch Name]],'Lookup Values'!G:G,'Lookup Values'!I:I,0)))</f>
        <v/>
      </c>
      <c r="D213" s="2" t="str">
        <f>IF(Table24254[[#This Row],[Journal Description (Service Description)]]="","",VLOOKUP(Table24254[[#This Row],[Journal Description (Service Description)]],'Lookup Values'!$A:$B,2,FALSE))</f>
        <v/>
      </c>
    </row>
    <row r="214" spans="2:4" x14ac:dyDescent="0.35">
      <c r="B214" t="str">
        <f>IF(Table24254[[#This Row],[Branch Name]]="","",(_xlfn.XLOOKUP(Table24254[[#This Row],[Branch Name]],'Lookup Values'!G:G,'Lookup Values'!I:I,0)))</f>
        <v/>
      </c>
      <c r="D214" s="2" t="str">
        <f>IF(Table24254[[#This Row],[Journal Description (Service Description)]]="","",VLOOKUP(Table24254[[#This Row],[Journal Description (Service Description)]],'Lookup Values'!$A:$B,2,FALSE))</f>
        <v/>
      </c>
    </row>
    <row r="215" spans="2:4" x14ac:dyDescent="0.35">
      <c r="B215" t="str">
        <f>IF(Table24254[[#This Row],[Branch Name]]="","",(_xlfn.XLOOKUP(Table24254[[#This Row],[Branch Name]],'Lookup Values'!G:G,'Lookup Values'!I:I,0)))</f>
        <v/>
      </c>
      <c r="D215" s="2" t="str">
        <f>IF(Table24254[[#This Row],[Journal Description (Service Description)]]="","",VLOOKUP(Table24254[[#This Row],[Journal Description (Service Description)]],'Lookup Values'!$A:$B,2,FALSE))</f>
        <v/>
      </c>
    </row>
    <row r="216" spans="2:4" x14ac:dyDescent="0.35">
      <c r="B216" t="str">
        <f>IF(Table24254[[#This Row],[Branch Name]]="","",(_xlfn.XLOOKUP(Table24254[[#This Row],[Branch Name]],'Lookup Values'!G:G,'Lookup Values'!I:I,0)))</f>
        <v/>
      </c>
      <c r="D216" s="2" t="str">
        <f>IF(Table24254[[#This Row],[Journal Description (Service Description)]]="","",VLOOKUP(Table24254[[#This Row],[Journal Description (Service Description)]],'Lookup Values'!$A:$B,2,FALSE))</f>
        <v/>
      </c>
    </row>
    <row r="217" spans="2:4" x14ac:dyDescent="0.35">
      <c r="B217" t="str">
        <f>IF(Table24254[[#This Row],[Branch Name]]="","",(_xlfn.XLOOKUP(Table24254[[#This Row],[Branch Name]],'Lookup Values'!G:G,'Lookup Values'!I:I,0)))</f>
        <v/>
      </c>
      <c r="D217" s="2" t="str">
        <f>IF(Table24254[[#This Row],[Journal Description (Service Description)]]="","",VLOOKUP(Table24254[[#This Row],[Journal Description (Service Description)]],'Lookup Values'!$A:$B,2,FALSE))</f>
        <v/>
      </c>
    </row>
    <row r="218" spans="2:4" x14ac:dyDescent="0.35">
      <c r="B218" t="str">
        <f>IF(Table24254[[#This Row],[Branch Name]]="","",(_xlfn.XLOOKUP(Table24254[[#This Row],[Branch Name]],'Lookup Values'!G:G,'Lookup Values'!I:I,0)))</f>
        <v/>
      </c>
      <c r="D218" s="2" t="str">
        <f>IF(Table24254[[#This Row],[Journal Description (Service Description)]]="","",VLOOKUP(Table24254[[#This Row],[Journal Description (Service Description)]],'Lookup Values'!$A:$B,2,FALSE))</f>
        <v/>
      </c>
    </row>
    <row r="219" spans="2:4" x14ac:dyDescent="0.35">
      <c r="B219" t="str">
        <f>IF(Table24254[[#This Row],[Branch Name]]="","",(_xlfn.XLOOKUP(Table24254[[#This Row],[Branch Name]],'Lookup Values'!G:G,'Lookup Values'!I:I,0)))</f>
        <v/>
      </c>
      <c r="D219" s="2" t="str">
        <f>IF(Table24254[[#This Row],[Journal Description (Service Description)]]="","",VLOOKUP(Table24254[[#This Row],[Journal Description (Service Description)]],'Lookup Values'!$A:$B,2,FALSE))</f>
        <v/>
      </c>
    </row>
    <row r="220" spans="2:4" x14ac:dyDescent="0.35">
      <c r="B220" t="str">
        <f>IF(Table24254[[#This Row],[Branch Name]]="","",(_xlfn.XLOOKUP(Table24254[[#This Row],[Branch Name]],'Lookup Values'!G:G,'Lookup Values'!I:I,0)))</f>
        <v/>
      </c>
      <c r="D220" s="2" t="str">
        <f>IF(Table24254[[#This Row],[Journal Description (Service Description)]]="","",VLOOKUP(Table24254[[#This Row],[Journal Description (Service Description)]],'Lookup Values'!$A:$B,2,FALSE))</f>
        <v/>
      </c>
    </row>
    <row r="221" spans="2:4" x14ac:dyDescent="0.35">
      <c r="B221" t="str">
        <f>IF(Table24254[[#This Row],[Branch Name]]="","",(_xlfn.XLOOKUP(Table24254[[#This Row],[Branch Name]],'Lookup Values'!G:G,'Lookup Values'!I:I,0)))</f>
        <v/>
      </c>
      <c r="D221" s="2" t="str">
        <f>IF(Table24254[[#This Row],[Journal Description (Service Description)]]="","",VLOOKUP(Table24254[[#This Row],[Journal Description (Service Description)]],'Lookup Values'!$A:$B,2,FALSE))</f>
        <v/>
      </c>
    </row>
    <row r="222" spans="2:4" x14ac:dyDescent="0.35">
      <c r="B222" t="str">
        <f>IF(Table24254[[#This Row],[Branch Name]]="","",(_xlfn.XLOOKUP(Table24254[[#This Row],[Branch Name]],'Lookup Values'!G:G,'Lookup Values'!I:I,0)))</f>
        <v/>
      </c>
      <c r="D222" s="2" t="str">
        <f>IF(Table24254[[#This Row],[Journal Description (Service Description)]]="","",VLOOKUP(Table24254[[#This Row],[Journal Description (Service Description)]],'Lookup Values'!$A:$B,2,FALSE))</f>
        <v/>
      </c>
    </row>
    <row r="223" spans="2:4" x14ac:dyDescent="0.35">
      <c r="B223" t="str">
        <f>IF(Table24254[[#This Row],[Branch Name]]="","",(_xlfn.XLOOKUP(Table24254[[#This Row],[Branch Name]],'Lookup Values'!G:G,'Lookup Values'!I:I,0)))</f>
        <v/>
      </c>
      <c r="D223" s="2" t="str">
        <f>IF(Table24254[[#This Row],[Journal Description (Service Description)]]="","",VLOOKUP(Table24254[[#This Row],[Journal Description (Service Description)]],'Lookup Values'!$A:$B,2,FALSE))</f>
        <v/>
      </c>
    </row>
    <row r="224" spans="2:4" x14ac:dyDescent="0.35">
      <c r="B224" t="str">
        <f>IF(Table24254[[#This Row],[Branch Name]]="","",(_xlfn.XLOOKUP(Table24254[[#This Row],[Branch Name]],'Lookup Values'!G:G,'Lookup Values'!I:I,0)))</f>
        <v/>
      </c>
      <c r="D224" s="2" t="str">
        <f>IF(Table24254[[#This Row],[Journal Description (Service Description)]]="","",VLOOKUP(Table24254[[#This Row],[Journal Description (Service Description)]],'Lookup Values'!$A:$B,2,FALSE))</f>
        <v/>
      </c>
    </row>
    <row r="225" spans="2:4" x14ac:dyDescent="0.35">
      <c r="B225" t="str">
        <f>IF(Table24254[[#This Row],[Branch Name]]="","",(_xlfn.XLOOKUP(Table24254[[#This Row],[Branch Name]],'Lookup Values'!G:G,'Lookup Values'!I:I,0)))</f>
        <v/>
      </c>
      <c r="D225" s="2" t="str">
        <f>IF(Table24254[[#This Row],[Journal Description (Service Description)]]="","",VLOOKUP(Table24254[[#This Row],[Journal Description (Service Description)]],'Lookup Values'!$A:$B,2,FALSE))</f>
        <v/>
      </c>
    </row>
    <row r="226" spans="2:4" x14ac:dyDescent="0.35">
      <c r="B226" t="str">
        <f>IF(Table24254[[#This Row],[Branch Name]]="","",(_xlfn.XLOOKUP(Table24254[[#This Row],[Branch Name]],'Lookup Values'!G:G,'Lookup Values'!I:I,0)))</f>
        <v/>
      </c>
      <c r="D226" s="2" t="str">
        <f>IF(Table24254[[#This Row],[Journal Description (Service Description)]]="","",VLOOKUP(Table24254[[#This Row],[Journal Description (Service Description)]],'Lookup Values'!$A:$B,2,FALSE))</f>
        <v/>
      </c>
    </row>
    <row r="227" spans="2:4" x14ac:dyDescent="0.35">
      <c r="B227" t="str">
        <f>IF(Table24254[[#This Row],[Branch Name]]="","",(_xlfn.XLOOKUP(Table24254[[#This Row],[Branch Name]],'Lookup Values'!G:G,'Lookup Values'!I:I,0)))</f>
        <v/>
      </c>
      <c r="D227" s="2" t="str">
        <f>IF(Table24254[[#This Row],[Journal Description (Service Description)]]="","",VLOOKUP(Table24254[[#This Row],[Journal Description (Service Description)]],'Lookup Values'!$A:$B,2,FALSE))</f>
        <v/>
      </c>
    </row>
    <row r="228" spans="2:4" x14ac:dyDescent="0.35">
      <c r="B228" t="str">
        <f>IF(Table24254[[#This Row],[Branch Name]]="","",(_xlfn.XLOOKUP(Table24254[[#This Row],[Branch Name]],'Lookup Values'!G:G,'Lookup Values'!I:I,0)))</f>
        <v/>
      </c>
      <c r="D228" s="2" t="str">
        <f>IF(Table24254[[#This Row],[Journal Description (Service Description)]]="","",VLOOKUP(Table24254[[#This Row],[Journal Description (Service Description)]],'Lookup Values'!$A:$B,2,FALSE))</f>
        <v/>
      </c>
    </row>
    <row r="229" spans="2:4" x14ac:dyDescent="0.35">
      <c r="B229" t="str">
        <f>IF(Table24254[[#This Row],[Branch Name]]="","",(_xlfn.XLOOKUP(Table24254[[#This Row],[Branch Name]],'Lookup Values'!G:G,'Lookup Values'!I:I,0)))</f>
        <v/>
      </c>
      <c r="D229" s="2" t="str">
        <f>IF(Table24254[[#This Row],[Journal Description (Service Description)]]="","",VLOOKUP(Table24254[[#This Row],[Journal Description (Service Description)]],'Lookup Values'!$A:$B,2,FALSE))</f>
        <v/>
      </c>
    </row>
    <row r="230" spans="2:4" x14ac:dyDescent="0.35">
      <c r="B230" t="str">
        <f>IF(Table24254[[#This Row],[Branch Name]]="","",(_xlfn.XLOOKUP(Table24254[[#This Row],[Branch Name]],'Lookup Values'!G:G,'Lookup Values'!I:I,0)))</f>
        <v/>
      </c>
      <c r="D230" s="2" t="str">
        <f>IF(Table24254[[#This Row],[Journal Description (Service Description)]]="","",VLOOKUP(Table24254[[#This Row],[Journal Description (Service Description)]],'Lookup Values'!$A:$B,2,FALSE))</f>
        <v/>
      </c>
    </row>
    <row r="231" spans="2:4" x14ac:dyDescent="0.35">
      <c r="B231" t="str">
        <f>IF(Table24254[[#This Row],[Branch Name]]="","",(_xlfn.XLOOKUP(Table24254[[#This Row],[Branch Name]],'Lookup Values'!G:G,'Lookup Values'!I:I,0)))</f>
        <v/>
      </c>
      <c r="D231" s="2" t="str">
        <f>IF(Table24254[[#This Row],[Journal Description (Service Description)]]="","",VLOOKUP(Table24254[[#This Row],[Journal Description (Service Description)]],'Lookup Values'!$A:$B,2,FALSE))</f>
        <v/>
      </c>
    </row>
    <row r="232" spans="2:4" x14ac:dyDescent="0.35">
      <c r="B232" t="str">
        <f>IF(Table24254[[#This Row],[Branch Name]]="","",(_xlfn.XLOOKUP(Table24254[[#This Row],[Branch Name]],'Lookup Values'!G:G,'Lookup Values'!I:I,0)))</f>
        <v/>
      </c>
      <c r="D232" s="2" t="str">
        <f>IF(Table24254[[#This Row],[Journal Description (Service Description)]]="","",VLOOKUP(Table24254[[#This Row],[Journal Description (Service Description)]],'Lookup Values'!$A:$B,2,FALSE))</f>
        <v/>
      </c>
    </row>
    <row r="233" spans="2:4" x14ac:dyDescent="0.35">
      <c r="B233" t="str">
        <f>IF(Table24254[[#This Row],[Branch Name]]="","",(_xlfn.XLOOKUP(Table24254[[#This Row],[Branch Name]],'Lookup Values'!G:G,'Lookup Values'!I:I,0)))</f>
        <v/>
      </c>
      <c r="D233" s="2" t="str">
        <f>IF(Table24254[[#This Row],[Journal Description (Service Description)]]="","",VLOOKUP(Table24254[[#This Row],[Journal Description (Service Description)]],'Lookup Values'!$A:$B,2,FALSE))</f>
        <v/>
      </c>
    </row>
    <row r="234" spans="2:4" x14ac:dyDescent="0.35">
      <c r="B234" t="str">
        <f>IF(Table24254[[#This Row],[Branch Name]]="","",(_xlfn.XLOOKUP(Table24254[[#This Row],[Branch Name]],'Lookup Values'!G:G,'Lookup Values'!I:I,0)))</f>
        <v/>
      </c>
      <c r="D234" s="2" t="str">
        <f>IF(Table24254[[#This Row],[Journal Description (Service Description)]]="","",VLOOKUP(Table24254[[#This Row],[Journal Description (Service Description)]],'Lookup Values'!$A:$B,2,FALSE))</f>
        <v/>
      </c>
    </row>
    <row r="235" spans="2:4" x14ac:dyDescent="0.35">
      <c r="B235" t="str">
        <f>IF(Table24254[[#This Row],[Branch Name]]="","",(_xlfn.XLOOKUP(Table24254[[#This Row],[Branch Name]],'Lookup Values'!G:G,'Lookup Values'!I:I,0)))</f>
        <v/>
      </c>
      <c r="D235" s="2" t="str">
        <f>IF(Table24254[[#This Row],[Journal Description (Service Description)]]="","",VLOOKUP(Table24254[[#This Row],[Journal Description (Service Description)]],'Lookup Values'!$A:$B,2,FALSE))</f>
        <v/>
      </c>
    </row>
    <row r="236" spans="2:4" x14ac:dyDescent="0.35">
      <c r="B236" t="str">
        <f>IF(Table24254[[#This Row],[Branch Name]]="","",(_xlfn.XLOOKUP(Table24254[[#This Row],[Branch Name]],'Lookup Values'!G:G,'Lookup Values'!I:I,0)))</f>
        <v/>
      </c>
      <c r="D236" s="2" t="str">
        <f>IF(Table24254[[#This Row],[Journal Description (Service Description)]]="","",VLOOKUP(Table24254[[#This Row],[Journal Description (Service Description)]],'Lookup Values'!$A:$B,2,FALSE))</f>
        <v/>
      </c>
    </row>
    <row r="237" spans="2:4" x14ac:dyDescent="0.35">
      <c r="B237" t="str">
        <f>IF(Table24254[[#This Row],[Branch Name]]="","",(_xlfn.XLOOKUP(Table24254[[#This Row],[Branch Name]],'Lookup Values'!G:G,'Lookup Values'!I:I,0)))</f>
        <v/>
      </c>
      <c r="D237" s="2" t="str">
        <f>IF(Table24254[[#This Row],[Journal Description (Service Description)]]="","",VLOOKUP(Table24254[[#This Row],[Journal Description (Service Description)]],'Lookup Values'!$A:$B,2,FALSE))</f>
        <v/>
      </c>
    </row>
    <row r="238" spans="2:4" x14ac:dyDescent="0.35">
      <c r="B238" t="str">
        <f>IF(Table24254[[#This Row],[Branch Name]]="","",(_xlfn.XLOOKUP(Table24254[[#This Row],[Branch Name]],'Lookup Values'!G:G,'Lookup Values'!I:I,0)))</f>
        <v/>
      </c>
      <c r="D238" s="2" t="str">
        <f>IF(Table24254[[#This Row],[Journal Description (Service Description)]]="","",VLOOKUP(Table24254[[#This Row],[Journal Description (Service Description)]],'Lookup Values'!$A:$B,2,FALSE))</f>
        <v/>
      </c>
    </row>
    <row r="239" spans="2:4" x14ac:dyDescent="0.35">
      <c r="B239" t="str">
        <f>IF(Table24254[[#This Row],[Branch Name]]="","",(_xlfn.XLOOKUP(Table24254[[#This Row],[Branch Name]],'Lookup Values'!G:G,'Lookup Values'!I:I,0)))</f>
        <v/>
      </c>
      <c r="D239" s="2" t="str">
        <f>IF(Table24254[[#This Row],[Journal Description (Service Description)]]="","",VLOOKUP(Table24254[[#This Row],[Journal Description (Service Description)]],'Lookup Values'!$A:$B,2,FALSE))</f>
        <v/>
      </c>
    </row>
    <row r="240" spans="2:4" x14ac:dyDescent="0.35">
      <c r="B240" t="str">
        <f>IF(Table24254[[#This Row],[Branch Name]]="","",(_xlfn.XLOOKUP(Table24254[[#This Row],[Branch Name]],'Lookup Values'!G:G,'Lookup Values'!I:I,0)))</f>
        <v/>
      </c>
      <c r="D240" s="2" t="str">
        <f>IF(Table24254[[#This Row],[Journal Description (Service Description)]]="","",VLOOKUP(Table24254[[#This Row],[Journal Description (Service Description)]],'Lookup Values'!$A:$B,2,FALSE))</f>
        <v/>
      </c>
    </row>
    <row r="241" spans="2:4" x14ac:dyDescent="0.35">
      <c r="B241" t="str">
        <f>IF(Table24254[[#This Row],[Branch Name]]="","",(_xlfn.XLOOKUP(Table24254[[#This Row],[Branch Name]],'Lookup Values'!G:G,'Lookup Values'!I:I,0)))</f>
        <v/>
      </c>
      <c r="D241" s="2" t="str">
        <f>IF(Table24254[[#This Row],[Journal Description (Service Description)]]="","",VLOOKUP(Table24254[[#This Row],[Journal Description (Service Description)]],'Lookup Values'!$A:$B,2,FALSE))</f>
        <v/>
      </c>
    </row>
    <row r="242" spans="2:4" x14ac:dyDescent="0.35">
      <c r="B242" t="str">
        <f>IF(Table24254[[#This Row],[Branch Name]]="","",(_xlfn.XLOOKUP(Table24254[[#This Row],[Branch Name]],'Lookup Values'!G:G,'Lookup Values'!I:I,0)))</f>
        <v/>
      </c>
      <c r="D242" s="2" t="str">
        <f>IF(Table24254[[#This Row],[Journal Description (Service Description)]]="","",VLOOKUP(Table24254[[#This Row],[Journal Description (Service Description)]],'Lookup Values'!$A:$B,2,FALSE))</f>
        <v/>
      </c>
    </row>
    <row r="243" spans="2:4" x14ac:dyDescent="0.35">
      <c r="B243" t="str">
        <f>IF(Table24254[[#This Row],[Branch Name]]="","",(_xlfn.XLOOKUP(Table24254[[#This Row],[Branch Name]],'Lookup Values'!G:G,'Lookup Values'!I:I,0)))</f>
        <v/>
      </c>
      <c r="D243" s="2" t="str">
        <f>IF(Table24254[[#This Row],[Journal Description (Service Description)]]="","",VLOOKUP(Table24254[[#This Row],[Journal Description (Service Description)]],'Lookup Values'!$A:$B,2,FALSE))</f>
        <v/>
      </c>
    </row>
    <row r="244" spans="2:4" x14ac:dyDescent="0.35">
      <c r="B244" t="str">
        <f>IF(Table24254[[#This Row],[Branch Name]]="","",(_xlfn.XLOOKUP(Table24254[[#This Row],[Branch Name]],'Lookup Values'!G:G,'Lookup Values'!I:I,0)))</f>
        <v/>
      </c>
      <c r="D244" s="2" t="str">
        <f>IF(Table24254[[#This Row],[Journal Description (Service Description)]]="","",VLOOKUP(Table24254[[#This Row],[Journal Description (Service Description)]],'Lookup Values'!$A:$B,2,FALSE))</f>
        <v/>
      </c>
    </row>
    <row r="245" spans="2:4" x14ac:dyDescent="0.35">
      <c r="B245" t="str">
        <f>IF(Table24254[[#This Row],[Branch Name]]="","",(_xlfn.XLOOKUP(Table24254[[#This Row],[Branch Name]],'Lookup Values'!G:G,'Lookup Values'!I:I,0)))</f>
        <v/>
      </c>
      <c r="D245" s="2" t="str">
        <f>IF(Table24254[[#This Row],[Journal Description (Service Description)]]="","",VLOOKUP(Table24254[[#This Row],[Journal Description (Service Description)]],'Lookup Values'!$A:$B,2,FALSE))</f>
        <v/>
      </c>
    </row>
    <row r="246" spans="2:4" x14ac:dyDescent="0.35">
      <c r="B246" t="str">
        <f>IF(Table24254[[#This Row],[Branch Name]]="","",(_xlfn.XLOOKUP(Table24254[[#This Row],[Branch Name]],'Lookup Values'!G:G,'Lookup Values'!I:I,0)))</f>
        <v/>
      </c>
      <c r="D246" s="2" t="str">
        <f>IF(Table24254[[#This Row],[Journal Description (Service Description)]]="","",VLOOKUP(Table24254[[#This Row],[Journal Description (Service Description)]],'Lookup Values'!$A:$B,2,FALSE))</f>
        <v/>
      </c>
    </row>
    <row r="247" spans="2:4" x14ac:dyDescent="0.35">
      <c r="B247" t="str">
        <f>IF(Table24254[[#This Row],[Branch Name]]="","",(_xlfn.XLOOKUP(Table24254[[#This Row],[Branch Name]],'Lookup Values'!G:G,'Lookup Values'!I:I,0)))</f>
        <v/>
      </c>
      <c r="D247" s="2" t="str">
        <f>IF(Table24254[[#This Row],[Journal Description (Service Description)]]="","",VLOOKUP(Table24254[[#This Row],[Journal Description (Service Description)]],'Lookup Values'!$A:$B,2,FALSE))</f>
        <v/>
      </c>
    </row>
    <row r="248" spans="2:4" x14ac:dyDescent="0.35">
      <c r="B248" t="str">
        <f>IF(Table24254[[#This Row],[Branch Name]]="","",(_xlfn.XLOOKUP(Table24254[[#This Row],[Branch Name]],'Lookup Values'!G:G,'Lookup Values'!I:I,0)))</f>
        <v/>
      </c>
      <c r="D248" s="2" t="str">
        <f>IF(Table24254[[#This Row],[Journal Description (Service Description)]]="","",VLOOKUP(Table24254[[#This Row],[Journal Description (Service Description)]],'Lookup Values'!$A:$B,2,FALSE))</f>
        <v/>
      </c>
    </row>
    <row r="249" spans="2:4" x14ac:dyDescent="0.35">
      <c r="B249" t="str">
        <f>IF(Table24254[[#This Row],[Branch Name]]="","",(_xlfn.XLOOKUP(Table24254[[#This Row],[Branch Name]],'Lookup Values'!G:G,'Lookup Values'!I:I,0)))</f>
        <v/>
      </c>
      <c r="D249" s="2" t="str">
        <f>IF(Table24254[[#This Row],[Journal Description (Service Description)]]="","",VLOOKUP(Table24254[[#This Row],[Journal Description (Service Description)]],'Lookup Values'!$A:$B,2,FALSE))</f>
        <v/>
      </c>
    </row>
    <row r="250" spans="2:4" x14ac:dyDescent="0.35">
      <c r="B250" t="str">
        <f>IF(Table24254[[#This Row],[Branch Name]]="","",(_xlfn.XLOOKUP(Table24254[[#This Row],[Branch Name]],'Lookup Values'!G:G,'Lookup Values'!I:I,0)))</f>
        <v/>
      </c>
      <c r="D250" s="2" t="str">
        <f>IF(Table24254[[#This Row],[Journal Description (Service Description)]]="","",VLOOKUP(Table24254[[#This Row],[Journal Description (Service Description)]],'Lookup Values'!$A:$B,2,FALSE))</f>
        <v/>
      </c>
    </row>
    <row r="251" spans="2:4" x14ac:dyDescent="0.35">
      <c r="B251" t="str">
        <f>IF(Table24254[[#This Row],[Branch Name]]="","",(_xlfn.XLOOKUP(Table24254[[#This Row],[Branch Name]],'Lookup Values'!G:G,'Lookup Values'!I:I,0)))</f>
        <v/>
      </c>
      <c r="D251" s="2" t="str">
        <f>IF(Table24254[[#This Row],[Journal Description (Service Description)]]="","",VLOOKUP(Table24254[[#This Row],[Journal Description (Service Description)]],'Lookup Values'!$A:$B,2,FALSE))</f>
        <v/>
      </c>
    </row>
    <row r="252" spans="2:4" x14ac:dyDescent="0.35">
      <c r="B252" t="str">
        <f>IF(Table24254[[#This Row],[Branch Name]]="","",(_xlfn.XLOOKUP(Table24254[[#This Row],[Branch Name]],'Lookup Values'!G:G,'Lookup Values'!I:I,0)))</f>
        <v/>
      </c>
      <c r="D252" s="2" t="str">
        <f>IF(Table24254[[#This Row],[Journal Description (Service Description)]]="","",VLOOKUP(Table24254[[#This Row],[Journal Description (Service Description)]],'Lookup Values'!$A:$B,2,FALSE))</f>
        <v/>
      </c>
    </row>
    <row r="253" spans="2:4" x14ac:dyDescent="0.35">
      <c r="B253" t="str">
        <f>IF(Table24254[[#This Row],[Branch Name]]="","",(_xlfn.XLOOKUP(Table24254[[#This Row],[Branch Name]],'Lookup Values'!G:G,'Lookup Values'!I:I,0)))</f>
        <v/>
      </c>
      <c r="D253" s="2" t="str">
        <f>IF(Table24254[[#This Row],[Journal Description (Service Description)]]="","",VLOOKUP(Table24254[[#This Row],[Journal Description (Service Description)]],'Lookup Values'!$A:$B,2,FALSE))</f>
        <v/>
      </c>
    </row>
    <row r="254" spans="2:4" x14ac:dyDescent="0.35">
      <c r="B254" t="str">
        <f>IF(Table24254[[#This Row],[Branch Name]]="","",(_xlfn.XLOOKUP(Table24254[[#This Row],[Branch Name]],'Lookup Values'!G:G,'Lookup Values'!I:I,0)))</f>
        <v/>
      </c>
      <c r="D254" s="2" t="str">
        <f>IF(Table24254[[#This Row],[Journal Description (Service Description)]]="","",VLOOKUP(Table24254[[#This Row],[Journal Description (Service Description)]],'Lookup Values'!$A:$B,2,FALSE))</f>
        <v/>
      </c>
    </row>
    <row r="255" spans="2:4" x14ac:dyDescent="0.35">
      <c r="B255" t="str">
        <f>IF(Table24254[[#This Row],[Branch Name]]="","",(_xlfn.XLOOKUP(Table24254[[#This Row],[Branch Name]],'Lookup Values'!G:G,'Lookup Values'!I:I,0)))</f>
        <v/>
      </c>
      <c r="D255" s="2" t="str">
        <f>IF(Table24254[[#This Row],[Journal Description (Service Description)]]="","",VLOOKUP(Table24254[[#This Row],[Journal Description (Service Description)]],'Lookup Values'!$A:$B,2,FALSE))</f>
        <v/>
      </c>
    </row>
    <row r="256" spans="2:4" x14ac:dyDescent="0.35">
      <c r="B256" t="str">
        <f>IF(Table24254[[#This Row],[Branch Name]]="","",(_xlfn.XLOOKUP(Table24254[[#This Row],[Branch Name]],'Lookup Values'!G:G,'Lookup Values'!I:I,0)))</f>
        <v/>
      </c>
      <c r="D256" s="2" t="str">
        <f>IF(Table24254[[#This Row],[Journal Description (Service Description)]]="","",VLOOKUP(Table24254[[#This Row],[Journal Description (Service Description)]],'Lookup Values'!$A:$B,2,FALSE))</f>
        <v/>
      </c>
    </row>
    <row r="257" spans="1:4" x14ac:dyDescent="0.35">
      <c r="B257" t="str">
        <f>IF(Table24254[[#This Row],[Branch Name]]="","",(_xlfn.XLOOKUP(Table24254[[#This Row],[Branch Name]],'Lookup Values'!G:G,'Lookup Values'!I:I,0)))</f>
        <v/>
      </c>
      <c r="D257" s="2" t="str">
        <f>IF(Table24254[[#This Row],[Journal Description (Service Description)]]="","",VLOOKUP(Table24254[[#This Row],[Journal Description (Service Description)]],'Lookup Values'!$A:$B,2,FALSE))</f>
        <v/>
      </c>
    </row>
    <row r="258" spans="1:4" x14ac:dyDescent="0.35">
      <c r="B258" t="str">
        <f>IF(Table24254[[#This Row],[Branch Name]]="","",(_xlfn.XLOOKUP(Table24254[[#This Row],[Branch Name]],'Lookup Values'!G:G,'Lookup Values'!I:I,0)))</f>
        <v/>
      </c>
      <c r="D258" s="2" t="str">
        <f>IF(Table24254[[#This Row],[Journal Description (Service Description)]]="","",VLOOKUP(Table24254[[#This Row],[Journal Description (Service Description)]],'Lookup Values'!$A:$B,2,FALSE))</f>
        <v/>
      </c>
    </row>
    <row r="259" spans="1:4" x14ac:dyDescent="0.35">
      <c r="A259" t="str">
        <f>IF(Table24254[[#This Row],[Branch Name]]="","",(_xlfn.XLOOKUP(Table24254[[#This Row],[Branch Name]],'Lookup Values'!G:G,'Lookup Values'!H:H,0)))</f>
        <v/>
      </c>
      <c r="B259" t="str">
        <f>IF(Table24254[[#This Row],[Branch Name]]="","",(_xlfn.XLOOKUP(Table24254[[#This Row],[Branch Name]],'Lookup Values'!G:G,'Lookup Values'!I:I,0)))</f>
        <v/>
      </c>
      <c r="C259" t="str">
        <f>IF(Table24254[[#This Row],[Journal Description (Service Description)]]="","",1)</f>
        <v/>
      </c>
      <c r="D259" s="2" t="str">
        <f>IF(Table24254[[#This Row],[Journal Description (Service Description)]]="","",VLOOKUP(Table24254[[#This Row],[Journal Description (Service Description)]],'Lookup Values'!$A:$B,2,FALSE))</f>
        <v/>
      </c>
    </row>
    <row r="260" spans="1:4" x14ac:dyDescent="0.35">
      <c r="A260" t="str">
        <f>IF(Table24254[[#This Row],[Branch Name]]="","",(_xlfn.XLOOKUP(Table24254[[#This Row],[Branch Name]],'Lookup Values'!G:G,'Lookup Values'!H:H,0)))</f>
        <v/>
      </c>
      <c r="B260" t="str">
        <f>IF(Table24254[[#This Row],[Branch Name]]="","",(_xlfn.XLOOKUP(Table24254[[#This Row],[Branch Name]],'Lookup Values'!G:G,'Lookup Values'!I:I,0)))</f>
        <v/>
      </c>
      <c r="C260" t="str">
        <f>IF(Table24254[[#This Row],[Journal Description (Service Description)]]="","",1)</f>
        <v/>
      </c>
      <c r="D260" s="2" t="str">
        <f>IF(Table24254[[#This Row],[Journal Description (Service Description)]]="","",VLOOKUP(Table24254[[#This Row],[Journal Description (Service Description)]],'Lookup Values'!$A:$B,2,FALSE))</f>
        <v/>
      </c>
    </row>
    <row r="261" spans="1:4" x14ac:dyDescent="0.35">
      <c r="A261" t="str">
        <f>IF(Table24254[[#This Row],[Branch Name]]="","",(_xlfn.XLOOKUP(Table24254[[#This Row],[Branch Name]],'Lookup Values'!G:G,'Lookup Values'!H:H,0)))</f>
        <v/>
      </c>
      <c r="B261" t="str">
        <f>IF(Table24254[[#This Row],[Branch Name]]="","",(_xlfn.XLOOKUP(Table24254[[#This Row],[Branch Name]],'Lookup Values'!G:G,'Lookup Values'!I:I,0)))</f>
        <v/>
      </c>
      <c r="C261" t="str">
        <f>IF(Table24254[[#This Row],[Journal Description (Service Description)]]="","",1)</f>
        <v/>
      </c>
      <c r="D261" s="2" t="str">
        <f>IF(Table24254[[#This Row],[Journal Description (Service Description)]]="","",VLOOKUP(Table24254[[#This Row],[Journal Description (Service Description)]],'Lookup Values'!$A:$B,2,FALSE))</f>
        <v/>
      </c>
    </row>
    <row r="262" spans="1:4" x14ac:dyDescent="0.35">
      <c r="A262" t="str">
        <f>IF(Table24254[[#This Row],[Branch Name]]="","",(_xlfn.XLOOKUP(Table24254[[#This Row],[Branch Name]],'Lookup Values'!G:G,'Lookup Values'!H:H,0)))</f>
        <v/>
      </c>
      <c r="B262" t="str">
        <f>IF(Table24254[[#This Row],[Branch Name]]="","",(_xlfn.XLOOKUP(Table24254[[#This Row],[Branch Name]],'Lookup Values'!G:G,'Lookup Values'!I:I,0)))</f>
        <v/>
      </c>
      <c r="C262" t="str">
        <f>IF(Table24254[[#This Row],[Journal Description (Service Description)]]="","",1)</f>
        <v/>
      </c>
      <c r="D262" s="2" t="str">
        <f>IF(Table24254[[#This Row],[Journal Description (Service Description)]]="","",VLOOKUP(Table24254[[#This Row],[Journal Description (Service Description)]],'Lookup Values'!$A:$B,2,FALSE))</f>
        <v/>
      </c>
    </row>
    <row r="263" spans="1:4" x14ac:dyDescent="0.35">
      <c r="A263" t="str">
        <f>IF(Table24254[[#This Row],[Branch Name]]="","",(_xlfn.XLOOKUP(Table24254[[#This Row],[Branch Name]],'Lookup Values'!G:G,'Lookup Values'!H:H,0)))</f>
        <v/>
      </c>
      <c r="B263" t="str">
        <f>IF(Table24254[[#This Row],[Branch Name]]="","",(_xlfn.XLOOKUP(Table24254[[#This Row],[Branch Name]],'Lookup Values'!G:G,'Lookup Values'!I:I,0)))</f>
        <v/>
      </c>
      <c r="C263" t="str">
        <f>IF(Table24254[[#This Row],[Journal Description (Service Description)]]="","",1)</f>
        <v/>
      </c>
      <c r="D263" s="2" t="str">
        <f>IF(Table24254[[#This Row],[Journal Description (Service Description)]]="","",VLOOKUP(Table24254[[#This Row],[Journal Description (Service Description)]],'Lookup Values'!$A:$B,2,FALSE))</f>
        <v/>
      </c>
    </row>
    <row r="264" spans="1:4" x14ac:dyDescent="0.35">
      <c r="A264" t="str">
        <f>IF(Table24254[[#This Row],[Branch Name]]="","",(_xlfn.XLOOKUP(Table24254[[#This Row],[Branch Name]],'Lookup Values'!G:G,'Lookup Values'!H:H,0)))</f>
        <v/>
      </c>
      <c r="B264" t="str">
        <f>IF(Table24254[[#This Row],[Branch Name]]="","",(_xlfn.XLOOKUP(Table24254[[#This Row],[Branch Name]],'Lookup Values'!G:G,'Lookup Values'!I:I,0)))</f>
        <v/>
      </c>
      <c r="C264" t="str">
        <f>IF(Table24254[[#This Row],[Journal Description (Service Description)]]="","",1)</f>
        <v/>
      </c>
      <c r="D264" s="2" t="str">
        <f>IF(Table24254[[#This Row],[Journal Description (Service Description)]]="","",VLOOKUP(Table24254[[#This Row],[Journal Description (Service Description)]],'Lookup Values'!$A:$B,2,FALSE))</f>
        <v/>
      </c>
    </row>
    <row r="265" spans="1:4" x14ac:dyDescent="0.35">
      <c r="A265" t="str">
        <f>IF(Table24254[[#This Row],[Branch Name]]="","",(_xlfn.XLOOKUP(Table24254[[#This Row],[Branch Name]],'Lookup Values'!G:G,'Lookup Values'!H:H,0)))</f>
        <v/>
      </c>
      <c r="B265" t="str">
        <f>IF(Table24254[[#This Row],[Branch Name]]="","",(_xlfn.XLOOKUP(Table24254[[#This Row],[Branch Name]],'Lookup Values'!G:G,'Lookup Values'!I:I,0)))</f>
        <v/>
      </c>
      <c r="C265" t="str">
        <f>IF(Table24254[[#This Row],[Journal Description (Service Description)]]="","",1)</f>
        <v/>
      </c>
      <c r="D265" s="2" t="str">
        <f>IF(Table24254[[#This Row],[Journal Description (Service Description)]]="","",VLOOKUP(Table24254[[#This Row],[Journal Description (Service Description)]],'Lookup Values'!$A:$B,2,FALSE))</f>
        <v/>
      </c>
    </row>
    <row r="266" spans="1:4" x14ac:dyDescent="0.35">
      <c r="A266" t="str">
        <f>IF(Table24254[[#This Row],[Branch Name]]="","",(_xlfn.XLOOKUP(Table24254[[#This Row],[Branch Name]],'Lookup Values'!G:G,'Lookup Values'!H:H,0)))</f>
        <v/>
      </c>
      <c r="B266" t="str">
        <f>IF(Table24254[[#This Row],[Branch Name]]="","",(_xlfn.XLOOKUP(Table24254[[#This Row],[Branch Name]],'Lookup Values'!G:G,'Lookup Values'!I:I,0)))</f>
        <v/>
      </c>
      <c r="C266" t="str">
        <f>IF(Table24254[[#This Row],[Journal Description (Service Description)]]="","",1)</f>
        <v/>
      </c>
      <c r="D266" s="2" t="str">
        <f>IF(Table24254[[#This Row],[Journal Description (Service Description)]]="","",VLOOKUP(Table24254[[#This Row],[Journal Description (Service Description)]],'Lookup Values'!$A:$B,2,FALSE))</f>
        <v/>
      </c>
    </row>
    <row r="267" spans="1:4" x14ac:dyDescent="0.35">
      <c r="A267" t="str">
        <f>IF(Table24254[[#This Row],[Branch Name]]="","",(_xlfn.XLOOKUP(Table24254[[#This Row],[Branch Name]],'Lookup Values'!G:G,'Lookup Values'!H:H,0)))</f>
        <v/>
      </c>
      <c r="B267" t="str">
        <f>IF(Table24254[[#This Row],[Branch Name]]="","",(_xlfn.XLOOKUP(Table24254[[#This Row],[Branch Name]],'Lookup Values'!G:G,'Lookup Values'!I:I,0)))</f>
        <v/>
      </c>
      <c r="C267" t="str">
        <f>IF(Table24254[[#This Row],[Journal Description (Service Description)]]="","",1)</f>
        <v/>
      </c>
      <c r="D267" s="2" t="str">
        <f>IF(Table24254[[#This Row],[Journal Description (Service Description)]]="","",VLOOKUP(Table24254[[#This Row],[Journal Description (Service Description)]],'Lookup Values'!$A:$B,2,FALSE))</f>
        <v/>
      </c>
    </row>
    <row r="268" spans="1:4" x14ac:dyDescent="0.35">
      <c r="A268" t="str">
        <f>IF(Table24254[[#This Row],[Branch Name]]="","",(_xlfn.XLOOKUP(Table24254[[#This Row],[Branch Name]],'Lookup Values'!G:G,'Lookup Values'!H:H,0)))</f>
        <v/>
      </c>
      <c r="B268" t="str">
        <f>IF(Table24254[[#This Row],[Branch Name]]="","",(_xlfn.XLOOKUP(Table24254[[#This Row],[Branch Name]],'Lookup Values'!G:G,'Lookup Values'!I:I,0)))</f>
        <v/>
      </c>
      <c r="C268" t="str">
        <f>IF(Table24254[[#This Row],[Journal Description (Service Description)]]="","",1)</f>
        <v/>
      </c>
      <c r="D268" s="2" t="str">
        <f>IF(Table24254[[#This Row],[Journal Description (Service Description)]]="","",VLOOKUP(Table24254[[#This Row],[Journal Description (Service Description)]],'Lookup Values'!$A:$B,2,FALSE))</f>
        <v/>
      </c>
    </row>
    <row r="269" spans="1:4" x14ac:dyDescent="0.35">
      <c r="A269" t="str">
        <f>IF(Table24254[[#This Row],[Branch Name]]="","",(_xlfn.XLOOKUP(Table24254[[#This Row],[Branch Name]],'Lookup Values'!G:G,'Lookup Values'!H:H,0)))</f>
        <v/>
      </c>
      <c r="B269" t="str">
        <f>IF(Table24254[[#This Row],[Branch Name]]="","",(_xlfn.XLOOKUP(Table24254[[#This Row],[Branch Name]],'Lookup Values'!G:G,'Lookup Values'!I:I,0)))</f>
        <v/>
      </c>
      <c r="C269" t="str">
        <f>IF(Table24254[[#This Row],[Journal Description (Service Description)]]="","",1)</f>
        <v/>
      </c>
      <c r="D269" s="2" t="str">
        <f>IF(Table24254[[#This Row],[Journal Description (Service Description)]]="","",VLOOKUP(Table24254[[#This Row],[Journal Description (Service Description)]],'Lookup Values'!$A:$B,2,FALSE))</f>
        <v/>
      </c>
    </row>
    <row r="270" spans="1:4" x14ac:dyDescent="0.35">
      <c r="A270" t="str">
        <f>IF(Table24254[[#This Row],[Branch Name]]="","",(_xlfn.XLOOKUP(Table24254[[#This Row],[Branch Name]],'Lookup Values'!G:G,'Lookup Values'!H:H,0)))</f>
        <v/>
      </c>
      <c r="B270" t="str">
        <f>IF(Table24254[[#This Row],[Branch Name]]="","",(_xlfn.XLOOKUP(Table24254[[#This Row],[Branch Name]],'Lookup Values'!G:G,'Lookup Values'!I:I,0)))</f>
        <v/>
      </c>
      <c r="C270" t="str">
        <f>IF(Table24254[[#This Row],[Journal Description (Service Description)]]="","",1)</f>
        <v/>
      </c>
      <c r="D270" s="2" t="str">
        <f>IF(Table24254[[#This Row],[Journal Description (Service Description)]]="","",VLOOKUP(Table24254[[#This Row],[Journal Description (Service Description)]],'Lookup Values'!$A:$B,2,FALSE))</f>
        <v/>
      </c>
    </row>
    <row r="271" spans="1:4" x14ac:dyDescent="0.35">
      <c r="A271" t="str">
        <f>IF(Table24254[[#This Row],[Branch Name]]="","",(_xlfn.XLOOKUP(Table24254[[#This Row],[Branch Name]],'Lookup Values'!G:G,'Lookup Values'!H:H,0)))</f>
        <v/>
      </c>
      <c r="B271" t="str">
        <f>IF(Table24254[[#This Row],[Branch Name]]="","",(_xlfn.XLOOKUP(Table24254[[#This Row],[Branch Name]],'Lookup Values'!G:G,'Lookup Values'!I:I,0)))</f>
        <v/>
      </c>
      <c r="C271" t="str">
        <f>IF(Table24254[[#This Row],[Journal Description (Service Description)]]="","",1)</f>
        <v/>
      </c>
      <c r="D271" s="2" t="str">
        <f>IF(Table24254[[#This Row],[Journal Description (Service Description)]]="","",VLOOKUP(Table24254[[#This Row],[Journal Description (Service Description)]],'Lookup Values'!$A:$B,2,FALSE))</f>
        <v/>
      </c>
    </row>
    <row r="272" spans="1:4" x14ac:dyDescent="0.35">
      <c r="A272" t="str">
        <f>IF(Table24254[[#This Row],[Branch Name]]="","",(_xlfn.XLOOKUP(Table24254[[#This Row],[Branch Name]],'Lookup Values'!G:G,'Lookup Values'!H:H,0)))</f>
        <v/>
      </c>
      <c r="B272" t="str">
        <f>IF(Table24254[[#This Row],[Branch Name]]="","",(_xlfn.XLOOKUP(Table24254[[#This Row],[Branch Name]],'Lookup Values'!G:G,'Lookup Values'!I:I,0)))</f>
        <v/>
      </c>
      <c r="C272" t="str">
        <f>IF(Table24254[[#This Row],[Journal Description (Service Description)]]="","",1)</f>
        <v/>
      </c>
      <c r="D272" s="2" t="str">
        <f>IF(Table24254[[#This Row],[Journal Description (Service Description)]]="","",VLOOKUP(Table24254[[#This Row],[Journal Description (Service Description)]],'Lookup Values'!$A:$B,2,FALSE))</f>
        <v/>
      </c>
    </row>
    <row r="273" spans="1:4" x14ac:dyDescent="0.35">
      <c r="A273" t="str">
        <f>IF(Table24254[[#This Row],[Branch Name]]="","",(_xlfn.XLOOKUP(Table24254[[#This Row],[Branch Name]],'Lookup Values'!G:G,'Lookup Values'!H:H,0)))</f>
        <v/>
      </c>
      <c r="B273" t="str">
        <f>IF(Table24254[[#This Row],[Branch Name]]="","",(_xlfn.XLOOKUP(Table24254[[#This Row],[Branch Name]],'Lookup Values'!G:G,'Lookup Values'!I:I,0)))</f>
        <v/>
      </c>
      <c r="C273" t="str">
        <f>IF(Table24254[[#This Row],[Journal Description (Service Description)]]="","",1)</f>
        <v/>
      </c>
      <c r="D273" s="2" t="str">
        <f>IF(Table24254[[#This Row],[Journal Description (Service Description)]]="","",VLOOKUP(Table24254[[#This Row],[Journal Description (Service Description)]],'Lookup Values'!$A:$B,2,FALSE))</f>
        <v/>
      </c>
    </row>
    <row r="274" spans="1:4" x14ac:dyDescent="0.35">
      <c r="A274" t="str">
        <f>IF(Table24254[[#This Row],[Branch Name]]="","",(_xlfn.XLOOKUP(Table24254[[#This Row],[Branch Name]],'Lookup Values'!G:G,'Lookup Values'!H:H,0)))</f>
        <v/>
      </c>
      <c r="B274" t="str">
        <f>IF(Table24254[[#This Row],[Branch Name]]="","",(_xlfn.XLOOKUP(Table24254[[#This Row],[Branch Name]],'Lookup Values'!G:G,'Lookup Values'!I:I,0)))</f>
        <v/>
      </c>
      <c r="C274" t="str">
        <f>IF(Table24254[[#This Row],[Journal Description (Service Description)]]="","",1)</f>
        <v/>
      </c>
      <c r="D274" s="2" t="str">
        <f>IF(Table24254[[#This Row],[Journal Description (Service Description)]]="","",VLOOKUP(Table24254[[#This Row],[Journal Description (Service Description)]],'Lookup Values'!$A:$B,2,FALSE))</f>
        <v/>
      </c>
    </row>
    <row r="275" spans="1:4" x14ac:dyDescent="0.35">
      <c r="A275" t="str">
        <f>IF(Table24254[[#This Row],[Branch Name]]="","",(_xlfn.XLOOKUP(Table24254[[#This Row],[Branch Name]],'Lookup Values'!G:G,'Lookup Values'!H:H,0)))</f>
        <v/>
      </c>
      <c r="B275" t="str">
        <f>IF(Table24254[[#This Row],[Branch Name]]="","",(_xlfn.XLOOKUP(Table24254[[#This Row],[Branch Name]],'Lookup Values'!G:G,'Lookup Values'!I:I,0)))</f>
        <v/>
      </c>
      <c r="C275" t="str">
        <f>IF(Table24254[[#This Row],[Journal Description (Service Description)]]="","",1)</f>
        <v/>
      </c>
      <c r="D275" s="2" t="str">
        <f>IF(Table24254[[#This Row],[Journal Description (Service Description)]]="","",VLOOKUP(Table24254[[#This Row],[Journal Description (Service Description)]],'Lookup Values'!$A:$B,2,FALSE))</f>
        <v/>
      </c>
    </row>
    <row r="276" spans="1:4" x14ac:dyDescent="0.35">
      <c r="A276" t="str">
        <f>IF(Table24254[[#This Row],[Branch Name]]="","",(_xlfn.XLOOKUP(Table24254[[#This Row],[Branch Name]],'Lookup Values'!G:G,'Lookup Values'!H:H,0)))</f>
        <v/>
      </c>
      <c r="B276" t="str">
        <f>IF(Table24254[[#This Row],[Branch Name]]="","",(_xlfn.XLOOKUP(Table24254[[#This Row],[Branch Name]],'Lookup Values'!G:G,'Lookup Values'!I:I,0)))</f>
        <v/>
      </c>
      <c r="C276" t="str">
        <f>IF(Table24254[[#This Row],[Journal Description (Service Description)]]="","",1)</f>
        <v/>
      </c>
      <c r="D276" s="2" t="str">
        <f>IF(Table24254[[#This Row],[Journal Description (Service Description)]]="","",VLOOKUP(Table24254[[#This Row],[Journal Description (Service Description)]],'Lookup Values'!$A:$B,2,FALSE))</f>
        <v/>
      </c>
    </row>
    <row r="277" spans="1:4" x14ac:dyDescent="0.35">
      <c r="A277" t="str">
        <f>IF(Table24254[[#This Row],[Branch Name]]="","",(_xlfn.XLOOKUP(Table24254[[#This Row],[Branch Name]],'Lookup Values'!G:G,'Lookup Values'!H:H,0)))</f>
        <v/>
      </c>
      <c r="B277" t="str">
        <f>IF(Table24254[[#This Row],[Branch Name]]="","",(_xlfn.XLOOKUP(Table24254[[#This Row],[Branch Name]],'Lookup Values'!G:G,'Lookup Values'!I:I,0)))</f>
        <v/>
      </c>
      <c r="C277" t="str">
        <f>IF(Table24254[[#This Row],[Journal Description (Service Description)]]="","",1)</f>
        <v/>
      </c>
      <c r="D277" s="2" t="str">
        <f>IF(Table24254[[#This Row],[Journal Description (Service Description)]]="","",VLOOKUP(Table24254[[#This Row],[Journal Description (Service Description)]],'Lookup Values'!$A:$B,2,FALSE))</f>
        <v/>
      </c>
    </row>
    <row r="278" spans="1:4" x14ac:dyDescent="0.35">
      <c r="A278" t="str">
        <f>IF(Table24254[[#This Row],[Branch Name]]="","",(_xlfn.XLOOKUP(Table24254[[#This Row],[Branch Name]],'Lookup Values'!G:G,'Lookup Values'!H:H,0)))</f>
        <v/>
      </c>
      <c r="B278" t="str">
        <f>IF(Table24254[[#This Row],[Branch Name]]="","",(_xlfn.XLOOKUP(Table24254[[#This Row],[Branch Name]],'Lookup Values'!G:G,'Lookup Values'!I:I,0)))</f>
        <v/>
      </c>
      <c r="C278" t="str">
        <f>IF(Table24254[[#This Row],[Journal Description (Service Description)]]="","",1)</f>
        <v/>
      </c>
      <c r="D278" s="2" t="str">
        <f>IF(Table24254[[#This Row],[Journal Description (Service Description)]]="","",VLOOKUP(Table24254[[#This Row],[Journal Description (Service Description)]],'Lookup Values'!$A:$B,2,FALSE))</f>
        <v/>
      </c>
    </row>
    <row r="279" spans="1:4" x14ac:dyDescent="0.35">
      <c r="A279" t="str">
        <f>IF(Table24254[[#This Row],[Branch Name]]="","",(_xlfn.XLOOKUP(Table24254[[#This Row],[Branch Name]],'Lookup Values'!G:G,'Lookup Values'!H:H,0)))</f>
        <v/>
      </c>
      <c r="B279" t="str">
        <f>IF(Table24254[[#This Row],[Branch Name]]="","",(_xlfn.XLOOKUP(Table24254[[#This Row],[Branch Name]],'Lookup Values'!G:G,'Lookup Values'!I:I,0)))</f>
        <v/>
      </c>
      <c r="C279" t="str">
        <f>IF(Table24254[[#This Row],[Journal Description (Service Description)]]="","",1)</f>
        <v/>
      </c>
      <c r="D279" s="2" t="str">
        <f>IF(Table24254[[#This Row],[Journal Description (Service Description)]]="","",VLOOKUP(Table24254[[#This Row],[Journal Description (Service Description)]],'Lookup Values'!$A:$B,2,FALSE))</f>
        <v/>
      </c>
    </row>
    <row r="280" spans="1:4" x14ac:dyDescent="0.35">
      <c r="A280" t="str">
        <f>IF(Table24254[[#This Row],[Branch Name]]="","",(_xlfn.XLOOKUP(Table24254[[#This Row],[Branch Name]],'Lookup Values'!G:G,'Lookup Values'!H:H,0)))</f>
        <v/>
      </c>
      <c r="B280" t="str">
        <f>IF(Table24254[[#This Row],[Branch Name]]="","",(_xlfn.XLOOKUP(Table24254[[#This Row],[Branch Name]],'Lookup Values'!G:G,'Lookup Values'!I:I,0)))</f>
        <v/>
      </c>
      <c r="C280" t="str">
        <f>IF(Table24254[[#This Row],[Journal Description (Service Description)]]="","",1)</f>
        <v/>
      </c>
      <c r="D280" s="2" t="str">
        <f>IF(Table24254[[#This Row],[Journal Description (Service Description)]]="","",VLOOKUP(Table24254[[#This Row],[Journal Description (Service Description)]],'Lookup Values'!$A:$B,2,FALSE))</f>
        <v/>
      </c>
    </row>
    <row r="281" spans="1:4" x14ac:dyDescent="0.35">
      <c r="A281" t="str">
        <f>IF(Table24254[[#This Row],[Branch Name]]="","",(_xlfn.XLOOKUP(Table24254[[#This Row],[Branch Name]],'Lookup Values'!G:G,'Lookup Values'!H:H,0)))</f>
        <v/>
      </c>
      <c r="B281" t="str">
        <f>IF(Table24254[[#This Row],[Branch Name]]="","",(_xlfn.XLOOKUP(Table24254[[#This Row],[Branch Name]],'Lookup Values'!G:G,'Lookup Values'!I:I,0)))</f>
        <v/>
      </c>
      <c r="C281" t="str">
        <f>IF(Table24254[[#This Row],[Journal Description (Service Description)]]="","",1)</f>
        <v/>
      </c>
      <c r="D281" s="2" t="str">
        <f>IF(Table24254[[#This Row],[Journal Description (Service Description)]]="","",VLOOKUP(Table24254[[#This Row],[Journal Description (Service Description)]],'Lookup Values'!$A:$B,2,FALSE))</f>
        <v/>
      </c>
    </row>
    <row r="282" spans="1:4" x14ac:dyDescent="0.35">
      <c r="A282" t="str">
        <f>IF(Table24254[[#This Row],[Branch Name]]="","",(_xlfn.XLOOKUP(Table24254[[#This Row],[Branch Name]],'Lookup Values'!G:G,'Lookup Values'!H:H,0)))</f>
        <v/>
      </c>
      <c r="B282" t="str">
        <f>IF(Table24254[[#This Row],[Branch Name]]="","",(_xlfn.XLOOKUP(Table24254[[#This Row],[Branch Name]],'Lookup Values'!G:G,'Lookup Values'!I:I,0)))</f>
        <v/>
      </c>
      <c r="C282" t="str">
        <f>IF(Table24254[[#This Row],[Journal Description (Service Description)]]="","",1)</f>
        <v/>
      </c>
      <c r="D282" s="2" t="str">
        <f>IF(Table24254[[#This Row],[Journal Description (Service Description)]]="","",VLOOKUP(Table24254[[#This Row],[Journal Description (Service Description)]],'Lookup Values'!$A:$B,2,FALSE))</f>
        <v/>
      </c>
    </row>
    <row r="283" spans="1:4" x14ac:dyDescent="0.35">
      <c r="A283" t="str">
        <f>IF(Table24254[[#This Row],[Branch Name]]="","",(_xlfn.XLOOKUP(Table24254[[#This Row],[Branch Name]],'Lookup Values'!G:G,'Lookup Values'!H:H,0)))</f>
        <v/>
      </c>
      <c r="B283" t="str">
        <f>IF(Table24254[[#This Row],[Branch Name]]="","",(_xlfn.XLOOKUP(Table24254[[#This Row],[Branch Name]],'Lookup Values'!G:G,'Lookup Values'!I:I,0)))</f>
        <v/>
      </c>
      <c r="C283" t="str">
        <f>IF(Table24254[[#This Row],[Journal Description (Service Description)]]="","",1)</f>
        <v/>
      </c>
      <c r="D283" s="2" t="str">
        <f>IF(Table24254[[#This Row],[Journal Description (Service Description)]]="","",VLOOKUP(Table24254[[#This Row],[Journal Description (Service Description)]],'Lookup Values'!$A:$B,2,FALSE))</f>
        <v/>
      </c>
    </row>
    <row r="284" spans="1:4" x14ac:dyDescent="0.35">
      <c r="A284" t="str">
        <f>IF(Table24254[[#This Row],[Branch Name]]="","",(_xlfn.XLOOKUP(Table24254[[#This Row],[Branch Name]],'Lookup Values'!G:G,'Lookup Values'!H:H,0)))</f>
        <v/>
      </c>
      <c r="B284" t="str">
        <f>IF(Table24254[[#This Row],[Branch Name]]="","",(_xlfn.XLOOKUP(Table24254[[#This Row],[Branch Name]],'Lookup Values'!G:G,'Lookup Values'!I:I,0)))</f>
        <v/>
      </c>
      <c r="C284" t="str">
        <f>IF(Table24254[[#This Row],[Journal Description (Service Description)]]="","",1)</f>
        <v/>
      </c>
      <c r="D284" s="2" t="str">
        <f>IF(Table24254[[#This Row],[Journal Description (Service Description)]]="","",VLOOKUP(Table24254[[#This Row],[Journal Description (Service Description)]],'Lookup Values'!$A:$B,2,FALSE))</f>
        <v/>
      </c>
    </row>
    <row r="285" spans="1:4" x14ac:dyDescent="0.35">
      <c r="A285" t="str">
        <f>IF(Table24254[[#This Row],[Branch Name]]="","",(_xlfn.XLOOKUP(Table24254[[#This Row],[Branch Name]],'Lookup Values'!G:G,'Lookup Values'!H:H,0)))</f>
        <v/>
      </c>
      <c r="B285" t="str">
        <f>IF(Table24254[[#This Row],[Branch Name]]="","",(_xlfn.XLOOKUP(Table24254[[#This Row],[Branch Name]],'Lookup Values'!G:G,'Lookup Values'!I:I,0)))</f>
        <v/>
      </c>
      <c r="C285" t="str">
        <f>IF(Table24254[[#This Row],[Journal Description (Service Description)]]="","",1)</f>
        <v/>
      </c>
      <c r="D285" s="2" t="str">
        <f>IF(Table24254[[#This Row],[Journal Description (Service Description)]]="","",VLOOKUP(Table24254[[#This Row],[Journal Description (Service Description)]],'Lookup Values'!$A:$B,2,FALSE))</f>
        <v/>
      </c>
    </row>
    <row r="286" spans="1:4" x14ac:dyDescent="0.35">
      <c r="A286" t="str">
        <f>IF(Table24254[[#This Row],[Branch Name]]="","",(_xlfn.XLOOKUP(Table24254[[#This Row],[Branch Name]],'Lookup Values'!G:G,'Lookup Values'!H:H,0)))</f>
        <v/>
      </c>
      <c r="B286" t="str">
        <f>IF(Table24254[[#This Row],[Branch Name]]="","",(_xlfn.XLOOKUP(Table24254[[#This Row],[Branch Name]],'Lookup Values'!G:G,'Lookup Values'!I:I,0)))</f>
        <v/>
      </c>
      <c r="C286" t="str">
        <f>IF(Table24254[[#This Row],[Journal Description (Service Description)]]="","",1)</f>
        <v/>
      </c>
      <c r="D286" s="2" t="str">
        <f>IF(Table24254[[#This Row],[Journal Description (Service Description)]]="","",VLOOKUP(Table24254[[#This Row],[Journal Description (Service Description)]],'Lookup Values'!$A:$B,2,FALSE))</f>
        <v/>
      </c>
    </row>
    <row r="287" spans="1:4" x14ac:dyDescent="0.35">
      <c r="A287" t="str">
        <f>IF(Table24254[[#This Row],[Branch Name]]="","",(_xlfn.XLOOKUP(Table24254[[#This Row],[Branch Name]],'Lookup Values'!G:G,'Lookup Values'!H:H,0)))</f>
        <v/>
      </c>
      <c r="B287" t="str">
        <f>IF(Table24254[[#This Row],[Branch Name]]="","",(_xlfn.XLOOKUP(Table24254[[#This Row],[Branch Name]],'Lookup Values'!G:G,'Lookup Values'!I:I,0)))</f>
        <v/>
      </c>
      <c r="C287" t="str">
        <f>IF(Table24254[[#This Row],[Journal Description (Service Description)]]="","",1)</f>
        <v/>
      </c>
      <c r="D287" s="2" t="str">
        <f>IF(Table24254[[#This Row],[Journal Description (Service Description)]]="","",VLOOKUP(Table24254[[#This Row],[Journal Description (Service Description)]],'Lookup Values'!$A:$B,2,FALSE))</f>
        <v/>
      </c>
    </row>
    <row r="288" spans="1:4" x14ac:dyDescent="0.35">
      <c r="A288" t="str">
        <f>IF(Table24254[[#This Row],[Branch Name]]="","",(_xlfn.XLOOKUP(Table24254[[#This Row],[Branch Name]],'Lookup Values'!G:G,'Lookup Values'!H:H,0)))</f>
        <v/>
      </c>
      <c r="B288" t="str">
        <f>IF(Table24254[[#This Row],[Branch Name]]="","",(_xlfn.XLOOKUP(Table24254[[#This Row],[Branch Name]],'Lookup Values'!G:G,'Lookup Values'!I:I,0)))</f>
        <v/>
      </c>
      <c r="C288" t="str">
        <f>IF(Table24254[[#This Row],[Journal Description (Service Description)]]="","",1)</f>
        <v/>
      </c>
      <c r="D288" s="2" t="str">
        <f>IF(Table24254[[#This Row],[Journal Description (Service Description)]]="","",VLOOKUP(Table24254[[#This Row],[Journal Description (Service Description)]],'Lookup Values'!$A:$B,2,FALSE))</f>
        <v/>
      </c>
    </row>
    <row r="289" spans="1:4" x14ac:dyDescent="0.35">
      <c r="A289" t="str">
        <f>IF(Table24254[[#This Row],[Branch Name]]="","",(_xlfn.XLOOKUP(Table24254[[#This Row],[Branch Name]],'Lookup Values'!G:G,'Lookup Values'!H:H,0)))</f>
        <v/>
      </c>
      <c r="B289" t="str">
        <f>IF(Table24254[[#This Row],[Branch Name]]="","",(_xlfn.XLOOKUP(Table24254[[#This Row],[Branch Name]],'Lookup Values'!G:G,'Lookup Values'!I:I,0)))</f>
        <v/>
      </c>
      <c r="C289" t="str">
        <f>IF(Table24254[[#This Row],[Journal Description (Service Description)]]="","",1)</f>
        <v/>
      </c>
      <c r="D289" s="2" t="str">
        <f>IF(Table24254[[#This Row],[Journal Description (Service Description)]]="","",VLOOKUP(Table24254[[#This Row],[Journal Description (Service Description)]],'Lookup Values'!$A:$B,2,FALSE))</f>
        <v/>
      </c>
    </row>
    <row r="290" spans="1:4" x14ac:dyDescent="0.35">
      <c r="A290" t="str">
        <f>IF(Table24254[[#This Row],[Branch Name]]="","",(_xlfn.XLOOKUP(Table24254[[#This Row],[Branch Name]],'Lookup Values'!G:G,'Lookup Values'!H:H,0)))</f>
        <v/>
      </c>
      <c r="B290" t="str">
        <f>IF(Table24254[[#This Row],[Branch Name]]="","",(_xlfn.XLOOKUP(Table24254[[#This Row],[Branch Name]],'Lookup Values'!G:G,'Lookup Values'!I:I,0)))</f>
        <v/>
      </c>
      <c r="C290" t="str">
        <f>IF(Table24254[[#This Row],[Journal Description (Service Description)]]="","",1)</f>
        <v/>
      </c>
      <c r="D290" s="2" t="str">
        <f>IF(Table24254[[#This Row],[Journal Description (Service Description)]]="","",VLOOKUP(Table24254[[#This Row],[Journal Description (Service Description)]],'Lookup Values'!$A:$B,2,FALSE))</f>
        <v/>
      </c>
    </row>
    <row r="291" spans="1:4" x14ac:dyDescent="0.35">
      <c r="A291" t="str">
        <f>IF(Table24254[[#This Row],[Branch Name]]="","",(_xlfn.XLOOKUP(Table24254[[#This Row],[Branch Name]],'Lookup Values'!G:G,'Lookup Values'!H:H,0)))</f>
        <v/>
      </c>
      <c r="B291" t="str">
        <f>IF(Table24254[[#This Row],[Branch Name]]="","",(_xlfn.XLOOKUP(Table24254[[#This Row],[Branch Name]],'Lookup Values'!G:G,'Lookup Values'!I:I,0)))</f>
        <v/>
      </c>
      <c r="C291" t="str">
        <f>IF(Table24254[[#This Row],[Journal Description (Service Description)]]="","",1)</f>
        <v/>
      </c>
      <c r="D291" s="2" t="str">
        <f>IF(Table24254[[#This Row],[Journal Description (Service Description)]]="","",VLOOKUP(Table24254[[#This Row],[Journal Description (Service Description)]],'Lookup Values'!$A:$B,2,FALSE))</f>
        <v/>
      </c>
    </row>
    <row r="292" spans="1:4" x14ac:dyDescent="0.35">
      <c r="A292" t="str">
        <f>IF(Table24254[[#This Row],[Branch Name]]="","",(_xlfn.XLOOKUP(Table24254[[#This Row],[Branch Name]],'Lookup Values'!G:G,'Lookup Values'!H:H,0)))</f>
        <v/>
      </c>
      <c r="B292" t="str">
        <f>IF(Table24254[[#This Row],[Branch Name]]="","",(_xlfn.XLOOKUP(Table24254[[#This Row],[Branch Name]],'Lookup Values'!G:G,'Lookup Values'!I:I,0)))</f>
        <v/>
      </c>
      <c r="C292" t="str">
        <f>IF(Table24254[[#This Row],[Journal Description (Service Description)]]="","",1)</f>
        <v/>
      </c>
      <c r="D292" s="2" t="str">
        <f>IF(Table24254[[#This Row],[Journal Description (Service Description)]]="","",VLOOKUP(Table24254[[#This Row],[Journal Description (Service Description)]],'Lookup Values'!$A:$B,2,FALSE))</f>
        <v/>
      </c>
    </row>
    <row r="293" spans="1:4" x14ac:dyDescent="0.35">
      <c r="A293" t="str">
        <f>IF(Table24254[[#This Row],[Branch Name]]="","",(_xlfn.XLOOKUP(Table24254[[#This Row],[Branch Name]],'Lookup Values'!G:G,'Lookup Values'!H:H,0)))</f>
        <v/>
      </c>
      <c r="B293" t="str">
        <f>IF(Table24254[[#This Row],[Branch Name]]="","",(_xlfn.XLOOKUP(Table24254[[#This Row],[Branch Name]],'Lookup Values'!G:G,'Lookup Values'!I:I,0)))</f>
        <v/>
      </c>
      <c r="C293" t="str">
        <f>IF(Table24254[[#This Row],[Journal Description (Service Description)]]="","",1)</f>
        <v/>
      </c>
      <c r="D293" s="2" t="str">
        <f>IF(Table24254[[#This Row],[Journal Description (Service Description)]]="","",VLOOKUP(Table24254[[#This Row],[Journal Description (Service Description)]],'Lookup Values'!$A:$B,2,FALSE))</f>
        <v/>
      </c>
    </row>
    <row r="294" spans="1:4" x14ac:dyDescent="0.35">
      <c r="A294" t="str">
        <f>IF(Table24254[[#This Row],[Branch Name]]="","",(_xlfn.XLOOKUP(Table24254[[#This Row],[Branch Name]],'Lookup Values'!G:G,'Lookup Values'!H:H,0)))</f>
        <v/>
      </c>
      <c r="B294" t="str">
        <f>IF(Table24254[[#This Row],[Branch Name]]="","",(_xlfn.XLOOKUP(Table24254[[#This Row],[Branch Name]],'Lookup Values'!G:G,'Lookup Values'!I:I,0)))</f>
        <v/>
      </c>
      <c r="C294" t="str">
        <f>IF(Table24254[[#This Row],[Journal Description (Service Description)]]="","",1)</f>
        <v/>
      </c>
      <c r="D294" s="2" t="str">
        <f>IF(Table24254[[#This Row],[Journal Description (Service Description)]]="","",VLOOKUP(Table24254[[#This Row],[Journal Description (Service Description)]],'Lookup Values'!$A:$B,2,FALSE))</f>
        <v/>
      </c>
    </row>
    <row r="295" spans="1:4" x14ac:dyDescent="0.35">
      <c r="A295" t="str">
        <f>IF(Table24254[[#This Row],[Branch Name]]="","",(_xlfn.XLOOKUP(Table24254[[#This Row],[Branch Name]],'Lookup Values'!G:G,'Lookup Values'!H:H,0)))</f>
        <v/>
      </c>
      <c r="B295" t="str">
        <f>IF(Table24254[[#This Row],[Branch Name]]="","",(_xlfn.XLOOKUP(Table24254[[#This Row],[Branch Name]],'Lookup Values'!G:G,'Lookup Values'!I:I,0)))</f>
        <v/>
      </c>
      <c r="C295" t="str">
        <f>IF(Table24254[[#This Row],[Journal Description (Service Description)]]="","",1)</f>
        <v/>
      </c>
      <c r="D295" s="2" t="str">
        <f>IF(Table24254[[#This Row],[Journal Description (Service Description)]]="","",VLOOKUP(Table24254[[#This Row],[Journal Description (Service Description)]],'Lookup Values'!$A:$B,2,FALSE))</f>
        <v/>
      </c>
    </row>
    <row r="296" spans="1:4" x14ac:dyDescent="0.35">
      <c r="A296" t="str">
        <f>IF(Table24254[[#This Row],[Branch Name]]="","",(_xlfn.XLOOKUP(Table24254[[#This Row],[Branch Name]],'Lookup Values'!G:G,'Lookup Values'!H:H,0)))</f>
        <v/>
      </c>
      <c r="B296" t="str">
        <f>IF(Table24254[[#This Row],[Branch Name]]="","",(_xlfn.XLOOKUP(Table24254[[#This Row],[Branch Name]],'Lookup Values'!G:G,'Lookup Values'!I:I,0)))</f>
        <v/>
      </c>
      <c r="C296" t="str">
        <f>IF(Table24254[[#This Row],[Journal Description (Service Description)]]="","",1)</f>
        <v/>
      </c>
      <c r="D296" s="2" t="str">
        <f>IF(Table24254[[#This Row],[Journal Description (Service Description)]]="","",VLOOKUP(Table24254[[#This Row],[Journal Description (Service Description)]],'Lookup Values'!$A:$B,2,FALSE))</f>
        <v/>
      </c>
    </row>
    <row r="297" spans="1:4" x14ac:dyDescent="0.35">
      <c r="A297" t="str">
        <f>IF(Table24254[[#This Row],[Branch Name]]="","",(_xlfn.XLOOKUP(Table24254[[#This Row],[Branch Name]],'Lookup Values'!G:G,'Lookup Values'!H:H,0)))</f>
        <v/>
      </c>
      <c r="B297" t="str">
        <f>IF(Table24254[[#This Row],[Branch Name]]="","",(_xlfn.XLOOKUP(Table24254[[#This Row],[Branch Name]],'Lookup Values'!G:G,'Lookup Values'!I:I,0)))</f>
        <v/>
      </c>
      <c r="C297" t="str">
        <f>IF(Table24254[[#This Row],[Journal Description (Service Description)]]="","",1)</f>
        <v/>
      </c>
      <c r="D297" s="2" t="str">
        <f>IF(Table24254[[#This Row],[Journal Description (Service Description)]]="","",VLOOKUP(Table24254[[#This Row],[Journal Description (Service Description)]],'Lookup Values'!$A:$B,2,FALSE))</f>
        <v/>
      </c>
    </row>
    <row r="298" spans="1:4" x14ac:dyDescent="0.35">
      <c r="A298" t="str">
        <f>IF(Table24254[[#This Row],[Branch Name]]="","",(_xlfn.XLOOKUP(Table24254[[#This Row],[Branch Name]],'Lookup Values'!G:G,'Lookup Values'!H:H,0)))</f>
        <v/>
      </c>
      <c r="B298" t="str">
        <f>IF(Table24254[[#This Row],[Branch Name]]="","",(_xlfn.XLOOKUP(Table24254[[#This Row],[Branch Name]],'Lookup Values'!G:G,'Lookup Values'!I:I,0)))</f>
        <v/>
      </c>
      <c r="C298" t="str">
        <f>IF(Table24254[[#This Row],[Journal Description (Service Description)]]="","",1)</f>
        <v/>
      </c>
      <c r="D298" s="2" t="str">
        <f>IF(Table24254[[#This Row],[Journal Description (Service Description)]]="","",VLOOKUP(Table24254[[#This Row],[Journal Description (Service Description)]],'Lookup Values'!$A:$B,2,FALSE))</f>
        <v/>
      </c>
    </row>
    <row r="299" spans="1:4" x14ac:dyDescent="0.35">
      <c r="A299" t="str">
        <f>IF(Table24254[[#This Row],[Branch Name]]="","",(_xlfn.XLOOKUP(Table24254[[#This Row],[Branch Name]],'Lookup Values'!G:G,'Lookup Values'!H:H,0)))</f>
        <v/>
      </c>
      <c r="B299" t="str">
        <f>IF(Table24254[[#This Row],[Branch Name]]="","",(_xlfn.XLOOKUP(Table24254[[#This Row],[Branch Name]],'Lookup Values'!G:G,'Lookup Values'!I:I,0)))</f>
        <v/>
      </c>
      <c r="C299" t="str">
        <f>IF(Table24254[[#This Row],[Journal Description (Service Description)]]="","",1)</f>
        <v/>
      </c>
      <c r="D299" s="2" t="str">
        <f>IF(Table24254[[#This Row],[Journal Description (Service Description)]]="","",VLOOKUP(Table24254[[#This Row],[Journal Description (Service Description)]],'Lookup Values'!$A:$B,2,FALSE))</f>
        <v/>
      </c>
    </row>
    <row r="300" spans="1:4" x14ac:dyDescent="0.35">
      <c r="A300" t="str">
        <f>IF(Table24254[[#This Row],[Branch Name]]="","",(_xlfn.XLOOKUP(Table24254[[#This Row],[Branch Name]],'Lookup Values'!G:G,'Lookup Values'!H:H,0)))</f>
        <v/>
      </c>
      <c r="B300" t="str">
        <f>IF(Table24254[[#This Row],[Branch Name]]="","",(_xlfn.XLOOKUP(Table24254[[#This Row],[Branch Name]],'Lookup Values'!G:G,'Lookup Values'!I:I,0)))</f>
        <v/>
      </c>
      <c r="C300" t="str">
        <f>IF(Table24254[[#This Row],[Journal Description (Service Description)]]="","",1)</f>
        <v/>
      </c>
      <c r="D300" s="2" t="str">
        <f>IF(Table24254[[#This Row],[Journal Description (Service Description)]]="","",VLOOKUP(Table24254[[#This Row],[Journal Description (Service Description)]],'Lookup Values'!$A:$B,2,FALSE))</f>
        <v/>
      </c>
    </row>
    <row r="301" spans="1:4" x14ac:dyDescent="0.35">
      <c r="A301" t="str">
        <f>IF(Table24254[[#This Row],[Branch Name]]="","",(_xlfn.XLOOKUP(Table24254[[#This Row],[Branch Name]],'Lookup Values'!G:G,'Lookup Values'!H:H,0)))</f>
        <v/>
      </c>
      <c r="B301" t="str">
        <f>IF(Table24254[[#This Row],[Branch Name]]="","",(_xlfn.XLOOKUP(Table24254[[#This Row],[Branch Name]],'Lookup Values'!G:G,'Lookup Values'!I:I,0)))</f>
        <v/>
      </c>
      <c r="C301" t="str">
        <f>IF(Table24254[[#This Row],[Journal Description (Service Description)]]="","",1)</f>
        <v/>
      </c>
      <c r="D301" s="2" t="str">
        <f>IF(Table24254[[#This Row],[Journal Description (Service Description)]]="","",VLOOKUP(Table24254[[#This Row],[Journal Description (Service Description)]],'Lookup Values'!$A:$B,2,FALSE))</f>
        <v/>
      </c>
    </row>
    <row r="302" spans="1:4" x14ac:dyDescent="0.35">
      <c r="A302" t="str">
        <f>IF(Table24254[[#This Row],[Branch Name]]="","",(_xlfn.XLOOKUP(Table24254[[#This Row],[Branch Name]],'Lookup Values'!G:G,'Lookup Values'!H:H,0)))</f>
        <v/>
      </c>
      <c r="B302" t="str">
        <f>IF(Table24254[[#This Row],[Branch Name]]="","",(_xlfn.XLOOKUP(Table24254[[#This Row],[Branch Name]],'Lookup Values'!G:G,'Lookup Values'!I:I,0)))</f>
        <v/>
      </c>
      <c r="C302" t="str">
        <f>IF(Table24254[[#This Row],[Journal Description (Service Description)]]="","",1)</f>
        <v/>
      </c>
      <c r="D302" s="2" t="str">
        <f>IF(Table24254[[#This Row],[Journal Description (Service Description)]]="","",VLOOKUP(Table24254[[#This Row],[Journal Description (Service Description)]],'Lookup Values'!$A:$B,2,FALSE))</f>
        <v/>
      </c>
    </row>
    <row r="303" spans="1:4" x14ac:dyDescent="0.35">
      <c r="A303" t="str">
        <f>IF(Table24254[[#This Row],[Branch Name]]="","",(_xlfn.XLOOKUP(Table24254[[#This Row],[Branch Name]],'Lookup Values'!G:G,'Lookup Values'!H:H,0)))</f>
        <v/>
      </c>
      <c r="B303" t="str">
        <f>IF(Table24254[[#This Row],[Branch Name]]="","",(_xlfn.XLOOKUP(Table24254[[#This Row],[Branch Name]],'Lookup Values'!G:G,'Lookup Values'!I:I,0)))</f>
        <v/>
      </c>
      <c r="C303" t="str">
        <f>IF(Table24254[[#This Row],[Journal Description (Service Description)]]="","",1)</f>
        <v/>
      </c>
      <c r="D303" s="2" t="str">
        <f>IF(Table24254[[#This Row],[Journal Description (Service Description)]]="","",VLOOKUP(Table24254[[#This Row],[Journal Description (Service Description)]],'Lookup Values'!$A:$B,2,FALSE))</f>
        <v/>
      </c>
    </row>
    <row r="304" spans="1:4" x14ac:dyDescent="0.35">
      <c r="A304" t="str">
        <f>IF(Table24254[[#This Row],[Branch Name]]="","",(_xlfn.XLOOKUP(Table24254[[#This Row],[Branch Name]],'Lookup Values'!G:G,'Lookup Values'!H:H,0)))</f>
        <v/>
      </c>
      <c r="B304" t="str">
        <f>IF(Table24254[[#This Row],[Branch Name]]="","",(_xlfn.XLOOKUP(Table24254[[#This Row],[Branch Name]],'Lookup Values'!G:G,'Lookup Values'!I:I,0)))</f>
        <v/>
      </c>
      <c r="C304" t="str">
        <f>IF(Table24254[[#This Row],[Journal Description (Service Description)]]="","",1)</f>
        <v/>
      </c>
      <c r="D304" s="2" t="str">
        <f>IF(Table24254[[#This Row],[Journal Description (Service Description)]]="","",VLOOKUP(Table24254[[#This Row],[Journal Description (Service Description)]],'Lookup Values'!$A:$B,2,FALSE))</f>
        <v/>
      </c>
    </row>
    <row r="305" spans="1:4" x14ac:dyDescent="0.35">
      <c r="A305" t="str">
        <f>IF(Table24254[[#This Row],[Branch Name]]="","",(_xlfn.XLOOKUP(Table24254[[#This Row],[Branch Name]],'Lookup Values'!G:G,'Lookup Values'!H:H,0)))</f>
        <v/>
      </c>
      <c r="B305" t="str">
        <f>IF(Table24254[[#This Row],[Branch Name]]="","",(_xlfn.XLOOKUP(Table24254[[#This Row],[Branch Name]],'Lookup Values'!G:G,'Lookup Values'!I:I,0)))</f>
        <v/>
      </c>
      <c r="C305" t="str">
        <f>IF(Table24254[[#This Row],[Journal Description (Service Description)]]="","",1)</f>
        <v/>
      </c>
      <c r="D305" s="2" t="str">
        <f>IF(Table24254[[#This Row],[Journal Description (Service Description)]]="","",VLOOKUP(Table24254[[#This Row],[Journal Description (Service Description)]],'Lookup Values'!$A:$B,2,FALSE))</f>
        <v/>
      </c>
    </row>
    <row r="306" spans="1:4" x14ac:dyDescent="0.35">
      <c r="A306" t="str">
        <f>IF(Table24254[[#This Row],[Branch Name]]="","",(_xlfn.XLOOKUP(Table24254[[#This Row],[Branch Name]],'Lookup Values'!G:G,'Lookup Values'!H:H,0)))</f>
        <v/>
      </c>
      <c r="B306" t="str">
        <f>IF(Table24254[[#This Row],[Branch Name]]="","",(_xlfn.XLOOKUP(Table24254[[#This Row],[Branch Name]],'Lookup Values'!G:G,'Lookup Values'!I:I,0)))</f>
        <v/>
      </c>
      <c r="C306" t="str">
        <f>IF(Table24254[[#This Row],[Journal Description (Service Description)]]="","",1)</f>
        <v/>
      </c>
      <c r="D306" s="2" t="str">
        <f>IF(Table24254[[#This Row],[Journal Description (Service Description)]]="","",VLOOKUP(Table24254[[#This Row],[Journal Description (Service Description)]],'Lookup Values'!$A:$B,2,FALSE))</f>
        <v/>
      </c>
    </row>
    <row r="307" spans="1:4" x14ac:dyDescent="0.35">
      <c r="A307" t="str">
        <f>IF(Table24254[[#This Row],[Branch Name]]="","",(_xlfn.XLOOKUP(Table24254[[#This Row],[Branch Name]],'Lookup Values'!G:G,'Lookup Values'!H:H,0)))</f>
        <v/>
      </c>
      <c r="B307" t="str">
        <f>IF(Table24254[[#This Row],[Branch Name]]="","",(_xlfn.XLOOKUP(Table24254[[#This Row],[Branch Name]],'Lookup Values'!G:G,'Lookup Values'!I:I,0)))</f>
        <v/>
      </c>
      <c r="C307" t="str">
        <f>IF(Table24254[[#This Row],[Journal Description (Service Description)]]="","",1)</f>
        <v/>
      </c>
      <c r="D307" s="2" t="str">
        <f>IF(Table24254[[#This Row],[Journal Description (Service Description)]]="","",VLOOKUP(Table24254[[#This Row],[Journal Description (Service Description)]],'Lookup Values'!$A:$B,2,FALSE))</f>
        <v/>
      </c>
    </row>
    <row r="308" spans="1:4" x14ac:dyDescent="0.35">
      <c r="A308" t="str">
        <f>IF(Table24254[[#This Row],[Branch Name]]="","",(_xlfn.XLOOKUP(Table24254[[#This Row],[Branch Name]],'Lookup Values'!G:G,'Lookup Values'!H:H,0)))</f>
        <v/>
      </c>
      <c r="B308" t="str">
        <f>IF(Table24254[[#This Row],[Branch Name]]="","",(_xlfn.XLOOKUP(Table24254[[#This Row],[Branch Name]],'Lookup Values'!G:G,'Lookup Values'!I:I,0)))</f>
        <v/>
      </c>
      <c r="C308" t="str">
        <f>IF(Table24254[[#This Row],[Journal Description (Service Description)]]="","",1)</f>
        <v/>
      </c>
      <c r="D308" s="2" t="str">
        <f>IF(Table24254[[#This Row],[Journal Description (Service Description)]]="","",VLOOKUP(Table24254[[#This Row],[Journal Description (Service Description)]],'Lookup Values'!$A:$B,2,FALSE))</f>
        <v/>
      </c>
    </row>
    <row r="309" spans="1:4" x14ac:dyDescent="0.35">
      <c r="A309" t="str">
        <f>IF(Table24254[[#This Row],[Branch Name]]="","",(_xlfn.XLOOKUP(Table24254[[#This Row],[Branch Name]],'Lookup Values'!G:G,'Lookup Values'!H:H,0)))</f>
        <v/>
      </c>
      <c r="B309" t="str">
        <f>IF(Table24254[[#This Row],[Branch Name]]="","",(_xlfn.XLOOKUP(Table24254[[#This Row],[Branch Name]],'Lookup Values'!G:G,'Lookup Values'!I:I,0)))</f>
        <v/>
      </c>
      <c r="C309" t="str">
        <f>IF(Table24254[[#This Row],[Journal Description (Service Description)]]="","",1)</f>
        <v/>
      </c>
      <c r="D309" s="2" t="str">
        <f>IF(Table24254[[#This Row],[Journal Description (Service Description)]]="","",VLOOKUP(Table24254[[#This Row],[Journal Description (Service Description)]],'Lookup Values'!$A:$B,2,FALSE))</f>
        <v/>
      </c>
    </row>
    <row r="310" spans="1:4" x14ac:dyDescent="0.35">
      <c r="A310" t="str">
        <f>IF(Table24254[[#This Row],[Branch Name]]="","",(_xlfn.XLOOKUP(Table24254[[#This Row],[Branch Name]],'Lookup Values'!G:G,'Lookup Values'!H:H,0)))</f>
        <v/>
      </c>
      <c r="B310" t="str">
        <f>IF(Table24254[[#This Row],[Branch Name]]="","",(_xlfn.XLOOKUP(Table24254[[#This Row],[Branch Name]],'Lookup Values'!G:G,'Lookup Values'!I:I,0)))</f>
        <v/>
      </c>
      <c r="C310" t="str">
        <f>IF(Table24254[[#This Row],[Journal Description (Service Description)]]="","",1)</f>
        <v/>
      </c>
      <c r="D310" s="2" t="str">
        <f>IF(Table24254[[#This Row],[Journal Description (Service Description)]]="","",VLOOKUP(Table24254[[#This Row],[Journal Description (Service Description)]],'Lookup Values'!$A:$B,2,FALSE))</f>
        <v/>
      </c>
    </row>
    <row r="311" spans="1:4" x14ac:dyDescent="0.35">
      <c r="A311" t="str">
        <f>IF(Table24254[[#This Row],[Branch Name]]="","",(_xlfn.XLOOKUP(Table24254[[#This Row],[Branch Name]],'Lookup Values'!G:G,'Lookup Values'!H:H,0)))</f>
        <v/>
      </c>
      <c r="B311" t="str">
        <f>IF(Table24254[[#This Row],[Branch Name]]="","",(_xlfn.XLOOKUP(Table24254[[#This Row],[Branch Name]],'Lookup Values'!G:G,'Lookup Values'!I:I,0)))</f>
        <v/>
      </c>
      <c r="C311" t="str">
        <f>IF(Table24254[[#This Row],[Journal Description (Service Description)]]="","",1)</f>
        <v/>
      </c>
      <c r="D311" s="2" t="str">
        <f>IF(Table24254[[#This Row],[Journal Description (Service Description)]]="","",VLOOKUP(Table24254[[#This Row],[Journal Description (Service Description)]],'Lookup Values'!$A:$B,2,FALSE))</f>
        <v/>
      </c>
    </row>
    <row r="312" spans="1:4" x14ac:dyDescent="0.35">
      <c r="A312" t="str">
        <f>IF(Table24254[[#This Row],[Branch Name]]="","",(_xlfn.XLOOKUP(Table24254[[#This Row],[Branch Name]],'Lookup Values'!G:G,'Lookup Values'!H:H,0)))</f>
        <v/>
      </c>
      <c r="B312" t="str">
        <f>IF(Table24254[[#This Row],[Branch Name]]="","",(_xlfn.XLOOKUP(Table24254[[#This Row],[Branch Name]],'Lookup Values'!G:G,'Lookup Values'!I:I,0)))</f>
        <v/>
      </c>
      <c r="C312" t="str">
        <f>IF(Table24254[[#This Row],[Journal Description (Service Description)]]="","",1)</f>
        <v/>
      </c>
      <c r="D312" s="2" t="str">
        <f>IF(Table24254[[#This Row],[Journal Description (Service Description)]]="","",VLOOKUP(Table24254[[#This Row],[Journal Description (Service Description)]],'Lookup Values'!$A:$B,2,FALSE))</f>
        <v/>
      </c>
    </row>
    <row r="313" spans="1:4" x14ac:dyDescent="0.35">
      <c r="A313" t="str">
        <f>IF(Table24254[[#This Row],[Branch Name]]="","",(_xlfn.XLOOKUP(Table24254[[#This Row],[Branch Name]],'Lookup Values'!G:G,'Lookup Values'!H:H,0)))</f>
        <v/>
      </c>
      <c r="B313" t="str">
        <f>IF(Table24254[[#This Row],[Branch Name]]="","",(_xlfn.XLOOKUP(Table24254[[#This Row],[Branch Name]],'Lookup Values'!G:G,'Lookup Values'!I:I,0)))</f>
        <v/>
      </c>
      <c r="C313" t="str">
        <f>IF(Table24254[[#This Row],[Journal Description (Service Description)]]="","",1)</f>
        <v/>
      </c>
      <c r="D313" s="2" t="str">
        <f>IF(Table24254[[#This Row],[Journal Description (Service Description)]]="","",VLOOKUP(Table24254[[#This Row],[Journal Description (Service Description)]],'Lookup Values'!$A:$B,2,FALSE))</f>
        <v/>
      </c>
    </row>
    <row r="314" spans="1:4" x14ac:dyDescent="0.35">
      <c r="A314" t="str">
        <f>IF(Table24254[[#This Row],[Branch Name]]="","",(_xlfn.XLOOKUP(Table24254[[#This Row],[Branch Name]],'Lookup Values'!G:G,'Lookup Values'!H:H,0)))</f>
        <v/>
      </c>
      <c r="B314" t="str">
        <f>IF(Table24254[[#This Row],[Branch Name]]="","",(_xlfn.XLOOKUP(Table24254[[#This Row],[Branch Name]],'Lookup Values'!G:G,'Lookup Values'!I:I,0)))</f>
        <v/>
      </c>
      <c r="C314" t="str">
        <f>IF(Table24254[[#This Row],[Journal Description (Service Description)]]="","",1)</f>
        <v/>
      </c>
      <c r="D314" s="2" t="str">
        <f>IF(Table24254[[#This Row],[Journal Description (Service Description)]]="","",VLOOKUP(Table24254[[#This Row],[Journal Description (Service Description)]],'Lookup Values'!$A:$B,2,FALSE))</f>
        <v/>
      </c>
    </row>
    <row r="315" spans="1:4" x14ac:dyDescent="0.35">
      <c r="A315" t="str">
        <f>IF(Table24254[[#This Row],[Branch Name]]="","",(_xlfn.XLOOKUP(Table24254[[#This Row],[Branch Name]],'Lookup Values'!G:G,'Lookup Values'!H:H,0)))</f>
        <v/>
      </c>
      <c r="B315" t="str">
        <f>IF(Table24254[[#This Row],[Branch Name]]="","",(_xlfn.XLOOKUP(Table24254[[#This Row],[Branch Name]],'Lookup Values'!G:G,'Lookup Values'!I:I,0)))</f>
        <v/>
      </c>
      <c r="C315" t="str">
        <f>IF(Table24254[[#This Row],[Journal Description (Service Description)]]="","",1)</f>
        <v/>
      </c>
      <c r="D315" s="2" t="str">
        <f>IF(Table24254[[#This Row],[Journal Description (Service Description)]]="","",VLOOKUP(Table24254[[#This Row],[Journal Description (Service Description)]],'Lookup Values'!$A:$B,2,FALSE))</f>
        <v/>
      </c>
    </row>
    <row r="316" spans="1:4" x14ac:dyDescent="0.35">
      <c r="A316" t="str">
        <f>IF(Table24254[[#This Row],[Branch Name]]="","",(_xlfn.XLOOKUP(Table24254[[#This Row],[Branch Name]],'Lookup Values'!G:G,'Lookup Values'!H:H,0)))</f>
        <v/>
      </c>
      <c r="B316" t="str">
        <f>IF(Table24254[[#This Row],[Branch Name]]="","",(_xlfn.XLOOKUP(Table24254[[#This Row],[Branch Name]],'Lookup Values'!G:G,'Lookup Values'!I:I,0)))</f>
        <v/>
      </c>
      <c r="C316" t="str">
        <f>IF(Table24254[[#This Row],[Journal Description (Service Description)]]="","",1)</f>
        <v/>
      </c>
      <c r="D316" s="2" t="str">
        <f>IF(Table24254[[#This Row],[Journal Description (Service Description)]]="","",VLOOKUP(Table24254[[#This Row],[Journal Description (Service Description)]],'Lookup Values'!$A:$B,2,FALSE))</f>
        <v/>
      </c>
    </row>
    <row r="317" spans="1:4" x14ac:dyDescent="0.35">
      <c r="A317" t="str">
        <f>IF(Table24254[[#This Row],[Branch Name]]="","",(_xlfn.XLOOKUP(Table24254[[#This Row],[Branch Name]],'Lookup Values'!G:G,'Lookup Values'!H:H,0)))</f>
        <v/>
      </c>
      <c r="B317" t="str">
        <f>IF(Table24254[[#This Row],[Branch Name]]="","",(_xlfn.XLOOKUP(Table24254[[#This Row],[Branch Name]],'Lookup Values'!G:G,'Lookup Values'!I:I,0)))</f>
        <v/>
      </c>
      <c r="C317" t="str">
        <f>IF(Table24254[[#This Row],[Journal Description (Service Description)]]="","",1)</f>
        <v/>
      </c>
      <c r="D317" s="2" t="str">
        <f>IF(Table24254[[#This Row],[Journal Description (Service Description)]]="","",VLOOKUP(Table24254[[#This Row],[Journal Description (Service Description)]],'Lookup Values'!$A:$B,2,FALSE))</f>
        <v/>
      </c>
    </row>
    <row r="318" spans="1:4" x14ac:dyDescent="0.35">
      <c r="A318" t="str">
        <f>IF(Table24254[[#This Row],[Branch Name]]="","",(_xlfn.XLOOKUP(Table24254[[#This Row],[Branch Name]],'Lookup Values'!G:G,'Lookup Values'!H:H,0)))</f>
        <v/>
      </c>
      <c r="B318" t="str">
        <f>IF(Table24254[[#This Row],[Branch Name]]="","",(_xlfn.XLOOKUP(Table24254[[#This Row],[Branch Name]],'Lookup Values'!G:G,'Lookup Values'!I:I,0)))</f>
        <v/>
      </c>
      <c r="C318" t="str">
        <f>IF(Table24254[[#This Row],[Journal Description (Service Description)]]="","",1)</f>
        <v/>
      </c>
      <c r="D318" s="2" t="str">
        <f>IF(Table24254[[#This Row],[Journal Description (Service Description)]]="","",VLOOKUP(Table24254[[#This Row],[Journal Description (Service Description)]],'Lookup Values'!$A:$B,2,FALSE))</f>
        <v/>
      </c>
    </row>
    <row r="319" spans="1:4" x14ac:dyDescent="0.35">
      <c r="A319" t="str">
        <f>IF(Table24254[[#This Row],[Branch Name]]="","",(_xlfn.XLOOKUP(Table24254[[#This Row],[Branch Name]],'Lookup Values'!G:G,'Lookup Values'!H:H,0)))</f>
        <v/>
      </c>
      <c r="B319" t="str">
        <f>IF(Table24254[[#This Row],[Branch Name]]="","",(_xlfn.XLOOKUP(Table24254[[#This Row],[Branch Name]],'Lookup Values'!G:G,'Lookup Values'!I:I,0)))</f>
        <v/>
      </c>
      <c r="C319" t="str">
        <f>IF(Table24254[[#This Row],[Journal Description (Service Description)]]="","",1)</f>
        <v/>
      </c>
      <c r="D319" s="2" t="str">
        <f>IF(Table24254[[#This Row],[Journal Description (Service Description)]]="","",VLOOKUP(Table24254[[#This Row],[Journal Description (Service Description)]],'Lookup Values'!$A:$B,2,FALSE))</f>
        <v/>
      </c>
    </row>
    <row r="320" spans="1:4" x14ac:dyDescent="0.35">
      <c r="A320" t="str">
        <f>IF(Table24254[[#This Row],[Branch Name]]="","",(_xlfn.XLOOKUP(Table24254[[#This Row],[Branch Name]],'Lookup Values'!G:G,'Lookup Values'!H:H,0)))</f>
        <v/>
      </c>
      <c r="B320" t="str">
        <f>IF(Table24254[[#This Row],[Branch Name]]="","",(_xlfn.XLOOKUP(Table24254[[#This Row],[Branch Name]],'Lookup Values'!G:G,'Lookup Values'!I:I,0)))</f>
        <v/>
      </c>
      <c r="C320" t="str">
        <f>IF(Table24254[[#This Row],[Journal Description (Service Description)]]="","",1)</f>
        <v/>
      </c>
      <c r="D320" s="2" t="str">
        <f>IF(Table24254[[#This Row],[Journal Description (Service Description)]]="","",VLOOKUP(Table24254[[#This Row],[Journal Description (Service Description)]],'Lookup Values'!$A:$B,2,FALSE))</f>
        <v/>
      </c>
    </row>
    <row r="321" spans="1:4" x14ac:dyDescent="0.35">
      <c r="A321" t="str">
        <f>IF(Table24254[[#This Row],[Branch Name]]="","",(_xlfn.XLOOKUP(Table24254[[#This Row],[Branch Name]],'Lookup Values'!G:G,'Lookup Values'!H:H,0)))</f>
        <v/>
      </c>
      <c r="B321" t="str">
        <f>IF(Table24254[[#This Row],[Branch Name]]="","",(_xlfn.XLOOKUP(Table24254[[#This Row],[Branch Name]],'Lookup Values'!G:G,'Lookup Values'!I:I,0)))</f>
        <v/>
      </c>
      <c r="C321" t="str">
        <f>IF(Table24254[[#This Row],[Journal Description (Service Description)]]="","",1)</f>
        <v/>
      </c>
      <c r="D321" s="2" t="str">
        <f>IF(Table24254[[#This Row],[Journal Description (Service Description)]]="","",VLOOKUP(Table24254[[#This Row],[Journal Description (Service Description)]],'Lookup Values'!$A:$B,2,FALSE))</f>
        <v/>
      </c>
    </row>
    <row r="322" spans="1:4" x14ac:dyDescent="0.35">
      <c r="A322" t="str">
        <f>IF(Table24254[[#This Row],[Branch Name]]="","",(_xlfn.XLOOKUP(Table24254[[#This Row],[Branch Name]],'Lookup Values'!G:G,'Lookup Values'!H:H,0)))</f>
        <v/>
      </c>
      <c r="B322" t="str">
        <f>IF(Table24254[[#This Row],[Branch Name]]="","",(_xlfn.XLOOKUP(Table24254[[#This Row],[Branch Name]],'Lookup Values'!G:G,'Lookup Values'!I:I,0)))</f>
        <v/>
      </c>
      <c r="C322" t="str">
        <f>IF(Table24254[[#This Row],[Journal Description (Service Description)]]="","",1)</f>
        <v/>
      </c>
      <c r="D322" s="2" t="str">
        <f>IF(Table24254[[#This Row],[Journal Description (Service Description)]]="","",VLOOKUP(Table24254[[#This Row],[Journal Description (Service Description)]],'Lookup Values'!$A:$B,2,FALSE))</f>
        <v/>
      </c>
    </row>
    <row r="323" spans="1:4" x14ac:dyDescent="0.35">
      <c r="A323" t="str">
        <f>IF(Table24254[[#This Row],[Branch Name]]="","",(_xlfn.XLOOKUP(Table24254[[#This Row],[Branch Name]],'Lookup Values'!G:G,'Lookup Values'!H:H,0)))</f>
        <v/>
      </c>
      <c r="B323" t="str">
        <f>IF(Table24254[[#This Row],[Branch Name]]="","",(_xlfn.XLOOKUP(Table24254[[#This Row],[Branch Name]],'Lookup Values'!G:G,'Lookup Values'!I:I,0)))</f>
        <v/>
      </c>
      <c r="C323" t="str">
        <f>IF(Table24254[[#This Row],[Journal Description (Service Description)]]="","",1)</f>
        <v/>
      </c>
      <c r="D323" s="2" t="str">
        <f>IF(Table24254[[#This Row],[Journal Description (Service Description)]]="","",VLOOKUP(Table24254[[#This Row],[Journal Description (Service Description)]],'Lookup Values'!$A:$B,2,FALSE))</f>
        <v/>
      </c>
    </row>
    <row r="324" spans="1:4" x14ac:dyDescent="0.35">
      <c r="A324" t="str">
        <f>IF(Table24254[[#This Row],[Branch Name]]="","",(_xlfn.XLOOKUP(Table24254[[#This Row],[Branch Name]],'Lookup Values'!G:G,'Lookup Values'!H:H,0)))</f>
        <v/>
      </c>
      <c r="B324" t="str">
        <f>IF(Table24254[[#This Row],[Branch Name]]="","",(_xlfn.XLOOKUP(Table24254[[#This Row],[Branch Name]],'Lookup Values'!G:G,'Lookup Values'!I:I,0)))</f>
        <v/>
      </c>
      <c r="C324" t="str">
        <f>IF(Table24254[[#This Row],[Journal Description (Service Description)]]="","",1)</f>
        <v/>
      </c>
      <c r="D324" s="2" t="str">
        <f>IF(Table24254[[#This Row],[Journal Description (Service Description)]]="","",VLOOKUP(Table24254[[#This Row],[Journal Description (Service Description)]],'Lookup Values'!$A:$B,2,FALSE))</f>
        <v/>
      </c>
    </row>
    <row r="325" spans="1:4" x14ac:dyDescent="0.35">
      <c r="A325" t="str">
        <f>IF(Table24254[[#This Row],[Branch Name]]="","",(_xlfn.XLOOKUP(Table24254[[#This Row],[Branch Name]],'Lookup Values'!G:G,'Lookup Values'!H:H,0)))</f>
        <v/>
      </c>
      <c r="B325" t="str">
        <f>IF(Table24254[[#This Row],[Branch Name]]="","",(_xlfn.XLOOKUP(Table24254[[#This Row],[Branch Name]],'Lookup Values'!G:G,'Lookup Values'!I:I,0)))</f>
        <v/>
      </c>
      <c r="C325" t="str">
        <f>IF(Table24254[[#This Row],[Journal Description (Service Description)]]="","",1)</f>
        <v/>
      </c>
      <c r="D325" s="2" t="str">
        <f>IF(Table24254[[#This Row],[Journal Description (Service Description)]]="","",VLOOKUP(Table24254[[#This Row],[Journal Description (Service Description)]],'Lookup Values'!$A:$B,2,FALSE))</f>
        <v/>
      </c>
    </row>
    <row r="326" spans="1:4" x14ac:dyDescent="0.35">
      <c r="A326" t="str">
        <f>IF(Table24254[[#This Row],[Branch Name]]="","",(_xlfn.XLOOKUP(Table24254[[#This Row],[Branch Name]],'Lookup Values'!G:G,'Lookup Values'!H:H,0)))</f>
        <v/>
      </c>
      <c r="B326" t="str">
        <f>IF(Table24254[[#This Row],[Branch Name]]="","",(_xlfn.XLOOKUP(Table24254[[#This Row],[Branch Name]],'Lookup Values'!G:G,'Lookup Values'!I:I,0)))</f>
        <v/>
      </c>
      <c r="C326" t="str">
        <f>IF(Table24254[[#This Row],[Journal Description (Service Description)]]="","",1)</f>
        <v/>
      </c>
      <c r="D326" s="2" t="str">
        <f>IF(Table24254[[#This Row],[Journal Description (Service Description)]]="","",VLOOKUP(Table24254[[#This Row],[Journal Description (Service Description)]],'Lookup Values'!$A:$B,2,FALSE))</f>
        <v/>
      </c>
    </row>
    <row r="327" spans="1:4" x14ac:dyDescent="0.35">
      <c r="A327" t="str">
        <f>IF(Table24254[[#This Row],[Branch Name]]="","",(_xlfn.XLOOKUP(Table24254[[#This Row],[Branch Name]],'Lookup Values'!G:G,'Lookup Values'!H:H,0)))</f>
        <v/>
      </c>
      <c r="B327" t="str">
        <f>IF(Table24254[[#This Row],[Branch Name]]="","",(_xlfn.XLOOKUP(Table24254[[#This Row],[Branch Name]],'Lookup Values'!G:G,'Lookup Values'!I:I,0)))</f>
        <v/>
      </c>
      <c r="C327" t="str">
        <f>IF(Table24254[[#This Row],[Journal Description (Service Description)]]="","",1)</f>
        <v/>
      </c>
      <c r="D327" s="2" t="str">
        <f>IF(Table24254[[#This Row],[Journal Description (Service Description)]]="","",VLOOKUP(Table24254[[#This Row],[Journal Description (Service Description)]],'Lookup Values'!$A:$B,2,FALSE))</f>
        <v/>
      </c>
    </row>
    <row r="328" spans="1:4" x14ac:dyDescent="0.35">
      <c r="A328" t="str">
        <f>IF(Table24254[[#This Row],[Branch Name]]="","",(_xlfn.XLOOKUP(Table24254[[#This Row],[Branch Name]],'Lookup Values'!G:G,'Lookup Values'!H:H,0)))</f>
        <v/>
      </c>
      <c r="B328" t="str">
        <f>IF(Table24254[[#This Row],[Branch Name]]="","",(_xlfn.XLOOKUP(Table24254[[#This Row],[Branch Name]],'Lookup Values'!G:G,'Lookup Values'!I:I,0)))</f>
        <v/>
      </c>
      <c r="C328" t="str">
        <f>IF(Table24254[[#This Row],[Journal Description (Service Description)]]="","",1)</f>
        <v/>
      </c>
      <c r="D328" s="2" t="str">
        <f>IF(Table24254[[#This Row],[Journal Description (Service Description)]]="","",VLOOKUP(Table24254[[#This Row],[Journal Description (Service Description)]],'Lookup Values'!$A:$B,2,FALSE))</f>
        <v/>
      </c>
    </row>
    <row r="329" spans="1:4" x14ac:dyDescent="0.35">
      <c r="A329" t="str">
        <f>IF(Table24254[[#This Row],[Branch Name]]="","",(_xlfn.XLOOKUP(Table24254[[#This Row],[Branch Name]],'Lookup Values'!G:G,'Lookup Values'!H:H,0)))</f>
        <v/>
      </c>
      <c r="B329" t="str">
        <f>IF(Table24254[[#This Row],[Branch Name]]="","",(_xlfn.XLOOKUP(Table24254[[#This Row],[Branch Name]],'Lookup Values'!G:G,'Lookup Values'!I:I,0)))</f>
        <v/>
      </c>
      <c r="C329" t="str">
        <f>IF(Table24254[[#This Row],[Journal Description (Service Description)]]="","",1)</f>
        <v/>
      </c>
      <c r="D329" s="2" t="str">
        <f>IF(Table24254[[#This Row],[Journal Description (Service Description)]]="","",VLOOKUP(Table24254[[#This Row],[Journal Description (Service Description)]],'Lookup Values'!$A:$B,2,FALSE))</f>
        <v/>
      </c>
    </row>
    <row r="330" spans="1:4" x14ac:dyDescent="0.35">
      <c r="A330" t="str">
        <f>IF(Table24254[[#This Row],[Branch Name]]="","",(_xlfn.XLOOKUP(Table24254[[#This Row],[Branch Name]],'Lookup Values'!G:G,'Lookup Values'!H:H,0)))</f>
        <v/>
      </c>
      <c r="B330" t="str">
        <f>IF(Table24254[[#This Row],[Branch Name]]="","",(_xlfn.XLOOKUP(Table24254[[#This Row],[Branch Name]],'Lookup Values'!G:G,'Lookup Values'!I:I,0)))</f>
        <v/>
      </c>
      <c r="C330" t="str">
        <f>IF(Table24254[[#This Row],[Journal Description (Service Description)]]="","",1)</f>
        <v/>
      </c>
      <c r="D330" s="2" t="str">
        <f>IF(Table24254[[#This Row],[Journal Description (Service Description)]]="","",VLOOKUP(Table24254[[#This Row],[Journal Description (Service Description)]],'Lookup Values'!$A:$B,2,FALSE))</f>
        <v/>
      </c>
    </row>
    <row r="331" spans="1:4" x14ac:dyDescent="0.35">
      <c r="A331" t="str">
        <f>IF(Table24254[[#This Row],[Branch Name]]="","",(_xlfn.XLOOKUP(Table24254[[#This Row],[Branch Name]],'Lookup Values'!G:G,'Lookup Values'!H:H,0)))</f>
        <v/>
      </c>
      <c r="B331" t="str">
        <f>IF(Table24254[[#This Row],[Branch Name]]="","",(_xlfn.XLOOKUP(Table24254[[#This Row],[Branch Name]],'Lookup Values'!G:G,'Lookup Values'!I:I,0)))</f>
        <v/>
      </c>
      <c r="C331" t="str">
        <f>IF(Table24254[[#This Row],[Journal Description (Service Description)]]="","",1)</f>
        <v/>
      </c>
      <c r="D331" s="2" t="str">
        <f>IF(Table24254[[#This Row],[Journal Description (Service Description)]]="","",VLOOKUP(Table24254[[#This Row],[Journal Description (Service Description)]],'Lookup Values'!$A:$B,2,FALSE))</f>
        <v/>
      </c>
    </row>
    <row r="332" spans="1:4" x14ac:dyDescent="0.35">
      <c r="A332" t="str">
        <f>IF(Table24254[[#This Row],[Branch Name]]="","",(_xlfn.XLOOKUP(Table24254[[#This Row],[Branch Name]],'Lookup Values'!G:G,'Lookup Values'!H:H,0)))</f>
        <v/>
      </c>
      <c r="B332" t="str">
        <f>IF(Table24254[[#This Row],[Branch Name]]="","",(_xlfn.XLOOKUP(Table24254[[#This Row],[Branch Name]],'Lookup Values'!G:G,'Lookup Values'!I:I,0)))</f>
        <v/>
      </c>
      <c r="C332" t="str">
        <f>IF(Table24254[[#This Row],[Journal Description (Service Description)]]="","",1)</f>
        <v/>
      </c>
      <c r="D332" s="2" t="str">
        <f>IF(Table24254[[#This Row],[Journal Description (Service Description)]]="","",VLOOKUP(Table24254[[#This Row],[Journal Description (Service Description)]],'Lookup Values'!$A:$B,2,FALSE))</f>
        <v/>
      </c>
    </row>
    <row r="333" spans="1:4" x14ac:dyDescent="0.35">
      <c r="A333" t="str">
        <f>IF(Table24254[[#This Row],[Branch Name]]="","",(_xlfn.XLOOKUP(Table24254[[#This Row],[Branch Name]],'Lookup Values'!G:G,'Lookup Values'!H:H,0)))</f>
        <v/>
      </c>
      <c r="B333" t="str">
        <f>IF(Table24254[[#This Row],[Branch Name]]="","",(_xlfn.XLOOKUP(Table24254[[#This Row],[Branch Name]],'Lookup Values'!G:G,'Lookup Values'!I:I,0)))</f>
        <v/>
      </c>
      <c r="C333" t="str">
        <f>IF(Table24254[[#This Row],[Journal Description (Service Description)]]="","",1)</f>
        <v/>
      </c>
      <c r="D333" s="2" t="str">
        <f>IF(Table24254[[#This Row],[Journal Description (Service Description)]]="","",VLOOKUP(Table24254[[#This Row],[Journal Description (Service Description)]],'Lookup Values'!$A:$B,2,FALSE))</f>
        <v/>
      </c>
    </row>
    <row r="334" spans="1:4" x14ac:dyDescent="0.35">
      <c r="A334" t="str">
        <f>IF(Table24254[[#This Row],[Branch Name]]="","",(_xlfn.XLOOKUP(Table24254[[#This Row],[Branch Name]],'Lookup Values'!G:G,'Lookup Values'!H:H,0)))</f>
        <v/>
      </c>
      <c r="B334" t="str">
        <f>IF(Table24254[[#This Row],[Branch Name]]="","",(_xlfn.XLOOKUP(Table24254[[#This Row],[Branch Name]],'Lookup Values'!G:G,'Lookup Values'!I:I,0)))</f>
        <v/>
      </c>
      <c r="C334" t="str">
        <f>IF(Table24254[[#This Row],[Journal Description (Service Description)]]="","",1)</f>
        <v/>
      </c>
      <c r="D334" s="2" t="str">
        <f>IF(Table24254[[#This Row],[Journal Description (Service Description)]]="","",VLOOKUP(Table24254[[#This Row],[Journal Description (Service Description)]],'Lookup Values'!$A:$B,2,FALSE))</f>
        <v/>
      </c>
    </row>
    <row r="335" spans="1:4" x14ac:dyDescent="0.35">
      <c r="A335" t="str">
        <f>IF(Table24254[[#This Row],[Branch Name]]="","",(_xlfn.XLOOKUP(Table24254[[#This Row],[Branch Name]],'Lookup Values'!G:G,'Lookup Values'!H:H,0)))</f>
        <v/>
      </c>
      <c r="B335" t="str">
        <f>IF(Table24254[[#This Row],[Branch Name]]="","",(_xlfn.XLOOKUP(Table24254[[#This Row],[Branch Name]],'Lookup Values'!G:G,'Lookup Values'!I:I,0)))</f>
        <v/>
      </c>
      <c r="C335" t="str">
        <f>IF(Table24254[[#This Row],[Journal Description (Service Description)]]="","",1)</f>
        <v/>
      </c>
      <c r="D335" s="2" t="str">
        <f>IF(Table24254[[#This Row],[Journal Description (Service Description)]]="","",VLOOKUP(Table24254[[#This Row],[Journal Description (Service Description)]],'Lookup Values'!$A:$B,2,FALSE))</f>
        <v/>
      </c>
    </row>
    <row r="336" spans="1:4" x14ac:dyDescent="0.35">
      <c r="A336" t="str">
        <f>IF(Table24254[[#This Row],[Branch Name]]="","",(_xlfn.XLOOKUP(Table24254[[#This Row],[Branch Name]],'Lookup Values'!G:G,'Lookup Values'!H:H,0)))</f>
        <v/>
      </c>
      <c r="B336" t="str">
        <f>IF(Table24254[[#This Row],[Branch Name]]="","",(_xlfn.XLOOKUP(Table24254[[#This Row],[Branch Name]],'Lookup Values'!G:G,'Lookup Values'!I:I,0)))</f>
        <v/>
      </c>
      <c r="C336" t="str">
        <f>IF(Table24254[[#This Row],[Journal Description (Service Description)]]="","",1)</f>
        <v/>
      </c>
      <c r="D336" s="2" t="str">
        <f>IF(Table24254[[#This Row],[Journal Description (Service Description)]]="","",VLOOKUP(Table24254[[#This Row],[Journal Description (Service Description)]],'Lookup Values'!$A:$B,2,FALSE))</f>
        <v/>
      </c>
    </row>
    <row r="337" spans="1:4" x14ac:dyDescent="0.35">
      <c r="A337" t="str">
        <f>IF(Table24254[[#This Row],[Branch Name]]="","",(_xlfn.XLOOKUP(Table24254[[#This Row],[Branch Name]],'Lookup Values'!G:G,'Lookup Values'!H:H,0)))</f>
        <v/>
      </c>
      <c r="B337" t="str">
        <f>IF(Table24254[[#This Row],[Branch Name]]="","",(_xlfn.XLOOKUP(Table24254[[#This Row],[Branch Name]],'Lookup Values'!G:G,'Lookup Values'!I:I,0)))</f>
        <v/>
      </c>
      <c r="C337" t="str">
        <f>IF(Table24254[[#This Row],[Journal Description (Service Description)]]="","",1)</f>
        <v/>
      </c>
      <c r="D337" s="2" t="str">
        <f>IF(Table24254[[#This Row],[Journal Description (Service Description)]]="","",VLOOKUP(Table24254[[#This Row],[Journal Description (Service Description)]],'Lookup Values'!$A:$B,2,FALSE))</f>
        <v/>
      </c>
    </row>
    <row r="338" spans="1:4" x14ac:dyDescent="0.35">
      <c r="A338" t="str">
        <f>IF(Table24254[[#This Row],[Branch Name]]="","",(_xlfn.XLOOKUP(Table24254[[#This Row],[Branch Name]],'Lookup Values'!G:G,'Lookup Values'!H:H,0)))</f>
        <v/>
      </c>
      <c r="B338" t="str">
        <f>IF(Table24254[[#This Row],[Branch Name]]="","",(_xlfn.XLOOKUP(Table24254[[#This Row],[Branch Name]],'Lookup Values'!G:G,'Lookup Values'!I:I,0)))</f>
        <v/>
      </c>
      <c r="C338" t="str">
        <f>IF(Table24254[[#This Row],[Journal Description (Service Description)]]="","",1)</f>
        <v/>
      </c>
      <c r="D338" s="2" t="str">
        <f>IF(Table24254[[#This Row],[Journal Description (Service Description)]]="","",VLOOKUP(Table24254[[#This Row],[Journal Description (Service Description)]],'Lookup Values'!$A:$B,2,FALSE))</f>
        <v/>
      </c>
    </row>
    <row r="339" spans="1:4" x14ac:dyDescent="0.35">
      <c r="A339" t="str">
        <f>IF(Table24254[[#This Row],[Branch Name]]="","",(_xlfn.XLOOKUP(Table24254[[#This Row],[Branch Name]],'Lookup Values'!G:G,'Lookup Values'!H:H,0)))</f>
        <v/>
      </c>
      <c r="B339" t="str">
        <f>IF(Table24254[[#This Row],[Branch Name]]="","",(_xlfn.XLOOKUP(Table24254[[#This Row],[Branch Name]],'Lookup Values'!G:G,'Lookup Values'!I:I,0)))</f>
        <v/>
      </c>
      <c r="C339" t="str">
        <f>IF(Table24254[[#This Row],[Journal Description (Service Description)]]="","",1)</f>
        <v/>
      </c>
      <c r="D339" s="2" t="str">
        <f>IF(Table24254[[#This Row],[Journal Description (Service Description)]]="","",VLOOKUP(Table24254[[#This Row],[Journal Description (Service Description)]],'Lookup Values'!$A:$B,2,FALSE))</f>
        <v/>
      </c>
    </row>
    <row r="340" spans="1:4" x14ac:dyDescent="0.35">
      <c r="A340" t="str">
        <f>IF(Table24254[[#This Row],[Branch Name]]="","",(_xlfn.XLOOKUP(Table24254[[#This Row],[Branch Name]],'Lookup Values'!G:G,'Lookup Values'!H:H,0)))</f>
        <v/>
      </c>
      <c r="B340" t="str">
        <f>IF(Table24254[[#This Row],[Branch Name]]="","",(_xlfn.XLOOKUP(Table24254[[#This Row],[Branch Name]],'Lookup Values'!G:G,'Lookup Values'!I:I,0)))</f>
        <v/>
      </c>
      <c r="C340" t="str">
        <f>IF(Table24254[[#This Row],[Journal Description (Service Description)]]="","",1)</f>
        <v/>
      </c>
      <c r="D340" s="2" t="str">
        <f>IF(Table24254[[#This Row],[Journal Description (Service Description)]]="","",VLOOKUP(Table24254[[#This Row],[Journal Description (Service Description)]],'Lookup Values'!$A:$B,2,FALSE))</f>
        <v/>
      </c>
    </row>
    <row r="341" spans="1:4" x14ac:dyDescent="0.35">
      <c r="A341" t="str">
        <f>IF(Table24254[[#This Row],[Branch Name]]="","",(_xlfn.XLOOKUP(Table24254[[#This Row],[Branch Name]],'Lookup Values'!G:G,'Lookup Values'!H:H,0)))</f>
        <v/>
      </c>
      <c r="B341" t="str">
        <f>IF(Table24254[[#This Row],[Branch Name]]="","",(_xlfn.XLOOKUP(Table24254[[#This Row],[Branch Name]],'Lookup Values'!G:G,'Lookup Values'!I:I,0)))</f>
        <v/>
      </c>
      <c r="C341" t="str">
        <f>IF(Table24254[[#This Row],[Journal Description (Service Description)]]="","",1)</f>
        <v/>
      </c>
      <c r="D341" s="2" t="str">
        <f>IF(Table24254[[#This Row],[Journal Description (Service Description)]]="","",VLOOKUP(Table24254[[#This Row],[Journal Description (Service Description)]],'Lookup Values'!$A:$B,2,FALSE))</f>
        <v/>
      </c>
    </row>
    <row r="342" spans="1:4" x14ac:dyDescent="0.35">
      <c r="A342" t="str">
        <f>IF(Table24254[[#This Row],[Branch Name]]="","",(_xlfn.XLOOKUP(Table24254[[#This Row],[Branch Name]],'Lookup Values'!G:G,'Lookup Values'!H:H,0)))</f>
        <v/>
      </c>
      <c r="B342" t="str">
        <f>IF(Table24254[[#This Row],[Branch Name]]="","",(_xlfn.XLOOKUP(Table24254[[#This Row],[Branch Name]],'Lookup Values'!G:G,'Lookup Values'!I:I,0)))</f>
        <v/>
      </c>
      <c r="C342" t="str">
        <f>IF(Table24254[[#This Row],[Journal Description (Service Description)]]="","",1)</f>
        <v/>
      </c>
      <c r="D342" s="2" t="str">
        <f>IF(Table24254[[#This Row],[Journal Description (Service Description)]]="","",VLOOKUP(Table24254[[#This Row],[Journal Description (Service Description)]],'Lookup Values'!$A:$B,2,FALSE))</f>
        <v/>
      </c>
    </row>
    <row r="343" spans="1:4" x14ac:dyDescent="0.35">
      <c r="A343" t="str">
        <f>IF(Table24254[[#This Row],[Branch Name]]="","",(_xlfn.XLOOKUP(Table24254[[#This Row],[Branch Name]],'Lookup Values'!G:G,'Lookup Values'!H:H,0)))</f>
        <v/>
      </c>
      <c r="B343" t="str">
        <f>IF(Table24254[[#This Row],[Branch Name]]="","",(_xlfn.XLOOKUP(Table24254[[#This Row],[Branch Name]],'Lookup Values'!G:G,'Lookup Values'!I:I,0)))</f>
        <v/>
      </c>
      <c r="C343" t="str">
        <f>IF(Table24254[[#This Row],[Journal Description (Service Description)]]="","",1)</f>
        <v/>
      </c>
      <c r="D343" s="2" t="str">
        <f>IF(Table24254[[#This Row],[Journal Description (Service Description)]]="","",VLOOKUP(Table24254[[#This Row],[Journal Description (Service Description)]],'Lookup Values'!$A:$B,2,FALSE))</f>
        <v/>
      </c>
    </row>
    <row r="344" spans="1:4" x14ac:dyDescent="0.35">
      <c r="A344" t="str">
        <f>IF(Table24254[[#This Row],[Branch Name]]="","",(_xlfn.XLOOKUP(Table24254[[#This Row],[Branch Name]],'Lookup Values'!G:G,'Lookup Values'!H:H,0)))</f>
        <v/>
      </c>
      <c r="B344" t="str">
        <f>IF(Table24254[[#This Row],[Branch Name]]="","",(_xlfn.XLOOKUP(Table24254[[#This Row],[Branch Name]],'Lookup Values'!G:G,'Lookup Values'!I:I,0)))</f>
        <v/>
      </c>
      <c r="C344" t="str">
        <f>IF(Table24254[[#This Row],[Journal Description (Service Description)]]="","",1)</f>
        <v/>
      </c>
      <c r="D344" s="2" t="str">
        <f>IF(Table24254[[#This Row],[Journal Description (Service Description)]]="","",VLOOKUP(Table24254[[#This Row],[Journal Description (Service Description)]],'Lookup Values'!$A:$B,2,FALSE))</f>
        <v/>
      </c>
    </row>
    <row r="345" spans="1:4" x14ac:dyDescent="0.35">
      <c r="A345" t="str">
        <f>IF(Table24254[[#This Row],[Branch Name]]="","",(_xlfn.XLOOKUP(Table24254[[#This Row],[Branch Name]],'Lookup Values'!G:G,'Lookup Values'!H:H,0)))</f>
        <v/>
      </c>
      <c r="B345" t="str">
        <f>IF(Table24254[[#This Row],[Branch Name]]="","",(_xlfn.XLOOKUP(Table24254[[#This Row],[Branch Name]],'Lookup Values'!G:G,'Lookup Values'!I:I,0)))</f>
        <v/>
      </c>
      <c r="C345" t="str">
        <f>IF(Table24254[[#This Row],[Journal Description (Service Description)]]="","",1)</f>
        <v/>
      </c>
      <c r="D345" s="2" t="str">
        <f>IF(Table24254[[#This Row],[Journal Description (Service Description)]]="","",VLOOKUP(Table24254[[#This Row],[Journal Description (Service Description)]],'Lookup Values'!$A:$B,2,FALSE))</f>
        <v/>
      </c>
    </row>
    <row r="346" spans="1:4" x14ac:dyDescent="0.35">
      <c r="A346" t="str">
        <f>IF(Table24254[[#This Row],[Branch Name]]="","",(_xlfn.XLOOKUP(Table24254[[#This Row],[Branch Name]],'Lookup Values'!G:G,'Lookup Values'!H:H,0)))</f>
        <v/>
      </c>
      <c r="B346" t="str">
        <f>IF(Table24254[[#This Row],[Branch Name]]="","",(_xlfn.XLOOKUP(Table24254[[#This Row],[Branch Name]],'Lookup Values'!G:G,'Lookup Values'!I:I,0)))</f>
        <v/>
      </c>
      <c r="C346" t="str">
        <f>IF(Table24254[[#This Row],[Journal Description (Service Description)]]="","",1)</f>
        <v/>
      </c>
      <c r="D346" s="2" t="str">
        <f>IF(Table24254[[#This Row],[Journal Description (Service Description)]]="","",VLOOKUP(Table24254[[#This Row],[Journal Description (Service Description)]],'Lookup Values'!$A:$B,2,FALSE))</f>
        <v/>
      </c>
    </row>
    <row r="347" spans="1:4" x14ac:dyDescent="0.35">
      <c r="A347" t="str">
        <f>IF(Table24254[[#This Row],[Branch Name]]="","",(_xlfn.XLOOKUP(Table24254[[#This Row],[Branch Name]],'Lookup Values'!G:G,'Lookup Values'!H:H,0)))</f>
        <v/>
      </c>
      <c r="B347" t="str">
        <f>IF(Table24254[[#This Row],[Branch Name]]="","",(_xlfn.XLOOKUP(Table24254[[#This Row],[Branch Name]],'Lookup Values'!G:G,'Lookup Values'!I:I,0)))</f>
        <v/>
      </c>
      <c r="C347" t="str">
        <f>IF(Table24254[[#This Row],[Journal Description (Service Description)]]="","",1)</f>
        <v/>
      </c>
      <c r="D347" s="2" t="str">
        <f>IF(Table24254[[#This Row],[Journal Description (Service Description)]]="","",VLOOKUP(Table24254[[#This Row],[Journal Description (Service Description)]],'Lookup Values'!$A:$B,2,FALSE))</f>
        <v/>
      </c>
    </row>
    <row r="348" spans="1:4" x14ac:dyDescent="0.35">
      <c r="A348" t="str">
        <f>IF(Table24254[[#This Row],[Branch Name]]="","",(_xlfn.XLOOKUP(Table24254[[#This Row],[Branch Name]],'Lookup Values'!G:G,'Lookup Values'!H:H,0)))</f>
        <v/>
      </c>
      <c r="B348" t="str">
        <f>IF(Table24254[[#This Row],[Branch Name]]="","",(_xlfn.XLOOKUP(Table24254[[#This Row],[Branch Name]],'Lookup Values'!G:G,'Lookup Values'!I:I,0)))</f>
        <v/>
      </c>
      <c r="C348" t="str">
        <f>IF(Table24254[[#This Row],[Journal Description (Service Description)]]="","",1)</f>
        <v/>
      </c>
      <c r="D348" s="2" t="str">
        <f>IF(Table24254[[#This Row],[Journal Description (Service Description)]]="","",VLOOKUP(Table24254[[#This Row],[Journal Description (Service Description)]],'Lookup Values'!$A:$B,2,FALSE))</f>
        <v/>
      </c>
    </row>
    <row r="349" spans="1:4" x14ac:dyDescent="0.35">
      <c r="A349" t="str">
        <f>IF(Table24254[[#This Row],[Branch Name]]="","",(_xlfn.XLOOKUP(Table24254[[#This Row],[Branch Name]],'Lookup Values'!G:G,'Lookup Values'!H:H,0)))</f>
        <v/>
      </c>
      <c r="B349" t="str">
        <f>IF(Table24254[[#This Row],[Branch Name]]="","",(_xlfn.XLOOKUP(Table24254[[#This Row],[Branch Name]],'Lookup Values'!G:G,'Lookup Values'!I:I,0)))</f>
        <v/>
      </c>
      <c r="C349" t="str">
        <f>IF(Table24254[[#This Row],[Journal Description (Service Description)]]="","",1)</f>
        <v/>
      </c>
      <c r="D349" s="2" t="str">
        <f>IF(Table24254[[#This Row],[Journal Description (Service Description)]]="","",VLOOKUP(Table24254[[#This Row],[Journal Description (Service Description)]],'Lookup Values'!$A:$B,2,FALSE))</f>
        <v/>
      </c>
    </row>
    <row r="350" spans="1:4" x14ac:dyDescent="0.35">
      <c r="A350" t="str">
        <f>IF(Table24254[[#This Row],[Branch Name]]="","",(_xlfn.XLOOKUP(Table24254[[#This Row],[Branch Name]],'Lookup Values'!G:G,'Lookup Values'!H:H,0)))</f>
        <v/>
      </c>
      <c r="B350" t="str">
        <f>IF(Table24254[[#This Row],[Branch Name]]="","",(_xlfn.XLOOKUP(Table24254[[#This Row],[Branch Name]],'Lookup Values'!G:G,'Lookup Values'!I:I,0)))</f>
        <v/>
      </c>
      <c r="C350" t="str">
        <f>IF(Table24254[[#This Row],[Journal Description (Service Description)]]="","",1)</f>
        <v/>
      </c>
      <c r="D350" s="2" t="str">
        <f>IF(Table24254[[#This Row],[Journal Description (Service Description)]]="","",VLOOKUP(Table24254[[#This Row],[Journal Description (Service Description)]],'Lookup Values'!$A:$B,2,FALSE))</f>
        <v/>
      </c>
    </row>
    <row r="351" spans="1:4" x14ac:dyDescent="0.35">
      <c r="A351" t="str">
        <f>IF(Table24254[[#This Row],[Branch Name]]="","",(_xlfn.XLOOKUP(Table24254[[#This Row],[Branch Name]],'Lookup Values'!G:G,'Lookup Values'!H:H,0)))</f>
        <v/>
      </c>
      <c r="B351" t="str">
        <f>IF(Table24254[[#This Row],[Branch Name]]="","",(_xlfn.XLOOKUP(Table24254[[#This Row],[Branch Name]],'Lookup Values'!G:G,'Lookup Values'!I:I,0)))</f>
        <v/>
      </c>
      <c r="C351" t="str">
        <f>IF(Table24254[[#This Row],[Journal Description (Service Description)]]="","",1)</f>
        <v/>
      </c>
      <c r="D351" s="2" t="str">
        <f>IF(Table24254[[#This Row],[Journal Description (Service Description)]]="","",VLOOKUP(Table24254[[#This Row],[Journal Description (Service Description)]],'Lookup Values'!$A:$B,2,FALSE))</f>
        <v/>
      </c>
    </row>
    <row r="352" spans="1:4" x14ac:dyDescent="0.35">
      <c r="A352" t="str">
        <f>IF(Table24254[[#This Row],[Branch Name]]="","",(_xlfn.XLOOKUP(Table24254[[#This Row],[Branch Name]],'Lookup Values'!G:G,'Lookup Values'!H:H,0)))</f>
        <v/>
      </c>
      <c r="B352" t="str">
        <f>IF(Table24254[[#This Row],[Branch Name]]="","",(_xlfn.XLOOKUP(Table24254[[#This Row],[Branch Name]],'Lookup Values'!G:G,'Lookup Values'!I:I,0)))</f>
        <v/>
      </c>
      <c r="C352" t="str">
        <f>IF(Table24254[[#This Row],[Journal Description (Service Description)]]="","",1)</f>
        <v/>
      </c>
      <c r="D352" s="2" t="str">
        <f>IF(Table24254[[#This Row],[Journal Description (Service Description)]]="","",VLOOKUP(Table24254[[#This Row],[Journal Description (Service Description)]],'Lookup Values'!$A:$B,2,FALSE))</f>
        <v/>
      </c>
    </row>
    <row r="353" spans="1:4" x14ac:dyDescent="0.35">
      <c r="A353" t="str">
        <f>IF(Table24254[[#This Row],[Branch Name]]="","",(_xlfn.XLOOKUP(Table24254[[#This Row],[Branch Name]],'Lookup Values'!G:G,'Lookup Values'!H:H,0)))</f>
        <v/>
      </c>
      <c r="B353" t="str">
        <f>IF(Table24254[[#This Row],[Branch Name]]="","",(_xlfn.XLOOKUP(Table24254[[#This Row],[Branch Name]],'Lookup Values'!G:G,'Lookup Values'!I:I,0)))</f>
        <v/>
      </c>
      <c r="C353" t="str">
        <f>IF(Table24254[[#This Row],[Journal Description (Service Description)]]="","",1)</f>
        <v/>
      </c>
      <c r="D353" s="2" t="str">
        <f>IF(Table24254[[#This Row],[Journal Description (Service Description)]]="","",VLOOKUP(Table24254[[#This Row],[Journal Description (Service Description)]],'Lookup Values'!$A:$B,2,FALSE))</f>
        <v/>
      </c>
    </row>
    <row r="354" spans="1:4" x14ac:dyDescent="0.35">
      <c r="A354" t="str">
        <f>IF(Table24254[[#This Row],[Branch Name]]="","",(_xlfn.XLOOKUP(Table24254[[#This Row],[Branch Name]],'Lookup Values'!G:G,'Lookup Values'!H:H,0)))</f>
        <v/>
      </c>
      <c r="B354" t="str">
        <f>IF(Table24254[[#This Row],[Branch Name]]="","",(_xlfn.XLOOKUP(Table24254[[#This Row],[Branch Name]],'Lookup Values'!G:G,'Lookup Values'!I:I,0)))</f>
        <v/>
      </c>
      <c r="C354" t="str">
        <f>IF(Table24254[[#This Row],[Journal Description (Service Description)]]="","",1)</f>
        <v/>
      </c>
      <c r="D354" s="2" t="str">
        <f>IF(Table24254[[#This Row],[Journal Description (Service Description)]]="","",VLOOKUP(Table24254[[#This Row],[Journal Description (Service Description)]],'Lookup Values'!$A:$B,2,FALSE))</f>
        <v/>
      </c>
    </row>
    <row r="355" spans="1:4" x14ac:dyDescent="0.35">
      <c r="A355" t="str">
        <f>IF(Table24254[[#This Row],[Branch Name]]="","",(_xlfn.XLOOKUP(Table24254[[#This Row],[Branch Name]],'Lookup Values'!G:G,'Lookup Values'!H:H,0)))</f>
        <v/>
      </c>
      <c r="B355" t="str">
        <f>IF(Table24254[[#This Row],[Branch Name]]="","",(_xlfn.XLOOKUP(Table24254[[#This Row],[Branch Name]],'Lookup Values'!G:G,'Lookup Values'!I:I,0)))</f>
        <v/>
      </c>
      <c r="C355" t="str">
        <f>IF(Table24254[[#This Row],[Journal Description (Service Description)]]="","",1)</f>
        <v/>
      </c>
      <c r="D355" s="2" t="str">
        <f>IF(Table24254[[#This Row],[Journal Description (Service Description)]]="","",VLOOKUP(Table24254[[#This Row],[Journal Description (Service Description)]],'Lookup Values'!$A:$B,2,FALSE))</f>
        <v/>
      </c>
    </row>
    <row r="356" spans="1:4" x14ac:dyDescent="0.35">
      <c r="A356" t="str">
        <f>IF(Table24254[[#This Row],[Branch Name]]="","",(_xlfn.XLOOKUP(Table24254[[#This Row],[Branch Name]],'Lookup Values'!G:G,'Lookup Values'!H:H,0)))</f>
        <v/>
      </c>
      <c r="B356" t="str">
        <f>IF(Table24254[[#This Row],[Branch Name]]="","",(_xlfn.XLOOKUP(Table24254[[#This Row],[Branch Name]],'Lookup Values'!G:G,'Lookup Values'!I:I,0)))</f>
        <v/>
      </c>
      <c r="C356" t="str">
        <f>IF(Table24254[[#This Row],[Journal Description (Service Description)]]="","",1)</f>
        <v/>
      </c>
      <c r="D356" s="2" t="str">
        <f>IF(Table24254[[#This Row],[Journal Description (Service Description)]]="","",VLOOKUP(Table24254[[#This Row],[Journal Description (Service Description)]],'Lookup Values'!$A:$B,2,FALSE))</f>
        <v/>
      </c>
    </row>
    <row r="357" spans="1:4" x14ac:dyDescent="0.35">
      <c r="A357" t="str">
        <f>IF(Table24254[[#This Row],[Branch Name]]="","",(_xlfn.XLOOKUP(Table24254[[#This Row],[Branch Name]],'Lookup Values'!G:G,'Lookup Values'!H:H,0)))</f>
        <v/>
      </c>
      <c r="B357" t="str">
        <f>IF(Table24254[[#This Row],[Branch Name]]="","",(_xlfn.XLOOKUP(Table24254[[#This Row],[Branch Name]],'Lookup Values'!G:G,'Lookup Values'!I:I,0)))</f>
        <v/>
      </c>
      <c r="C357" t="str">
        <f>IF(Table24254[[#This Row],[Journal Description (Service Description)]]="","",1)</f>
        <v/>
      </c>
      <c r="D357" s="2" t="str">
        <f>IF(Table24254[[#This Row],[Journal Description (Service Description)]]="","",VLOOKUP(Table24254[[#This Row],[Journal Description (Service Description)]],'Lookup Values'!$A:$B,2,FALSE))</f>
        <v/>
      </c>
    </row>
    <row r="358" spans="1:4" x14ac:dyDescent="0.35">
      <c r="A358" t="str">
        <f>IF(Table24254[[#This Row],[Branch Name]]="","",(_xlfn.XLOOKUP(Table24254[[#This Row],[Branch Name]],'Lookup Values'!G:G,'Lookup Values'!H:H,0)))</f>
        <v/>
      </c>
      <c r="B358" t="str">
        <f>IF(Table24254[[#This Row],[Branch Name]]="","",(_xlfn.XLOOKUP(Table24254[[#This Row],[Branch Name]],'Lookup Values'!G:G,'Lookup Values'!I:I,0)))</f>
        <v/>
      </c>
      <c r="C358" t="str">
        <f>IF(Table24254[[#This Row],[Journal Description (Service Description)]]="","",1)</f>
        <v/>
      </c>
      <c r="D358" s="2" t="str">
        <f>IF(Table24254[[#This Row],[Journal Description (Service Description)]]="","",VLOOKUP(Table24254[[#This Row],[Journal Description (Service Description)]],'Lookup Values'!$A:$B,2,FALSE))</f>
        <v/>
      </c>
    </row>
    <row r="359" spans="1:4" x14ac:dyDescent="0.35">
      <c r="A359" t="str">
        <f>IF(Table24254[[#This Row],[Branch Name]]="","",(_xlfn.XLOOKUP(Table24254[[#This Row],[Branch Name]],'Lookup Values'!G:G,'Lookup Values'!H:H,0)))</f>
        <v/>
      </c>
      <c r="B359" t="str">
        <f>IF(Table24254[[#This Row],[Branch Name]]="","",(_xlfn.XLOOKUP(Table24254[[#This Row],[Branch Name]],'Lookup Values'!G:G,'Lookup Values'!I:I,0)))</f>
        <v/>
      </c>
      <c r="C359" t="str">
        <f>IF(Table24254[[#This Row],[Journal Description (Service Description)]]="","",1)</f>
        <v/>
      </c>
      <c r="D359" s="2" t="str">
        <f>IF(Table24254[[#This Row],[Journal Description (Service Description)]]="","",VLOOKUP(Table24254[[#This Row],[Journal Description (Service Description)]],'Lookup Values'!$A:$B,2,FALSE))</f>
        <v/>
      </c>
    </row>
    <row r="360" spans="1:4" x14ac:dyDescent="0.35">
      <c r="A360" t="str">
        <f>IF(Table24254[[#This Row],[Branch Name]]="","",(_xlfn.XLOOKUP(Table24254[[#This Row],[Branch Name]],'Lookup Values'!G:G,'Lookup Values'!H:H,0)))</f>
        <v/>
      </c>
      <c r="B360" t="str">
        <f>IF(Table24254[[#This Row],[Branch Name]]="","",(_xlfn.XLOOKUP(Table24254[[#This Row],[Branch Name]],'Lookup Values'!G:G,'Lookup Values'!I:I,0)))</f>
        <v/>
      </c>
      <c r="C360" t="str">
        <f>IF(Table24254[[#This Row],[Journal Description (Service Description)]]="","",1)</f>
        <v/>
      </c>
      <c r="D360" s="2" t="str">
        <f>IF(Table24254[[#This Row],[Journal Description (Service Description)]]="","",VLOOKUP(Table24254[[#This Row],[Journal Description (Service Description)]],'Lookup Values'!$A:$B,2,FALSE))</f>
        <v/>
      </c>
    </row>
    <row r="361" spans="1:4" x14ac:dyDescent="0.35">
      <c r="A361" t="str">
        <f>IF(Table24254[[#This Row],[Branch Name]]="","",(_xlfn.XLOOKUP(Table24254[[#This Row],[Branch Name]],'Lookup Values'!G:G,'Lookup Values'!H:H,0)))</f>
        <v/>
      </c>
      <c r="B361" t="str">
        <f>IF(Table24254[[#This Row],[Branch Name]]="","",(_xlfn.XLOOKUP(Table24254[[#This Row],[Branch Name]],'Lookup Values'!G:G,'Lookup Values'!I:I,0)))</f>
        <v/>
      </c>
      <c r="C361" t="str">
        <f>IF(Table24254[[#This Row],[Journal Description (Service Description)]]="","",1)</f>
        <v/>
      </c>
      <c r="D361" s="2" t="str">
        <f>IF(Table24254[[#This Row],[Journal Description (Service Description)]]="","",VLOOKUP(Table24254[[#This Row],[Journal Description (Service Description)]],'Lookup Values'!$A:$B,2,FALSE))</f>
        <v/>
      </c>
    </row>
    <row r="362" spans="1:4" x14ac:dyDescent="0.35">
      <c r="A362" t="str">
        <f>IF(Table24254[[#This Row],[Branch Name]]="","",(_xlfn.XLOOKUP(Table24254[[#This Row],[Branch Name]],'Lookup Values'!G:G,'Lookup Values'!H:H,0)))</f>
        <v/>
      </c>
      <c r="B362" t="str">
        <f>IF(Table24254[[#This Row],[Branch Name]]="","",(_xlfn.XLOOKUP(Table24254[[#This Row],[Branch Name]],'Lookup Values'!G:G,'Lookup Values'!I:I,0)))</f>
        <v/>
      </c>
      <c r="C362" t="str">
        <f>IF(Table24254[[#This Row],[Journal Description (Service Description)]]="","",1)</f>
        <v/>
      </c>
      <c r="D362" s="2" t="str">
        <f>IF(Table24254[[#This Row],[Journal Description (Service Description)]]="","",VLOOKUP(Table24254[[#This Row],[Journal Description (Service Description)]],'Lookup Values'!$A:$B,2,FALSE))</f>
        <v/>
      </c>
    </row>
    <row r="363" spans="1:4" x14ac:dyDescent="0.35">
      <c r="A363" t="str">
        <f>IF(Table24254[[#This Row],[Branch Name]]="","",(_xlfn.XLOOKUP(Table24254[[#This Row],[Branch Name]],'Lookup Values'!G:G,'Lookup Values'!H:H,0)))</f>
        <v/>
      </c>
      <c r="B363" t="str">
        <f>IF(Table24254[[#This Row],[Branch Name]]="","",(_xlfn.XLOOKUP(Table24254[[#This Row],[Branch Name]],'Lookup Values'!G:G,'Lookup Values'!I:I,0)))</f>
        <v/>
      </c>
      <c r="C363" t="str">
        <f>IF(Table24254[[#This Row],[Journal Description (Service Description)]]="","",1)</f>
        <v/>
      </c>
      <c r="D363" s="2" t="str">
        <f>IF(Table24254[[#This Row],[Journal Description (Service Description)]]="","",VLOOKUP(Table24254[[#This Row],[Journal Description (Service Description)]],'Lookup Values'!$A:$B,2,FALSE))</f>
        <v/>
      </c>
    </row>
    <row r="364" spans="1:4" x14ac:dyDescent="0.35">
      <c r="A364" t="str">
        <f>IF(Table24254[[#This Row],[Branch Name]]="","",(_xlfn.XLOOKUP(Table24254[[#This Row],[Branch Name]],'Lookup Values'!G:G,'Lookup Values'!H:H,0)))</f>
        <v/>
      </c>
      <c r="B364" t="str">
        <f>IF(Table24254[[#This Row],[Branch Name]]="","",(_xlfn.XLOOKUP(Table24254[[#This Row],[Branch Name]],'Lookup Values'!G:G,'Lookup Values'!I:I,0)))</f>
        <v/>
      </c>
      <c r="C364" t="str">
        <f>IF(Table24254[[#This Row],[Journal Description (Service Description)]]="","",1)</f>
        <v/>
      </c>
      <c r="D364" s="2" t="str">
        <f>IF(Table24254[[#This Row],[Journal Description (Service Description)]]="","",VLOOKUP(Table24254[[#This Row],[Journal Description (Service Description)]],'Lookup Values'!$A:$B,2,FALSE))</f>
        <v/>
      </c>
    </row>
    <row r="365" spans="1:4" x14ac:dyDescent="0.35">
      <c r="A365" t="str">
        <f>IF(Table24254[[#This Row],[Branch Name]]="","",(_xlfn.XLOOKUP(Table24254[[#This Row],[Branch Name]],'Lookup Values'!G:G,'Lookup Values'!H:H,0)))</f>
        <v/>
      </c>
      <c r="B365" t="str">
        <f>IF(Table24254[[#This Row],[Branch Name]]="","",(_xlfn.XLOOKUP(Table24254[[#This Row],[Branch Name]],'Lookup Values'!G:G,'Lookup Values'!I:I,0)))</f>
        <v/>
      </c>
      <c r="C365" t="str">
        <f>IF(Table24254[[#This Row],[Journal Description (Service Description)]]="","",1)</f>
        <v/>
      </c>
      <c r="D365" s="2" t="str">
        <f>IF(Table24254[[#This Row],[Journal Description (Service Description)]]="","",VLOOKUP(Table24254[[#This Row],[Journal Description (Service Description)]],'Lookup Values'!$A:$B,2,FALSE))</f>
        <v/>
      </c>
    </row>
    <row r="366" spans="1:4" x14ac:dyDescent="0.35">
      <c r="A366" t="str">
        <f>IF(Table24254[[#This Row],[Branch Name]]="","",(_xlfn.XLOOKUP(Table24254[[#This Row],[Branch Name]],'Lookup Values'!G:G,'Lookup Values'!H:H,0)))</f>
        <v/>
      </c>
      <c r="B366" t="str">
        <f>IF(Table24254[[#This Row],[Branch Name]]="","",(_xlfn.XLOOKUP(Table24254[[#This Row],[Branch Name]],'Lookup Values'!G:G,'Lookup Values'!I:I,0)))</f>
        <v/>
      </c>
      <c r="C366" t="str">
        <f>IF(Table24254[[#This Row],[Journal Description (Service Description)]]="","",1)</f>
        <v/>
      </c>
      <c r="D366" s="2" t="str">
        <f>IF(Table24254[[#This Row],[Journal Description (Service Description)]]="","",VLOOKUP(Table24254[[#This Row],[Journal Description (Service Description)]],'Lookup Values'!$A:$B,2,FALSE))</f>
        <v/>
      </c>
    </row>
    <row r="367" spans="1:4" x14ac:dyDescent="0.35">
      <c r="A367" t="str">
        <f>IF(Table24254[[#This Row],[Branch Name]]="","",(_xlfn.XLOOKUP(Table24254[[#This Row],[Branch Name]],'Lookup Values'!G:G,'Lookup Values'!H:H,0)))</f>
        <v/>
      </c>
      <c r="B367" t="str">
        <f>IF(Table24254[[#This Row],[Branch Name]]="","",(_xlfn.XLOOKUP(Table24254[[#This Row],[Branch Name]],'Lookup Values'!G:G,'Lookup Values'!I:I,0)))</f>
        <v/>
      </c>
      <c r="C367" t="str">
        <f>IF(Table24254[[#This Row],[Journal Description (Service Description)]]="","",1)</f>
        <v/>
      </c>
      <c r="D367" s="2" t="str">
        <f>IF(Table24254[[#This Row],[Journal Description (Service Description)]]="","",VLOOKUP(Table24254[[#This Row],[Journal Description (Service Description)]],'Lookup Values'!$A:$B,2,FALSE))</f>
        <v/>
      </c>
    </row>
    <row r="368" spans="1:4" x14ac:dyDescent="0.35">
      <c r="A368" t="str">
        <f>IF(Table24254[[#This Row],[Branch Name]]="","",(_xlfn.XLOOKUP(Table24254[[#This Row],[Branch Name]],'Lookup Values'!G:G,'Lookup Values'!H:H,0)))</f>
        <v/>
      </c>
      <c r="B368" t="str">
        <f>IF(Table24254[[#This Row],[Branch Name]]="","",(_xlfn.XLOOKUP(Table24254[[#This Row],[Branch Name]],'Lookup Values'!G:G,'Lookup Values'!I:I,0)))</f>
        <v/>
      </c>
      <c r="C368" t="str">
        <f>IF(Table24254[[#This Row],[Journal Description (Service Description)]]="","",1)</f>
        <v/>
      </c>
      <c r="D368" s="2" t="str">
        <f>IF(Table24254[[#This Row],[Journal Description (Service Description)]]="","",VLOOKUP(Table24254[[#This Row],[Journal Description (Service Description)]],'Lookup Values'!$A:$B,2,FALSE))</f>
        <v/>
      </c>
    </row>
    <row r="369" spans="1:4" x14ac:dyDescent="0.35">
      <c r="A369" t="str">
        <f>IF(Table24254[[#This Row],[Branch Name]]="","",(_xlfn.XLOOKUP(Table24254[[#This Row],[Branch Name]],'Lookup Values'!G:G,'Lookup Values'!H:H,0)))</f>
        <v/>
      </c>
      <c r="B369" t="str">
        <f>IF(Table24254[[#This Row],[Branch Name]]="","",(_xlfn.XLOOKUP(Table24254[[#This Row],[Branch Name]],'Lookup Values'!G:G,'Lookup Values'!I:I,0)))</f>
        <v/>
      </c>
      <c r="C369" t="str">
        <f>IF(Table24254[[#This Row],[Journal Description (Service Description)]]="","",1)</f>
        <v/>
      </c>
      <c r="D369" s="2" t="str">
        <f>IF(Table24254[[#This Row],[Journal Description (Service Description)]]="","",VLOOKUP(Table24254[[#This Row],[Journal Description (Service Description)]],'Lookup Values'!$A:$B,2,FALSE))</f>
        <v/>
      </c>
    </row>
    <row r="370" spans="1:4" x14ac:dyDescent="0.35">
      <c r="A370" t="str">
        <f>IF(Table24254[[#This Row],[Branch Name]]="","",(_xlfn.XLOOKUP(Table24254[[#This Row],[Branch Name]],'Lookup Values'!G:G,'Lookup Values'!H:H,0)))</f>
        <v/>
      </c>
      <c r="B370" t="str">
        <f>IF(Table24254[[#This Row],[Branch Name]]="","",(_xlfn.XLOOKUP(Table24254[[#This Row],[Branch Name]],'Lookup Values'!G:G,'Lookup Values'!I:I,0)))</f>
        <v/>
      </c>
      <c r="C370" t="str">
        <f>IF(Table24254[[#This Row],[Journal Description (Service Description)]]="","",1)</f>
        <v/>
      </c>
      <c r="D370" s="2" t="str">
        <f>IF(Table24254[[#This Row],[Journal Description (Service Description)]]="","",VLOOKUP(Table24254[[#This Row],[Journal Description (Service Description)]],'Lookup Values'!$A:$B,2,FALSE))</f>
        <v/>
      </c>
    </row>
    <row r="371" spans="1:4" x14ac:dyDescent="0.35">
      <c r="A371" t="str">
        <f>IF(Table24254[[#This Row],[Branch Name]]="","",(_xlfn.XLOOKUP(Table24254[[#This Row],[Branch Name]],'Lookup Values'!G:G,'Lookup Values'!H:H,0)))</f>
        <v/>
      </c>
      <c r="B371" t="str">
        <f>IF(Table24254[[#This Row],[Branch Name]]="","",(_xlfn.XLOOKUP(Table24254[[#This Row],[Branch Name]],'Lookup Values'!G:G,'Lookup Values'!I:I,0)))</f>
        <v/>
      </c>
      <c r="C371" t="str">
        <f>IF(Table24254[[#This Row],[Journal Description (Service Description)]]="","",1)</f>
        <v/>
      </c>
      <c r="D371" s="2" t="str">
        <f>IF(Table24254[[#This Row],[Journal Description (Service Description)]]="","",VLOOKUP(Table24254[[#This Row],[Journal Description (Service Description)]],'Lookup Values'!$A:$B,2,FALSE))</f>
        <v/>
      </c>
    </row>
    <row r="372" spans="1:4" x14ac:dyDescent="0.35">
      <c r="A372" t="str">
        <f>IF(Table24254[[#This Row],[Branch Name]]="","",(_xlfn.XLOOKUP(Table24254[[#This Row],[Branch Name]],'Lookup Values'!G:G,'Lookup Values'!H:H,0)))</f>
        <v/>
      </c>
      <c r="B372" t="str">
        <f>IF(Table24254[[#This Row],[Branch Name]]="","",(_xlfn.XLOOKUP(Table24254[[#This Row],[Branch Name]],'Lookup Values'!G:G,'Lookup Values'!I:I,0)))</f>
        <v/>
      </c>
      <c r="C372" t="str">
        <f>IF(Table24254[[#This Row],[Journal Description (Service Description)]]="","",1)</f>
        <v/>
      </c>
      <c r="D372" s="2" t="str">
        <f>IF(Table24254[[#This Row],[Journal Description (Service Description)]]="","",VLOOKUP(Table24254[[#This Row],[Journal Description (Service Description)]],'Lookup Values'!$A:$B,2,FALSE))</f>
        <v/>
      </c>
    </row>
    <row r="373" spans="1:4" x14ac:dyDescent="0.35">
      <c r="A373" t="str">
        <f>IF(Table24254[[#This Row],[Branch Name]]="","",(_xlfn.XLOOKUP(Table24254[[#This Row],[Branch Name]],'Lookup Values'!G:G,'Lookup Values'!H:H,0)))</f>
        <v/>
      </c>
      <c r="B373" t="str">
        <f>IF(Table24254[[#This Row],[Branch Name]]="","",(_xlfn.XLOOKUP(Table24254[[#This Row],[Branch Name]],'Lookup Values'!G:G,'Lookup Values'!I:I,0)))</f>
        <v/>
      </c>
      <c r="C373" t="str">
        <f>IF(Table24254[[#This Row],[Journal Description (Service Description)]]="","",1)</f>
        <v/>
      </c>
      <c r="D373" s="2" t="str">
        <f>IF(Table24254[[#This Row],[Journal Description (Service Description)]]="","",VLOOKUP(Table24254[[#This Row],[Journal Description (Service Description)]],'Lookup Values'!$A:$B,2,FALSE))</f>
        <v/>
      </c>
    </row>
    <row r="374" spans="1:4" x14ac:dyDescent="0.35">
      <c r="A374" t="str">
        <f>IF(Table24254[[#This Row],[Branch Name]]="","",(_xlfn.XLOOKUP(Table24254[[#This Row],[Branch Name]],'Lookup Values'!G:G,'Lookup Values'!H:H,0)))</f>
        <v/>
      </c>
      <c r="B374" t="str">
        <f>IF(Table24254[[#This Row],[Branch Name]]="","",(_xlfn.XLOOKUP(Table24254[[#This Row],[Branch Name]],'Lookup Values'!G:G,'Lookup Values'!I:I,0)))</f>
        <v/>
      </c>
      <c r="C374" t="str">
        <f>IF(Table24254[[#This Row],[Journal Description (Service Description)]]="","",1)</f>
        <v/>
      </c>
      <c r="D374" s="2" t="str">
        <f>IF(Table24254[[#This Row],[Journal Description (Service Description)]]="","",VLOOKUP(Table24254[[#This Row],[Journal Description (Service Description)]],'Lookup Values'!$A:$B,2,FALSE))</f>
        <v/>
      </c>
    </row>
    <row r="375" spans="1:4" x14ac:dyDescent="0.35">
      <c r="A375" t="str">
        <f>IF(Table24254[[#This Row],[Branch Name]]="","",(_xlfn.XLOOKUP(Table24254[[#This Row],[Branch Name]],'Lookup Values'!G:G,'Lookup Values'!H:H,0)))</f>
        <v/>
      </c>
      <c r="B375" t="str">
        <f>IF(Table24254[[#This Row],[Branch Name]]="","",(_xlfn.XLOOKUP(Table24254[[#This Row],[Branch Name]],'Lookup Values'!G:G,'Lookup Values'!I:I,0)))</f>
        <v/>
      </c>
      <c r="C375" t="str">
        <f>IF(Table24254[[#This Row],[Journal Description (Service Description)]]="","",1)</f>
        <v/>
      </c>
      <c r="D375" s="2" t="str">
        <f>IF(Table24254[[#This Row],[Journal Description (Service Description)]]="","",VLOOKUP(Table24254[[#This Row],[Journal Description (Service Description)]],'Lookup Values'!$A:$B,2,FALSE))</f>
        <v/>
      </c>
    </row>
    <row r="376" spans="1:4" x14ac:dyDescent="0.35">
      <c r="A376" t="str">
        <f>IF(Table24254[[#This Row],[Branch Name]]="","",(_xlfn.XLOOKUP(Table24254[[#This Row],[Branch Name]],'Lookup Values'!G:G,'Lookup Values'!H:H,0)))</f>
        <v/>
      </c>
      <c r="B376" t="str">
        <f>IF(Table24254[[#This Row],[Branch Name]]="","",(_xlfn.XLOOKUP(Table24254[[#This Row],[Branch Name]],'Lookup Values'!G:G,'Lookup Values'!I:I,0)))</f>
        <v/>
      </c>
      <c r="C376" t="str">
        <f>IF(Table24254[[#This Row],[Journal Description (Service Description)]]="","",1)</f>
        <v/>
      </c>
      <c r="D376" s="2" t="str">
        <f>IF(Table24254[[#This Row],[Journal Description (Service Description)]]="","",VLOOKUP(Table24254[[#This Row],[Journal Description (Service Description)]],'Lookup Values'!$A:$B,2,FALSE))</f>
        <v/>
      </c>
    </row>
    <row r="377" spans="1:4" x14ac:dyDescent="0.35">
      <c r="A377" t="str">
        <f>IF(Table24254[[#This Row],[Branch Name]]="","",(_xlfn.XLOOKUP(Table24254[[#This Row],[Branch Name]],'Lookup Values'!G:G,'Lookup Values'!H:H,0)))</f>
        <v/>
      </c>
      <c r="B377" t="str">
        <f>IF(Table24254[[#This Row],[Branch Name]]="","",(_xlfn.XLOOKUP(Table24254[[#This Row],[Branch Name]],'Lookup Values'!G:G,'Lookup Values'!I:I,0)))</f>
        <v/>
      </c>
      <c r="C377" t="str">
        <f>IF(Table24254[[#This Row],[Journal Description (Service Description)]]="","",1)</f>
        <v/>
      </c>
      <c r="D377" s="2" t="str">
        <f>IF(Table24254[[#This Row],[Journal Description (Service Description)]]="","",VLOOKUP(Table24254[[#This Row],[Journal Description (Service Description)]],'Lookup Values'!$A:$B,2,FALSE))</f>
        <v/>
      </c>
    </row>
    <row r="378" spans="1:4" x14ac:dyDescent="0.35">
      <c r="A378" t="str">
        <f>IF(Table24254[[#This Row],[Branch Name]]="","",(_xlfn.XLOOKUP(Table24254[[#This Row],[Branch Name]],'Lookup Values'!G:G,'Lookup Values'!H:H,0)))</f>
        <v/>
      </c>
      <c r="B378" t="str">
        <f>IF(Table24254[[#This Row],[Branch Name]]="","",(_xlfn.XLOOKUP(Table24254[[#This Row],[Branch Name]],'Lookup Values'!G:G,'Lookup Values'!I:I,0)))</f>
        <v/>
      </c>
      <c r="C378" t="str">
        <f>IF(Table24254[[#This Row],[Journal Description (Service Description)]]="","",1)</f>
        <v/>
      </c>
      <c r="D378" s="2" t="str">
        <f>IF(Table24254[[#This Row],[Journal Description (Service Description)]]="","",VLOOKUP(Table24254[[#This Row],[Journal Description (Service Description)]],'Lookup Values'!$A:$B,2,FALSE))</f>
        <v/>
      </c>
    </row>
    <row r="379" spans="1:4" x14ac:dyDescent="0.35">
      <c r="A379" t="str">
        <f>IF(Table24254[[#This Row],[Branch Name]]="","",(_xlfn.XLOOKUP(Table24254[[#This Row],[Branch Name]],'Lookup Values'!G:G,'Lookup Values'!H:H,0)))</f>
        <v/>
      </c>
      <c r="B379" t="str">
        <f>IF(Table24254[[#This Row],[Branch Name]]="","",(_xlfn.XLOOKUP(Table24254[[#This Row],[Branch Name]],'Lookup Values'!G:G,'Lookup Values'!I:I,0)))</f>
        <v/>
      </c>
      <c r="C379" t="str">
        <f>IF(Table24254[[#This Row],[Journal Description (Service Description)]]="","",1)</f>
        <v/>
      </c>
      <c r="D379" s="2" t="str">
        <f>IF(Table24254[[#This Row],[Journal Description (Service Description)]]="","",VLOOKUP(Table24254[[#This Row],[Journal Description (Service Description)]],'Lookup Values'!$A:$B,2,FALSE))</f>
        <v/>
      </c>
    </row>
    <row r="380" spans="1:4" x14ac:dyDescent="0.35">
      <c r="A380" t="str">
        <f>IF(Table24254[[#This Row],[Branch Name]]="","",(_xlfn.XLOOKUP(Table24254[[#This Row],[Branch Name]],'Lookup Values'!G:G,'Lookup Values'!H:H,0)))</f>
        <v/>
      </c>
      <c r="B380" t="str">
        <f>IF(Table24254[[#This Row],[Branch Name]]="","",(_xlfn.XLOOKUP(Table24254[[#This Row],[Branch Name]],'Lookup Values'!G:G,'Lookup Values'!I:I,0)))</f>
        <v/>
      </c>
      <c r="C380" t="str">
        <f>IF(Table24254[[#This Row],[Journal Description (Service Description)]]="","",1)</f>
        <v/>
      </c>
      <c r="D380" s="2" t="str">
        <f>IF(Table24254[[#This Row],[Journal Description (Service Description)]]="","",VLOOKUP(Table24254[[#This Row],[Journal Description (Service Description)]],'Lookup Values'!$A:$B,2,FALSE))</f>
        <v/>
      </c>
    </row>
    <row r="381" spans="1:4" x14ac:dyDescent="0.35">
      <c r="A381" t="str">
        <f>IF(Table24254[[#This Row],[Branch Name]]="","",(_xlfn.XLOOKUP(Table24254[[#This Row],[Branch Name]],'Lookup Values'!G:G,'Lookup Values'!H:H,0)))</f>
        <v/>
      </c>
      <c r="B381" t="str">
        <f>IF(Table24254[[#This Row],[Branch Name]]="","",(_xlfn.XLOOKUP(Table24254[[#This Row],[Branch Name]],'Lookup Values'!G:G,'Lookup Values'!I:I,0)))</f>
        <v/>
      </c>
      <c r="C381" t="str">
        <f>IF(Table24254[[#This Row],[Journal Description (Service Description)]]="","",1)</f>
        <v/>
      </c>
      <c r="D381" s="2" t="str">
        <f>IF(Table24254[[#This Row],[Journal Description (Service Description)]]="","",VLOOKUP(Table24254[[#This Row],[Journal Description (Service Description)]],'Lookup Values'!$A:$B,2,FALSE))</f>
        <v/>
      </c>
    </row>
    <row r="382" spans="1:4" x14ac:dyDescent="0.35">
      <c r="A382" t="str">
        <f>IF(Table24254[[#This Row],[Branch Name]]="","",(_xlfn.XLOOKUP(Table24254[[#This Row],[Branch Name]],'Lookup Values'!G:G,'Lookup Values'!H:H,0)))</f>
        <v/>
      </c>
      <c r="B382" t="str">
        <f>IF(Table24254[[#This Row],[Branch Name]]="","",(_xlfn.XLOOKUP(Table24254[[#This Row],[Branch Name]],'Lookup Values'!G:G,'Lookup Values'!I:I,0)))</f>
        <v/>
      </c>
      <c r="C382" t="str">
        <f>IF(Table24254[[#This Row],[Journal Description (Service Description)]]="","",1)</f>
        <v/>
      </c>
      <c r="D382" s="2" t="str">
        <f>IF(Table24254[[#This Row],[Journal Description (Service Description)]]="","",VLOOKUP(Table24254[[#This Row],[Journal Description (Service Description)]],'Lookup Values'!$A:$B,2,FALSE))</f>
        <v/>
      </c>
    </row>
    <row r="383" spans="1:4" x14ac:dyDescent="0.35">
      <c r="A383" t="str">
        <f>IF(Table24254[[#This Row],[Branch Name]]="","",(_xlfn.XLOOKUP(Table24254[[#This Row],[Branch Name]],'Lookup Values'!G:G,'Lookup Values'!H:H,0)))</f>
        <v/>
      </c>
      <c r="B383" t="str">
        <f>IF(Table24254[[#This Row],[Branch Name]]="","",(_xlfn.XLOOKUP(Table24254[[#This Row],[Branch Name]],'Lookup Values'!G:G,'Lookup Values'!I:I,0)))</f>
        <v/>
      </c>
      <c r="C383" t="str">
        <f>IF(Table24254[[#This Row],[Journal Description (Service Description)]]="","",1)</f>
        <v/>
      </c>
      <c r="D383" s="2" t="str">
        <f>IF(Table24254[[#This Row],[Journal Description (Service Description)]]="","",VLOOKUP(Table24254[[#This Row],[Journal Description (Service Description)]],'Lookup Values'!$A:$B,2,FALSE))</f>
        <v/>
      </c>
    </row>
    <row r="384" spans="1:4" x14ac:dyDescent="0.35">
      <c r="A384" t="str">
        <f>IF(Table24254[[#This Row],[Branch Name]]="","",(_xlfn.XLOOKUP(Table24254[[#This Row],[Branch Name]],'Lookup Values'!G:G,'Lookup Values'!H:H,0)))</f>
        <v/>
      </c>
      <c r="B384" t="str">
        <f>IF(Table24254[[#This Row],[Branch Name]]="","",(_xlfn.XLOOKUP(Table24254[[#This Row],[Branch Name]],'Lookup Values'!G:G,'Lookup Values'!I:I,0)))</f>
        <v/>
      </c>
      <c r="C384" t="str">
        <f>IF(Table24254[[#This Row],[Journal Description (Service Description)]]="","",1)</f>
        <v/>
      </c>
      <c r="D384" s="2" t="str">
        <f>IF(Table24254[[#This Row],[Journal Description (Service Description)]]="","",VLOOKUP(Table24254[[#This Row],[Journal Description (Service Description)]],'Lookup Values'!$A:$B,2,FALSE))</f>
        <v/>
      </c>
    </row>
    <row r="385" spans="1:4" x14ac:dyDescent="0.35">
      <c r="A385" t="str">
        <f>IF(Table24254[[#This Row],[Branch Name]]="","",(_xlfn.XLOOKUP(Table24254[[#This Row],[Branch Name]],'Lookup Values'!G:G,'Lookup Values'!H:H,0)))</f>
        <v/>
      </c>
      <c r="B385" t="str">
        <f>IF(Table24254[[#This Row],[Branch Name]]="","",(_xlfn.XLOOKUP(Table24254[[#This Row],[Branch Name]],'Lookup Values'!G:G,'Lookup Values'!I:I,0)))</f>
        <v/>
      </c>
      <c r="C385" t="str">
        <f>IF(Table24254[[#This Row],[Journal Description (Service Description)]]="","",1)</f>
        <v/>
      </c>
      <c r="D385" s="2" t="str">
        <f>IF(Table24254[[#This Row],[Journal Description (Service Description)]]="","",VLOOKUP(Table24254[[#This Row],[Journal Description (Service Description)]],'Lookup Values'!$A:$B,2,FALSE))</f>
        <v/>
      </c>
    </row>
    <row r="386" spans="1:4" x14ac:dyDescent="0.35">
      <c r="A386" t="str">
        <f>IF(Table24254[[#This Row],[Branch Name]]="","",(_xlfn.XLOOKUP(Table24254[[#This Row],[Branch Name]],'Lookup Values'!G:G,'Lookup Values'!H:H,0)))</f>
        <v/>
      </c>
      <c r="B386" t="str">
        <f>IF(Table24254[[#This Row],[Branch Name]]="","",(_xlfn.XLOOKUP(Table24254[[#This Row],[Branch Name]],'Lookup Values'!G:G,'Lookup Values'!I:I,0)))</f>
        <v/>
      </c>
      <c r="C386" t="str">
        <f>IF(Table24254[[#This Row],[Journal Description (Service Description)]]="","",1)</f>
        <v/>
      </c>
      <c r="D386" s="2" t="str">
        <f>IF(Table24254[[#This Row],[Journal Description (Service Description)]]="","",VLOOKUP(Table24254[[#This Row],[Journal Description (Service Description)]],'Lookup Values'!$A:$B,2,FALSE))</f>
        <v/>
      </c>
    </row>
    <row r="387" spans="1:4" x14ac:dyDescent="0.35">
      <c r="A387" t="str">
        <f>IF(Table24254[[#This Row],[Branch Name]]="","",(_xlfn.XLOOKUP(Table24254[[#This Row],[Branch Name]],'Lookup Values'!G:G,'Lookup Values'!H:H,0)))</f>
        <v/>
      </c>
      <c r="B387" t="str">
        <f>IF(Table24254[[#This Row],[Branch Name]]="","",(_xlfn.XLOOKUP(Table24254[[#This Row],[Branch Name]],'Lookup Values'!G:G,'Lookup Values'!I:I,0)))</f>
        <v/>
      </c>
      <c r="C387" t="str">
        <f>IF(Table24254[[#This Row],[Journal Description (Service Description)]]="","",1)</f>
        <v/>
      </c>
      <c r="D387" s="2" t="str">
        <f>IF(Table24254[[#This Row],[Journal Description (Service Description)]]="","",VLOOKUP(Table24254[[#This Row],[Journal Description (Service Description)]],'Lookup Values'!$A:$B,2,FALSE))</f>
        <v/>
      </c>
    </row>
    <row r="388" spans="1:4" x14ac:dyDescent="0.35">
      <c r="A388" t="str">
        <f>IF(Table24254[[#This Row],[Branch Name]]="","",(_xlfn.XLOOKUP(Table24254[[#This Row],[Branch Name]],'Lookup Values'!G:G,'Lookup Values'!H:H,0)))</f>
        <v/>
      </c>
      <c r="B388" t="str">
        <f>IF(Table24254[[#This Row],[Branch Name]]="","",(_xlfn.XLOOKUP(Table24254[[#This Row],[Branch Name]],'Lookup Values'!G:G,'Lookup Values'!I:I,0)))</f>
        <v/>
      </c>
      <c r="C388" t="str">
        <f>IF(Table24254[[#This Row],[Journal Description (Service Description)]]="","",1)</f>
        <v/>
      </c>
      <c r="D388" s="2" t="str">
        <f>IF(Table24254[[#This Row],[Journal Description (Service Description)]]="","",VLOOKUP(Table24254[[#This Row],[Journal Description (Service Description)]],'Lookup Values'!$A:$B,2,FALSE))</f>
        <v/>
      </c>
    </row>
    <row r="389" spans="1:4" x14ac:dyDescent="0.35">
      <c r="A389" t="str">
        <f>IF(Table24254[[#This Row],[Branch Name]]="","",(_xlfn.XLOOKUP(Table24254[[#This Row],[Branch Name]],'Lookup Values'!G:G,'Lookup Values'!H:H,0)))</f>
        <v/>
      </c>
      <c r="B389" t="str">
        <f>IF(Table24254[[#This Row],[Branch Name]]="","",(_xlfn.XLOOKUP(Table24254[[#This Row],[Branch Name]],'Lookup Values'!G:G,'Lookup Values'!I:I,0)))</f>
        <v/>
      </c>
      <c r="C389" t="str">
        <f>IF(Table24254[[#This Row],[Journal Description (Service Description)]]="","",1)</f>
        <v/>
      </c>
      <c r="D389" s="2" t="str">
        <f>IF(Table24254[[#This Row],[Journal Description (Service Description)]]="","",VLOOKUP(Table24254[[#This Row],[Journal Description (Service Description)]],'Lookup Values'!$A:$B,2,FALSE))</f>
        <v/>
      </c>
    </row>
    <row r="390" spans="1:4" x14ac:dyDescent="0.35">
      <c r="A390" t="str">
        <f>IF(Table24254[[#This Row],[Branch Name]]="","",(_xlfn.XLOOKUP(Table24254[[#This Row],[Branch Name]],'Lookup Values'!G:G,'Lookup Values'!H:H,0)))</f>
        <v/>
      </c>
      <c r="B390" t="str">
        <f>IF(Table24254[[#This Row],[Branch Name]]="","",(_xlfn.XLOOKUP(Table24254[[#This Row],[Branch Name]],'Lookup Values'!G:G,'Lookup Values'!I:I,0)))</f>
        <v/>
      </c>
      <c r="C390" t="str">
        <f>IF(Table24254[[#This Row],[Journal Description (Service Description)]]="","",1)</f>
        <v/>
      </c>
      <c r="D390" s="2" t="str">
        <f>IF(Table24254[[#This Row],[Journal Description (Service Description)]]="","",VLOOKUP(Table24254[[#This Row],[Journal Description (Service Description)]],'Lookup Values'!$A:$B,2,FALSE))</f>
        <v/>
      </c>
    </row>
    <row r="391" spans="1:4" x14ac:dyDescent="0.35">
      <c r="A391" t="str">
        <f>IF(Table24254[[#This Row],[Branch Name]]="","",(_xlfn.XLOOKUP(Table24254[[#This Row],[Branch Name]],'Lookup Values'!G:G,'Lookup Values'!H:H,0)))</f>
        <v/>
      </c>
      <c r="B391" t="str">
        <f>IF(Table24254[[#This Row],[Branch Name]]="","",(_xlfn.XLOOKUP(Table24254[[#This Row],[Branch Name]],'Lookup Values'!G:G,'Lookup Values'!I:I,0)))</f>
        <v/>
      </c>
      <c r="C391" t="str">
        <f>IF(Table24254[[#This Row],[Journal Description (Service Description)]]="","",1)</f>
        <v/>
      </c>
      <c r="D391" s="2" t="str">
        <f>IF(Table24254[[#This Row],[Journal Description (Service Description)]]="","",VLOOKUP(Table24254[[#This Row],[Journal Description (Service Description)]],'Lookup Values'!$A:$B,2,FALSE))</f>
        <v/>
      </c>
    </row>
    <row r="392" spans="1:4" x14ac:dyDescent="0.35">
      <c r="A392" t="str">
        <f>IF(Table24254[[#This Row],[Branch Name]]="","",(_xlfn.XLOOKUP(Table24254[[#This Row],[Branch Name]],'Lookup Values'!G:G,'Lookup Values'!H:H,0)))</f>
        <v/>
      </c>
      <c r="B392" t="str">
        <f>IF(Table24254[[#This Row],[Branch Name]]="","",(_xlfn.XLOOKUP(Table24254[[#This Row],[Branch Name]],'Lookup Values'!G:G,'Lookup Values'!I:I,0)))</f>
        <v/>
      </c>
      <c r="C392" t="str">
        <f>IF(Table24254[[#This Row],[Journal Description (Service Description)]]="","",1)</f>
        <v/>
      </c>
      <c r="D392" s="2" t="str">
        <f>IF(Table24254[[#This Row],[Journal Description (Service Description)]]="","",VLOOKUP(Table24254[[#This Row],[Journal Description (Service Description)]],'Lookup Values'!$A:$B,2,FALSE))</f>
        <v/>
      </c>
    </row>
    <row r="393" spans="1:4" x14ac:dyDescent="0.35">
      <c r="A393" t="str">
        <f>IF(Table24254[[#This Row],[Branch Name]]="","",(_xlfn.XLOOKUP(Table24254[[#This Row],[Branch Name]],'Lookup Values'!G:G,'Lookup Values'!H:H,0)))</f>
        <v/>
      </c>
      <c r="B393" t="str">
        <f>IF(Table24254[[#This Row],[Branch Name]]="","",(_xlfn.XLOOKUP(Table24254[[#This Row],[Branch Name]],'Lookup Values'!G:G,'Lookup Values'!I:I,0)))</f>
        <v/>
      </c>
      <c r="C393" t="str">
        <f>IF(Table24254[[#This Row],[Journal Description (Service Description)]]="","",1)</f>
        <v/>
      </c>
      <c r="D393" s="2" t="str">
        <f>IF(Table24254[[#This Row],[Journal Description (Service Description)]]="","",VLOOKUP(Table24254[[#This Row],[Journal Description (Service Description)]],'Lookup Values'!$A:$B,2,FALSE))</f>
        <v/>
      </c>
    </row>
    <row r="394" spans="1:4" x14ac:dyDescent="0.35">
      <c r="A394" t="str">
        <f>IF(Table24254[[#This Row],[Branch Name]]="","",(_xlfn.XLOOKUP(Table24254[[#This Row],[Branch Name]],'Lookup Values'!G:G,'Lookup Values'!H:H,0)))</f>
        <v/>
      </c>
      <c r="B394" t="str">
        <f>IF(Table24254[[#This Row],[Branch Name]]="","",(_xlfn.XLOOKUP(Table24254[[#This Row],[Branch Name]],'Lookup Values'!G:G,'Lookup Values'!I:I,0)))</f>
        <v/>
      </c>
      <c r="C394" t="str">
        <f>IF(Table24254[[#This Row],[Journal Description (Service Description)]]="","",1)</f>
        <v/>
      </c>
      <c r="D394" s="2" t="str">
        <f>IF(Table24254[[#This Row],[Journal Description (Service Description)]]="","",VLOOKUP(Table24254[[#This Row],[Journal Description (Service Description)]],'Lookup Values'!$A:$B,2,FALSE))</f>
        <v/>
      </c>
    </row>
    <row r="395" spans="1:4" x14ac:dyDescent="0.35">
      <c r="A395" t="str">
        <f>IF(Table24254[[#This Row],[Branch Name]]="","",(_xlfn.XLOOKUP(Table24254[[#This Row],[Branch Name]],'Lookup Values'!G:G,'Lookup Values'!H:H,0)))</f>
        <v/>
      </c>
      <c r="B395" t="str">
        <f>IF(Table24254[[#This Row],[Branch Name]]="","",(_xlfn.XLOOKUP(Table24254[[#This Row],[Branch Name]],'Lookup Values'!G:G,'Lookup Values'!I:I,0)))</f>
        <v/>
      </c>
      <c r="C395" t="str">
        <f>IF(Table24254[[#This Row],[Journal Description (Service Description)]]="","",1)</f>
        <v/>
      </c>
      <c r="D395" s="2" t="str">
        <f>IF(Table24254[[#This Row],[Journal Description (Service Description)]]="","",VLOOKUP(Table24254[[#This Row],[Journal Description (Service Description)]],'Lookup Values'!$A:$B,2,FALSE))</f>
        <v/>
      </c>
    </row>
    <row r="396" spans="1:4" x14ac:dyDescent="0.35">
      <c r="A396" t="str">
        <f>IF(Table24254[[#This Row],[Branch Name]]="","",(_xlfn.XLOOKUP(Table24254[[#This Row],[Branch Name]],'Lookup Values'!G:G,'Lookup Values'!H:H,0)))</f>
        <v/>
      </c>
      <c r="B396" t="str">
        <f>IF(Table24254[[#This Row],[Branch Name]]="","",(_xlfn.XLOOKUP(Table24254[[#This Row],[Branch Name]],'Lookup Values'!G:G,'Lookup Values'!I:I,0)))</f>
        <v/>
      </c>
      <c r="C396" t="str">
        <f>IF(Table24254[[#This Row],[Journal Description (Service Description)]]="","",1)</f>
        <v/>
      </c>
      <c r="D396" s="2" t="str">
        <f>IF(Table24254[[#This Row],[Journal Description (Service Description)]]="","",VLOOKUP(Table24254[[#This Row],[Journal Description (Service Description)]],'Lookup Values'!$A:$B,2,FALSE))</f>
        <v/>
      </c>
    </row>
    <row r="397" spans="1:4" x14ac:dyDescent="0.35">
      <c r="A397" t="str">
        <f>IF(Table24254[[#This Row],[Branch Name]]="","",(_xlfn.XLOOKUP(Table24254[[#This Row],[Branch Name]],'Lookup Values'!G:G,'Lookup Values'!H:H,0)))</f>
        <v/>
      </c>
      <c r="B397" t="str">
        <f>IF(Table24254[[#This Row],[Branch Name]]="","",(_xlfn.XLOOKUP(Table24254[[#This Row],[Branch Name]],'Lookup Values'!G:G,'Lookup Values'!I:I,0)))</f>
        <v/>
      </c>
      <c r="C397" t="str">
        <f>IF(Table24254[[#This Row],[Journal Description (Service Description)]]="","",1)</f>
        <v/>
      </c>
      <c r="D397" s="2" t="str">
        <f>IF(Table24254[[#This Row],[Journal Description (Service Description)]]="","",VLOOKUP(Table24254[[#This Row],[Journal Description (Service Description)]],'Lookup Values'!$A:$B,2,FALSE))</f>
        <v/>
      </c>
    </row>
    <row r="398" spans="1:4" x14ac:dyDescent="0.35">
      <c r="A398" t="str">
        <f>IF(Table24254[[#This Row],[Branch Name]]="","",(_xlfn.XLOOKUP(Table24254[[#This Row],[Branch Name]],'Lookup Values'!G:G,'Lookup Values'!H:H,0)))</f>
        <v/>
      </c>
      <c r="B398" t="str">
        <f>IF(Table24254[[#This Row],[Branch Name]]="","",(_xlfn.XLOOKUP(Table24254[[#This Row],[Branch Name]],'Lookup Values'!G:G,'Lookup Values'!I:I,0)))</f>
        <v/>
      </c>
      <c r="C398" t="str">
        <f>IF(Table24254[[#This Row],[Journal Description (Service Description)]]="","",1)</f>
        <v/>
      </c>
      <c r="D398" s="2" t="str">
        <f>IF(Table24254[[#This Row],[Journal Description (Service Description)]]="","",VLOOKUP(Table24254[[#This Row],[Journal Description (Service Description)]],'Lookup Values'!$A:$B,2,FALSE))</f>
        <v/>
      </c>
    </row>
    <row r="399" spans="1:4" x14ac:dyDescent="0.35">
      <c r="A399" t="str">
        <f>IF(Table24254[[#This Row],[Branch Name]]="","",(_xlfn.XLOOKUP(Table24254[[#This Row],[Branch Name]],'Lookup Values'!G:G,'Lookup Values'!H:H,0)))</f>
        <v/>
      </c>
      <c r="B399" t="str">
        <f>IF(Table24254[[#This Row],[Branch Name]]="","",(_xlfn.XLOOKUP(Table24254[[#This Row],[Branch Name]],'Lookup Values'!G:G,'Lookup Values'!I:I,0)))</f>
        <v/>
      </c>
      <c r="C399" t="str">
        <f>IF(Table24254[[#This Row],[Journal Description (Service Description)]]="","",1)</f>
        <v/>
      </c>
      <c r="D399" s="2" t="str">
        <f>IF(Table24254[[#This Row],[Journal Description (Service Description)]]="","",VLOOKUP(Table24254[[#This Row],[Journal Description (Service Description)]],'Lookup Values'!$A:$B,2,FALSE))</f>
        <v/>
      </c>
    </row>
    <row r="400" spans="1:4" x14ac:dyDescent="0.35">
      <c r="A400" t="str">
        <f>IF(Table24254[[#This Row],[Branch Name]]="","",(_xlfn.XLOOKUP(Table24254[[#This Row],[Branch Name]],'Lookup Values'!G:G,'Lookup Values'!H:H,0)))</f>
        <v/>
      </c>
      <c r="B400" t="str">
        <f>IF(Table24254[[#This Row],[Branch Name]]="","",(_xlfn.XLOOKUP(Table24254[[#This Row],[Branch Name]],'Lookup Values'!G:G,'Lookup Values'!I:I,0)))</f>
        <v/>
      </c>
      <c r="C400" t="str">
        <f>IF(Table24254[[#This Row],[Journal Description (Service Description)]]="","",1)</f>
        <v/>
      </c>
      <c r="D400" s="2" t="str">
        <f>IF(Table24254[[#This Row],[Journal Description (Service Description)]]="","",VLOOKUP(Table24254[[#This Row],[Journal Description (Service Description)]],'Lookup Values'!$A:$B,2,FALSE))</f>
        <v/>
      </c>
    </row>
    <row r="401" spans="1:4" x14ac:dyDescent="0.35">
      <c r="A401" t="str">
        <f>IF(Table24254[[#This Row],[Branch Name]]="","",(_xlfn.XLOOKUP(Table24254[[#This Row],[Branch Name]],'Lookup Values'!G:G,'Lookup Values'!H:H,0)))</f>
        <v/>
      </c>
      <c r="B401" t="str">
        <f>IF(Table24254[[#This Row],[Branch Name]]="","",(_xlfn.XLOOKUP(Table24254[[#This Row],[Branch Name]],'Lookup Values'!G:G,'Lookup Values'!I:I,0)))</f>
        <v/>
      </c>
      <c r="C401" t="str">
        <f>IF(Table24254[[#This Row],[Journal Description (Service Description)]]="","",1)</f>
        <v/>
      </c>
      <c r="D401" s="2" t="str">
        <f>IF(Table24254[[#This Row],[Journal Description (Service Description)]]="","",VLOOKUP(Table24254[[#This Row],[Journal Description (Service Description)]],'Lookup Values'!$A:$B,2,FALSE))</f>
        <v/>
      </c>
    </row>
    <row r="402" spans="1:4" x14ac:dyDescent="0.35">
      <c r="A402" t="str">
        <f>IF(Table24254[[#This Row],[Branch Name]]="","",(_xlfn.XLOOKUP(Table24254[[#This Row],[Branch Name]],'Lookup Values'!G:G,'Lookup Values'!H:H,0)))</f>
        <v/>
      </c>
      <c r="B402" t="str">
        <f>IF(Table24254[[#This Row],[Branch Name]]="","",(_xlfn.XLOOKUP(Table24254[[#This Row],[Branch Name]],'Lookup Values'!G:G,'Lookup Values'!I:I,0)))</f>
        <v/>
      </c>
      <c r="C402" t="str">
        <f>IF(Table24254[[#This Row],[Journal Description (Service Description)]]="","",1)</f>
        <v/>
      </c>
      <c r="D402" s="2" t="str">
        <f>IF(Table24254[[#This Row],[Journal Description (Service Description)]]="","",VLOOKUP(Table24254[[#This Row],[Journal Description (Service Description)]],'Lookup Values'!$A:$B,2,FALSE))</f>
        <v/>
      </c>
    </row>
    <row r="403" spans="1:4" x14ac:dyDescent="0.35">
      <c r="A403" t="str">
        <f>IF(Table24254[[#This Row],[Branch Name]]="","",(_xlfn.XLOOKUP(Table24254[[#This Row],[Branch Name]],'Lookup Values'!G:G,'Lookup Values'!H:H,0)))</f>
        <v/>
      </c>
      <c r="B403" t="str">
        <f>IF(Table24254[[#This Row],[Branch Name]]="","",(_xlfn.XLOOKUP(Table24254[[#This Row],[Branch Name]],'Lookup Values'!G:G,'Lookup Values'!I:I,0)))</f>
        <v/>
      </c>
      <c r="C403" t="str">
        <f>IF(Table24254[[#This Row],[Journal Description (Service Description)]]="","",1)</f>
        <v/>
      </c>
      <c r="D403" s="2" t="str">
        <f>IF(Table24254[[#This Row],[Journal Description (Service Description)]]="","",VLOOKUP(Table24254[[#This Row],[Journal Description (Service Description)]],'Lookup Values'!$A:$B,2,FALSE))</f>
        <v/>
      </c>
    </row>
    <row r="404" spans="1:4" x14ac:dyDescent="0.35">
      <c r="A404" t="str">
        <f>IF(Table24254[[#This Row],[Branch Name]]="","",(_xlfn.XLOOKUP(Table24254[[#This Row],[Branch Name]],'Lookup Values'!G:G,'Lookup Values'!H:H,0)))</f>
        <v/>
      </c>
      <c r="B404" t="str">
        <f>IF(Table24254[[#This Row],[Branch Name]]="","",(_xlfn.XLOOKUP(Table24254[[#This Row],[Branch Name]],'Lookup Values'!G:G,'Lookup Values'!I:I,0)))</f>
        <v/>
      </c>
      <c r="C404" t="str">
        <f>IF(Table24254[[#This Row],[Journal Description (Service Description)]]="","",1)</f>
        <v/>
      </c>
      <c r="D404" s="2" t="str">
        <f>IF(Table24254[[#This Row],[Journal Description (Service Description)]]="","",VLOOKUP(Table24254[[#This Row],[Journal Description (Service Description)]],'Lookup Values'!$A:$B,2,FALSE))</f>
        <v/>
      </c>
    </row>
    <row r="405" spans="1:4" x14ac:dyDescent="0.35">
      <c r="A405" t="str">
        <f>IF(Table24254[[#This Row],[Branch Name]]="","",(_xlfn.XLOOKUP(Table24254[[#This Row],[Branch Name]],'Lookup Values'!G:G,'Lookup Values'!H:H,0)))</f>
        <v/>
      </c>
      <c r="B405" t="str">
        <f>IF(Table24254[[#This Row],[Branch Name]]="","",(_xlfn.XLOOKUP(Table24254[[#This Row],[Branch Name]],'Lookup Values'!G:G,'Lookup Values'!I:I,0)))</f>
        <v/>
      </c>
      <c r="C405" t="str">
        <f>IF(Table24254[[#This Row],[Journal Description (Service Description)]]="","",1)</f>
        <v/>
      </c>
      <c r="D405" s="2" t="str">
        <f>IF(Table24254[[#This Row],[Journal Description (Service Description)]]="","",VLOOKUP(Table24254[[#This Row],[Journal Description (Service Description)]],'Lookup Values'!$A:$B,2,FALSE))</f>
        <v/>
      </c>
    </row>
    <row r="406" spans="1:4" x14ac:dyDescent="0.35">
      <c r="A406" t="str">
        <f>IF(Table24254[[#This Row],[Branch Name]]="","",(_xlfn.XLOOKUP(Table24254[[#This Row],[Branch Name]],'Lookup Values'!G:G,'Lookup Values'!H:H,0)))</f>
        <v/>
      </c>
      <c r="B406" t="str">
        <f>IF(Table24254[[#This Row],[Branch Name]]="","",(_xlfn.XLOOKUP(Table24254[[#This Row],[Branch Name]],'Lookup Values'!G:G,'Lookup Values'!I:I,0)))</f>
        <v/>
      </c>
      <c r="C406" t="str">
        <f>IF(Table24254[[#This Row],[Journal Description (Service Description)]]="","",1)</f>
        <v/>
      </c>
      <c r="D406" s="2" t="str">
        <f>IF(Table24254[[#This Row],[Journal Description (Service Description)]]="","",VLOOKUP(Table24254[[#This Row],[Journal Description (Service Description)]],'Lookup Values'!$A:$B,2,FALSE))</f>
        <v/>
      </c>
    </row>
    <row r="407" spans="1:4" x14ac:dyDescent="0.35">
      <c r="A407" t="str">
        <f>IF(Table24254[[#This Row],[Branch Name]]="","",(_xlfn.XLOOKUP(Table24254[[#This Row],[Branch Name]],'Lookup Values'!G:G,'Lookup Values'!H:H,0)))</f>
        <v/>
      </c>
      <c r="B407" t="str">
        <f>IF(Table24254[[#This Row],[Branch Name]]="","",(_xlfn.XLOOKUP(Table24254[[#This Row],[Branch Name]],'Lookup Values'!G:G,'Lookup Values'!I:I,0)))</f>
        <v/>
      </c>
      <c r="C407" t="str">
        <f>IF(Table24254[[#This Row],[Journal Description (Service Description)]]="","",1)</f>
        <v/>
      </c>
      <c r="D407" s="2" t="str">
        <f>IF(Table24254[[#This Row],[Journal Description (Service Description)]]="","",VLOOKUP(Table24254[[#This Row],[Journal Description (Service Description)]],'Lookup Values'!$A:$B,2,FALSE))</f>
        <v/>
      </c>
    </row>
    <row r="408" spans="1:4" x14ac:dyDescent="0.35">
      <c r="A408" t="str">
        <f>IF(Table24254[[#This Row],[Branch Name]]="","",(_xlfn.XLOOKUP(Table24254[[#This Row],[Branch Name]],'Lookup Values'!G:G,'Lookup Values'!H:H,0)))</f>
        <v/>
      </c>
      <c r="B408" t="str">
        <f>IF(Table24254[[#This Row],[Branch Name]]="","",(_xlfn.XLOOKUP(Table24254[[#This Row],[Branch Name]],'Lookup Values'!G:G,'Lookup Values'!I:I,0)))</f>
        <v/>
      </c>
      <c r="C408" t="str">
        <f>IF(Table24254[[#This Row],[Journal Description (Service Description)]]="","",1)</f>
        <v/>
      </c>
      <c r="D408" s="2" t="str">
        <f>IF(Table24254[[#This Row],[Journal Description (Service Description)]]="","",VLOOKUP(Table24254[[#This Row],[Journal Description (Service Description)]],'Lookup Values'!$A:$B,2,FALSE))</f>
        <v/>
      </c>
    </row>
    <row r="409" spans="1:4" x14ac:dyDescent="0.35">
      <c r="A409" t="str">
        <f>IF(Table24254[[#This Row],[Branch Name]]="","",(_xlfn.XLOOKUP(Table24254[[#This Row],[Branch Name]],'Lookup Values'!G:G,'Lookup Values'!H:H,0)))</f>
        <v/>
      </c>
      <c r="B409" t="str">
        <f>IF(Table24254[[#This Row],[Branch Name]]="","",(_xlfn.XLOOKUP(Table24254[[#This Row],[Branch Name]],'Lookup Values'!G:G,'Lookup Values'!I:I,0)))</f>
        <v/>
      </c>
      <c r="C409" t="str">
        <f>IF(Table24254[[#This Row],[Journal Description (Service Description)]]="","",1)</f>
        <v/>
      </c>
      <c r="D409" s="2" t="str">
        <f>IF(Table24254[[#This Row],[Journal Description (Service Description)]]="","",VLOOKUP(Table24254[[#This Row],[Journal Description (Service Description)]],'Lookup Values'!$A:$B,2,FALSE))</f>
        <v/>
      </c>
    </row>
    <row r="410" spans="1:4" x14ac:dyDescent="0.35">
      <c r="A410" t="str">
        <f>IF(Table24254[[#This Row],[Branch Name]]="","",(_xlfn.XLOOKUP(Table24254[[#This Row],[Branch Name]],'Lookup Values'!G:G,'Lookup Values'!H:H,0)))</f>
        <v/>
      </c>
      <c r="B410" t="str">
        <f>IF(Table24254[[#This Row],[Branch Name]]="","",(_xlfn.XLOOKUP(Table24254[[#This Row],[Branch Name]],'Lookup Values'!G:G,'Lookup Values'!I:I,0)))</f>
        <v/>
      </c>
      <c r="C410" t="str">
        <f>IF(Table24254[[#This Row],[Journal Description (Service Description)]]="","",1)</f>
        <v/>
      </c>
      <c r="D410" s="2" t="str">
        <f>IF(Table24254[[#This Row],[Journal Description (Service Description)]]="","",VLOOKUP(Table24254[[#This Row],[Journal Description (Service Description)]],'Lookup Values'!$A:$B,2,FALSE))</f>
        <v/>
      </c>
    </row>
    <row r="411" spans="1:4" x14ac:dyDescent="0.35">
      <c r="A411" t="str">
        <f>IF(Table24254[[#This Row],[Branch Name]]="","",(_xlfn.XLOOKUP(Table24254[[#This Row],[Branch Name]],'Lookup Values'!G:G,'Lookup Values'!H:H,0)))</f>
        <v/>
      </c>
      <c r="B411" t="str">
        <f>IF(Table24254[[#This Row],[Branch Name]]="","",(_xlfn.XLOOKUP(Table24254[[#This Row],[Branch Name]],'Lookup Values'!G:G,'Lookup Values'!I:I,0)))</f>
        <v/>
      </c>
      <c r="C411" t="str">
        <f>IF(Table24254[[#This Row],[Journal Description (Service Description)]]="","",1)</f>
        <v/>
      </c>
      <c r="D411" s="2" t="str">
        <f>IF(Table24254[[#This Row],[Journal Description (Service Description)]]="","",VLOOKUP(Table24254[[#This Row],[Journal Description (Service Description)]],'Lookup Values'!$A:$B,2,FALSE))</f>
        <v/>
      </c>
    </row>
    <row r="412" spans="1:4" x14ac:dyDescent="0.35">
      <c r="A412" t="str">
        <f>IF(Table24254[[#This Row],[Branch Name]]="","",(_xlfn.XLOOKUP(Table24254[[#This Row],[Branch Name]],'Lookup Values'!G:G,'Lookup Values'!H:H,0)))</f>
        <v/>
      </c>
      <c r="B412" t="str">
        <f>IF(Table24254[[#This Row],[Branch Name]]="","",(_xlfn.XLOOKUP(Table24254[[#This Row],[Branch Name]],'Lookup Values'!G:G,'Lookup Values'!I:I,0)))</f>
        <v/>
      </c>
      <c r="C412" t="str">
        <f>IF(Table24254[[#This Row],[Journal Description (Service Description)]]="","",1)</f>
        <v/>
      </c>
      <c r="D412" s="2" t="str">
        <f>IF(Table24254[[#This Row],[Journal Description (Service Description)]]="","",VLOOKUP(Table24254[[#This Row],[Journal Description (Service Description)]],'Lookup Values'!$A:$B,2,FALSE))</f>
        <v/>
      </c>
    </row>
    <row r="413" spans="1:4" x14ac:dyDescent="0.35">
      <c r="A413" t="str">
        <f>IF(Table24254[[#This Row],[Branch Name]]="","",(_xlfn.XLOOKUP(Table24254[[#This Row],[Branch Name]],'Lookup Values'!G:G,'Lookup Values'!H:H,0)))</f>
        <v/>
      </c>
      <c r="B413" t="str">
        <f>IF(Table24254[[#This Row],[Branch Name]]="","",(_xlfn.XLOOKUP(Table24254[[#This Row],[Branch Name]],'Lookup Values'!G:G,'Lookup Values'!I:I,0)))</f>
        <v/>
      </c>
      <c r="C413" t="str">
        <f>IF(Table24254[[#This Row],[Journal Description (Service Description)]]="","",1)</f>
        <v/>
      </c>
      <c r="D413" s="2" t="str">
        <f>IF(Table24254[[#This Row],[Journal Description (Service Description)]]="","",VLOOKUP(Table24254[[#This Row],[Journal Description (Service Description)]],'Lookup Values'!$A:$B,2,FALSE))</f>
        <v/>
      </c>
    </row>
    <row r="414" spans="1:4" x14ac:dyDescent="0.35">
      <c r="A414" t="str">
        <f>IF(Table24254[[#This Row],[Branch Name]]="","",(_xlfn.XLOOKUP(Table24254[[#This Row],[Branch Name]],'Lookup Values'!G:G,'Lookup Values'!H:H,0)))</f>
        <v/>
      </c>
      <c r="B414" t="str">
        <f>IF(Table24254[[#This Row],[Branch Name]]="","",(_xlfn.XLOOKUP(Table24254[[#This Row],[Branch Name]],'Lookup Values'!G:G,'Lookup Values'!I:I,0)))</f>
        <v/>
      </c>
      <c r="C414" t="str">
        <f>IF(Table24254[[#This Row],[Journal Description (Service Description)]]="","",1)</f>
        <v/>
      </c>
      <c r="D414" s="2" t="str">
        <f>IF(Table24254[[#This Row],[Journal Description (Service Description)]]="","",VLOOKUP(Table24254[[#This Row],[Journal Description (Service Description)]],'Lookup Values'!$A:$B,2,FALSE))</f>
        <v/>
      </c>
    </row>
    <row r="415" spans="1:4" x14ac:dyDescent="0.35">
      <c r="A415" t="str">
        <f>IF(Table24254[[#This Row],[Branch Name]]="","",(_xlfn.XLOOKUP(Table24254[[#This Row],[Branch Name]],'Lookup Values'!G:G,'Lookup Values'!H:H,0)))</f>
        <v/>
      </c>
      <c r="B415" t="str">
        <f>IF(Table24254[[#This Row],[Branch Name]]="","",(_xlfn.XLOOKUP(Table24254[[#This Row],[Branch Name]],'Lookup Values'!G:G,'Lookup Values'!I:I,0)))</f>
        <v/>
      </c>
      <c r="C415" t="str">
        <f>IF(Table24254[[#This Row],[Journal Description (Service Description)]]="","",1)</f>
        <v/>
      </c>
      <c r="D415" s="2" t="str">
        <f>IF(Table24254[[#This Row],[Journal Description (Service Description)]]="","",VLOOKUP(Table24254[[#This Row],[Journal Description (Service Description)]],'Lookup Values'!$A:$B,2,FALSE))</f>
        <v/>
      </c>
    </row>
    <row r="416" spans="1:4" x14ac:dyDescent="0.35">
      <c r="A416" t="str">
        <f>IF(Table24254[[#This Row],[Branch Name]]="","",(_xlfn.XLOOKUP(Table24254[[#This Row],[Branch Name]],'Lookup Values'!G:G,'Lookup Values'!H:H,0)))</f>
        <v/>
      </c>
      <c r="B416" t="str">
        <f>IF(Table24254[[#This Row],[Branch Name]]="","",(_xlfn.XLOOKUP(Table24254[[#This Row],[Branch Name]],'Lookup Values'!G:G,'Lookup Values'!I:I,0)))</f>
        <v/>
      </c>
      <c r="C416" t="str">
        <f>IF(Table24254[[#This Row],[Journal Description (Service Description)]]="","",1)</f>
        <v/>
      </c>
      <c r="D416" s="2" t="str">
        <f>IF(Table24254[[#This Row],[Journal Description (Service Description)]]="","",VLOOKUP(Table24254[[#This Row],[Journal Description (Service Description)]],'Lookup Values'!$A:$B,2,FALSE))</f>
        <v/>
      </c>
    </row>
    <row r="417" spans="1:4" x14ac:dyDescent="0.35">
      <c r="A417" t="str">
        <f>IF(Table24254[[#This Row],[Branch Name]]="","",(_xlfn.XLOOKUP(Table24254[[#This Row],[Branch Name]],'Lookup Values'!G:G,'Lookup Values'!H:H,0)))</f>
        <v/>
      </c>
      <c r="B417" t="str">
        <f>IF(Table24254[[#This Row],[Branch Name]]="","",(_xlfn.XLOOKUP(Table24254[[#This Row],[Branch Name]],'Lookup Values'!G:G,'Lookup Values'!I:I,0)))</f>
        <v/>
      </c>
      <c r="C417" t="str">
        <f>IF(Table24254[[#This Row],[Journal Description (Service Description)]]="","",1)</f>
        <v/>
      </c>
      <c r="D417" s="2" t="str">
        <f>IF(Table24254[[#This Row],[Journal Description (Service Description)]]="","",VLOOKUP(Table24254[[#This Row],[Journal Description (Service Description)]],'Lookup Values'!$A:$B,2,FALSE))</f>
        <v/>
      </c>
    </row>
    <row r="418" spans="1:4" x14ac:dyDescent="0.35">
      <c r="A418" t="str">
        <f>IF(Table24254[[#This Row],[Branch Name]]="","",(_xlfn.XLOOKUP(Table24254[[#This Row],[Branch Name]],'Lookup Values'!G:G,'Lookup Values'!H:H,0)))</f>
        <v/>
      </c>
      <c r="B418" t="str">
        <f>IF(Table24254[[#This Row],[Branch Name]]="","",(_xlfn.XLOOKUP(Table24254[[#This Row],[Branch Name]],'Lookup Values'!G:G,'Lookup Values'!I:I,0)))</f>
        <v/>
      </c>
      <c r="C418" t="str">
        <f>IF(Table24254[[#This Row],[Journal Description (Service Description)]]="","",1)</f>
        <v/>
      </c>
      <c r="D418" s="2" t="str">
        <f>IF(Table24254[[#This Row],[Journal Description (Service Description)]]="","",VLOOKUP(Table24254[[#This Row],[Journal Description (Service Description)]],'Lookup Values'!$A:$B,2,FALSE))</f>
        <v/>
      </c>
    </row>
    <row r="419" spans="1:4" x14ac:dyDescent="0.35">
      <c r="A419" t="str">
        <f>IF(Table24254[[#This Row],[Branch Name]]="","",(_xlfn.XLOOKUP(Table24254[[#This Row],[Branch Name]],'Lookup Values'!G:G,'Lookup Values'!H:H,0)))</f>
        <v/>
      </c>
      <c r="B419" t="str">
        <f>IF(Table24254[[#This Row],[Branch Name]]="","",(_xlfn.XLOOKUP(Table24254[[#This Row],[Branch Name]],'Lookup Values'!G:G,'Lookup Values'!I:I,0)))</f>
        <v/>
      </c>
      <c r="C419" t="str">
        <f>IF(Table24254[[#This Row],[Journal Description (Service Description)]]="","",1)</f>
        <v/>
      </c>
      <c r="D419" s="2" t="str">
        <f>IF(Table24254[[#This Row],[Journal Description (Service Description)]]="","",VLOOKUP(Table24254[[#This Row],[Journal Description (Service Description)]],'Lookup Values'!$A:$B,2,FALSE))</f>
        <v/>
      </c>
    </row>
    <row r="420" spans="1:4" x14ac:dyDescent="0.35">
      <c r="A420" t="str">
        <f>IF(Table24254[[#This Row],[Branch Name]]="","",(_xlfn.XLOOKUP(Table24254[[#This Row],[Branch Name]],'Lookup Values'!G:G,'Lookup Values'!H:H,0)))</f>
        <v/>
      </c>
      <c r="B420" t="str">
        <f>IF(Table24254[[#This Row],[Branch Name]]="","",(_xlfn.XLOOKUP(Table24254[[#This Row],[Branch Name]],'Lookup Values'!G:G,'Lookup Values'!I:I,0)))</f>
        <v/>
      </c>
      <c r="C420" t="str">
        <f>IF(Table24254[[#This Row],[Journal Description (Service Description)]]="","",1)</f>
        <v/>
      </c>
      <c r="D420" s="2" t="str">
        <f>IF(Table24254[[#This Row],[Journal Description (Service Description)]]="","",VLOOKUP(Table24254[[#This Row],[Journal Description (Service Description)]],'Lookup Values'!$A:$B,2,FALSE))</f>
        <v/>
      </c>
    </row>
    <row r="421" spans="1:4" x14ac:dyDescent="0.35">
      <c r="A421" t="str">
        <f>IF(Table24254[[#This Row],[Branch Name]]="","",(_xlfn.XLOOKUP(Table24254[[#This Row],[Branch Name]],'Lookup Values'!G:G,'Lookup Values'!H:H,0)))</f>
        <v/>
      </c>
      <c r="B421" t="str">
        <f>IF(Table24254[[#This Row],[Branch Name]]="","",(_xlfn.XLOOKUP(Table24254[[#This Row],[Branch Name]],'Lookup Values'!G:G,'Lookup Values'!I:I,0)))</f>
        <v/>
      </c>
      <c r="C421" t="str">
        <f>IF(Table24254[[#This Row],[Journal Description (Service Description)]]="","",1)</f>
        <v/>
      </c>
      <c r="D421" s="2" t="str">
        <f>IF(Table24254[[#This Row],[Journal Description (Service Description)]]="","",VLOOKUP(Table24254[[#This Row],[Journal Description (Service Description)]],'Lookup Values'!$A:$B,2,FALSE))</f>
        <v/>
      </c>
    </row>
    <row r="422" spans="1:4" x14ac:dyDescent="0.35">
      <c r="A422" t="str">
        <f>IF(Table24254[[#This Row],[Branch Name]]="","",(_xlfn.XLOOKUP(Table24254[[#This Row],[Branch Name]],'Lookup Values'!G:G,'Lookup Values'!H:H,0)))</f>
        <v/>
      </c>
      <c r="B422" t="str">
        <f>IF(Table24254[[#This Row],[Branch Name]]="","",(_xlfn.XLOOKUP(Table24254[[#This Row],[Branch Name]],'Lookup Values'!G:G,'Lookup Values'!I:I,0)))</f>
        <v/>
      </c>
      <c r="C422" t="str">
        <f>IF(Table24254[[#This Row],[Journal Description (Service Description)]]="","",1)</f>
        <v/>
      </c>
      <c r="D422" s="2" t="str">
        <f>IF(Table24254[[#This Row],[Journal Description (Service Description)]]="","",VLOOKUP(Table24254[[#This Row],[Journal Description (Service Description)]],'Lookup Values'!$A:$B,2,FALSE))</f>
        <v/>
      </c>
    </row>
    <row r="423" spans="1:4" x14ac:dyDescent="0.35">
      <c r="A423" t="str">
        <f>IF(Table24254[[#This Row],[Branch Name]]="","",(_xlfn.XLOOKUP(Table24254[[#This Row],[Branch Name]],'Lookup Values'!G:G,'Lookup Values'!H:H,0)))</f>
        <v/>
      </c>
      <c r="B423" t="str">
        <f>IF(Table24254[[#This Row],[Branch Name]]="","",(_xlfn.XLOOKUP(Table24254[[#This Row],[Branch Name]],'Lookup Values'!G:G,'Lookup Values'!I:I,0)))</f>
        <v/>
      </c>
      <c r="C423" t="str">
        <f>IF(Table24254[[#This Row],[Journal Description (Service Description)]]="","",1)</f>
        <v/>
      </c>
      <c r="D423" s="2" t="str">
        <f>IF(Table24254[[#This Row],[Journal Description (Service Description)]]="","",VLOOKUP(Table24254[[#This Row],[Journal Description (Service Description)]],'Lookup Values'!$A:$B,2,FALSE))</f>
        <v/>
      </c>
    </row>
    <row r="424" spans="1:4" x14ac:dyDescent="0.35">
      <c r="A424" t="str">
        <f>IF(Table24254[[#This Row],[Branch Name]]="","",(_xlfn.XLOOKUP(Table24254[[#This Row],[Branch Name]],'Lookup Values'!G:G,'Lookup Values'!H:H,0)))</f>
        <v/>
      </c>
      <c r="B424" t="str">
        <f>IF(Table24254[[#This Row],[Branch Name]]="","",(_xlfn.XLOOKUP(Table24254[[#This Row],[Branch Name]],'Lookup Values'!G:G,'Lookup Values'!I:I,0)))</f>
        <v/>
      </c>
      <c r="C424" t="str">
        <f>IF(Table24254[[#This Row],[Journal Description (Service Description)]]="","",1)</f>
        <v/>
      </c>
      <c r="D424" s="2" t="str">
        <f>IF(Table24254[[#This Row],[Journal Description (Service Description)]]="","",VLOOKUP(Table24254[[#This Row],[Journal Description (Service Description)]],'Lookup Values'!$A:$B,2,FALSE))</f>
        <v/>
      </c>
    </row>
    <row r="425" spans="1:4" x14ac:dyDescent="0.35">
      <c r="A425" t="str">
        <f>IF(Table24254[[#This Row],[Branch Name]]="","",(_xlfn.XLOOKUP(Table24254[[#This Row],[Branch Name]],'Lookup Values'!G:G,'Lookup Values'!H:H,0)))</f>
        <v/>
      </c>
      <c r="B425" t="str">
        <f>IF(Table24254[[#This Row],[Branch Name]]="","",(_xlfn.XLOOKUP(Table24254[[#This Row],[Branch Name]],'Lookup Values'!G:G,'Lookup Values'!I:I,0)))</f>
        <v/>
      </c>
      <c r="C425" t="str">
        <f>IF(Table24254[[#This Row],[Journal Description (Service Description)]]="","",1)</f>
        <v/>
      </c>
      <c r="D425" s="2" t="str">
        <f>IF(Table24254[[#This Row],[Journal Description (Service Description)]]="","",VLOOKUP(Table24254[[#This Row],[Journal Description (Service Description)]],'Lookup Values'!$A:$B,2,FALSE))</f>
        <v/>
      </c>
    </row>
    <row r="426" spans="1:4" x14ac:dyDescent="0.35">
      <c r="A426" t="str">
        <f>IF(Table24254[[#This Row],[Branch Name]]="","",(_xlfn.XLOOKUP(Table24254[[#This Row],[Branch Name]],'Lookup Values'!G:G,'Lookup Values'!H:H,0)))</f>
        <v/>
      </c>
      <c r="B426" t="str">
        <f>IF(Table24254[[#This Row],[Branch Name]]="","",(_xlfn.XLOOKUP(Table24254[[#This Row],[Branch Name]],'Lookup Values'!G:G,'Lookup Values'!I:I,0)))</f>
        <v/>
      </c>
      <c r="C426" t="str">
        <f>IF(Table24254[[#This Row],[Journal Description (Service Description)]]="","",1)</f>
        <v/>
      </c>
      <c r="D426" s="2" t="str">
        <f>IF(Table24254[[#This Row],[Journal Description (Service Description)]]="","",VLOOKUP(Table24254[[#This Row],[Journal Description (Service Description)]],'Lookup Values'!$A:$B,2,FALSE))</f>
        <v/>
      </c>
    </row>
    <row r="427" spans="1:4" x14ac:dyDescent="0.35">
      <c r="A427" t="str">
        <f>IF(Table24254[[#This Row],[Branch Name]]="","",(_xlfn.XLOOKUP(Table24254[[#This Row],[Branch Name]],'Lookup Values'!G:G,'Lookup Values'!H:H,0)))</f>
        <v/>
      </c>
      <c r="B427" t="str">
        <f>IF(Table24254[[#This Row],[Branch Name]]="","",(_xlfn.XLOOKUP(Table24254[[#This Row],[Branch Name]],'Lookup Values'!G:G,'Lookup Values'!I:I,0)))</f>
        <v/>
      </c>
      <c r="C427" t="str">
        <f>IF(Table24254[[#This Row],[Journal Description (Service Description)]]="","",1)</f>
        <v/>
      </c>
      <c r="D427" s="2" t="str">
        <f>IF(Table24254[[#This Row],[Journal Description (Service Description)]]="","",VLOOKUP(Table24254[[#This Row],[Journal Description (Service Description)]],'Lookup Values'!$A:$B,2,FALSE))</f>
        <v/>
      </c>
    </row>
    <row r="428" spans="1:4" x14ac:dyDescent="0.35">
      <c r="A428" t="str">
        <f>IF(Table24254[[#This Row],[Branch Name]]="","",(_xlfn.XLOOKUP(Table24254[[#This Row],[Branch Name]],'Lookup Values'!G:G,'Lookup Values'!H:H,0)))</f>
        <v/>
      </c>
      <c r="B428" t="str">
        <f>IF(Table24254[[#This Row],[Branch Name]]="","",(_xlfn.XLOOKUP(Table24254[[#This Row],[Branch Name]],'Lookup Values'!G:G,'Lookup Values'!I:I,0)))</f>
        <v/>
      </c>
      <c r="C428" t="str">
        <f>IF(Table24254[[#This Row],[Journal Description (Service Description)]]="","",1)</f>
        <v/>
      </c>
      <c r="D428" s="2" t="str">
        <f>IF(Table24254[[#This Row],[Journal Description (Service Description)]]="","",VLOOKUP(Table24254[[#This Row],[Journal Description (Service Description)]],'Lookup Values'!$A:$B,2,FALSE))</f>
        <v/>
      </c>
    </row>
    <row r="429" spans="1:4" x14ac:dyDescent="0.35">
      <c r="A429" t="str">
        <f>IF(Table24254[[#This Row],[Branch Name]]="","",(_xlfn.XLOOKUP(Table24254[[#This Row],[Branch Name]],'Lookup Values'!G:G,'Lookup Values'!H:H,0)))</f>
        <v/>
      </c>
      <c r="B429" t="str">
        <f>IF(Table24254[[#This Row],[Branch Name]]="","",(_xlfn.XLOOKUP(Table24254[[#This Row],[Branch Name]],'Lookup Values'!G:G,'Lookup Values'!I:I,0)))</f>
        <v/>
      </c>
      <c r="C429" t="str">
        <f>IF(Table24254[[#This Row],[Journal Description (Service Description)]]="","",1)</f>
        <v/>
      </c>
      <c r="D429" s="2" t="str">
        <f>IF(Table24254[[#This Row],[Journal Description (Service Description)]]="","",VLOOKUP(Table24254[[#This Row],[Journal Description (Service Description)]],'Lookup Values'!$A:$B,2,FALSE))</f>
        <v/>
      </c>
    </row>
    <row r="430" spans="1:4" x14ac:dyDescent="0.35">
      <c r="A430" t="str">
        <f>IF(Table24254[[#This Row],[Branch Name]]="","",(_xlfn.XLOOKUP(Table24254[[#This Row],[Branch Name]],'Lookup Values'!G:G,'Lookup Values'!H:H,0)))</f>
        <v/>
      </c>
      <c r="B430" t="str">
        <f>IF(Table24254[[#This Row],[Branch Name]]="","",(_xlfn.XLOOKUP(Table24254[[#This Row],[Branch Name]],'Lookup Values'!G:G,'Lookup Values'!I:I,0)))</f>
        <v/>
      </c>
      <c r="C430" t="str">
        <f>IF(Table24254[[#This Row],[Journal Description (Service Description)]]="","",1)</f>
        <v/>
      </c>
      <c r="D430" s="2" t="str">
        <f>IF(Table24254[[#This Row],[Journal Description (Service Description)]]="","",VLOOKUP(Table24254[[#This Row],[Journal Description (Service Description)]],'Lookup Values'!$A:$B,2,FALSE))</f>
        <v/>
      </c>
    </row>
    <row r="431" spans="1:4" x14ac:dyDescent="0.35">
      <c r="A431" t="str">
        <f>IF(Table24254[[#This Row],[Branch Name]]="","",(_xlfn.XLOOKUP(Table24254[[#This Row],[Branch Name]],'Lookup Values'!G:G,'Lookup Values'!H:H,0)))</f>
        <v/>
      </c>
      <c r="B431" t="str">
        <f>IF(Table24254[[#This Row],[Branch Name]]="","",(_xlfn.XLOOKUP(Table24254[[#This Row],[Branch Name]],'Lookup Values'!G:G,'Lookup Values'!I:I,0)))</f>
        <v/>
      </c>
      <c r="C431" t="str">
        <f>IF(Table24254[[#This Row],[Journal Description (Service Description)]]="","",1)</f>
        <v/>
      </c>
      <c r="D431" s="2" t="str">
        <f>IF(Table24254[[#This Row],[Journal Description (Service Description)]]="","",VLOOKUP(Table24254[[#This Row],[Journal Description (Service Description)]],'Lookup Values'!$A:$B,2,FALSE))</f>
        <v/>
      </c>
    </row>
    <row r="432" spans="1:4" x14ac:dyDescent="0.35">
      <c r="A432" t="str">
        <f>IF(Table24254[[#This Row],[Branch Name]]="","",(_xlfn.XLOOKUP(Table24254[[#This Row],[Branch Name]],'Lookup Values'!G:G,'Lookup Values'!H:H,0)))</f>
        <v/>
      </c>
      <c r="B432" t="str">
        <f>IF(Table24254[[#This Row],[Branch Name]]="","",(_xlfn.XLOOKUP(Table24254[[#This Row],[Branch Name]],'Lookup Values'!G:G,'Lookup Values'!I:I,0)))</f>
        <v/>
      </c>
      <c r="C432" t="str">
        <f>IF(Table24254[[#This Row],[Journal Description (Service Description)]]="","",1)</f>
        <v/>
      </c>
      <c r="D432" s="2" t="str">
        <f>IF(Table24254[[#This Row],[Journal Description (Service Description)]]="","",VLOOKUP(Table24254[[#This Row],[Journal Description (Service Description)]],'Lookup Values'!$A:$B,2,FALSE))</f>
        <v/>
      </c>
    </row>
    <row r="433" spans="1:4" x14ac:dyDescent="0.35">
      <c r="A433" t="str">
        <f>IF(Table24254[[#This Row],[Branch Name]]="","",(_xlfn.XLOOKUP(Table24254[[#This Row],[Branch Name]],'Lookup Values'!G:G,'Lookup Values'!H:H,0)))</f>
        <v/>
      </c>
      <c r="B433" t="str">
        <f>IF(Table24254[[#This Row],[Branch Name]]="","",(_xlfn.XLOOKUP(Table24254[[#This Row],[Branch Name]],'Lookup Values'!G:G,'Lookup Values'!I:I,0)))</f>
        <v/>
      </c>
      <c r="C433" t="str">
        <f>IF(Table24254[[#This Row],[Journal Description (Service Description)]]="","",1)</f>
        <v/>
      </c>
      <c r="D433" s="2" t="str">
        <f>IF(Table24254[[#This Row],[Journal Description (Service Description)]]="","",VLOOKUP(Table24254[[#This Row],[Journal Description (Service Description)]],'Lookup Values'!$A:$B,2,FALSE))</f>
        <v/>
      </c>
    </row>
    <row r="434" spans="1:4" x14ac:dyDescent="0.35">
      <c r="A434" t="str">
        <f>IF(Table24254[[#This Row],[Branch Name]]="","",(_xlfn.XLOOKUP(Table24254[[#This Row],[Branch Name]],'Lookup Values'!G:G,'Lookup Values'!H:H,0)))</f>
        <v/>
      </c>
      <c r="B434" t="str">
        <f>IF(Table24254[[#This Row],[Branch Name]]="","",(_xlfn.XLOOKUP(Table24254[[#This Row],[Branch Name]],'Lookup Values'!G:G,'Lookup Values'!I:I,0)))</f>
        <v/>
      </c>
      <c r="C434" t="str">
        <f>IF(Table24254[[#This Row],[Journal Description (Service Description)]]="","",1)</f>
        <v/>
      </c>
      <c r="D434" s="2" t="str">
        <f>IF(Table24254[[#This Row],[Journal Description (Service Description)]]="","",VLOOKUP(Table24254[[#This Row],[Journal Description (Service Description)]],'Lookup Values'!$A:$B,2,FALSE))</f>
        <v/>
      </c>
    </row>
    <row r="435" spans="1:4" x14ac:dyDescent="0.35">
      <c r="A435" t="str">
        <f>IF(Table24254[[#This Row],[Branch Name]]="","",(_xlfn.XLOOKUP(Table24254[[#This Row],[Branch Name]],'Lookup Values'!G:G,'Lookup Values'!H:H,0)))</f>
        <v/>
      </c>
      <c r="B435" t="str">
        <f>IF(Table24254[[#This Row],[Branch Name]]="","",(_xlfn.XLOOKUP(Table24254[[#This Row],[Branch Name]],'Lookup Values'!G:G,'Lookup Values'!I:I,0)))</f>
        <v/>
      </c>
      <c r="C435" t="str">
        <f>IF(Table24254[[#This Row],[Journal Description (Service Description)]]="","",1)</f>
        <v/>
      </c>
      <c r="D435" s="2" t="str">
        <f>IF(Table24254[[#This Row],[Journal Description (Service Description)]]="","",VLOOKUP(Table24254[[#This Row],[Journal Description (Service Description)]],'Lookup Values'!$A:$B,2,FALSE))</f>
        <v/>
      </c>
    </row>
    <row r="436" spans="1:4" x14ac:dyDescent="0.35">
      <c r="A436" t="str">
        <f>IF(Table24254[[#This Row],[Branch Name]]="","",(_xlfn.XLOOKUP(Table24254[[#This Row],[Branch Name]],'Lookup Values'!G:G,'Lookup Values'!H:H,0)))</f>
        <v/>
      </c>
      <c r="B436" t="str">
        <f>IF(Table24254[[#This Row],[Branch Name]]="","",(_xlfn.XLOOKUP(Table24254[[#This Row],[Branch Name]],'Lookup Values'!G:G,'Lookup Values'!I:I,0)))</f>
        <v/>
      </c>
      <c r="C436" t="str">
        <f>IF(Table24254[[#This Row],[Journal Description (Service Description)]]="","",1)</f>
        <v/>
      </c>
      <c r="D436" s="2" t="str">
        <f>IF(Table24254[[#This Row],[Journal Description (Service Description)]]="","",VLOOKUP(Table24254[[#This Row],[Journal Description (Service Description)]],'Lookup Values'!$A:$B,2,FALSE))</f>
        <v/>
      </c>
    </row>
    <row r="437" spans="1:4" x14ac:dyDescent="0.35">
      <c r="A437" t="str">
        <f>IF(Table24254[[#This Row],[Branch Name]]="","",(_xlfn.XLOOKUP(Table24254[[#This Row],[Branch Name]],'Lookup Values'!G:G,'Lookup Values'!H:H,0)))</f>
        <v/>
      </c>
      <c r="B437" t="str">
        <f>IF(Table24254[[#This Row],[Branch Name]]="","",(_xlfn.XLOOKUP(Table24254[[#This Row],[Branch Name]],'Lookup Values'!G:G,'Lookup Values'!I:I,0)))</f>
        <v/>
      </c>
      <c r="C437" t="str">
        <f>IF(Table24254[[#This Row],[Journal Description (Service Description)]]="","",1)</f>
        <v/>
      </c>
      <c r="D437" s="2" t="str">
        <f>IF(Table24254[[#This Row],[Journal Description (Service Description)]]="","",VLOOKUP(Table24254[[#This Row],[Journal Description (Service Description)]],'Lookup Values'!$A:$B,2,FALSE))</f>
        <v/>
      </c>
    </row>
    <row r="438" spans="1:4" x14ac:dyDescent="0.35">
      <c r="A438" t="str">
        <f>IF(Table24254[[#This Row],[Branch Name]]="","",(_xlfn.XLOOKUP(Table24254[[#This Row],[Branch Name]],'Lookup Values'!G:G,'Lookup Values'!H:H,0)))</f>
        <v/>
      </c>
      <c r="B438" t="str">
        <f>IF(Table24254[[#This Row],[Branch Name]]="","",(_xlfn.XLOOKUP(Table24254[[#This Row],[Branch Name]],'Lookup Values'!G:G,'Lookup Values'!I:I,0)))</f>
        <v/>
      </c>
      <c r="C438" t="str">
        <f>IF(Table24254[[#This Row],[Journal Description (Service Description)]]="","",1)</f>
        <v/>
      </c>
      <c r="D438" s="2" t="str">
        <f>IF(Table24254[[#This Row],[Journal Description (Service Description)]]="","",VLOOKUP(Table24254[[#This Row],[Journal Description (Service Description)]],'Lookup Values'!$A:$B,2,FALSE))</f>
        <v/>
      </c>
    </row>
    <row r="439" spans="1:4" x14ac:dyDescent="0.35">
      <c r="A439" t="str">
        <f>IF(Table24254[[#This Row],[Branch Name]]="","",(_xlfn.XLOOKUP(Table24254[[#This Row],[Branch Name]],'Lookup Values'!G:G,'Lookup Values'!H:H,0)))</f>
        <v/>
      </c>
      <c r="B439" t="str">
        <f>IF(Table24254[[#This Row],[Branch Name]]="","",(_xlfn.XLOOKUP(Table24254[[#This Row],[Branch Name]],'Lookup Values'!G:G,'Lookup Values'!I:I,0)))</f>
        <v/>
      </c>
      <c r="C439" t="str">
        <f>IF(Table24254[[#This Row],[Journal Description (Service Description)]]="","",1)</f>
        <v/>
      </c>
      <c r="D439" s="2" t="str">
        <f>IF(Table24254[[#This Row],[Journal Description (Service Description)]]="","",VLOOKUP(Table24254[[#This Row],[Journal Description (Service Description)]],'Lookup Values'!$A:$B,2,FALSE))</f>
        <v/>
      </c>
    </row>
    <row r="440" spans="1:4" x14ac:dyDescent="0.35">
      <c r="A440" t="str">
        <f>IF(Table24254[[#This Row],[Branch Name]]="","",(_xlfn.XLOOKUP(Table24254[[#This Row],[Branch Name]],'Lookup Values'!G:G,'Lookup Values'!H:H,0)))</f>
        <v/>
      </c>
      <c r="B440" t="str">
        <f>IF(Table24254[[#This Row],[Branch Name]]="","",(_xlfn.XLOOKUP(Table24254[[#This Row],[Branch Name]],'Lookup Values'!G:G,'Lookup Values'!I:I,0)))</f>
        <v/>
      </c>
      <c r="C440" t="str">
        <f>IF(Table24254[[#This Row],[Journal Description (Service Description)]]="","",1)</f>
        <v/>
      </c>
      <c r="D440" s="2" t="str">
        <f>IF(Table24254[[#This Row],[Journal Description (Service Description)]]="","",VLOOKUP(Table24254[[#This Row],[Journal Description (Service Description)]],'Lookup Values'!$A:$B,2,FALSE))</f>
        <v/>
      </c>
    </row>
    <row r="441" spans="1:4" x14ac:dyDescent="0.35">
      <c r="A441" t="str">
        <f>IF(Table24254[[#This Row],[Branch Name]]="","",(_xlfn.XLOOKUP(Table24254[[#This Row],[Branch Name]],'Lookup Values'!G:G,'Lookup Values'!H:H,0)))</f>
        <v/>
      </c>
      <c r="B441" t="str">
        <f>IF(Table24254[[#This Row],[Branch Name]]="","",(_xlfn.XLOOKUP(Table24254[[#This Row],[Branch Name]],'Lookup Values'!G:G,'Lookup Values'!I:I,0)))</f>
        <v/>
      </c>
      <c r="C441" t="str">
        <f>IF(Table24254[[#This Row],[Journal Description (Service Description)]]="","",1)</f>
        <v/>
      </c>
      <c r="D441" s="2" t="str">
        <f>IF(Table24254[[#This Row],[Journal Description (Service Description)]]="","",VLOOKUP(Table24254[[#This Row],[Journal Description (Service Description)]],'Lookup Values'!$A:$B,2,FALSE))</f>
        <v/>
      </c>
    </row>
    <row r="442" spans="1:4" x14ac:dyDescent="0.35">
      <c r="A442" t="str">
        <f>IF(Table24254[[#This Row],[Branch Name]]="","",(_xlfn.XLOOKUP(Table24254[[#This Row],[Branch Name]],'Lookup Values'!G:G,'Lookup Values'!H:H,0)))</f>
        <v/>
      </c>
      <c r="B442" t="str">
        <f>IF(Table24254[[#This Row],[Branch Name]]="","",(_xlfn.XLOOKUP(Table24254[[#This Row],[Branch Name]],'Lookup Values'!G:G,'Lookup Values'!I:I,0)))</f>
        <v/>
      </c>
      <c r="C442" t="str">
        <f>IF(Table24254[[#This Row],[Journal Description (Service Description)]]="","",1)</f>
        <v/>
      </c>
      <c r="D442" s="2" t="str">
        <f>IF(Table24254[[#This Row],[Journal Description (Service Description)]]="","",VLOOKUP(Table24254[[#This Row],[Journal Description (Service Description)]],'Lookup Values'!$A:$B,2,FALSE))</f>
        <v/>
      </c>
    </row>
    <row r="443" spans="1:4" x14ac:dyDescent="0.35">
      <c r="A443" t="str">
        <f>IF(Table24254[[#This Row],[Branch Name]]="","",(_xlfn.XLOOKUP(Table24254[[#This Row],[Branch Name]],'Lookup Values'!G:G,'Lookup Values'!H:H,0)))</f>
        <v/>
      </c>
      <c r="B443" t="str">
        <f>IF(Table24254[[#This Row],[Branch Name]]="","",(_xlfn.XLOOKUP(Table24254[[#This Row],[Branch Name]],'Lookup Values'!G:G,'Lookup Values'!I:I,0)))</f>
        <v/>
      </c>
      <c r="C443" t="str">
        <f>IF(Table24254[[#This Row],[Journal Description (Service Description)]]="","",1)</f>
        <v/>
      </c>
      <c r="D443" s="2" t="str">
        <f>IF(Table24254[[#This Row],[Journal Description (Service Description)]]="","",VLOOKUP(Table24254[[#This Row],[Journal Description (Service Description)]],'Lookup Values'!$A:$B,2,FALSE))</f>
        <v/>
      </c>
    </row>
    <row r="444" spans="1:4" x14ac:dyDescent="0.35">
      <c r="A444" t="str">
        <f>IF(Table24254[[#This Row],[Branch Name]]="","",(_xlfn.XLOOKUP(Table24254[[#This Row],[Branch Name]],'Lookup Values'!G:G,'Lookup Values'!H:H,0)))</f>
        <v/>
      </c>
      <c r="B444" t="str">
        <f>IF(Table24254[[#This Row],[Branch Name]]="","",(_xlfn.XLOOKUP(Table24254[[#This Row],[Branch Name]],'Lookup Values'!G:G,'Lookup Values'!I:I,0)))</f>
        <v/>
      </c>
      <c r="C444" t="str">
        <f>IF(Table24254[[#This Row],[Journal Description (Service Description)]]="","",1)</f>
        <v/>
      </c>
      <c r="D444" s="2" t="str">
        <f>IF(Table24254[[#This Row],[Journal Description (Service Description)]]="","",VLOOKUP(Table24254[[#This Row],[Journal Description (Service Description)]],'Lookup Values'!$A:$B,2,FALSE))</f>
        <v/>
      </c>
    </row>
    <row r="445" spans="1:4" x14ac:dyDescent="0.35">
      <c r="A445" t="str">
        <f>IF(Table24254[[#This Row],[Branch Name]]="","",(_xlfn.XLOOKUP(Table24254[[#This Row],[Branch Name]],'Lookup Values'!G:G,'Lookup Values'!H:H,0)))</f>
        <v/>
      </c>
      <c r="B445" t="str">
        <f>IF(Table24254[[#This Row],[Branch Name]]="","",(_xlfn.XLOOKUP(Table24254[[#This Row],[Branch Name]],'Lookup Values'!G:G,'Lookup Values'!I:I,0)))</f>
        <v/>
      </c>
      <c r="C445" t="str">
        <f>IF(Table24254[[#This Row],[Journal Description (Service Description)]]="","",1)</f>
        <v/>
      </c>
      <c r="D445" s="2" t="str">
        <f>IF(Table24254[[#This Row],[Journal Description (Service Description)]]="","",VLOOKUP(Table24254[[#This Row],[Journal Description (Service Description)]],'Lookup Values'!$A:$B,2,FALSE))</f>
        <v/>
      </c>
    </row>
    <row r="446" spans="1:4" x14ac:dyDescent="0.35">
      <c r="A446" t="str">
        <f>IF(Table24254[[#This Row],[Branch Name]]="","",(_xlfn.XLOOKUP(Table24254[[#This Row],[Branch Name]],'Lookup Values'!G:G,'Lookup Values'!H:H,0)))</f>
        <v/>
      </c>
      <c r="B446" t="str">
        <f>IF(Table24254[[#This Row],[Branch Name]]="","",(_xlfn.XLOOKUP(Table24254[[#This Row],[Branch Name]],'Lookup Values'!G:G,'Lookup Values'!I:I,0)))</f>
        <v/>
      </c>
      <c r="C446" t="str">
        <f>IF(Table24254[[#This Row],[Journal Description (Service Description)]]="","",1)</f>
        <v/>
      </c>
      <c r="D446" s="2" t="str">
        <f>IF(Table24254[[#This Row],[Journal Description (Service Description)]]="","",VLOOKUP(Table24254[[#This Row],[Journal Description (Service Description)]],'Lookup Values'!$A:$B,2,FALSE))</f>
        <v/>
      </c>
    </row>
    <row r="447" spans="1:4" x14ac:dyDescent="0.35">
      <c r="A447" t="str">
        <f>IF(Table24254[[#This Row],[Branch Name]]="","",(_xlfn.XLOOKUP(Table24254[[#This Row],[Branch Name]],'Lookup Values'!G:G,'Lookup Values'!H:H,0)))</f>
        <v/>
      </c>
      <c r="B447" t="str">
        <f>IF(Table24254[[#This Row],[Branch Name]]="","",(_xlfn.XLOOKUP(Table24254[[#This Row],[Branch Name]],'Lookup Values'!G:G,'Lookup Values'!I:I,0)))</f>
        <v/>
      </c>
      <c r="C447" t="str">
        <f>IF(Table24254[[#This Row],[Journal Description (Service Description)]]="","",1)</f>
        <v/>
      </c>
      <c r="D447" s="2" t="str">
        <f>IF(Table24254[[#This Row],[Journal Description (Service Description)]]="","",VLOOKUP(Table24254[[#This Row],[Journal Description (Service Description)]],'Lookup Values'!$A:$B,2,FALSE))</f>
        <v/>
      </c>
    </row>
    <row r="448" spans="1:4" x14ac:dyDescent="0.35">
      <c r="A448" t="str">
        <f>IF(Table24254[[#This Row],[Branch Name]]="","",(_xlfn.XLOOKUP(Table24254[[#This Row],[Branch Name]],'Lookup Values'!G:G,'Lookup Values'!H:H,0)))</f>
        <v/>
      </c>
      <c r="B448" t="str">
        <f>IF(Table24254[[#This Row],[Branch Name]]="","",(_xlfn.XLOOKUP(Table24254[[#This Row],[Branch Name]],'Lookup Values'!G:G,'Lookup Values'!I:I,0)))</f>
        <v/>
      </c>
      <c r="C448" t="str">
        <f>IF(Table24254[[#This Row],[Journal Description (Service Description)]]="","",1)</f>
        <v/>
      </c>
      <c r="D448" s="2" t="str">
        <f>IF(Table24254[[#This Row],[Journal Description (Service Description)]]="","",VLOOKUP(Table24254[[#This Row],[Journal Description (Service Description)]],'Lookup Values'!$A:$B,2,FALSE))</f>
        <v/>
      </c>
    </row>
    <row r="449" spans="1:4" x14ac:dyDescent="0.35">
      <c r="A449" t="str">
        <f>IF(Table24254[[#This Row],[Branch Name]]="","",(_xlfn.XLOOKUP(Table24254[[#This Row],[Branch Name]],'Lookup Values'!G:G,'Lookup Values'!H:H,0)))</f>
        <v/>
      </c>
      <c r="B449" t="str">
        <f>IF(Table24254[[#This Row],[Branch Name]]="","",(_xlfn.XLOOKUP(Table24254[[#This Row],[Branch Name]],'Lookup Values'!G:G,'Lookup Values'!I:I,0)))</f>
        <v/>
      </c>
      <c r="C449" t="str">
        <f>IF(Table24254[[#This Row],[Journal Description (Service Description)]]="","",1)</f>
        <v/>
      </c>
      <c r="D449" s="2" t="str">
        <f>IF(Table24254[[#This Row],[Journal Description (Service Description)]]="","",VLOOKUP(Table24254[[#This Row],[Journal Description (Service Description)]],'Lookup Values'!$A:$B,2,FALSE))</f>
        <v/>
      </c>
    </row>
    <row r="450" spans="1:4" x14ac:dyDescent="0.35">
      <c r="A450" t="str">
        <f>IF(Table24254[[#This Row],[Branch Name]]="","",(_xlfn.XLOOKUP(Table24254[[#This Row],[Branch Name]],'Lookup Values'!G:G,'Lookup Values'!H:H,0)))</f>
        <v/>
      </c>
      <c r="B450" t="str">
        <f>IF(Table24254[[#This Row],[Branch Name]]="","",(_xlfn.XLOOKUP(Table24254[[#This Row],[Branch Name]],'Lookup Values'!G:G,'Lookup Values'!I:I,0)))</f>
        <v/>
      </c>
      <c r="C450" t="str">
        <f>IF(Table24254[[#This Row],[Journal Description (Service Description)]]="","",1)</f>
        <v/>
      </c>
      <c r="D450" s="2" t="str">
        <f>IF(Table24254[[#This Row],[Journal Description (Service Description)]]="","",VLOOKUP(Table24254[[#This Row],[Journal Description (Service Description)]],'Lookup Values'!$A:$B,2,FALSE))</f>
        <v/>
      </c>
    </row>
    <row r="451" spans="1:4" x14ac:dyDescent="0.35">
      <c r="A451" t="str">
        <f>IF(Table24254[[#This Row],[Branch Name]]="","",(_xlfn.XLOOKUP(Table24254[[#This Row],[Branch Name]],'Lookup Values'!G:G,'Lookup Values'!H:H,0)))</f>
        <v/>
      </c>
      <c r="B451" t="str">
        <f>IF(Table24254[[#This Row],[Branch Name]]="","",(_xlfn.XLOOKUP(Table24254[[#This Row],[Branch Name]],'Lookup Values'!G:G,'Lookup Values'!I:I,0)))</f>
        <v/>
      </c>
      <c r="C451" t="str">
        <f>IF(Table24254[[#This Row],[Journal Description (Service Description)]]="","",1)</f>
        <v/>
      </c>
      <c r="D451" s="2" t="str">
        <f>IF(Table24254[[#This Row],[Journal Description (Service Description)]]="","",VLOOKUP(Table24254[[#This Row],[Journal Description (Service Description)]],'Lookup Values'!$A:$B,2,FALSE))</f>
        <v/>
      </c>
    </row>
    <row r="452" spans="1:4" x14ac:dyDescent="0.35">
      <c r="A452" t="str">
        <f>IF(Table24254[[#This Row],[Branch Name]]="","",(_xlfn.XLOOKUP(Table24254[[#This Row],[Branch Name]],'Lookup Values'!G:G,'Lookup Values'!H:H,0)))</f>
        <v/>
      </c>
      <c r="B452" t="str">
        <f>IF(Table24254[[#This Row],[Branch Name]]="","",(_xlfn.XLOOKUP(Table24254[[#This Row],[Branch Name]],'Lookup Values'!G:G,'Lookup Values'!I:I,0)))</f>
        <v/>
      </c>
      <c r="C452" t="str">
        <f>IF(Table24254[[#This Row],[Journal Description (Service Description)]]="","",1)</f>
        <v/>
      </c>
      <c r="D452" s="2" t="str">
        <f>IF(Table24254[[#This Row],[Journal Description (Service Description)]]="","",VLOOKUP(Table24254[[#This Row],[Journal Description (Service Description)]],'Lookup Values'!$A:$B,2,FALSE))</f>
        <v/>
      </c>
    </row>
    <row r="453" spans="1:4" x14ac:dyDescent="0.35">
      <c r="A453" t="str">
        <f>IF(Table24254[[#This Row],[Branch Name]]="","",(_xlfn.XLOOKUP(Table24254[[#This Row],[Branch Name]],'Lookup Values'!G:G,'Lookup Values'!H:H,0)))</f>
        <v/>
      </c>
      <c r="B453" t="str">
        <f>IF(Table24254[[#This Row],[Branch Name]]="","",(_xlfn.XLOOKUP(Table24254[[#This Row],[Branch Name]],'Lookup Values'!G:G,'Lookup Values'!I:I,0)))</f>
        <v/>
      </c>
      <c r="C453" t="str">
        <f>IF(Table24254[[#This Row],[Journal Description (Service Description)]]="","",1)</f>
        <v/>
      </c>
      <c r="D453" s="2" t="str">
        <f>IF(Table24254[[#This Row],[Journal Description (Service Description)]]="","",VLOOKUP(Table24254[[#This Row],[Journal Description (Service Description)]],'Lookup Values'!$A:$B,2,FALSE))</f>
        <v/>
      </c>
    </row>
    <row r="454" spans="1:4" x14ac:dyDescent="0.35">
      <c r="A454" t="str">
        <f>IF(Table24254[[#This Row],[Branch Name]]="","",(_xlfn.XLOOKUP(Table24254[[#This Row],[Branch Name]],'Lookup Values'!G:G,'Lookup Values'!H:H,0)))</f>
        <v/>
      </c>
      <c r="B454" t="str">
        <f>IF(Table24254[[#This Row],[Branch Name]]="","",(_xlfn.XLOOKUP(Table24254[[#This Row],[Branch Name]],'Lookup Values'!G:G,'Lookup Values'!I:I,0)))</f>
        <v/>
      </c>
      <c r="C454" t="str">
        <f>IF(Table24254[[#This Row],[Journal Description (Service Description)]]="","",1)</f>
        <v/>
      </c>
      <c r="D454" s="2" t="str">
        <f>IF(Table24254[[#This Row],[Journal Description (Service Description)]]="","",VLOOKUP(Table24254[[#This Row],[Journal Description (Service Description)]],'Lookup Values'!$A:$B,2,FALSE))</f>
        <v/>
      </c>
    </row>
    <row r="455" spans="1:4" x14ac:dyDescent="0.35">
      <c r="A455" t="str">
        <f>IF(Table24254[[#This Row],[Branch Name]]="","",(_xlfn.XLOOKUP(Table24254[[#This Row],[Branch Name]],'Lookup Values'!G:G,'Lookup Values'!H:H,0)))</f>
        <v/>
      </c>
      <c r="B455" t="str">
        <f>IF(Table24254[[#This Row],[Branch Name]]="","",(_xlfn.XLOOKUP(Table24254[[#This Row],[Branch Name]],'Lookup Values'!G:G,'Lookup Values'!I:I,0)))</f>
        <v/>
      </c>
      <c r="C455" t="str">
        <f>IF(Table24254[[#This Row],[Journal Description (Service Description)]]="","",1)</f>
        <v/>
      </c>
      <c r="D455" s="2" t="str">
        <f>IF(Table24254[[#This Row],[Journal Description (Service Description)]]="","",VLOOKUP(Table24254[[#This Row],[Journal Description (Service Description)]],'Lookup Values'!$A:$B,2,FALSE))</f>
        <v/>
      </c>
    </row>
    <row r="456" spans="1:4" x14ac:dyDescent="0.35">
      <c r="A456" t="str">
        <f>IF(Table24254[[#This Row],[Branch Name]]="","",(_xlfn.XLOOKUP(Table24254[[#This Row],[Branch Name]],'Lookup Values'!G:G,'Lookup Values'!H:H,0)))</f>
        <v/>
      </c>
      <c r="B456" t="str">
        <f>IF(Table24254[[#This Row],[Branch Name]]="","",(_xlfn.XLOOKUP(Table24254[[#This Row],[Branch Name]],'Lookup Values'!G:G,'Lookup Values'!I:I,0)))</f>
        <v/>
      </c>
      <c r="C456" t="str">
        <f>IF(Table24254[[#This Row],[Journal Description (Service Description)]]="","",1)</f>
        <v/>
      </c>
      <c r="D456" s="2" t="str">
        <f>IF(Table24254[[#This Row],[Journal Description (Service Description)]]="","",VLOOKUP(Table24254[[#This Row],[Journal Description (Service Description)]],'Lookup Values'!$A:$B,2,FALSE))</f>
        <v/>
      </c>
    </row>
    <row r="457" spans="1:4" x14ac:dyDescent="0.35">
      <c r="A457" t="str">
        <f>IF(Table24254[[#This Row],[Branch Name]]="","",(_xlfn.XLOOKUP(Table24254[[#This Row],[Branch Name]],'Lookup Values'!G:G,'Lookup Values'!H:H,0)))</f>
        <v/>
      </c>
      <c r="B457" t="str">
        <f>IF(Table24254[[#This Row],[Branch Name]]="","",(_xlfn.XLOOKUP(Table24254[[#This Row],[Branch Name]],'Lookup Values'!G:G,'Lookup Values'!I:I,0)))</f>
        <v/>
      </c>
      <c r="C457" t="str">
        <f>IF(Table24254[[#This Row],[Journal Description (Service Description)]]="","",1)</f>
        <v/>
      </c>
      <c r="D457" s="2" t="str">
        <f>IF(Table24254[[#This Row],[Journal Description (Service Description)]]="","",VLOOKUP(Table24254[[#This Row],[Journal Description (Service Description)]],'Lookup Values'!$A:$B,2,FALSE))</f>
        <v/>
      </c>
    </row>
    <row r="458" spans="1:4" x14ac:dyDescent="0.35">
      <c r="A458" t="str">
        <f>IF(Table24254[[#This Row],[Branch Name]]="","",(_xlfn.XLOOKUP(Table24254[[#This Row],[Branch Name]],'Lookup Values'!G:G,'Lookup Values'!H:H,0)))</f>
        <v/>
      </c>
      <c r="B458" t="str">
        <f>IF(Table24254[[#This Row],[Branch Name]]="","",(_xlfn.XLOOKUP(Table24254[[#This Row],[Branch Name]],'Lookup Values'!G:G,'Lookup Values'!I:I,0)))</f>
        <v/>
      </c>
      <c r="C458" t="str">
        <f>IF(Table24254[[#This Row],[Journal Description (Service Description)]]="","",1)</f>
        <v/>
      </c>
      <c r="D458" s="2" t="str">
        <f>IF(Table24254[[#This Row],[Journal Description (Service Description)]]="","",VLOOKUP(Table24254[[#This Row],[Journal Description (Service Description)]],'Lookup Values'!$A:$B,2,FALSE))</f>
        <v/>
      </c>
    </row>
    <row r="459" spans="1:4" x14ac:dyDescent="0.35">
      <c r="A459" t="str">
        <f>IF(Table24254[[#This Row],[Branch Name]]="","",(_xlfn.XLOOKUP(Table24254[[#This Row],[Branch Name]],'Lookup Values'!G:G,'Lookup Values'!H:H,0)))</f>
        <v/>
      </c>
      <c r="B459" t="str">
        <f>IF(Table24254[[#This Row],[Branch Name]]="","",(_xlfn.XLOOKUP(Table24254[[#This Row],[Branch Name]],'Lookup Values'!G:G,'Lookup Values'!I:I,0)))</f>
        <v/>
      </c>
      <c r="C459" t="str">
        <f>IF(Table24254[[#This Row],[Journal Description (Service Description)]]="","",1)</f>
        <v/>
      </c>
      <c r="D459" s="2" t="str">
        <f>IF(Table24254[[#This Row],[Journal Description (Service Description)]]="","",VLOOKUP(Table24254[[#This Row],[Journal Description (Service Description)]],'Lookup Values'!$A:$B,2,FALSE))</f>
        <v/>
      </c>
    </row>
    <row r="460" spans="1:4" x14ac:dyDescent="0.35">
      <c r="A460" t="str">
        <f>IF(Table24254[[#This Row],[Branch Name]]="","",(_xlfn.XLOOKUP(Table24254[[#This Row],[Branch Name]],'Lookup Values'!G:G,'Lookup Values'!H:H,0)))</f>
        <v/>
      </c>
      <c r="B460" t="str">
        <f>IF(Table24254[[#This Row],[Branch Name]]="","",(_xlfn.XLOOKUP(Table24254[[#This Row],[Branch Name]],'Lookup Values'!G:G,'Lookup Values'!I:I,0)))</f>
        <v/>
      </c>
      <c r="C460" t="str">
        <f>IF(Table24254[[#This Row],[Journal Description (Service Description)]]="","",1)</f>
        <v/>
      </c>
      <c r="D460" s="2" t="str">
        <f>IF(Table24254[[#This Row],[Journal Description (Service Description)]]="","",VLOOKUP(Table24254[[#This Row],[Journal Description (Service Description)]],'Lookup Values'!$A:$B,2,FALSE))</f>
        <v/>
      </c>
    </row>
    <row r="461" spans="1:4" x14ac:dyDescent="0.35">
      <c r="A461" t="str">
        <f>IF(Table24254[[#This Row],[Branch Name]]="","",(_xlfn.XLOOKUP(Table24254[[#This Row],[Branch Name]],'Lookup Values'!G:G,'Lookup Values'!H:H,0)))</f>
        <v/>
      </c>
      <c r="B461" t="str">
        <f>IF(Table24254[[#This Row],[Branch Name]]="","",(_xlfn.XLOOKUP(Table24254[[#This Row],[Branch Name]],'Lookup Values'!G:G,'Lookup Values'!I:I,0)))</f>
        <v/>
      </c>
      <c r="C461" t="str">
        <f>IF(Table24254[[#This Row],[Journal Description (Service Description)]]="","",1)</f>
        <v/>
      </c>
      <c r="D461" s="2" t="str">
        <f>IF(Table24254[[#This Row],[Journal Description (Service Description)]]="","",VLOOKUP(Table24254[[#This Row],[Journal Description (Service Description)]],'Lookup Values'!$A:$B,2,FALSE))</f>
        <v/>
      </c>
    </row>
    <row r="462" spans="1:4" x14ac:dyDescent="0.35">
      <c r="A462" t="str">
        <f>IF(Table24254[[#This Row],[Branch Name]]="","",(_xlfn.XLOOKUP(Table24254[[#This Row],[Branch Name]],'Lookup Values'!G:G,'Lookup Values'!H:H,0)))</f>
        <v/>
      </c>
      <c r="B462" t="str">
        <f>IF(Table24254[[#This Row],[Branch Name]]="","",(_xlfn.XLOOKUP(Table24254[[#This Row],[Branch Name]],'Lookup Values'!G:G,'Lookup Values'!I:I,0)))</f>
        <v/>
      </c>
      <c r="C462" t="str">
        <f>IF(Table24254[[#This Row],[Journal Description (Service Description)]]="","",1)</f>
        <v/>
      </c>
      <c r="D462" s="2" t="str">
        <f>IF(Table24254[[#This Row],[Journal Description (Service Description)]]="","",VLOOKUP(Table24254[[#This Row],[Journal Description (Service Description)]],'Lookup Values'!$A:$B,2,FALSE))</f>
        <v/>
      </c>
    </row>
    <row r="463" spans="1:4" x14ac:dyDescent="0.35">
      <c r="A463" t="str">
        <f>IF(Table24254[[#This Row],[Branch Name]]="","",(_xlfn.XLOOKUP(Table24254[[#This Row],[Branch Name]],'Lookup Values'!G:G,'Lookup Values'!H:H,0)))</f>
        <v/>
      </c>
      <c r="B463" t="str">
        <f>IF(Table24254[[#This Row],[Branch Name]]="","",(_xlfn.XLOOKUP(Table24254[[#This Row],[Branch Name]],'Lookup Values'!G:G,'Lookup Values'!I:I,0)))</f>
        <v/>
      </c>
      <c r="C463" t="str">
        <f>IF(Table24254[[#This Row],[Journal Description (Service Description)]]="","",1)</f>
        <v/>
      </c>
      <c r="D463" s="2" t="str">
        <f>IF(Table24254[[#This Row],[Journal Description (Service Description)]]="","",VLOOKUP(Table24254[[#This Row],[Journal Description (Service Description)]],'Lookup Values'!$A:$B,2,FALSE))</f>
        <v/>
      </c>
    </row>
    <row r="464" spans="1:4" x14ac:dyDescent="0.35">
      <c r="A464" t="str">
        <f>IF(Table24254[[#This Row],[Branch Name]]="","",(_xlfn.XLOOKUP(Table24254[[#This Row],[Branch Name]],'Lookup Values'!G:G,'Lookup Values'!H:H,0)))</f>
        <v/>
      </c>
      <c r="B464" t="str">
        <f>IF(Table24254[[#This Row],[Branch Name]]="","",(_xlfn.XLOOKUP(Table24254[[#This Row],[Branch Name]],'Lookup Values'!G:G,'Lookup Values'!I:I,0)))</f>
        <v/>
      </c>
      <c r="C464" t="str">
        <f>IF(Table24254[[#This Row],[Journal Description (Service Description)]]="","",1)</f>
        <v/>
      </c>
      <c r="D464" s="2" t="str">
        <f>IF(Table24254[[#This Row],[Journal Description (Service Description)]]="","",VLOOKUP(Table24254[[#This Row],[Journal Description (Service Description)]],'Lookup Values'!$A:$B,2,FALSE))</f>
        <v/>
      </c>
    </row>
    <row r="465" spans="1:4" x14ac:dyDescent="0.35">
      <c r="A465" t="str">
        <f>IF(Table24254[[#This Row],[Branch Name]]="","",(_xlfn.XLOOKUP(Table24254[[#This Row],[Branch Name]],'Lookup Values'!G:G,'Lookup Values'!H:H,0)))</f>
        <v/>
      </c>
      <c r="B465" t="str">
        <f>IF(Table24254[[#This Row],[Branch Name]]="","",(_xlfn.XLOOKUP(Table24254[[#This Row],[Branch Name]],'Lookup Values'!G:G,'Lookup Values'!I:I,0)))</f>
        <v/>
      </c>
      <c r="C465" t="str">
        <f>IF(Table24254[[#This Row],[Journal Description (Service Description)]]="","",1)</f>
        <v/>
      </c>
      <c r="D465" s="2" t="str">
        <f>IF(Table24254[[#This Row],[Journal Description (Service Description)]]="","",VLOOKUP(Table24254[[#This Row],[Journal Description (Service Description)]],'Lookup Values'!$A:$B,2,FALSE))</f>
        <v/>
      </c>
    </row>
    <row r="466" spans="1:4" x14ac:dyDescent="0.35">
      <c r="A466" t="str">
        <f>IF(Table24254[[#This Row],[Branch Name]]="","",(_xlfn.XLOOKUP(Table24254[[#This Row],[Branch Name]],'Lookup Values'!G:G,'Lookup Values'!H:H,0)))</f>
        <v/>
      </c>
      <c r="B466" t="str">
        <f>IF(Table24254[[#This Row],[Branch Name]]="","",(_xlfn.XLOOKUP(Table24254[[#This Row],[Branch Name]],'Lookup Values'!G:G,'Lookup Values'!I:I,0)))</f>
        <v/>
      </c>
      <c r="C466" t="str">
        <f>IF(Table24254[[#This Row],[Journal Description (Service Description)]]="","",1)</f>
        <v/>
      </c>
      <c r="D466" s="2" t="str">
        <f>IF(Table24254[[#This Row],[Journal Description (Service Description)]]="","",VLOOKUP(Table24254[[#This Row],[Journal Description (Service Description)]],'Lookup Values'!$A:$B,2,FALSE))</f>
        <v/>
      </c>
    </row>
    <row r="467" spans="1:4" x14ac:dyDescent="0.35">
      <c r="A467" t="str">
        <f>IF(Table24254[[#This Row],[Branch Name]]="","",(_xlfn.XLOOKUP(Table24254[[#This Row],[Branch Name]],'Lookup Values'!G:G,'Lookup Values'!H:H,0)))</f>
        <v/>
      </c>
      <c r="B467" t="str">
        <f>IF(Table24254[[#This Row],[Branch Name]]="","",(_xlfn.XLOOKUP(Table24254[[#This Row],[Branch Name]],'Lookup Values'!G:G,'Lookup Values'!I:I,0)))</f>
        <v/>
      </c>
      <c r="C467" t="str">
        <f>IF(Table24254[[#This Row],[Journal Description (Service Description)]]="","",1)</f>
        <v/>
      </c>
      <c r="D467" s="2" t="str">
        <f>IF(Table24254[[#This Row],[Journal Description (Service Description)]]="","",VLOOKUP(Table24254[[#This Row],[Journal Description (Service Description)]],'Lookup Values'!$A:$B,2,FALSE))</f>
        <v/>
      </c>
    </row>
    <row r="468" spans="1:4" x14ac:dyDescent="0.35">
      <c r="A468" t="str">
        <f>IF(Table24254[[#This Row],[Branch Name]]="","",(_xlfn.XLOOKUP(Table24254[[#This Row],[Branch Name]],'Lookup Values'!G:G,'Lookup Values'!H:H,0)))</f>
        <v/>
      </c>
      <c r="B468" t="str">
        <f>IF(Table24254[[#This Row],[Branch Name]]="","",(_xlfn.XLOOKUP(Table24254[[#This Row],[Branch Name]],'Lookup Values'!G:G,'Lookup Values'!I:I,0)))</f>
        <v/>
      </c>
      <c r="C468" t="str">
        <f>IF(Table24254[[#This Row],[Journal Description (Service Description)]]="","",1)</f>
        <v/>
      </c>
      <c r="D468" s="2" t="str">
        <f>IF(Table24254[[#This Row],[Journal Description (Service Description)]]="","",VLOOKUP(Table24254[[#This Row],[Journal Description (Service Description)]],'Lookup Values'!$A:$B,2,FALSE))</f>
        <v/>
      </c>
    </row>
    <row r="469" spans="1:4" x14ac:dyDescent="0.35">
      <c r="A469" t="str">
        <f>IF(Table24254[[#This Row],[Branch Name]]="","",(_xlfn.XLOOKUP(Table24254[[#This Row],[Branch Name]],'Lookup Values'!G:G,'Lookup Values'!H:H,0)))</f>
        <v/>
      </c>
      <c r="B469" t="str">
        <f>IF(Table24254[[#This Row],[Branch Name]]="","",(_xlfn.XLOOKUP(Table24254[[#This Row],[Branch Name]],'Lookup Values'!G:G,'Lookup Values'!I:I,0)))</f>
        <v/>
      </c>
      <c r="C469" t="str">
        <f>IF(Table24254[[#This Row],[Journal Description (Service Description)]]="","",1)</f>
        <v/>
      </c>
      <c r="D469" s="2" t="str">
        <f>IF(Table24254[[#This Row],[Journal Description (Service Description)]]="","",VLOOKUP(Table24254[[#This Row],[Journal Description (Service Description)]],'Lookup Values'!$A:$B,2,FALSE))</f>
        <v/>
      </c>
    </row>
    <row r="470" spans="1:4" x14ac:dyDescent="0.35">
      <c r="A470" t="str">
        <f>IF(Table24254[[#This Row],[Branch Name]]="","",(_xlfn.XLOOKUP(Table24254[[#This Row],[Branch Name]],'Lookup Values'!G:G,'Lookup Values'!H:H,0)))</f>
        <v/>
      </c>
      <c r="B470" t="str">
        <f>IF(Table24254[[#This Row],[Branch Name]]="","",(_xlfn.XLOOKUP(Table24254[[#This Row],[Branch Name]],'Lookup Values'!G:G,'Lookup Values'!I:I,0)))</f>
        <v/>
      </c>
      <c r="C470" t="str">
        <f>IF(Table24254[[#This Row],[Journal Description (Service Description)]]="","",1)</f>
        <v/>
      </c>
      <c r="D470" s="2" t="str">
        <f>IF(Table24254[[#This Row],[Journal Description (Service Description)]]="","",VLOOKUP(Table24254[[#This Row],[Journal Description (Service Description)]],'Lookup Values'!$A:$B,2,FALSE))</f>
        <v/>
      </c>
    </row>
    <row r="471" spans="1:4" x14ac:dyDescent="0.35">
      <c r="A471" t="str">
        <f>IF(Table24254[[#This Row],[Branch Name]]="","",(_xlfn.XLOOKUP(Table24254[[#This Row],[Branch Name]],'Lookup Values'!G:G,'Lookup Values'!H:H,0)))</f>
        <v/>
      </c>
      <c r="B471" t="str">
        <f>IF(Table24254[[#This Row],[Branch Name]]="","",(_xlfn.XLOOKUP(Table24254[[#This Row],[Branch Name]],'Lookup Values'!G:G,'Lookup Values'!I:I,0)))</f>
        <v/>
      </c>
      <c r="C471" t="str">
        <f>IF(Table24254[[#This Row],[Journal Description (Service Description)]]="","",1)</f>
        <v/>
      </c>
      <c r="D471" s="2" t="str">
        <f>IF(Table24254[[#This Row],[Journal Description (Service Description)]]="","",VLOOKUP(Table24254[[#This Row],[Journal Description (Service Description)]],'Lookup Values'!$A:$B,2,FALSE))</f>
        <v/>
      </c>
    </row>
    <row r="472" spans="1:4" x14ac:dyDescent="0.35">
      <c r="A472" t="str">
        <f>IF(Table24254[[#This Row],[Branch Name]]="","",(_xlfn.XLOOKUP(Table24254[[#This Row],[Branch Name]],'Lookup Values'!G:G,'Lookup Values'!H:H,0)))</f>
        <v/>
      </c>
      <c r="B472" t="str">
        <f>IF(Table24254[[#This Row],[Branch Name]]="","",(_xlfn.XLOOKUP(Table24254[[#This Row],[Branch Name]],'Lookup Values'!G:G,'Lookup Values'!I:I,0)))</f>
        <v/>
      </c>
      <c r="C472" t="str">
        <f>IF(Table24254[[#This Row],[Journal Description (Service Description)]]="","",1)</f>
        <v/>
      </c>
      <c r="D472" s="2" t="str">
        <f>IF(Table24254[[#This Row],[Journal Description (Service Description)]]="","",VLOOKUP(Table24254[[#This Row],[Journal Description (Service Description)]],'Lookup Values'!$A:$B,2,FALSE))</f>
        <v/>
      </c>
    </row>
    <row r="473" spans="1:4" x14ac:dyDescent="0.35">
      <c r="A473" t="str">
        <f>IF(Table24254[[#This Row],[Branch Name]]="","",(_xlfn.XLOOKUP(Table24254[[#This Row],[Branch Name]],'Lookup Values'!G:G,'Lookup Values'!H:H,0)))</f>
        <v/>
      </c>
      <c r="B473" t="str">
        <f>IF(Table24254[[#This Row],[Branch Name]]="","",(_xlfn.XLOOKUP(Table24254[[#This Row],[Branch Name]],'Lookup Values'!G:G,'Lookup Values'!I:I,0)))</f>
        <v/>
      </c>
      <c r="C473" t="str">
        <f>IF(Table24254[[#This Row],[Journal Description (Service Description)]]="","",1)</f>
        <v/>
      </c>
      <c r="D473" s="2" t="str">
        <f>IF(Table24254[[#This Row],[Journal Description (Service Description)]]="","",VLOOKUP(Table24254[[#This Row],[Journal Description (Service Description)]],'Lookup Values'!$A:$B,2,FALSE))</f>
        <v/>
      </c>
    </row>
    <row r="474" spans="1:4" x14ac:dyDescent="0.35">
      <c r="A474" t="str">
        <f>IF(Table24254[[#This Row],[Branch Name]]="","",(_xlfn.XLOOKUP(Table24254[[#This Row],[Branch Name]],'Lookup Values'!G:G,'Lookup Values'!H:H,0)))</f>
        <v/>
      </c>
      <c r="B474" t="str">
        <f>IF(Table24254[[#This Row],[Branch Name]]="","",(_xlfn.XLOOKUP(Table24254[[#This Row],[Branch Name]],'Lookup Values'!G:G,'Lookup Values'!I:I,0)))</f>
        <v/>
      </c>
      <c r="C474" t="str">
        <f>IF(Table24254[[#This Row],[Journal Description (Service Description)]]="","",1)</f>
        <v/>
      </c>
      <c r="D474" s="2" t="str">
        <f>IF(Table24254[[#This Row],[Journal Description (Service Description)]]="","",VLOOKUP(Table24254[[#This Row],[Journal Description (Service Description)]],'Lookup Values'!$A:$B,2,FALSE))</f>
        <v/>
      </c>
    </row>
    <row r="475" spans="1:4" x14ac:dyDescent="0.35">
      <c r="A475" t="str">
        <f>IF(Table24254[[#This Row],[Branch Name]]="","",(_xlfn.XLOOKUP(Table24254[[#This Row],[Branch Name]],'Lookup Values'!G:G,'Lookup Values'!H:H,0)))</f>
        <v/>
      </c>
      <c r="B475" t="str">
        <f>IF(Table24254[[#This Row],[Branch Name]]="","",(_xlfn.XLOOKUP(Table24254[[#This Row],[Branch Name]],'Lookup Values'!G:G,'Lookup Values'!I:I,0)))</f>
        <v/>
      </c>
      <c r="C475" t="str">
        <f>IF(Table24254[[#This Row],[Journal Description (Service Description)]]="","",1)</f>
        <v/>
      </c>
      <c r="D475" s="2" t="str">
        <f>IF(Table24254[[#This Row],[Journal Description (Service Description)]]="","",VLOOKUP(Table24254[[#This Row],[Journal Description (Service Description)]],'Lookup Values'!$A:$B,2,FALSE))</f>
        <v/>
      </c>
    </row>
    <row r="476" spans="1:4" x14ac:dyDescent="0.35">
      <c r="A476" t="str">
        <f>IF(Table24254[[#This Row],[Branch Name]]="","",(_xlfn.XLOOKUP(Table24254[[#This Row],[Branch Name]],'Lookup Values'!G:G,'Lookup Values'!H:H,0)))</f>
        <v/>
      </c>
      <c r="B476" t="str">
        <f>IF(Table24254[[#This Row],[Branch Name]]="","",(_xlfn.XLOOKUP(Table24254[[#This Row],[Branch Name]],'Lookup Values'!G:G,'Lookup Values'!I:I,0)))</f>
        <v/>
      </c>
      <c r="C476" t="str">
        <f>IF(Table24254[[#This Row],[Journal Description (Service Description)]]="","",1)</f>
        <v/>
      </c>
      <c r="D476" s="2" t="str">
        <f>IF(Table24254[[#This Row],[Journal Description (Service Description)]]="","",VLOOKUP(Table24254[[#This Row],[Journal Description (Service Description)]],'Lookup Values'!$A:$B,2,FALSE))</f>
        <v/>
      </c>
    </row>
    <row r="477" spans="1:4" x14ac:dyDescent="0.35">
      <c r="A477" t="str">
        <f>IF(Table24254[[#This Row],[Branch Name]]="","",(_xlfn.XLOOKUP(Table24254[[#This Row],[Branch Name]],'Lookup Values'!G:G,'Lookup Values'!H:H,0)))</f>
        <v/>
      </c>
      <c r="B477" t="str">
        <f>IF(Table24254[[#This Row],[Branch Name]]="","",(_xlfn.XLOOKUP(Table24254[[#This Row],[Branch Name]],'Lookup Values'!G:G,'Lookup Values'!I:I,0)))</f>
        <v/>
      </c>
      <c r="C477" t="str">
        <f>IF(Table24254[[#This Row],[Journal Description (Service Description)]]="","",1)</f>
        <v/>
      </c>
      <c r="D477" s="2" t="str">
        <f>IF(Table24254[[#This Row],[Journal Description (Service Description)]]="","",VLOOKUP(Table24254[[#This Row],[Journal Description (Service Description)]],'Lookup Values'!$A:$B,2,FALSE))</f>
        <v/>
      </c>
    </row>
    <row r="478" spans="1:4" x14ac:dyDescent="0.35">
      <c r="A478" t="str">
        <f>IF(Table24254[[#This Row],[Branch Name]]="","",(_xlfn.XLOOKUP(Table24254[[#This Row],[Branch Name]],'Lookup Values'!G:G,'Lookup Values'!H:H,0)))</f>
        <v/>
      </c>
      <c r="B478" t="str">
        <f>IF(Table24254[[#This Row],[Branch Name]]="","",(_xlfn.XLOOKUP(Table24254[[#This Row],[Branch Name]],'Lookup Values'!G:G,'Lookup Values'!I:I,0)))</f>
        <v/>
      </c>
      <c r="C478" t="str">
        <f>IF(Table24254[[#This Row],[Journal Description (Service Description)]]="","",1)</f>
        <v/>
      </c>
      <c r="D478" s="2" t="str">
        <f>IF(Table24254[[#This Row],[Journal Description (Service Description)]]="","",VLOOKUP(Table24254[[#This Row],[Journal Description (Service Description)]],'Lookup Values'!$A:$B,2,FALSE))</f>
        <v/>
      </c>
    </row>
    <row r="479" spans="1:4" x14ac:dyDescent="0.35">
      <c r="A479" t="str">
        <f>IF(Table24254[[#This Row],[Branch Name]]="","",(_xlfn.XLOOKUP(Table24254[[#This Row],[Branch Name]],'Lookup Values'!G:G,'Lookup Values'!H:H,0)))</f>
        <v/>
      </c>
      <c r="B479" t="str">
        <f>IF(Table24254[[#This Row],[Branch Name]]="","",(_xlfn.XLOOKUP(Table24254[[#This Row],[Branch Name]],'Lookup Values'!G:G,'Lookup Values'!I:I,0)))</f>
        <v/>
      </c>
      <c r="C479" t="str">
        <f>IF(Table24254[[#This Row],[Journal Description (Service Description)]]="","",1)</f>
        <v/>
      </c>
      <c r="D479" s="2" t="str">
        <f>IF(Table24254[[#This Row],[Journal Description (Service Description)]]="","",VLOOKUP(Table24254[[#This Row],[Journal Description (Service Description)]],'Lookup Values'!$A:$B,2,FALSE))</f>
        <v/>
      </c>
    </row>
    <row r="480" spans="1:4" x14ac:dyDescent="0.35">
      <c r="A480" t="str">
        <f>IF(Table24254[[#This Row],[Branch Name]]="","",(_xlfn.XLOOKUP(Table24254[[#This Row],[Branch Name]],'Lookup Values'!G:G,'Lookup Values'!H:H,0)))</f>
        <v/>
      </c>
      <c r="B480" t="str">
        <f>IF(Table24254[[#This Row],[Branch Name]]="","",(_xlfn.XLOOKUP(Table24254[[#This Row],[Branch Name]],'Lookup Values'!G:G,'Lookup Values'!I:I,0)))</f>
        <v/>
      </c>
      <c r="C480" t="str">
        <f>IF(Table24254[[#This Row],[Journal Description (Service Description)]]="","",1)</f>
        <v/>
      </c>
      <c r="D480" s="2" t="str">
        <f>IF(Table24254[[#This Row],[Journal Description (Service Description)]]="","",VLOOKUP(Table24254[[#This Row],[Journal Description (Service Description)]],'Lookup Values'!$A:$B,2,FALSE))</f>
        <v/>
      </c>
    </row>
    <row r="481" spans="1:4" x14ac:dyDescent="0.35">
      <c r="A481" t="str">
        <f>IF(Table24254[[#This Row],[Branch Name]]="","",(_xlfn.XLOOKUP(Table24254[[#This Row],[Branch Name]],'Lookup Values'!G:G,'Lookup Values'!H:H,0)))</f>
        <v/>
      </c>
      <c r="B481" t="str">
        <f>IF(Table24254[[#This Row],[Branch Name]]="","",(_xlfn.XLOOKUP(Table24254[[#This Row],[Branch Name]],'Lookup Values'!G:G,'Lookup Values'!I:I,0)))</f>
        <v/>
      </c>
      <c r="C481" t="str">
        <f>IF(Table24254[[#This Row],[Journal Description (Service Description)]]="","",1)</f>
        <v/>
      </c>
      <c r="D481" s="2" t="str">
        <f>IF(Table24254[[#This Row],[Journal Description (Service Description)]]="","",VLOOKUP(Table24254[[#This Row],[Journal Description (Service Description)]],'Lookup Values'!$A:$B,2,FALSE))</f>
        <v/>
      </c>
    </row>
    <row r="482" spans="1:4" x14ac:dyDescent="0.35">
      <c r="A482" t="str">
        <f>IF(Table24254[[#This Row],[Branch Name]]="","",(_xlfn.XLOOKUP(Table24254[[#This Row],[Branch Name]],'Lookup Values'!G:G,'Lookup Values'!H:H,0)))</f>
        <v/>
      </c>
      <c r="B482" t="str">
        <f>IF(Table24254[[#This Row],[Branch Name]]="","",(_xlfn.XLOOKUP(Table24254[[#This Row],[Branch Name]],'Lookup Values'!G:G,'Lookup Values'!I:I,0)))</f>
        <v/>
      </c>
      <c r="C482" t="str">
        <f>IF(Table24254[[#This Row],[Journal Description (Service Description)]]="","",1)</f>
        <v/>
      </c>
      <c r="D482" s="2" t="str">
        <f>IF(Table24254[[#This Row],[Journal Description (Service Description)]]="","",VLOOKUP(Table24254[[#This Row],[Journal Description (Service Description)]],'Lookup Values'!$A:$B,2,FALSE))</f>
        <v/>
      </c>
    </row>
    <row r="483" spans="1:4" x14ac:dyDescent="0.35">
      <c r="A483" t="str">
        <f>IF(Table24254[[#This Row],[Branch Name]]="","",(_xlfn.XLOOKUP(Table24254[[#This Row],[Branch Name]],'Lookup Values'!G:G,'Lookup Values'!H:H,0)))</f>
        <v/>
      </c>
      <c r="B483" t="str">
        <f>IF(Table24254[[#This Row],[Branch Name]]="","",(_xlfn.XLOOKUP(Table24254[[#This Row],[Branch Name]],'Lookup Values'!G:G,'Lookup Values'!I:I,0)))</f>
        <v/>
      </c>
      <c r="C483" t="str">
        <f>IF(Table24254[[#This Row],[Journal Description (Service Description)]]="","",1)</f>
        <v/>
      </c>
      <c r="D483" s="2" t="str">
        <f>IF(Table24254[[#This Row],[Journal Description (Service Description)]]="","",VLOOKUP(Table24254[[#This Row],[Journal Description (Service Description)]],'Lookup Values'!$A:$B,2,FALSE))</f>
        <v/>
      </c>
    </row>
    <row r="484" spans="1:4" x14ac:dyDescent="0.35">
      <c r="A484" t="str">
        <f>IF(Table24254[[#This Row],[Branch Name]]="","",(_xlfn.XLOOKUP(Table24254[[#This Row],[Branch Name]],'Lookup Values'!G:G,'Lookup Values'!H:H,0)))</f>
        <v/>
      </c>
      <c r="B484" t="str">
        <f>IF(Table24254[[#This Row],[Branch Name]]="","",(_xlfn.XLOOKUP(Table24254[[#This Row],[Branch Name]],'Lookup Values'!G:G,'Lookup Values'!I:I,0)))</f>
        <v/>
      </c>
      <c r="C484" t="str">
        <f>IF(Table24254[[#This Row],[Journal Description (Service Description)]]="","",1)</f>
        <v/>
      </c>
      <c r="D484" s="2" t="str">
        <f>IF(Table24254[[#This Row],[Journal Description (Service Description)]]="","",VLOOKUP(Table24254[[#This Row],[Journal Description (Service Description)]],'Lookup Values'!$A:$B,2,FALSE))</f>
        <v/>
      </c>
    </row>
    <row r="485" spans="1:4" x14ac:dyDescent="0.35">
      <c r="A485" t="str">
        <f>IF(Table24254[[#This Row],[Branch Name]]="","",(_xlfn.XLOOKUP(Table24254[[#This Row],[Branch Name]],'Lookup Values'!G:G,'Lookup Values'!H:H,0)))</f>
        <v/>
      </c>
      <c r="B485" t="str">
        <f>IF(Table24254[[#This Row],[Branch Name]]="","",(_xlfn.XLOOKUP(Table24254[[#This Row],[Branch Name]],'Lookup Values'!G:G,'Lookup Values'!I:I,0)))</f>
        <v/>
      </c>
      <c r="C485" t="str">
        <f>IF(Table24254[[#This Row],[Journal Description (Service Description)]]="","",1)</f>
        <v/>
      </c>
      <c r="D485" s="2" t="str">
        <f>IF(Table24254[[#This Row],[Journal Description (Service Description)]]="","",VLOOKUP(Table24254[[#This Row],[Journal Description (Service Description)]],'Lookup Values'!$A:$B,2,FALSE))</f>
        <v/>
      </c>
    </row>
    <row r="486" spans="1:4" x14ac:dyDescent="0.35">
      <c r="A486" t="str">
        <f>IF(Table24254[[#This Row],[Branch Name]]="","",(_xlfn.XLOOKUP(Table24254[[#This Row],[Branch Name]],'Lookup Values'!G:G,'Lookup Values'!H:H,0)))</f>
        <v/>
      </c>
      <c r="B486" t="str">
        <f>IF(Table24254[[#This Row],[Branch Name]]="","",(_xlfn.XLOOKUP(Table24254[[#This Row],[Branch Name]],'Lookup Values'!G:G,'Lookup Values'!I:I,0)))</f>
        <v/>
      </c>
      <c r="C486" t="str">
        <f>IF(Table24254[[#This Row],[Journal Description (Service Description)]]="","",1)</f>
        <v/>
      </c>
      <c r="D486" s="2" t="str">
        <f>IF(Table24254[[#This Row],[Journal Description (Service Description)]]="","",VLOOKUP(Table24254[[#This Row],[Journal Description (Service Description)]],'Lookup Values'!$A:$B,2,FALSE))</f>
        <v/>
      </c>
    </row>
    <row r="487" spans="1:4" x14ac:dyDescent="0.35">
      <c r="A487" t="str">
        <f>IF(Table24254[[#This Row],[Branch Name]]="","",(_xlfn.XLOOKUP(Table24254[[#This Row],[Branch Name]],'Lookup Values'!G:G,'Lookup Values'!H:H,0)))</f>
        <v/>
      </c>
      <c r="B487" t="str">
        <f>IF(Table24254[[#This Row],[Branch Name]]="","",(_xlfn.XLOOKUP(Table24254[[#This Row],[Branch Name]],'Lookup Values'!G:G,'Lookup Values'!I:I,0)))</f>
        <v/>
      </c>
      <c r="C487" t="str">
        <f>IF(Table24254[[#This Row],[Journal Description (Service Description)]]="","",1)</f>
        <v/>
      </c>
      <c r="D487" s="2" t="str">
        <f>IF(Table24254[[#This Row],[Journal Description (Service Description)]]="","",VLOOKUP(Table24254[[#This Row],[Journal Description (Service Description)]],'Lookup Values'!$A:$B,2,FALSE))</f>
        <v/>
      </c>
    </row>
    <row r="488" spans="1:4" x14ac:dyDescent="0.35">
      <c r="A488" t="str">
        <f>IF(Table24254[[#This Row],[Branch Name]]="","",(_xlfn.XLOOKUP(Table24254[[#This Row],[Branch Name]],'Lookup Values'!G:G,'Lookup Values'!H:H,0)))</f>
        <v/>
      </c>
      <c r="B488" t="str">
        <f>IF(Table24254[[#This Row],[Branch Name]]="","",(_xlfn.XLOOKUP(Table24254[[#This Row],[Branch Name]],'Lookup Values'!G:G,'Lookup Values'!I:I,0)))</f>
        <v/>
      </c>
      <c r="C488" t="str">
        <f>IF(Table24254[[#This Row],[Journal Description (Service Description)]]="","",1)</f>
        <v/>
      </c>
      <c r="D488" s="2" t="str">
        <f>IF(Table24254[[#This Row],[Journal Description (Service Description)]]="","",VLOOKUP(Table24254[[#This Row],[Journal Description (Service Description)]],'Lookup Values'!$A:$B,2,FALSE))</f>
        <v/>
      </c>
    </row>
    <row r="489" spans="1:4" x14ac:dyDescent="0.35">
      <c r="A489" t="str">
        <f>IF(Table24254[[#This Row],[Branch Name]]="","",(_xlfn.XLOOKUP(Table24254[[#This Row],[Branch Name]],'Lookup Values'!G:G,'Lookup Values'!H:H,0)))</f>
        <v/>
      </c>
      <c r="B489" t="str">
        <f>IF(Table24254[[#This Row],[Branch Name]]="","",(_xlfn.XLOOKUP(Table24254[[#This Row],[Branch Name]],'Lookup Values'!G:G,'Lookup Values'!I:I,0)))</f>
        <v/>
      </c>
      <c r="C489" t="str">
        <f>IF(Table24254[[#This Row],[Journal Description (Service Description)]]="","",1)</f>
        <v/>
      </c>
      <c r="D489" s="2" t="str">
        <f>IF(Table24254[[#This Row],[Journal Description (Service Description)]]="","",VLOOKUP(Table24254[[#This Row],[Journal Description (Service Description)]],'Lookup Values'!$A:$B,2,FALSE))</f>
        <v/>
      </c>
    </row>
    <row r="490" spans="1:4" x14ac:dyDescent="0.35">
      <c r="A490" t="str">
        <f>IF(Table24254[[#This Row],[Branch Name]]="","",(_xlfn.XLOOKUP(Table24254[[#This Row],[Branch Name]],'Lookup Values'!G:G,'Lookup Values'!H:H,0)))</f>
        <v/>
      </c>
      <c r="B490" t="str">
        <f>IF(Table24254[[#This Row],[Branch Name]]="","",(_xlfn.XLOOKUP(Table24254[[#This Row],[Branch Name]],'Lookup Values'!G:G,'Lookup Values'!I:I,0)))</f>
        <v/>
      </c>
      <c r="C490" t="str">
        <f>IF(Table24254[[#This Row],[Journal Description (Service Description)]]="","",1)</f>
        <v/>
      </c>
      <c r="D490" s="2" t="str">
        <f>IF(Table24254[[#This Row],[Journal Description (Service Description)]]="","",VLOOKUP(Table24254[[#This Row],[Journal Description (Service Description)]],'Lookup Values'!$A:$B,2,FALSE))</f>
        <v/>
      </c>
    </row>
    <row r="491" spans="1:4" x14ac:dyDescent="0.35">
      <c r="A491" t="str">
        <f>IF(Table24254[[#This Row],[Branch Name]]="","",(_xlfn.XLOOKUP(Table24254[[#This Row],[Branch Name]],'Lookup Values'!G:G,'Lookup Values'!H:H,0)))</f>
        <v/>
      </c>
      <c r="B491" t="str">
        <f>IF(Table24254[[#This Row],[Branch Name]]="","",(_xlfn.XLOOKUP(Table24254[[#This Row],[Branch Name]],'Lookup Values'!G:G,'Lookup Values'!I:I,0)))</f>
        <v/>
      </c>
      <c r="C491" t="str">
        <f>IF(Table24254[[#This Row],[Journal Description (Service Description)]]="","",1)</f>
        <v/>
      </c>
      <c r="D491" s="2" t="str">
        <f>IF(Table24254[[#This Row],[Journal Description (Service Description)]]="","",VLOOKUP(Table24254[[#This Row],[Journal Description (Service Description)]],'Lookup Values'!$A:$B,2,FALSE))</f>
        <v/>
      </c>
    </row>
    <row r="492" spans="1:4" x14ac:dyDescent="0.35">
      <c r="A492" t="str">
        <f>IF(Table24254[[#This Row],[Branch Name]]="","",(_xlfn.XLOOKUP(Table24254[[#This Row],[Branch Name]],'Lookup Values'!G:G,'Lookup Values'!H:H,0)))</f>
        <v/>
      </c>
      <c r="B492" t="str">
        <f>IF(Table24254[[#This Row],[Branch Name]]="","",(_xlfn.XLOOKUP(Table24254[[#This Row],[Branch Name]],'Lookup Values'!G:G,'Lookup Values'!I:I,0)))</f>
        <v/>
      </c>
      <c r="C492" t="str">
        <f>IF(Table24254[[#This Row],[Journal Description (Service Description)]]="","",1)</f>
        <v/>
      </c>
      <c r="D492" s="2" t="str">
        <f>IF(Table24254[[#This Row],[Journal Description (Service Description)]]="","",VLOOKUP(Table24254[[#This Row],[Journal Description (Service Description)]],'Lookup Values'!$A:$B,2,FALSE))</f>
        <v/>
      </c>
    </row>
    <row r="493" spans="1:4" x14ac:dyDescent="0.35">
      <c r="A493" t="str">
        <f>IF(Table24254[[#This Row],[Branch Name]]="","",(_xlfn.XLOOKUP(Table24254[[#This Row],[Branch Name]],'Lookup Values'!G:G,'Lookup Values'!H:H,0)))</f>
        <v/>
      </c>
      <c r="B493" t="str">
        <f>IF(Table24254[[#This Row],[Branch Name]]="","",(_xlfn.XLOOKUP(Table24254[[#This Row],[Branch Name]],'Lookup Values'!G:G,'Lookup Values'!I:I,0)))</f>
        <v/>
      </c>
      <c r="C493" t="str">
        <f>IF(Table24254[[#This Row],[Journal Description (Service Description)]]="","",1)</f>
        <v/>
      </c>
      <c r="D493" s="2" t="str">
        <f>IF(Table24254[[#This Row],[Journal Description (Service Description)]]="","",VLOOKUP(Table24254[[#This Row],[Journal Description (Service Description)]],'Lookup Values'!$A:$B,2,FALSE))</f>
        <v/>
      </c>
    </row>
    <row r="494" spans="1:4" x14ac:dyDescent="0.35">
      <c r="A494" t="str">
        <f>IF(Table24254[[#This Row],[Branch Name]]="","",(_xlfn.XLOOKUP(Table24254[[#This Row],[Branch Name]],'Lookup Values'!G:G,'Lookup Values'!H:H,0)))</f>
        <v/>
      </c>
      <c r="B494" t="str">
        <f>IF(Table24254[[#This Row],[Branch Name]]="","",(_xlfn.XLOOKUP(Table24254[[#This Row],[Branch Name]],'Lookup Values'!G:G,'Lookup Values'!I:I,0)))</f>
        <v/>
      </c>
      <c r="C494" t="str">
        <f>IF(Table24254[[#This Row],[Journal Description (Service Description)]]="","",1)</f>
        <v/>
      </c>
      <c r="D494" s="2" t="str">
        <f>IF(Table24254[[#This Row],[Journal Description (Service Description)]]="","",VLOOKUP(Table24254[[#This Row],[Journal Description (Service Description)]],'Lookup Values'!$A:$B,2,FALSE))</f>
        <v/>
      </c>
    </row>
    <row r="495" spans="1:4" x14ac:dyDescent="0.35">
      <c r="A495" t="str">
        <f>IF(Table24254[[#This Row],[Branch Name]]="","",(_xlfn.XLOOKUP(Table24254[[#This Row],[Branch Name]],'Lookup Values'!G:G,'Lookup Values'!H:H,0)))</f>
        <v/>
      </c>
      <c r="B495" t="str">
        <f>IF(Table24254[[#This Row],[Branch Name]]="","",(_xlfn.XLOOKUP(Table24254[[#This Row],[Branch Name]],'Lookup Values'!G:G,'Lookup Values'!I:I,0)))</f>
        <v/>
      </c>
      <c r="C495" t="str">
        <f>IF(Table24254[[#This Row],[Journal Description (Service Description)]]="","",1)</f>
        <v/>
      </c>
      <c r="D495" s="2" t="str">
        <f>IF(Table24254[[#This Row],[Journal Description (Service Description)]]="","",VLOOKUP(Table24254[[#This Row],[Journal Description (Service Description)]],'Lookup Values'!$A:$B,2,FALSE))</f>
        <v/>
      </c>
    </row>
    <row r="496" spans="1:4" x14ac:dyDescent="0.35">
      <c r="A496" t="str">
        <f>IF(Table24254[[#This Row],[Branch Name]]="","",(_xlfn.XLOOKUP(Table24254[[#This Row],[Branch Name]],'Lookup Values'!G:G,'Lookup Values'!H:H,0)))</f>
        <v/>
      </c>
      <c r="B496" t="str">
        <f>IF(Table24254[[#This Row],[Branch Name]]="","",(_xlfn.XLOOKUP(Table24254[[#This Row],[Branch Name]],'Lookup Values'!G:G,'Lookup Values'!I:I,0)))</f>
        <v/>
      </c>
      <c r="C496" t="str">
        <f>IF(Table24254[[#This Row],[Journal Description (Service Description)]]="","",1)</f>
        <v/>
      </c>
      <c r="D496" s="2" t="str">
        <f>IF(Table24254[[#This Row],[Journal Description (Service Description)]]="","",VLOOKUP(Table24254[[#This Row],[Journal Description (Service Description)]],'Lookup Values'!$A:$B,2,FALSE))</f>
        <v/>
      </c>
    </row>
    <row r="497" spans="1:4" x14ac:dyDescent="0.35">
      <c r="A497" t="str">
        <f>IF(Table24254[[#This Row],[Branch Name]]="","",(_xlfn.XLOOKUP(Table24254[[#This Row],[Branch Name]],'Lookup Values'!G:G,'Lookup Values'!H:H,0)))</f>
        <v/>
      </c>
      <c r="B497" t="str">
        <f>IF(Table24254[[#This Row],[Branch Name]]="","",(_xlfn.XLOOKUP(Table24254[[#This Row],[Branch Name]],'Lookup Values'!G:G,'Lookup Values'!I:I,0)))</f>
        <v/>
      </c>
      <c r="C497" t="str">
        <f>IF(Table24254[[#This Row],[Journal Description (Service Description)]]="","",1)</f>
        <v/>
      </c>
      <c r="D497" s="2" t="str">
        <f>IF(Table24254[[#This Row],[Journal Description (Service Description)]]="","",VLOOKUP(Table24254[[#This Row],[Journal Description (Service Description)]],'Lookup Values'!$A:$B,2,FALSE))</f>
        <v/>
      </c>
    </row>
    <row r="498" spans="1:4" x14ac:dyDescent="0.35">
      <c r="A498" t="str">
        <f>IF(Table24254[[#This Row],[Branch Name]]="","",(_xlfn.XLOOKUP(Table24254[[#This Row],[Branch Name]],'Lookup Values'!G:G,'Lookup Values'!H:H,0)))</f>
        <v/>
      </c>
      <c r="B498" t="str">
        <f>IF(Table24254[[#This Row],[Branch Name]]="","",(_xlfn.XLOOKUP(Table24254[[#This Row],[Branch Name]],'Lookup Values'!G:G,'Lookup Values'!I:I,0)))</f>
        <v/>
      </c>
      <c r="C498" t="str">
        <f>IF(Table24254[[#This Row],[Journal Description (Service Description)]]="","",1)</f>
        <v/>
      </c>
      <c r="D498" s="2" t="str">
        <f>IF(Table24254[[#This Row],[Journal Description (Service Description)]]="","",VLOOKUP(Table24254[[#This Row],[Journal Description (Service Description)]],'Lookup Values'!$A:$B,2,FALSE))</f>
        <v/>
      </c>
    </row>
    <row r="499" spans="1:4" x14ac:dyDescent="0.35">
      <c r="A499" t="str">
        <f>IF(Table24254[[#This Row],[Branch Name]]="","",(_xlfn.XLOOKUP(Table24254[[#This Row],[Branch Name]],'Lookup Values'!G:G,'Lookup Values'!H:H,0)))</f>
        <v/>
      </c>
      <c r="B499" t="str">
        <f>IF(Table24254[[#This Row],[Branch Name]]="","",(_xlfn.XLOOKUP(Table24254[[#This Row],[Branch Name]],'Lookup Values'!G:G,'Lookup Values'!I:I,0)))</f>
        <v/>
      </c>
      <c r="C499" t="str">
        <f>IF(Table24254[[#This Row],[Journal Description (Service Description)]]="","",1)</f>
        <v/>
      </c>
      <c r="D499" s="2" t="str">
        <f>IF(Table24254[[#This Row],[Journal Description (Service Description)]]="","",VLOOKUP(Table24254[[#This Row],[Journal Description (Service Description)]],'Lookup Values'!$A:$B,2,FALSE))</f>
        <v/>
      </c>
    </row>
    <row r="500" spans="1:4" x14ac:dyDescent="0.35">
      <c r="A500" t="str">
        <f>IF(Table24254[[#This Row],[Branch Name]]="","",(_xlfn.XLOOKUP(Table24254[[#This Row],[Branch Name]],'Lookup Values'!G:G,'Lookup Values'!H:H,0)))</f>
        <v/>
      </c>
      <c r="B500" t="str">
        <f>IF(Table24254[[#This Row],[Branch Name]]="","",(_xlfn.XLOOKUP(Table24254[[#This Row],[Branch Name]],'Lookup Values'!G:G,'Lookup Values'!I:I,0)))</f>
        <v/>
      </c>
      <c r="C500" t="str">
        <f>IF(Table24254[[#This Row],[Journal Description (Service Description)]]="","",1)</f>
        <v/>
      </c>
      <c r="D500" s="2" t="str">
        <f>IF(Table24254[[#This Row],[Journal Description (Service Description)]]="","",VLOOKUP(Table24254[[#This Row],[Journal Description (Service Description)]],'Lookup Values'!$A:$B,2,FALSE))</f>
        <v/>
      </c>
    </row>
    <row r="501" spans="1:4" x14ac:dyDescent="0.35">
      <c r="A501" t="str">
        <f>IF(Table24254[[#This Row],[Branch Name]]="","",(_xlfn.XLOOKUP(Table24254[[#This Row],[Branch Name]],'Lookup Values'!G:G,'Lookup Values'!H:H,0)))</f>
        <v/>
      </c>
      <c r="B501" t="str">
        <f>IF(Table24254[[#This Row],[Branch Name]]="","",(_xlfn.XLOOKUP(Table24254[[#This Row],[Branch Name]],'Lookup Values'!G:G,'Lookup Values'!I:I,0)))</f>
        <v/>
      </c>
      <c r="C501" t="str">
        <f>IF(Table24254[[#This Row],[Journal Description (Service Description)]]="","",1)</f>
        <v/>
      </c>
      <c r="D501" s="2" t="str">
        <f>IF(Table24254[[#This Row],[Journal Description (Service Description)]]="","",VLOOKUP(Table24254[[#This Row],[Journal Description (Service Description)]],'Lookup Values'!$A:$B,2,FALSE))</f>
        <v/>
      </c>
    </row>
    <row r="502" spans="1:4" x14ac:dyDescent="0.35">
      <c r="A502" t="str">
        <f>IF(Table24254[[#This Row],[Branch Name]]="","",(_xlfn.XLOOKUP(Table24254[[#This Row],[Branch Name]],'Lookup Values'!G:G,'Lookup Values'!H:H,0)))</f>
        <v/>
      </c>
      <c r="B502" t="str">
        <f>IF(Table24254[[#This Row],[Branch Name]]="","",(_xlfn.XLOOKUP(Table24254[[#This Row],[Branch Name]],'Lookup Values'!G:G,'Lookup Values'!I:I,0)))</f>
        <v/>
      </c>
      <c r="C502" t="str">
        <f>IF(Table24254[[#This Row],[Journal Description (Service Description)]]="","",1)</f>
        <v/>
      </c>
      <c r="D502" s="2" t="str">
        <f>IF(Table24254[[#This Row],[Journal Description (Service Description)]]="","",VLOOKUP(Table24254[[#This Row],[Journal Description (Service Description)]],'Lookup Values'!$A:$B,2,FALSE))</f>
        <v/>
      </c>
    </row>
    <row r="503" spans="1:4" x14ac:dyDescent="0.35">
      <c r="A503" t="str">
        <f>IF(Table24254[[#This Row],[Branch Name]]="","",(_xlfn.XLOOKUP(Table24254[[#This Row],[Branch Name]],'Lookup Values'!G:G,'Lookup Values'!H:H,0)))</f>
        <v/>
      </c>
      <c r="B503" t="str">
        <f>IF(Table24254[[#This Row],[Branch Name]]="","",(_xlfn.XLOOKUP(Table24254[[#This Row],[Branch Name]],'Lookup Values'!G:G,'Lookup Values'!I:I,0)))</f>
        <v/>
      </c>
      <c r="C503" t="str">
        <f>IF(Table24254[[#This Row],[Journal Description (Service Description)]]="","",1)</f>
        <v/>
      </c>
      <c r="D503" s="2" t="str">
        <f>IF(Table24254[[#This Row],[Journal Description (Service Description)]]="","",VLOOKUP(Table24254[[#This Row],[Journal Description (Service Description)]],'Lookup Values'!$A:$B,2,FALSE))</f>
        <v/>
      </c>
    </row>
    <row r="504" spans="1:4" x14ac:dyDescent="0.35">
      <c r="A504" t="str">
        <f>IF(Table24254[[#This Row],[Branch Name]]="","",(_xlfn.XLOOKUP(Table24254[[#This Row],[Branch Name]],'Lookup Values'!G:G,'Lookup Values'!H:H,0)))</f>
        <v/>
      </c>
      <c r="B504" t="str">
        <f>IF(Table24254[[#This Row],[Branch Name]]="","",(_xlfn.XLOOKUP(Table24254[[#This Row],[Branch Name]],'Lookup Values'!G:G,'Lookup Values'!I:I,0)))</f>
        <v/>
      </c>
      <c r="C504" t="str">
        <f>IF(Table24254[[#This Row],[Journal Description (Service Description)]]="","",1)</f>
        <v/>
      </c>
      <c r="D504" s="2" t="str">
        <f>IF(Table24254[[#This Row],[Journal Description (Service Description)]]="","",VLOOKUP(Table24254[[#This Row],[Journal Description (Service Description)]],'Lookup Values'!$A:$B,2,FALSE))</f>
        <v/>
      </c>
    </row>
    <row r="505" spans="1:4" x14ac:dyDescent="0.35">
      <c r="A505" t="str">
        <f>IF(Table24254[[#This Row],[Branch Name]]="","",(_xlfn.XLOOKUP(Table24254[[#This Row],[Branch Name]],'Lookup Values'!G:G,'Lookup Values'!H:H,0)))</f>
        <v/>
      </c>
      <c r="B505" t="str">
        <f>IF(Table24254[[#This Row],[Branch Name]]="","",(_xlfn.XLOOKUP(Table24254[[#This Row],[Branch Name]],'Lookup Values'!G:G,'Lookup Values'!I:I,0)))</f>
        <v/>
      </c>
      <c r="C505" t="str">
        <f>IF(Table24254[[#This Row],[Journal Description (Service Description)]]="","",1)</f>
        <v/>
      </c>
      <c r="D505" s="2" t="str">
        <f>IF(Table24254[[#This Row],[Journal Description (Service Description)]]="","",VLOOKUP(Table24254[[#This Row],[Journal Description (Service Description)]],'Lookup Values'!$A:$B,2,FALSE))</f>
        <v/>
      </c>
    </row>
    <row r="506" spans="1:4" x14ac:dyDescent="0.35">
      <c r="A506" t="str">
        <f>IF(Table24254[[#This Row],[Branch Name]]="","",(_xlfn.XLOOKUP(Table24254[[#This Row],[Branch Name]],'Lookup Values'!G:G,'Lookup Values'!H:H,0)))</f>
        <v/>
      </c>
      <c r="B506" t="str">
        <f>IF(Table24254[[#This Row],[Branch Name]]="","",(_xlfn.XLOOKUP(Table24254[[#This Row],[Branch Name]],'Lookup Values'!G:G,'Lookup Values'!I:I,0)))</f>
        <v/>
      </c>
      <c r="C506" t="str">
        <f>IF(Table24254[[#This Row],[Journal Description (Service Description)]]="","",1)</f>
        <v/>
      </c>
      <c r="D506" s="2" t="str">
        <f>IF(Table24254[[#This Row],[Journal Description (Service Description)]]="","",VLOOKUP(Table24254[[#This Row],[Journal Description (Service Description)]],'Lookup Values'!$A:$B,2,FALSE))</f>
        <v/>
      </c>
    </row>
    <row r="507" spans="1:4" x14ac:dyDescent="0.35">
      <c r="A507" t="str">
        <f>IF(Table24254[[#This Row],[Branch Name]]="","",(_xlfn.XLOOKUP(Table24254[[#This Row],[Branch Name]],'Lookup Values'!G:G,'Lookup Values'!H:H,0)))</f>
        <v/>
      </c>
      <c r="B507" t="str">
        <f>IF(Table24254[[#This Row],[Branch Name]]="","",(_xlfn.XLOOKUP(Table24254[[#This Row],[Branch Name]],'Lookup Values'!G:G,'Lookup Values'!I:I,0)))</f>
        <v/>
      </c>
      <c r="C507" t="str">
        <f>IF(Table24254[[#This Row],[Journal Description (Service Description)]]="","",1)</f>
        <v/>
      </c>
      <c r="D507" s="2" t="str">
        <f>IF(Table24254[[#This Row],[Journal Description (Service Description)]]="","",VLOOKUP(Table24254[[#This Row],[Journal Description (Service Description)]],'Lookup Values'!$A:$B,2,FALSE))</f>
        <v/>
      </c>
    </row>
    <row r="508" spans="1:4" x14ac:dyDescent="0.35">
      <c r="A508" t="str">
        <f>IF(Table24254[[#This Row],[Branch Name]]="","",(_xlfn.XLOOKUP(Table24254[[#This Row],[Branch Name]],'Lookup Values'!G:G,'Lookup Values'!H:H,0)))</f>
        <v/>
      </c>
      <c r="B508" t="str">
        <f>IF(Table24254[[#This Row],[Branch Name]]="","",(_xlfn.XLOOKUP(Table24254[[#This Row],[Branch Name]],'Lookup Values'!G:G,'Lookup Values'!I:I,0)))</f>
        <v/>
      </c>
      <c r="C508" t="str">
        <f>IF(Table24254[[#This Row],[Journal Description (Service Description)]]="","",1)</f>
        <v/>
      </c>
      <c r="D508" s="2" t="str">
        <f>IF(Table24254[[#This Row],[Journal Description (Service Description)]]="","",VLOOKUP(Table24254[[#This Row],[Journal Description (Service Description)]],'Lookup Values'!$A:$B,2,FALSE))</f>
        <v/>
      </c>
    </row>
    <row r="509" spans="1:4" x14ac:dyDescent="0.35">
      <c r="A509" t="str">
        <f>IF(Table24254[[#This Row],[Branch Name]]="","",(_xlfn.XLOOKUP(Table24254[[#This Row],[Branch Name]],'Lookup Values'!G:G,'Lookup Values'!H:H,0)))</f>
        <v/>
      </c>
      <c r="B509" t="str">
        <f>IF(Table24254[[#This Row],[Branch Name]]="","",(_xlfn.XLOOKUP(Table24254[[#This Row],[Branch Name]],'Lookup Values'!G:G,'Lookup Values'!I:I,0)))</f>
        <v/>
      </c>
      <c r="C509" t="str">
        <f>IF(Table24254[[#This Row],[Journal Description (Service Description)]]="","",1)</f>
        <v/>
      </c>
      <c r="D509" s="2" t="str">
        <f>IF(Table24254[[#This Row],[Journal Description (Service Description)]]="","",VLOOKUP(Table24254[[#This Row],[Journal Description (Service Description)]],'Lookup Values'!$A:$B,2,FALSE))</f>
        <v/>
      </c>
    </row>
    <row r="510" spans="1:4" x14ac:dyDescent="0.35">
      <c r="A510" t="str">
        <f>IF(Table24254[[#This Row],[Branch Name]]="","",(_xlfn.XLOOKUP(Table24254[[#This Row],[Branch Name]],'Lookup Values'!G:G,'Lookup Values'!H:H,0)))</f>
        <v/>
      </c>
      <c r="B510" t="str">
        <f>IF(Table24254[[#This Row],[Branch Name]]="","",(_xlfn.XLOOKUP(Table24254[[#This Row],[Branch Name]],'Lookup Values'!G:G,'Lookup Values'!I:I,0)))</f>
        <v/>
      </c>
      <c r="C510" t="str">
        <f>IF(Table24254[[#This Row],[Journal Description (Service Description)]]="","",1)</f>
        <v/>
      </c>
      <c r="D510" s="2" t="str">
        <f>IF(Table24254[[#This Row],[Journal Description (Service Description)]]="","",VLOOKUP(Table24254[[#This Row],[Journal Description (Service Description)]],'Lookup Values'!$A:$B,2,FALSE))</f>
        <v/>
      </c>
    </row>
    <row r="511" spans="1:4" x14ac:dyDescent="0.35">
      <c r="A511" t="str">
        <f>IF(Table24254[[#This Row],[Branch Name]]="","",(_xlfn.XLOOKUP(Table24254[[#This Row],[Branch Name]],'Lookup Values'!G:G,'Lookup Values'!H:H,0)))</f>
        <v/>
      </c>
      <c r="B511" t="str">
        <f>IF(Table24254[[#This Row],[Branch Name]]="","",(_xlfn.XLOOKUP(Table24254[[#This Row],[Branch Name]],'Lookup Values'!G:G,'Lookup Values'!I:I,0)))</f>
        <v/>
      </c>
      <c r="C511" t="str">
        <f>IF(Table24254[[#This Row],[Journal Description (Service Description)]]="","",1)</f>
        <v/>
      </c>
      <c r="D511" s="2" t="str">
        <f>IF(Table24254[[#This Row],[Journal Description (Service Description)]]="","",VLOOKUP(Table24254[[#This Row],[Journal Description (Service Description)]],'Lookup Values'!$A:$B,2,FALSE))</f>
        <v/>
      </c>
    </row>
    <row r="512" spans="1:4" x14ac:dyDescent="0.35">
      <c r="A512" t="str">
        <f>IF(Table24254[[#This Row],[Branch Name]]="","",(_xlfn.XLOOKUP(Table24254[[#This Row],[Branch Name]],'Lookup Values'!G:G,'Lookup Values'!H:H,0)))</f>
        <v/>
      </c>
      <c r="B512" t="str">
        <f>IF(Table24254[[#This Row],[Branch Name]]="","",(_xlfn.XLOOKUP(Table24254[[#This Row],[Branch Name]],'Lookup Values'!G:G,'Lookup Values'!I:I,0)))</f>
        <v/>
      </c>
      <c r="C512" t="str">
        <f>IF(Table24254[[#This Row],[Journal Description (Service Description)]]="","",1)</f>
        <v/>
      </c>
      <c r="D512" s="2" t="str">
        <f>IF(Table24254[[#This Row],[Journal Description (Service Description)]]="","",VLOOKUP(Table24254[[#This Row],[Journal Description (Service Description)]],'Lookup Values'!$A:$B,2,FALSE))</f>
        <v/>
      </c>
    </row>
    <row r="513" spans="1:4" x14ac:dyDescent="0.35">
      <c r="A513" t="str">
        <f>IF(Table24254[[#This Row],[Branch Name]]="","",(_xlfn.XLOOKUP(Table24254[[#This Row],[Branch Name]],'Lookup Values'!G:G,'Lookup Values'!H:H,0)))</f>
        <v/>
      </c>
      <c r="B513" t="str">
        <f>IF(Table24254[[#This Row],[Branch Name]]="","",(_xlfn.XLOOKUP(Table24254[[#This Row],[Branch Name]],'Lookup Values'!G:G,'Lookup Values'!I:I,0)))</f>
        <v/>
      </c>
      <c r="C513" t="str">
        <f>IF(Table24254[[#This Row],[Journal Description (Service Description)]]="","",1)</f>
        <v/>
      </c>
      <c r="D513" s="2" t="str">
        <f>IF(Table24254[[#This Row],[Journal Description (Service Description)]]="","",VLOOKUP(Table24254[[#This Row],[Journal Description (Service Description)]],'Lookup Values'!$A:$B,2,FALSE))</f>
        <v/>
      </c>
    </row>
  </sheetData>
  <protectedRanges>
    <protectedRange sqref="D9 D259:D513" name="Amount_2"/>
    <protectedRange sqref="D28:D258 D10:D23" name="Amount_1_1"/>
  </protectedRanges>
  <phoneticPr fontId="12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061A584-C7A7-422A-BB2F-B7D76B301B95}">
          <x14:formula1>
            <xm:f>'Lookup Values'!$A$2:$A$7</xm:f>
          </x14:formula1>
          <xm:sqref>F505:F513</xm:sqref>
        </x14:dataValidation>
        <x14:dataValidation type="list" allowBlank="1" showInputMessage="1" showErrorMessage="1" xr:uid="{FEB11E6B-EA5E-4114-A2F5-7BE25B234FBF}">
          <x14:formula1>
            <xm:f>'Lookup Values'!$A$2:$A$39</xm:f>
          </x14:formula1>
          <xm:sqref>F107:F504</xm:sqref>
        </x14:dataValidation>
        <x14:dataValidation type="list" allowBlank="1" showInputMessage="1" showErrorMessage="1" xr:uid="{6F362326-61B8-4DF9-92CA-AE21AFE3BB3C}">
          <x14:formula1>
            <xm:f>'Lookup Values'!$A$2:$A$9</xm:f>
          </x14:formula1>
          <xm:sqref>F28:F106 F10:F23</xm:sqref>
        </x14:dataValidation>
        <x14:dataValidation type="list" allowBlank="1" showInputMessage="1" showErrorMessage="1" xr:uid="{60322A72-9E3A-4707-8221-2D126A5768C4}">
          <x14:formula1>
            <xm:f>'Lookup Values'!$G$2:$G$35</xm:f>
          </x14:formula1>
          <xm:sqref>E28:E513 E10:E23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2D7D5-59D5-4DCC-AF88-AE3E2F5ED9F6}">
  <sheetPr codeName="Sheet10"/>
  <dimension ref="A1:I39"/>
  <sheetViews>
    <sheetView workbookViewId="0">
      <selection sqref="A1:I15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13.7265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4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9" t="s">
        <v>73</v>
      </c>
      <c r="B4" s="50" t="s">
        <v>201</v>
      </c>
      <c r="C4" s="44" t="s">
        <v>159</v>
      </c>
      <c r="D4" t="s">
        <v>160</v>
      </c>
      <c r="E4">
        <v>1</v>
      </c>
      <c r="F4" s="43">
        <v>25</v>
      </c>
      <c r="G4" s="44" t="s">
        <v>56</v>
      </c>
      <c r="H4" s="44" t="s">
        <v>36</v>
      </c>
      <c r="I4" s="46" t="s">
        <v>184</v>
      </c>
    </row>
    <row r="5" spans="1:9" x14ac:dyDescent="0.35">
      <c r="A5" s="49" t="s">
        <v>73</v>
      </c>
      <c r="B5" s="50" t="s">
        <v>201</v>
      </c>
      <c r="C5" s="44" t="s">
        <v>159</v>
      </c>
      <c r="D5" t="s">
        <v>160</v>
      </c>
      <c r="E5">
        <v>1</v>
      </c>
      <c r="F5" s="43">
        <v>54</v>
      </c>
      <c r="G5" s="34" t="s">
        <v>56</v>
      </c>
      <c r="H5" s="34" t="s">
        <v>20</v>
      </c>
      <c r="I5" s="35" t="s">
        <v>98</v>
      </c>
    </row>
    <row r="6" spans="1:9" x14ac:dyDescent="0.35">
      <c r="A6" s="49" t="s">
        <v>73</v>
      </c>
      <c r="B6" s="50" t="s">
        <v>201</v>
      </c>
      <c r="C6" s="44" t="s">
        <v>159</v>
      </c>
      <c r="D6" t="s">
        <v>160</v>
      </c>
      <c r="E6">
        <v>1</v>
      </c>
      <c r="F6" s="43">
        <v>79</v>
      </c>
      <c r="G6" s="34" t="s">
        <v>56</v>
      </c>
      <c r="H6" s="34" t="s">
        <v>69</v>
      </c>
      <c r="I6" s="35" t="s">
        <v>104</v>
      </c>
    </row>
    <row r="7" spans="1:9" x14ac:dyDescent="0.35">
      <c r="A7" s="49" t="s">
        <v>73</v>
      </c>
      <c r="B7" s="50" t="s">
        <v>201</v>
      </c>
      <c r="C7" s="44" t="s">
        <v>159</v>
      </c>
      <c r="D7" t="s">
        <v>160</v>
      </c>
      <c r="E7">
        <v>1</v>
      </c>
      <c r="F7" s="43">
        <v>40</v>
      </c>
      <c r="G7" s="34" t="s">
        <v>56</v>
      </c>
      <c r="H7" s="34" t="s">
        <v>34</v>
      </c>
      <c r="I7" s="35" t="s">
        <v>112</v>
      </c>
    </row>
    <row r="8" spans="1:9" x14ac:dyDescent="0.35">
      <c r="A8" s="49" t="s">
        <v>73</v>
      </c>
      <c r="B8" s="50" t="s">
        <v>201</v>
      </c>
      <c r="C8" s="44" t="s">
        <v>159</v>
      </c>
      <c r="D8" t="s">
        <v>160</v>
      </c>
      <c r="E8">
        <v>1</v>
      </c>
      <c r="F8" s="43">
        <v>25</v>
      </c>
      <c r="G8" s="44" t="s">
        <v>56</v>
      </c>
      <c r="H8" s="34" t="s">
        <v>36</v>
      </c>
      <c r="I8" s="35" t="s">
        <v>127</v>
      </c>
    </row>
    <row r="9" spans="1:9" x14ac:dyDescent="0.35">
      <c r="A9" s="49" t="s">
        <v>73</v>
      </c>
      <c r="B9" s="50" t="s">
        <v>201</v>
      </c>
      <c r="C9" s="44" t="s">
        <v>159</v>
      </c>
      <c r="D9" t="s">
        <v>160</v>
      </c>
      <c r="E9">
        <v>1</v>
      </c>
      <c r="F9" s="43">
        <v>79</v>
      </c>
      <c r="G9" s="34" t="s">
        <v>56</v>
      </c>
      <c r="H9" s="34" t="s">
        <v>69</v>
      </c>
      <c r="I9" s="35" t="s">
        <v>220</v>
      </c>
    </row>
    <row r="10" spans="1:9" x14ac:dyDescent="0.35">
      <c r="A10" s="49" t="s">
        <v>73</v>
      </c>
      <c r="B10" s="50" t="s">
        <v>201</v>
      </c>
      <c r="C10" s="44" t="s">
        <v>159</v>
      </c>
      <c r="D10" t="s">
        <v>160</v>
      </c>
      <c r="E10">
        <v>1</v>
      </c>
      <c r="F10" s="43">
        <v>14</v>
      </c>
      <c r="G10" s="34" t="s">
        <v>56</v>
      </c>
      <c r="H10" s="34" t="s">
        <v>35</v>
      </c>
      <c r="I10" s="35" t="s">
        <v>98</v>
      </c>
    </row>
    <row r="11" spans="1:9" x14ac:dyDescent="0.35">
      <c r="A11" s="49" t="s">
        <v>73</v>
      </c>
      <c r="B11" s="50" t="s">
        <v>201</v>
      </c>
      <c r="C11" s="44" t="s">
        <v>159</v>
      </c>
      <c r="D11" t="s">
        <v>160</v>
      </c>
      <c r="E11">
        <v>1</v>
      </c>
      <c r="F11" s="43">
        <v>71.75</v>
      </c>
      <c r="G11" s="34" t="s">
        <v>56</v>
      </c>
      <c r="H11" s="34" t="s">
        <v>33</v>
      </c>
      <c r="I11" s="35" t="s">
        <v>221</v>
      </c>
    </row>
    <row r="12" spans="1:9" x14ac:dyDescent="0.35">
      <c r="A12" s="49" t="s">
        <v>73</v>
      </c>
      <c r="B12" s="50" t="s">
        <v>201</v>
      </c>
      <c r="C12" s="44" t="s">
        <v>159</v>
      </c>
      <c r="D12" t="s">
        <v>160</v>
      </c>
      <c r="E12">
        <v>1</v>
      </c>
      <c r="F12" s="43">
        <v>71.75</v>
      </c>
      <c r="G12" s="34" t="s">
        <v>56</v>
      </c>
      <c r="H12" s="34" t="s">
        <v>33</v>
      </c>
      <c r="I12" s="35" t="s">
        <v>102</v>
      </c>
    </row>
    <row r="13" spans="1:9" x14ac:dyDescent="0.35">
      <c r="A13" s="49" t="s">
        <v>73</v>
      </c>
      <c r="B13" s="50" t="s">
        <v>201</v>
      </c>
      <c r="C13" s="44" t="s">
        <v>159</v>
      </c>
      <c r="D13" t="s">
        <v>160</v>
      </c>
      <c r="E13">
        <v>1</v>
      </c>
      <c r="F13" s="43">
        <v>71.75</v>
      </c>
      <c r="G13" s="34" t="s">
        <v>56</v>
      </c>
      <c r="H13" s="34" t="s">
        <v>33</v>
      </c>
      <c r="I13" s="35" t="s">
        <v>222</v>
      </c>
    </row>
    <row r="14" spans="1:9" x14ac:dyDescent="0.35">
      <c r="A14" s="49" t="s">
        <v>73</v>
      </c>
      <c r="B14" s="50" t="s">
        <v>201</v>
      </c>
      <c r="C14" s="44" t="s">
        <v>159</v>
      </c>
      <c r="D14" t="s">
        <v>160</v>
      </c>
      <c r="E14">
        <v>1</v>
      </c>
      <c r="F14" s="43">
        <v>71.75</v>
      </c>
      <c r="G14" s="34" t="s">
        <v>56</v>
      </c>
      <c r="H14" s="34" t="s">
        <v>33</v>
      </c>
      <c r="I14" s="35" t="s">
        <v>114</v>
      </c>
    </row>
    <row r="15" spans="1:9" x14ac:dyDescent="0.35">
      <c r="A15" s="49"/>
      <c r="B15" s="50"/>
      <c r="C15" s="44"/>
      <c r="D15" s="44"/>
      <c r="E15" s="44"/>
      <c r="F15" s="43"/>
      <c r="G15" s="34"/>
      <c r="H15" s="37"/>
      <c r="I15" s="37"/>
    </row>
    <row r="16" spans="1:9" x14ac:dyDescent="0.35">
      <c r="A16" s="49"/>
      <c r="B16" s="50"/>
      <c r="C16" s="44"/>
      <c r="D16" s="44"/>
      <c r="E16" s="44"/>
      <c r="F16" s="43"/>
      <c r="G16" s="34"/>
      <c r="H16" s="37"/>
      <c r="I16" s="37"/>
    </row>
    <row r="17" spans="1:9" x14ac:dyDescent="0.35">
      <c r="A17" s="49"/>
      <c r="B17" s="50"/>
      <c r="C17" s="44"/>
      <c r="D17" s="44"/>
      <c r="E17" s="44"/>
      <c r="F17" s="43"/>
      <c r="G17" s="34"/>
      <c r="H17" s="37"/>
      <c r="I17" s="37"/>
    </row>
    <row r="18" spans="1:9" x14ac:dyDescent="0.35">
      <c r="A18" s="49"/>
      <c r="B18" s="50"/>
      <c r="C18" s="44"/>
      <c r="D18" s="44"/>
      <c r="E18" s="44"/>
      <c r="F18" s="43"/>
      <c r="G18" s="34"/>
      <c r="H18" s="37"/>
      <c r="I18" s="37"/>
    </row>
    <row r="19" spans="1:9" x14ac:dyDescent="0.35">
      <c r="A19" s="49"/>
      <c r="B19" s="50"/>
      <c r="C19" s="44"/>
      <c r="D19" s="44"/>
      <c r="E19" s="44"/>
      <c r="F19" s="43"/>
      <c r="G19" s="34"/>
      <c r="H19" s="37"/>
      <c r="I19" s="37"/>
    </row>
    <row r="20" spans="1:9" x14ac:dyDescent="0.35">
      <c r="A20" s="49"/>
      <c r="B20" s="50"/>
      <c r="C20" s="44"/>
      <c r="D20" s="44"/>
      <c r="E20" s="44"/>
      <c r="F20" s="43"/>
      <c r="G20" s="34"/>
      <c r="H20" s="37"/>
      <c r="I20" s="37"/>
    </row>
    <row r="21" spans="1:9" x14ac:dyDescent="0.35">
      <c r="A21" s="49"/>
      <c r="B21" s="50"/>
      <c r="C21" s="44"/>
      <c r="D21" s="44"/>
      <c r="E21" s="44"/>
      <c r="F21" s="43"/>
      <c r="G21" s="34"/>
      <c r="H21" s="37"/>
      <c r="I21" s="37"/>
    </row>
    <row r="22" spans="1:9" x14ac:dyDescent="0.35">
      <c r="A22" s="49"/>
      <c r="B22" s="50"/>
      <c r="C22" s="44"/>
      <c r="D22" s="44"/>
      <c r="E22" s="44"/>
      <c r="F22" s="43"/>
      <c r="G22" s="34"/>
      <c r="H22" s="37"/>
      <c r="I22" s="37"/>
    </row>
    <row r="23" spans="1:9" x14ac:dyDescent="0.35">
      <c r="A23" s="49"/>
      <c r="B23" s="34"/>
      <c r="C23" s="44"/>
      <c r="D23" s="44"/>
      <c r="E23" s="44"/>
      <c r="F23" s="43"/>
      <c r="G23" s="34"/>
      <c r="H23" s="27"/>
      <c r="I23" s="27"/>
    </row>
    <row r="24" spans="1:9" x14ac:dyDescent="0.35">
      <c r="A24" s="49"/>
      <c r="B24" s="50"/>
      <c r="C24" s="44"/>
      <c r="D24" s="44"/>
      <c r="E24" s="44"/>
      <c r="F24" s="43"/>
      <c r="G24" s="34"/>
      <c r="H24" s="37"/>
      <c r="I24" s="37"/>
    </row>
    <row r="25" spans="1:9" x14ac:dyDescent="0.35">
      <c r="A25" s="49"/>
      <c r="B25" s="50"/>
      <c r="C25" s="44"/>
      <c r="D25" s="44"/>
      <c r="E25" s="44"/>
      <c r="F25" s="43"/>
      <c r="G25" s="34"/>
      <c r="H25" s="37"/>
      <c r="I25" s="37"/>
    </row>
    <row r="26" spans="1:9" x14ac:dyDescent="0.35">
      <c r="A26" s="49"/>
      <c r="B26" s="50"/>
      <c r="C26" s="44"/>
      <c r="D26" s="44"/>
      <c r="E26" s="44"/>
      <c r="F26" s="43"/>
      <c r="G26" s="34"/>
      <c r="H26" s="37"/>
      <c r="I26" s="37"/>
    </row>
    <row r="27" spans="1:9" x14ac:dyDescent="0.35">
      <c r="A27" s="49"/>
      <c r="B27" s="51"/>
      <c r="C27" s="44"/>
      <c r="D27" s="44"/>
      <c r="E27" s="44"/>
      <c r="F27" s="43"/>
      <c r="G27" s="34"/>
      <c r="H27" s="39"/>
      <c r="I27" s="39"/>
    </row>
    <row r="28" spans="1:9" x14ac:dyDescent="0.35">
      <c r="A28" s="49"/>
      <c r="B28" s="50"/>
      <c r="C28" s="44"/>
      <c r="D28" s="44"/>
      <c r="E28" s="44"/>
      <c r="F28" s="43"/>
      <c r="G28" s="34"/>
      <c r="H28" s="37"/>
      <c r="I28" s="37"/>
    </row>
    <row r="29" spans="1:9" x14ac:dyDescent="0.35">
      <c r="A29" s="49"/>
      <c r="B29" s="50"/>
      <c r="C29" s="44"/>
      <c r="D29" s="44"/>
      <c r="E29" s="44"/>
      <c r="F29" s="43"/>
      <c r="G29" s="34"/>
      <c r="H29" s="37"/>
      <c r="I29" s="37"/>
    </row>
    <row r="30" spans="1:9" x14ac:dyDescent="0.35">
      <c r="A30" s="49"/>
      <c r="B30" s="50"/>
      <c r="C30" s="44"/>
      <c r="D30" s="44"/>
      <c r="E30" s="44"/>
      <c r="F30" s="43"/>
      <c r="G30" s="34"/>
      <c r="H30" s="27"/>
      <c r="I30" s="27"/>
    </row>
    <row r="31" spans="1:9" x14ac:dyDescent="0.35">
      <c r="A31" s="49"/>
      <c r="B31" s="50"/>
      <c r="C31" s="44"/>
      <c r="D31" s="44"/>
      <c r="E31" s="44"/>
      <c r="F31" s="43"/>
      <c r="G31" s="34"/>
      <c r="H31" s="37"/>
      <c r="I31" s="37"/>
    </row>
    <row r="32" spans="1:9" x14ac:dyDescent="0.35">
      <c r="A32" s="49"/>
      <c r="B32" s="50"/>
      <c r="C32" s="44"/>
      <c r="D32" s="44"/>
      <c r="E32" s="44"/>
      <c r="F32" s="43"/>
      <c r="G32" s="34"/>
      <c r="H32" s="37"/>
      <c r="I32" s="37"/>
    </row>
    <row r="33" spans="1:9" x14ac:dyDescent="0.35">
      <c r="A33" s="49"/>
      <c r="B33" s="50"/>
      <c r="C33" s="44"/>
      <c r="D33" s="44"/>
      <c r="E33" s="44"/>
      <c r="F33" s="43"/>
      <c r="G33" s="34"/>
      <c r="H33" s="37"/>
      <c r="I33" s="37"/>
    </row>
    <row r="34" spans="1:9" x14ac:dyDescent="0.35">
      <c r="A34" s="49"/>
      <c r="B34" s="50"/>
      <c r="C34" s="44"/>
      <c r="D34" s="44"/>
      <c r="E34" s="44"/>
      <c r="F34" s="43"/>
      <c r="G34" s="34"/>
      <c r="H34" s="37"/>
      <c r="I34" s="37"/>
    </row>
    <row r="35" spans="1:9" x14ac:dyDescent="0.35">
      <c r="A35" s="49"/>
      <c r="B35" s="50"/>
      <c r="C35" s="44"/>
      <c r="D35" s="44"/>
      <c r="E35" s="44"/>
      <c r="F35" s="43"/>
      <c r="G35" s="34"/>
      <c r="H35" s="37"/>
      <c r="I35" s="37"/>
    </row>
    <row r="36" spans="1:9" x14ac:dyDescent="0.35">
      <c r="A36" s="49"/>
      <c r="B36" s="50"/>
      <c r="C36" s="44"/>
      <c r="D36" s="44"/>
      <c r="E36" s="44"/>
      <c r="F36" s="43"/>
      <c r="G36" s="34"/>
      <c r="H36" s="27"/>
      <c r="I36" s="27"/>
    </row>
    <row r="37" spans="1:9" x14ac:dyDescent="0.35">
      <c r="A37" s="49"/>
      <c r="B37" s="50"/>
      <c r="C37" s="44"/>
      <c r="D37" s="44"/>
      <c r="E37" s="44"/>
      <c r="F37" s="43"/>
      <c r="G37" s="34"/>
      <c r="H37" s="27"/>
      <c r="I37" s="27"/>
    </row>
    <row r="38" spans="1:9" x14ac:dyDescent="0.35">
      <c r="A38" s="49"/>
      <c r="B38" s="44"/>
      <c r="C38" s="44"/>
      <c r="D38" s="44"/>
      <c r="E38" s="44"/>
      <c r="F38" s="43"/>
      <c r="G38" s="34"/>
      <c r="H38" s="27"/>
      <c r="I38" s="27"/>
    </row>
    <row r="39" spans="1:9" x14ac:dyDescent="0.35">
      <c r="A39" s="49"/>
      <c r="B39" s="44"/>
      <c r="C39" s="44"/>
      <c r="D39" s="44"/>
      <c r="E39" s="44"/>
      <c r="F39" s="43"/>
      <c r="G39" s="34"/>
      <c r="H39" s="27"/>
      <c r="I39" s="27"/>
    </row>
  </sheetData>
  <protectedRanges>
    <protectedRange sqref="F4:F39" name="Amount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A86D60F-729C-4439-860B-63EA3FB5857B}">
          <x14:formula1>
            <xm:f>'Lookup Values'!$A$2:$A$9</xm:f>
          </x14:formula1>
          <xm:sqref>H38:H39 H4:H35</xm:sqref>
        </x14:dataValidation>
        <x14:dataValidation type="list" allowBlank="1" showInputMessage="1" showErrorMessage="1" xr:uid="{3A1C564E-4366-4922-ACEC-FE99F97E5DAD}">
          <x14:formula1>
            <xm:f>'Lookup Values'!$A$2:$A$39</xm:f>
          </x14:formula1>
          <xm:sqref>H36:H37</xm:sqref>
        </x14:dataValidation>
        <x14:dataValidation type="list" allowBlank="1" showInputMessage="1" showErrorMessage="1" xr:uid="{ECCB1765-AF7A-4688-BF46-DF728EF80454}">
          <x14:formula1>
            <xm:f>'Lookup Values'!$G$2:$G$35</xm:f>
          </x14:formula1>
          <xm:sqref>G4:G14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B5992-329F-4E13-A39C-1224955EE6AF}">
  <sheetPr codeName="Sheet11"/>
  <dimension ref="A1:G533"/>
  <sheetViews>
    <sheetView workbookViewId="0">
      <selection activeCell="B10" sqref="B10"/>
    </sheetView>
  </sheetViews>
  <sheetFormatPr defaultColWidth="9.1796875" defaultRowHeight="14.5" x14ac:dyDescent="0.35"/>
  <cols>
    <col min="1" max="1" width="14.1796875" customWidth="1"/>
    <col min="2" max="2" width="18.54296875" bestFit="1" customWidth="1"/>
    <col min="3" max="3" width="16.7265625" hidden="1" customWidth="1"/>
    <col min="4" max="4" width="19.54296875" style="2" customWidth="1"/>
    <col min="5" max="5" width="46.26953125" customWidth="1"/>
    <col min="6" max="6" width="47.1796875" bestFit="1" customWidth="1"/>
    <col min="7" max="7" width="3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x14ac:dyDescent="0.35">
      <c r="A3" s="6" t="s">
        <v>28</v>
      </c>
      <c r="B3" s="7" t="s">
        <v>239</v>
      </c>
    </row>
    <row r="4" spans="1:7" x14ac:dyDescent="0.35">
      <c r="A4" s="8" t="s">
        <v>29</v>
      </c>
      <c r="B4" s="9">
        <v>44469</v>
      </c>
      <c r="C4" s="5"/>
    </row>
    <row r="5" spans="1:7" ht="15" thickBot="1" x14ac:dyDescent="0.4">
      <c r="A5" s="10" t="s">
        <v>30</v>
      </c>
      <c r="B5" s="11" t="s">
        <v>213</v>
      </c>
      <c r="C5" s="15"/>
    </row>
    <row r="8" spans="1:7" x14ac:dyDescent="0.3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35">
      <c r="A9" s="1" t="s">
        <v>6</v>
      </c>
      <c r="B9" s="12" t="s">
        <v>7</v>
      </c>
      <c r="C9" s="12" t="e">
        <f>IF([3]!Table2427[[#This Row],[Journal Description (Service Description)]]="","",1)</f>
        <v>#REF!</v>
      </c>
      <c r="D9" s="3">
        <f>-SUM(D10:D136)</f>
        <v>-555.75</v>
      </c>
      <c r="E9" s="1" t="s">
        <v>12</v>
      </c>
      <c r="F9" s="1" t="s">
        <v>13</v>
      </c>
      <c r="G9" s="13" t="str">
        <f>TEXT(B4,"mmm-yy")</f>
        <v>Sep-21</v>
      </c>
    </row>
    <row r="10" spans="1:7" x14ac:dyDescent="0.35">
      <c r="A10" s="1" t="s">
        <v>6</v>
      </c>
      <c r="B10" s="52" t="s">
        <v>153</v>
      </c>
      <c r="C10" s="27">
        <v>1</v>
      </c>
      <c r="D10" s="2">
        <v>25</v>
      </c>
      <c r="E10" s="27" t="s">
        <v>50</v>
      </c>
      <c r="F10" s="27" t="s">
        <v>36</v>
      </c>
      <c r="G10" s="27" t="s">
        <v>223</v>
      </c>
    </row>
    <row r="11" spans="1:7" x14ac:dyDescent="0.35">
      <c r="A11" s="1" t="s">
        <v>6</v>
      </c>
      <c r="B11" s="52" t="s">
        <v>153</v>
      </c>
      <c r="C11" s="27">
        <v>1</v>
      </c>
      <c r="D11" s="2">
        <v>132</v>
      </c>
      <c r="E11" s="27" t="s">
        <v>50</v>
      </c>
      <c r="F11" s="27" t="s">
        <v>90</v>
      </c>
      <c r="G11" s="27" t="s">
        <v>223</v>
      </c>
    </row>
    <row r="12" spans="1:7" x14ac:dyDescent="0.35">
      <c r="A12" s="1" t="s">
        <v>6</v>
      </c>
      <c r="B12" s="52" t="s">
        <v>153</v>
      </c>
      <c r="C12" s="27">
        <v>1</v>
      </c>
      <c r="D12" s="2">
        <v>40</v>
      </c>
      <c r="E12" s="27" t="s">
        <v>50</v>
      </c>
      <c r="F12" s="27" t="s">
        <v>34</v>
      </c>
      <c r="G12" s="27" t="s">
        <v>223</v>
      </c>
    </row>
    <row r="13" spans="1:7" x14ac:dyDescent="0.35">
      <c r="A13" s="1" t="s">
        <v>6</v>
      </c>
      <c r="B13" s="52" t="s">
        <v>240</v>
      </c>
      <c r="C13" s="27">
        <v>1</v>
      </c>
      <c r="D13" s="2">
        <v>71.75</v>
      </c>
      <c r="E13" s="27" t="s">
        <v>50</v>
      </c>
      <c r="F13" s="27" t="s">
        <v>33</v>
      </c>
      <c r="G13" s="27" t="s">
        <v>231</v>
      </c>
    </row>
    <row r="14" spans="1:7" x14ac:dyDescent="0.35">
      <c r="A14" s="1" t="s">
        <v>6</v>
      </c>
      <c r="B14" s="52" t="s">
        <v>219</v>
      </c>
      <c r="C14" s="27">
        <v>1</v>
      </c>
      <c r="D14" s="2">
        <v>71.75</v>
      </c>
      <c r="E14" s="27" t="s">
        <v>50</v>
      </c>
      <c r="F14" s="27" t="s">
        <v>33</v>
      </c>
      <c r="G14" s="27" t="s">
        <v>232</v>
      </c>
    </row>
    <row r="15" spans="1:7" x14ac:dyDescent="0.35">
      <c r="A15" s="1" t="s">
        <v>6</v>
      </c>
      <c r="B15" s="52" t="s">
        <v>143</v>
      </c>
      <c r="C15" s="27">
        <v>1</v>
      </c>
      <c r="D15" s="2">
        <v>71.75</v>
      </c>
      <c r="E15" s="27" t="s">
        <v>50</v>
      </c>
      <c r="F15" s="27" t="s">
        <v>33</v>
      </c>
      <c r="G15" s="27" t="s">
        <v>233</v>
      </c>
    </row>
    <row r="16" spans="1:7" x14ac:dyDescent="0.35">
      <c r="A16" s="1" t="s">
        <v>6</v>
      </c>
      <c r="B16" s="52" t="s">
        <v>219</v>
      </c>
      <c r="C16" s="27">
        <v>1</v>
      </c>
      <c r="D16" s="2">
        <v>71.75</v>
      </c>
      <c r="E16" s="27" t="s">
        <v>50</v>
      </c>
      <c r="F16" s="27" t="s">
        <v>33</v>
      </c>
      <c r="G16" s="27" t="s">
        <v>223</v>
      </c>
    </row>
    <row r="17" spans="1:7" x14ac:dyDescent="0.35">
      <c r="A17" s="1" t="s">
        <v>6</v>
      </c>
      <c r="B17" s="52" t="s">
        <v>219</v>
      </c>
      <c r="C17" s="27">
        <v>1</v>
      </c>
      <c r="D17" s="2">
        <v>71.75</v>
      </c>
      <c r="E17" s="27" t="s">
        <v>50</v>
      </c>
      <c r="F17" s="27" t="s">
        <v>33</v>
      </c>
      <c r="G17" s="27" t="s">
        <v>235</v>
      </c>
    </row>
    <row r="18" spans="1:7" x14ac:dyDescent="0.35">
      <c r="B18" t="str">
        <f>IF(Table2427[[#This Row],[Branch Name]]="","",(_xlfn.XLOOKUP(Table2427[[#This Row],[Branch Name]],'Lookup Values'!G:G,'Lookup Values'!I:I,0)))</f>
        <v/>
      </c>
      <c r="C18" s="27"/>
      <c r="D18" s="28"/>
      <c r="E18" s="27"/>
      <c r="F18" s="27"/>
      <c r="G18" s="27"/>
    </row>
    <row r="19" spans="1:7" x14ac:dyDescent="0.35">
      <c r="B19" t="str">
        <f>IF(Table2427[[#This Row],[Branch Name]]="","",(_xlfn.XLOOKUP(Table2427[[#This Row],[Branch Name]],'Lookup Values'!G:G,'Lookup Values'!I:I,0)))</f>
        <v/>
      </c>
      <c r="C19" s="27"/>
      <c r="D19" s="28"/>
      <c r="E19" s="27"/>
      <c r="F19" s="27"/>
      <c r="G19" s="27"/>
    </row>
    <row r="20" spans="1:7" x14ac:dyDescent="0.35">
      <c r="B20" t="str">
        <f>IF(Table2427[[#This Row],[Branch Name]]="","",(_xlfn.XLOOKUP(Table2427[[#This Row],[Branch Name]],'Lookup Values'!G:G,'Lookup Values'!I:I,0)))</f>
        <v/>
      </c>
      <c r="C20" s="27"/>
      <c r="D20" s="28"/>
      <c r="E20" s="27"/>
      <c r="F20" s="27"/>
      <c r="G20" s="27"/>
    </row>
    <row r="21" spans="1:7" x14ac:dyDescent="0.35">
      <c r="B21" t="str">
        <f>IF(Table2427[[#This Row],[Branch Name]]="","",(_xlfn.XLOOKUP(Table2427[[#This Row],[Branch Name]],'Lookup Values'!G:G,'Lookup Values'!I:I,0)))</f>
        <v/>
      </c>
      <c r="C21" s="27"/>
      <c r="D21" s="28"/>
      <c r="E21" s="27"/>
      <c r="F21" s="27"/>
      <c r="G21" s="27"/>
    </row>
    <row r="22" spans="1:7" x14ac:dyDescent="0.35">
      <c r="B22" t="str">
        <f>IF(Table2427[[#This Row],[Branch Name]]="","",(_xlfn.XLOOKUP(Table2427[[#This Row],[Branch Name]],'Lookup Values'!G:G,'Lookup Values'!I:I,0)))</f>
        <v/>
      </c>
      <c r="C22" s="27"/>
      <c r="D22" s="28"/>
      <c r="E22" s="27"/>
      <c r="F22" s="27"/>
      <c r="G22" s="27"/>
    </row>
    <row r="23" spans="1:7" x14ac:dyDescent="0.35">
      <c r="B23" t="str">
        <f>IF(Table2427[[#This Row],[Branch Name]]="","",(_xlfn.XLOOKUP(Table2427[[#This Row],[Branch Name]],'Lookup Values'!G:G,'Lookup Values'!I:I,0)))</f>
        <v/>
      </c>
      <c r="C23" s="27"/>
      <c r="D23" s="28"/>
      <c r="E23" s="27"/>
      <c r="F23" s="27"/>
      <c r="G23" s="27"/>
    </row>
    <row r="24" spans="1:7" x14ac:dyDescent="0.35">
      <c r="B24" t="str">
        <f>IF(Table2427[[#This Row],[Branch Name]]="","",(_xlfn.XLOOKUP(Table2427[[#This Row],[Branch Name]],'Lookup Values'!G:G,'Lookup Values'!I:I,0)))</f>
        <v/>
      </c>
      <c r="C24" s="27"/>
      <c r="D24" s="28"/>
      <c r="E24" s="27"/>
      <c r="F24" s="27"/>
      <c r="G24" s="27"/>
    </row>
    <row r="25" spans="1:7" x14ac:dyDescent="0.35">
      <c r="B25" t="str">
        <f>IF(Table2427[[#This Row],[Branch Name]]="","",(_xlfn.XLOOKUP(Table2427[[#This Row],[Branch Name]],'Lookup Values'!G:G,'Lookup Values'!I:I,0)))</f>
        <v/>
      </c>
      <c r="C25" s="27"/>
      <c r="D25" s="28"/>
      <c r="E25" s="27"/>
      <c r="F25" s="27"/>
      <c r="G25" s="27"/>
    </row>
    <row r="26" spans="1:7" x14ac:dyDescent="0.35">
      <c r="B26" t="str">
        <f>IF(Table2427[[#This Row],[Branch Name]]="","",(_xlfn.XLOOKUP(Table2427[[#This Row],[Branch Name]],'Lookup Values'!G:G,'Lookup Values'!I:I,0)))</f>
        <v/>
      </c>
      <c r="C26" s="27"/>
      <c r="D26" s="28"/>
      <c r="E26" s="27"/>
      <c r="F26" s="27"/>
      <c r="G26" s="27"/>
    </row>
    <row r="27" spans="1:7" x14ac:dyDescent="0.35">
      <c r="B27" t="str">
        <f>IF(Table2427[[#This Row],[Branch Name]]="","",(_xlfn.XLOOKUP(Table2427[[#This Row],[Branch Name]],'Lookup Values'!G:G,'Lookup Values'!I:I,0)))</f>
        <v/>
      </c>
      <c r="C27" s="27"/>
      <c r="D27" s="28"/>
      <c r="E27" s="27"/>
      <c r="F27" s="27"/>
      <c r="G27" s="27"/>
    </row>
    <row r="28" spans="1:7" x14ac:dyDescent="0.35">
      <c r="B28" t="str">
        <f>IF(Table2427[[#This Row],[Branch Name]]="","",(_xlfn.XLOOKUP(Table2427[[#This Row],[Branch Name]],'Lookup Values'!G:G,'Lookup Values'!I:I,0)))</f>
        <v/>
      </c>
      <c r="C28" s="27"/>
      <c r="D28" s="28"/>
      <c r="E28" s="27"/>
      <c r="F28" s="27"/>
      <c r="G28" s="27"/>
    </row>
    <row r="29" spans="1:7" x14ac:dyDescent="0.35">
      <c r="B29" t="str">
        <f>IF(Table2427[[#This Row],[Branch Name]]="","",(_xlfn.XLOOKUP(Table2427[[#This Row],[Branch Name]],'Lookup Values'!G:G,'Lookup Values'!I:I,0)))</f>
        <v/>
      </c>
      <c r="C29" s="27"/>
      <c r="D29" s="28"/>
      <c r="E29" s="27"/>
      <c r="F29" s="27"/>
      <c r="G29" s="27"/>
    </row>
    <row r="30" spans="1:7" x14ac:dyDescent="0.35">
      <c r="B30" t="str">
        <f>IF(Table2427[[#This Row],[Branch Name]]="","",(_xlfn.XLOOKUP(Table2427[[#This Row],[Branch Name]],'Lookup Values'!G:G,'Lookup Values'!I:I,0)))</f>
        <v/>
      </c>
      <c r="C30" s="27"/>
      <c r="D30" s="28"/>
      <c r="E30" s="27"/>
      <c r="F30" s="27"/>
      <c r="G30" s="27"/>
    </row>
    <row r="31" spans="1:7" x14ac:dyDescent="0.35">
      <c r="B31" t="str">
        <f>IF(Table2427[[#This Row],[Branch Name]]="","",(_xlfn.XLOOKUP(Table2427[[#This Row],[Branch Name]],'Lookup Values'!G:G,'Lookup Values'!I:I,0)))</f>
        <v/>
      </c>
      <c r="C31" s="27"/>
      <c r="D31" s="28"/>
      <c r="E31" s="27"/>
      <c r="F31" s="27"/>
      <c r="G31" s="27"/>
    </row>
    <row r="32" spans="1:7" x14ac:dyDescent="0.35">
      <c r="B32" t="str">
        <f>IF(Table2427[[#This Row],[Branch Name]]="","",(_xlfn.XLOOKUP(Table2427[[#This Row],[Branch Name]],'Lookup Values'!G:G,'Lookup Values'!I:I,0)))</f>
        <v/>
      </c>
      <c r="C32" s="27"/>
      <c r="D32" s="28"/>
      <c r="E32" s="27"/>
      <c r="F32" s="27"/>
      <c r="G32" s="27"/>
    </row>
    <row r="33" spans="2:7" x14ac:dyDescent="0.35">
      <c r="B33" t="str">
        <f>IF(Table2427[[#This Row],[Branch Name]]="","",(_xlfn.XLOOKUP(Table2427[[#This Row],[Branch Name]],'Lookup Values'!G:G,'Lookup Values'!I:I,0)))</f>
        <v/>
      </c>
      <c r="C33" s="27"/>
      <c r="D33" s="28"/>
      <c r="E33" s="27"/>
      <c r="F33" s="27"/>
      <c r="G33" s="27"/>
    </row>
    <row r="34" spans="2:7" x14ac:dyDescent="0.35">
      <c r="B34" t="str">
        <f>IF(Table2427[[#This Row],[Branch Name]]="","",(_xlfn.XLOOKUP(Table2427[[#This Row],[Branch Name]],'Lookup Values'!G:G,'Lookup Values'!I:I,0)))</f>
        <v/>
      </c>
      <c r="C34" s="27"/>
      <c r="D34" s="28"/>
      <c r="E34" s="27"/>
      <c r="F34" s="27"/>
      <c r="G34" s="27"/>
    </row>
    <row r="35" spans="2:7" x14ac:dyDescent="0.35">
      <c r="B35" t="str">
        <f>IF(Table2427[[#This Row],[Branch Name]]="","",(_xlfn.XLOOKUP(Table2427[[#This Row],[Branch Name]],'Lookup Values'!G:G,'Lookup Values'!I:I,0)))</f>
        <v/>
      </c>
      <c r="C35" s="27"/>
      <c r="D35" s="28"/>
      <c r="E35" s="27"/>
      <c r="F35" s="27"/>
      <c r="G35" s="27"/>
    </row>
    <row r="36" spans="2:7" x14ac:dyDescent="0.35">
      <c r="B36" t="str">
        <f>IF(Table2427[[#This Row],[Branch Name]]="","",(_xlfn.XLOOKUP(Table2427[[#This Row],[Branch Name]],'Lookup Values'!G:G,'Lookup Values'!I:I,0)))</f>
        <v/>
      </c>
      <c r="C36" s="27"/>
      <c r="D36" s="28"/>
      <c r="E36" s="27"/>
      <c r="F36" s="27"/>
      <c r="G36" s="27"/>
    </row>
    <row r="37" spans="2:7" x14ac:dyDescent="0.35">
      <c r="B37" t="str">
        <f>IF(Table2427[[#This Row],[Branch Name]]="","",(_xlfn.XLOOKUP(Table2427[[#This Row],[Branch Name]],'Lookup Values'!G:G,'Lookup Values'!I:I,0)))</f>
        <v/>
      </c>
      <c r="C37" s="27"/>
      <c r="D37" s="28"/>
      <c r="E37" s="27"/>
      <c r="F37" s="27"/>
      <c r="G37" s="27"/>
    </row>
    <row r="38" spans="2:7" x14ac:dyDescent="0.35">
      <c r="B38" t="str">
        <f>IF(Table2427[[#This Row],[Branch Name]]="","",(_xlfn.XLOOKUP(Table2427[[#This Row],[Branch Name]],'Lookup Values'!G:G,'Lookup Values'!I:I,0)))</f>
        <v/>
      </c>
      <c r="C38" s="27"/>
      <c r="D38" s="28"/>
      <c r="E38" s="27"/>
      <c r="F38" s="27"/>
      <c r="G38" s="27"/>
    </row>
    <row r="39" spans="2:7" x14ac:dyDescent="0.35">
      <c r="B39" t="str">
        <f>IF(Table2427[[#This Row],[Branch Name]]="","",(_xlfn.XLOOKUP(Table2427[[#This Row],[Branch Name]],'Lookup Values'!G:G,'Lookup Values'!I:I,0)))</f>
        <v/>
      </c>
      <c r="C39" s="27"/>
      <c r="D39" s="28"/>
      <c r="E39" s="27"/>
      <c r="F39" s="27"/>
      <c r="G39" s="27"/>
    </row>
    <row r="40" spans="2:7" x14ac:dyDescent="0.35">
      <c r="B40" t="str">
        <f>IF(Table2427[[#This Row],[Branch Name]]="","",(_xlfn.XLOOKUP(Table2427[[#This Row],[Branch Name]],'Lookup Values'!G:G,'Lookup Values'!I:I,0)))</f>
        <v/>
      </c>
      <c r="C40" s="27"/>
      <c r="D40" s="28"/>
      <c r="E40" s="27"/>
      <c r="F40" s="27"/>
      <c r="G40" s="27"/>
    </row>
    <row r="41" spans="2:7" x14ac:dyDescent="0.35">
      <c r="B41" t="str">
        <f>IF(Table2427[[#This Row],[Branch Name]]="","",(_xlfn.XLOOKUP(Table2427[[#This Row],[Branch Name]],'Lookup Values'!G:G,'Lookup Values'!I:I,0)))</f>
        <v/>
      </c>
      <c r="C41" s="27"/>
      <c r="D41" s="28"/>
      <c r="E41" s="27"/>
      <c r="F41" s="27"/>
      <c r="G41" s="27"/>
    </row>
    <row r="42" spans="2:7" x14ac:dyDescent="0.35">
      <c r="B42" t="str">
        <f>IF(Table2427[[#This Row],[Branch Name]]="","",(_xlfn.XLOOKUP(Table2427[[#This Row],[Branch Name]],'Lookup Values'!G:G,'Lookup Values'!I:I,0)))</f>
        <v/>
      </c>
      <c r="C42" s="27"/>
      <c r="D42" s="28"/>
      <c r="E42" s="27"/>
      <c r="F42" s="27"/>
      <c r="G42" s="27"/>
    </row>
    <row r="43" spans="2:7" x14ac:dyDescent="0.35">
      <c r="B43" t="str">
        <f>IF(Table2427[[#This Row],[Branch Name]]="","",(_xlfn.XLOOKUP(Table2427[[#This Row],[Branch Name]],'Lookup Values'!G:G,'Lookup Values'!I:I,0)))</f>
        <v/>
      </c>
      <c r="C43" s="27"/>
      <c r="D43" s="28"/>
      <c r="E43" s="27"/>
      <c r="F43" s="27"/>
      <c r="G43" s="27"/>
    </row>
    <row r="44" spans="2:7" x14ac:dyDescent="0.35">
      <c r="B44" t="str">
        <f>IF(Table2427[[#This Row],[Branch Name]]="","",(_xlfn.XLOOKUP(Table2427[[#This Row],[Branch Name]],'Lookup Values'!G:G,'Lookup Values'!I:I,0)))</f>
        <v/>
      </c>
      <c r="C44" s="27"/>
      <c r="D44" s="28"/>
      <c r="E44" s="27"/>
      <c r="F44" s="27"/>
      <c r="G44" s="27"/>
    </row>
    <row r="45" spans="2:7" x14ac:dyDescent="0.35">
      <c r="B45" t="str">
        <f>IF(Table2427[[#This Row],[Branch Name]]="","",(_xlfn.XLOOKUP(Table2427[[#This Row],[Branch Name]],'Lookup Values'!G:G,'Lookup Values'!I:I,0)))</f>
        <v/>
      </c>
      <c r="C45" s="27"/>
      <c r="D45" s="28"/>
      <c r="E45" s="27"/>
      <c r="F45" s="27"/>
      <c r="G45" s="27"/>
    </row>
    <row r="46" spans="2:7" x14ac:dyDescent="0.35">
      <c r="B46" t="str">
        <f>IF(Table2427[[#This Row],[Branch Name]]="","",(_xlfn.XLOOKUP(Table2427[[#This Row],[Branch Name]],'Lookup Values'!G:G,'Lookup Values'!I:I,0)))</f>
        <v/>
      </c>
      <c r="C46" s="27"/>
      <c r="D46" s="28"/>
      <c r="E46" s="27"/>
      <c r="F46" s="27"/>
      <c r="G46" s="27"/>
    </row>
    <row r="47" spans="2:7" x14ac:dyDescent="0.35">
      <c r="B47" t="str">
        <f>IF(Table2427[[#This Row],[Branch Name]]="","",(_xlfn.XLOOKUP(Table2427[[#This Row],[Branch Name]],'Lookup Values'!G:G,'Lookup Values'!I:I,0)))</f>
        <v/>
      </c>
      <c r="C47" s="27"/>
      <c r="D47" s="28"/>
      <c r="E47" s="27"/>
      <c r="F47" s="27"/>
      <c r="G47" s="27"/>
    </row>
    <row r="48" spans="2:7" x14ac:dyDescent="0.35">
      <c r="B48" t="str">
        <f>IF(Table2427[[#This Row],[Branch Name]]="","",(_xlfn.XLOOKUP(Table2427[[#This Row],[Branch Name]],'Lookup Values'!G:G,'Lookup Values'!I:I,0)))</f>
        <v/>
      </c>
      <c r="C48" s="27"/>
      <c r="D48" s="28"/>
      <c r="E48" s="27"/>
      <c r="F48" s="27"/>
      <c r="G48" s="27"/>
    </row>
    <row r="49" spans="1:7" x14ac:dyDescent="0.35">
      <c r="B49" t="str">
        <f>IF(Table2427[[#This Row],[Branch Name]]="","",(_xlfn.XLOOKUP(Table2427[[#This Row],[Branch Name]],'Lookup Values'!G:G,'Lookup Values'!I:I,0)))</f>
        <v/>
      </c>
      <c r="C49" s="27"/>
      <c r="D49" s="28"/>
      <c r="E49" s="27"/>
      <c r="F49" s="27"/>
      <c r="G49" s="27"/>
    </row>
    <row r="50" spans="1:7" x14ac:dyDescent="0.35">
      <c r="B50" t="str">
        <f>IF(Table2427[[#This Row],[Branch Name]]="","",(_xlfn.XLOOKUP(Table2427[[#This Row],[Branch Name]],'Lookup Values'!G:G,'Lookup Values'!I:I,0)))</f>
        <v/>
      </c>
      <c r="C50" s="27"/>
      <c r="D50" s="28"/>
      <c r="E50" s="27"/>
      <c r="F50" s="27"/>
      <c r="G50" s="27"/>
    </row>
    <row r="51" spans="1:7" x14ac:dyDescent="0.35">
      <c r="B51" t="str">
        <f>IF(Table2427[[#This Row],[Branch Name]]="","",(_xlfn.XLOOKUP(Table2427[[#This Row],[Branch Name]],'Lookup Values'!G:G,'Lookup Values'!I:I,0)))</f>
        <v/>
      </c>
      <c r="C51" s="27"/>
      <c r="D51" s="28"/>
      <c r="E51" s="27"/>
      <c r="F51" s="27"/>
      <c r="G51" s="27"/>
    </row>
    <row r="52" spans="1:7" x14ac:dyDescent="0.35">
      <c r="B52" t="str">
        <f>IF(Table2427[[#This Row],[Branch Name]]="","",(_xlfn.XLOOKUP(Table2427[[#This Row],[Branch Name]],'Lookup Values'!G:G,'Lookup Values'!I:I,0)))</f>
        <v/>
      </c>
      <c r="C52" s="27"/>
      <c r="D52" s="28"/>
      <c r="E52" s="27"/>
      <c r="F52" s="27"/>
      <c r="G52" s="27"/>
    </row>
    <row r="53" spans="1:7" x14ac:dyDescent="0.35">
      <c r="B53" t="str">
        <f>IF(Table2427[[#This Row],[Branch Name]]="","",(_xlfn.XLOOKUP(Table2427[[#This Row],[Branch Name]],'Lookup Values'!G:G,'Lookup Values'!I:I,0)))</f>
        <v/>
      </c>
      <c r="C53" s="27"/>
      <c r="D53" s="28"/>
      <c r="E53" s="27"/>
      <c r="F53" s="27"/>
      <c r="G53" s="27"/>
    </row>
    <row r="54" spans="1:7" x14ac:dyDescent="0.35">
      <c r="B54" t="str">
        <f>IF(Table2427[[#This Row],[Branch Name]]="","",(_xlfn.XLOOKUP(Table2427[[#This Row],[Branch Name]],'Lookup Values'!G:G,'Lookup Values'!I:I,0)))</f>
        <v/>
      </c>
      <c r="C54" s="27"/>
      <c r="D54" s="28"/>
      <c r="E54" s="27"/>
      <c r="F54" s="27"/>
      <c r="G54" s="27"/>
    </row>
    <row r="55" spans="1:7" x14ac:dyDescent="0.35">
      <c r="A55" s="27"/>
      <c r="B55" t="str">
        <f>IF(Table2427[[#This Row],[Branch Name]]="","",(_xlfn.XLOOKUP(Table2427[[#This Row],[Branch Name]],'Lookup Values'!G:G,'Lookup Values'!I:I,0)))</f>
        <v/>
      </c>
      <c r="C55" s="27"/>
      <c r="D55" s="28"/>
      <c r="E55" s="27"/>
      <c r="F55" s="27"/>
      <c r="G55" s="27"/>
    </row>
    <row r="56" spans="1:7" x14ac:dyDescent="0.35">
      <c r="A56" s="27"/>
      <c r="B56" t="str">
        <f>IF(Table2427[[#This Row],[Branch Name]]="","",(_xlfn.XLOOKUP(Table2427[[#This Row],[Branch Name]],'Lookup Values'!G:G,'Lookup Values'!I:I,0)))</f>
        <v/>
      </c>
      <c r="C56" s="27"/>
      <c r="D56" s="28"/>
      <c r="E56" s="27"/>
      <c r="F56" s="27"/>
      <c r="G56" s="27"/>
    </row>
    <row r="57" spans="1:7" x14ac:dyDescent="0.35">
      <c r="B57" t="str">
        <f>IF(Table2427[[#This Row],[Branch Name]]="","",(_xlfn.XLOOKUP(Table2427[[#This Row],[Branch Name]],'Lookup Values'!G:G,'Lookup Values'!I:I,0)))</f>
        <v/>
      </c>
      <c r="C57" s="27"/>
      <c r="D57" s="28"/>
      <c r="E57" s="27"/>
      <c r="F57" s="27"/>
      <c r="G57" s="27"/>
    </row>
    <row r="58" spans="1:7" x14ac:dyDescent="0.35">
      <c r="B58" t="str">
        <f>IF(Table2427[[#This Row],[Branch Name]]="","",(_xlfn.XLOOKUP(Table2427[[#This Row],[Branch Name]],'Lookup Values'!G:G,'Lookup Values'!I:I,0)))</f>
        <v/>
      </c>
      <c r="C58" s="27"/>
      <c r="D58" s="28"/>
      <c r="E58" s="27"/>
      <c r="F58" s="27"/>
      <c r="G58" s="27"/>
    </row>
    <row r="59" spans="1:7" x14ac:dyDescent="0.35">
      <c r="B59" t="str">
        <f>IF(Table2427[[#This Row],[Branch Name]]="","",(_xlfn.XLOOKUP(Table2427[[#This Row],[Branch Name]],'Lookup Values'!G:G,'Lookup Values'!I:I,0)))</f>
        <v/>
      </c>
      <c r="C59" s="27"/>
      <c r="D59" s="28"/>
      <c r="E59" s="27"/>
      <c r="F59" s="27"/>
      <c r="G59" s="27"/>
    </row>
    <row r="60" spans="1:7" x14ac:dyDescent="0.35">
      <c r="B60" t="str">
        <f>IF(Table2427[[#This Row],[Branch Name]]="","",(_xlfn.XLOOKUP(Table2427[[#This Row],[Branch Name]],'Lookup Values'!G:G,'Lookup Values'!I:I,0)))</f>
        <v/>
      </c>
      <c r="C60" s="27"/>
      <c r="D60" s="28"/>
      <c r="E60" s="27"/>
      <c r="F60" s="27"/>
      <c r="G60" s="27"/>
    </row>
    <row r="61" spans="1:7" x14ac:dyDescent="0.35">
      <c r="B61" t="str">
        <f>IF(Table2427[[#This Row],[Branch Name]]="","",(_xlfn.XLOOKUP(Table2427[[#This Row],[Branch Name]],'Lookup Values'!G:G,'Lookup Values'!I:I,0)))</f>
        <v/>
      </c>
      <c r="C61" s="27"/>
      <c r="D61" s="28"/>
      <c r="E61" s="27"/>
      <c r="F61" s="27"/>
      <c r="G61" s="27"/>
    </row>
    <row r="62" spans="1:7" x14ac:dyDescent="0.35">
      <c r="B62" t="str">
        <f>IF(Table2427[[#This Row],[Branch Name]]="","",(_xlfn.XLOOKUP(Table2427[[#This Row],[Branch Name]],'Lookup Values'!G:G,'Lookup Values'!I:I,0)))</f>
        <v/>
      </c>
      <c r="C62" s="27"/>
      <c r="D62" s="28"/>
      <c r="E62" s="27"/>
      <c r="F62" s="27"/>
      <c r="G62" s="27"/>
    </row>
    <row r="63" spans="1:7" x14ac:dyDescent="0.35">
      <c r="B63" t="str">
        <f>IF(Table2427[[#This Row],[Branch Name]]="","",(_xlfn.XLOOKUP(Table2427[[#This Row],[Branch Name]],'Lookup Values'!G:G,'Lookup Values'!I:I,0)))</f>
        <v/>
      </c>
      <c r="C63" s="27"/>
      <c r="D63" s="28"/>
      <c r="E63" s="27"/>
      <c r="F63" s="27"/>
      <c r="G63" s="27"/>
    </row>
    <row r="64" spans="1:7" x14ac:dyDescent="0.35">
      <c r="B64" t="str">
        <f>IF(Table2427[[#This Row],[Branch Name]]="","",(_xlfn.XLOOKUP(Table2427[[#This Row],[Branch Name]],'Lookup Values'!G:G,'Lookup Values'!I:I,0)))</f>
        <v/>
      </c>
      <c r="C64" s="27"/>
      <c r="D64" s="28"/>
      <c r="E64" s="27"/>
      <c r="F64" s="27"/>
      <c r="G64" s="27"/>
    </row>
    <row r="65" spans="1:7" x14ac:dyDescent="0.35">
      <c r="B65" t="str">
        <f>IF(Table2427[[#This Row],[Branch Name]]="","",(_xlfn.XLOOKUP(Table2427[[#This Row],[Branch Name]],'Lookup Values'!G:G,'Lookup Values'!I:I,0)))</f>
        <v/>
      </c>
      <c r="C65" s="27"/>
      <c r="D65" s="28"/>
      <c r="E65" s="27"/>
      <c r="F65" s="27"/>
      <c r="G65" s="27"/>
    </row>
    <row r="66" spans="1:7" x14ac:dyDescent="0.35">
      <c r="B66" t="str">
        <f>IF(Table2427[[#This Row],[Branch Name]]="","",(_xlfn.XLOOKUP(Table2427[[#This Row],[Branch Name]],'Lookup Values'!G:G,'Lookup Values'!I:I,0)))</f>
        <v/>
      </c>
      <c r="C66" s="27"/>
      <c r="D66" s="28"/>
      <c r="E66" s="27"/>
      <c r="F66" s="27"/>
      <c r="G66" s="27"/>
    </row>
    <row r="67" spans="1:7" x14ac:dyDescent="0.35">
      <c r="B67" t="str">
        <f>IF(Table2427[[#This Row],[Branch Name]]="","",(_xlfn.XLOOKUP(Table2427[[#This Row],[Branch Name]],'Lookup Values'!G:G,'Lookup Values'!I:I,0)))</f>
        <v/>
      </c>
      <c r="C67" s="27"/>
      <c r="D67" s="28"/>
      <c r="E67" s="27"/>
      <c r="F67" s="27"/>
      <c r="G67" s="27"/>
    </row>
    <row r="68" spans="1:7" x14ac:dyDescent="0.35">
      <c r="B68" t="str">
        <f>IF(Table2427[[#This Row],[Branch Name]]="","",(_xlfn.XLOOKUP(Table2427[[#This Row],[Branch Name]],'Lookup Values'!G:G,'Lookup Values'!I:I,0)))</f>
        <v/>
      </c>
      <c r="C68" s="27"/>
      <c r="D68" s="28"/>
      <c r="E68" s="27"/>
      <c r="F68" s="27"/>
      <c r="G68" s="27"/>
    </row>
    <row r="69" spans="1:7" x14ac:dyDescent="0.35">
      <c r="B69" t="str">
        <f>IF(Table2427[[#This Row],[Branch Name]]="","",(_xlfn.XLOOKUP(Table2427[[#This Row],[Branch Name]],'Lookup Values'!G:G,'Lookup Values'!I:I,0)))</f>
        <v/>
      </c>
      <c r="C69" s="27"/>
      <c r="D69" s="28"/>
      <c r="E69" s="27"/>
      <c r="F69" s="27"/>
      <c r="G69" s="27"/>
    </row>
    <row r="70" spans="1:7" x14ac:dyDescent="0.35">
      <c r="B70" t="str">
        <f>IF(Table2427[[#This Row],[Branch Name]]="","",(_xlfn.XLOOKUP(Table2427[[#This Row],[Branch Name]],'Lookup Values'!G:G,'Lookup Values'!I:I,0)))</f>
        <v/>
      </c>
      <c r="C70" s="27"/>
      <c r="D70" s="28"/>
      <c r="E70" s="27"/>
      <c r="F70" s="27"/>
      <c r="G70" s="27"/>
    </row>
    <row r="71" spans="1:7" s="27" customFormat="1" x14ac:dyDescent="0.35">
      <c r="A71"/>
      <c r="B71" t="str">
        <f>IF(Table2427[[#This Row],[Branch Name]]="","",(_xlfn.XLOOKUP(Table2427[[#This Row],[Branch Name]],'Lookup Values'!G:G,'Lookup Values'!I:I,0)))</f>
        <v/>
      </c>
      <c r="D71" s="28"/>
    </row>
    <row r="72" spans="1:7" s="27" customFormat="1" x14ac:dyDescent="0.35">
      <c r="A72"/>
      <c r="B72" t="str">
        <f>IF(Table2427[[#This Row],[Branch Name]]="","",(_xlfn.XLOOKUP(Table2427[[#This Row],[Branch Name]],'Lookup Values'!G:G,'Lookup Values'!I:I,0)))</f>
        <v/>
      </c>
      <c r="D72" s="28"/>
    </row>
    <row r="73" spans="1:7" x14ac:dyDescent="0.35">
      <c r="B73" t="str">
        <f>IF(Table2427[[#This Row],[Branch Name]]="","",(_xlfn.XLOOKUP(Table2427[[#This Row],[Branch Name]],'Lookup Values'!G:G,'Lookup Values'!I:I,0)))</f>
        <v/>
      </c>
      <c r="C73" s="27"/>
      <c r="D73" s="28"/>
      <c r="E73" s="27"/>
      <c r="F73" s="27"/>
      <c r="G73" s="27"/>
    </row>
    <row r="74" spans="1:7" x14ac:dyDescent="0.35">
      <c r="B74" t="str">
        <f>IF(Table2427[[#This Row],[Branch Name]]="","",(_xlfn.XLOOKUP(Table2427[[#This Row],[Branch Name]],'Lookup Values'!G:G,'Lookup Values'!I:I,0)))</f>
        <v/>
      </c>
      <c r="C74" s="27"/>
      <c r="D74" s="28"/>
      <c r="E74" s="27"/>
      <c r="F74" s="27"/>
      <c r="G74" s="27"/>
    </row>
    <row r="75" spans="1:7" x14ac:dyDescent="0.35">
      <c r="B75" t="str">
        <f>IF(Table2427[[#This Row],[Branch Name]]="","",(_xlfn.XLOOKUP(Table2427[[#This Row],[Branch Name]],'Lookup Values'!G:G,'Lookup Values'!I:I,0)))</f>
        <v/>
      </c>
      <c r="C75" s="27"/>
      <c r="D75" s="28"/>
      <c r="E75" s="27"/>
      <c r="F75" s="27"/>
      <c r="G75" s="27"/>
    </row>
    <row r="76" spans="1:7" x14ac:dyDescent="0.35">
      <c r="B76" t="str">
        <f>IF(Table2427[[#This Row],[Branch Name]]="","",(_xlfn.XLOOKUP(Table2427[[#This Row],[Branch Name]],'Lookup Values'!G:G,'Lookup Values'!I:I,0)))</f>
        <v/>
      </c>
      <c r="C76" s="27"/>
      <c r="D76" s="28"/>
      <c r="E76" s="27"/>
      <c r="F76" s="27"/>
      <c r="G76" s="27"/>
    </row>
    <row r="77" spans="1:7" x14ac:dyDescent="0.35">
      <c r="B77" t="str">
        <f>IF(Table2427[[#This Row],[Branch Name]]="","",(_xlfn.XLOOKUP(Table2427[[#This Row],[Branch Name]],'Lookup Values'!G:G,'Lookup Values'!I:I,0)))</f>
        <v/>
      </c>
      <c r="C77" s="27"/>
      <c r="D77" s="28"/>
      <c r="E77" s="27"/>
      <c r="F77" s="27"/>
      <c r="G77" s="27"/>
    </row>
    <row r="78" spans="1:7" x14ac:dyDescent="0.35">
      <c r="B78" t="str">
        <f>IF(Table2427[[#This Row],[Branch Name]]="","",(_xlfn.XLOOKUP(Table2427[[#This Row],[Branch Name]],'Lookup Values'!G:G,'Lookup Values'!I:I,0)))</f>
        <v/>
      </c>
      <c r="C78" s="27"/>
      <c r="D78" s="28"/>
      <c r="E78" s="27"/>
      <c r="F78" s="27"/>
      <c r="G78" s="27"/>
    </row>
    <row r="79" spans="1:7" x14ac:dyDescent="0.35">
      <c r="B79" t="str">
        <f>IF(Table2427[[#This Row],[Branch Name]]="","",(_xlfn.XLOOKUP(Table2427[[#This Row],[Branch Name]],'Lookup Values'!G:G,'Lookup Values'!I:I,0)))</f>
        <v/>
      </c>
      <c r="C79" s="27"/>
      <c r="D79" s="28"/>
      <c r="E79" s="27"/>
      <c r="F79" s="27"/>
      <c r="G79" s="27"/>
    </row>
    <row r="80" spans="1:7" x14ac:dyDescent="0.35">
      <c r="A80" s="27"/>
      <c r="B80" t="str">
        <f>IF(Table2427[[#This Row],[Branch Name]]="","",(_xlfn.XLOOKUP(Table2427[[#This Row],[Branch Name]],'Lookup Values'!G:G,'Lookup Values'!I:I,0)))</f>
        <v/>
      </c>
      <c r="C80" s="27"/>
      <c r="D80" s="28"/>
      <c r="E80" s="27"/>
      <c r="F80" s="27"/>
      <c r="G80" s="27"/>
    </row>
    <row r="81" spans="1:7" x14ac:dyDescent="0.35">
      <c r="A81" s="27"/>
      <c r="B81" t="str">
        <f>IF(Table2427[[#This Row],[Branch Name]]="","",(_xlfn.XLOOKUP(Table2427[[#This Row],[Branch Name]],'Lookup Values'!G:G,'Lookup Values'!I:I,0)))</f>
        <v/>
      </c>
      <c r="C81" s="27"/>
      <c r="D81" s="28"/>
      <c r="E81" s="27"/>
      <c r="F81" s="27"/>
      <c r="G81" s="27"/>
    </row>
    <row r="82" spans="1:7" x14ac:dyDescent="0.35">
      <c r="A82" s="27"/>
      <c r="B82" t="str">
        <f>IF(Table2427[[#This Row],[Branch Name]]="","",(_xlfn.XLOOKUP(Table2427[[#This Row],[Branch Name]],'Lookup Values'!G:G,'Lookup Values'!I:I,0)))</f>
        <v/>
      </c>
      <c r="C82" s="27"/>
      <c r="D82" s="28"/>
      <c r="E82" s="27"/>
      <c r="F82" s="27"/>
      <c r="G82" s="27"/>
    </row>
    <row r="83" spans="1:7" x14ac:dyDescent="0.35">
      <c r="A83" s="27"/>
      <c r="B83" t="str">
        <f>IF(Table2427[[#This Row],[Branch Name]]="","",(_xlfn.XLOOKUP(Table2427[[#This Row],[Branch Name]],'Lookup Values'!G:G,'Lookup Values'!I:I,0)))</f>
        <v/>
      </c>
      <c r="C83" s="27"/>
      <c r="D83" s="28"/>
      <c r="E83" s="27"/>
      <c r="F83" s="27"/>
      <c r="G83" s="27"/>
    </row>
    <row r="84" spans="1:7" x14ac:dyDescent="0.35">
      <c r="A84" s="27"/>
      <c r="B84" t="str">
        <f>IF(Table2427[[#This Row],[Branch Name]]="","",(_xlfn.XLOOKUP(Table2427[[#This Row],[Branch Name]],'Lookup Values'!G:G,'Lookup Values'!I:I,0)))</f>
        <v/>
      </c>
      <c r="C84" s="27"/>
      <c r="D84" s="28"/>
      <c r="E84" s="27"/>
      <c r="F84" s="27"/>
      <c r="G84" s="27"/>
    </row>
    <row r="85" spans="1:7" x14ac:dyDescent="0.35">
      <c r="A85" s="27"/>
      <c r="B85" t="str">
        <f>IF(Table2427[[#This Row],[Branch Name]]="","",(_xlfn.XLOOKUP(Table2427[[#This Row],[Branch Name]],'Lookup Values'!G:G,'Lookup Values'!I:I,0)))</f>
        <v/>
      </c>
      <c r="C85" s="27"/>
      <c r="D85" s="28"/>
      <c r="E85" s="27"/>
      <c r="F85" s="27"/>
      <c r="G85" s="27"/>
    </row>
    <row r="86" spans="1:7" x14ac:dyDescent="0.35">
      <c r="A86" s="27"/>
      <c r="B86" t="str">
        <f>IF(Table2427[[#This Row],[Branch Name]]="","",(_xlfn.XLOOKUP(Table2427[[#This Row],[Branch Name]],'Lookup Values'!G:G,'Lookup Values'!I:I,0)))</f>
        <v/>
      </c>
      <c r="C86" s="27"/>
      <c r="D86" s="28"/>
      <c r="E86" s="27"/>
      <c r="F86" s="27"/>
      <c r="G86" s="29"/>
    </row>
    <row r="87" spans="1:7" x14ac:dyDescent="0.35">
      <c r="A87" s="27"/>
      <c r="B87" t="str">
        <f>IF(Table2427[[#This Row],[Branch Name]]="","",(_xlfn.XLOOKUP(Table2427[[#This Row],[Branch Name]],'Lookup Values'!G:G,'Lookup Values'!I:I,0)))</f>
        <v/>
      </c>
      <c r="C87" s="27"/>
      <c r="D87" s="28"/>
      <c r="E87" s="27"/>
      <c r="F87" s="27"/>
      <c r="G87" s="27"/>
    </row>
    <row r="88" spans="1:7" x14ac:dyDescent="0.35">
      <c r="A88" s="27"/>
      <c r="B88" t="str">
        <f>IF(Table2427[[#This Row],[Branch Name]]="","",(_xlfn.XLOOKUP(Table2427[[#This Row],[Branch Name]],'Lookup Values'!G:G,'Lookup Values'!I:I,0)))</f>
        <v/>
      </c>
      <c r="C88" s="27"/>
      <c r="D88" s="28"/>
      <c r="E88" s="27"/>
      <c r="F88" s="27"/>
      <c r="G88" s="27"/>
    </row>
    <row r="89" spans="1:7" x14ac:dyDescent="0.35">
      <c r="A89" s="27"/>
      <c r="B89" t="str">
        <f>IF(Table2427[[#This Row],[Branch Name]]="","",(_xlfn.XLOOKUP(Table2427[[#This Row],[Branch Name]],'Lookup Values'!G:G,'Lookup Values'!I:I,0)))</f>
        <v/>
      </c>
      <c r="C89" s="27"/>
      <c r="D89" s="28"/>
      <c r="E89" s="27"/>
      <c r="F89" s="27"/>
      <c r="G89" s="27"/>
    </row>
    <row r="90" spans="1:7" x14ac:dyDescent="0.35">
      <c r="A90" s="27"/>
      <c r="B90" t="str">
        <f>IF(Table2427[[#This Row],[Branch Name]]="","",(_xlfn.XLOOKUP(Table2427[[#This Row],[Branch Name]],'Lookup Values'!G:G,'Lookup Values'!I:I,0)))</f>
        <v/>
      </c>
      <c r="C90" s="27"/>
      <c r="D90" s="28"/>
      <c r="E90" s="27"/>
      <c r="F90" s="27"/>
      <c r="G90" s="27"/>
    </row>
    <row r="91" spans="1:7" x14ac:dyDescent="0.35">
      <c r="A91" s="27"/>
      <c r="B91" t="str">
        <f>IF(Table2427[[#This Row],[Branch Name]]="","",(_xlfn.XLOOKUP(Table2427[[#This Row],[Branch Name]],'Lookup Values'!G:G,'Lookup Values'!I:I,0)))</f>
        <v/>
      </c>
      <c r="C91" s="27"/>
      <c r="D91" s="28"/>
      <c r="E91" s="27"/>
      <c r="F91" s="27"/>
      <c r="G91" s="27"/>
    </row>
    <row r="92" spans="1:7" x14ac:dyDescent="0.35">
      <c r="A92" s="27"/>
      <c r="B92" t="str">
        <f>IF(Table2427[[#This Row],[Branch Name]]="","",(_xlfn.XLOOKUP(Table2427[[#This Row],[Branch Name]],'Lookup Values'!G:G,'Lookup Values'!I:I,0)))</f>
        <v/>
      </c>
      <c r="C92" s="27"/>
      <c r="D92" s="28"/>
      <c r="E92" s="27"/>
      <c r="F92" s="27"/>
      <c r="G92" s="27"/>
    </row>
    <row r="93" spans="1:7" x14ac:dyDescent="0.35">
      <c r="A93" s="27"/>
      <c r="B93" t="str">
        <f>IF(Table2427[[#This Row],[Branch Name]]="","",(_xlfn.XLOOKUP(Table2427[[#This Row],[Branch Name]],'Lookup Values'!G:G,'Lookup Values'!I:I,0)))</f>
        <v/>
      </c>
      <c r="C93" s="27"/>
      <c r="D93" s="28"/>
      <c r="E93" s="27"/>
      <c r="F93" s="27"/>
      <c r="G93" s="27"/>
    </row>
    <row r="94" spans="1:7" x14ac:dyDescent="0.35">
      <c r="B94" t="str">
        <f>IF(Table2427[[#This Row],[Branch Name]]="","",(_xlfn.XLOOKUP(Table2427[[#This Row],[Branch Name]],'Lookup Values'!G:G,'Lookup Values'!I:I,0)))</f>
        <v/>
      </c>
      <c r="C94" s="27"/>
      <c r="D94" s="28"/>
      <c r="E94" s="27"/>
      <c r="F94" s="27"/>
      <c r="G94" s="27"/>
    </row>
    <row r="95" spans="1:7" x14ac:dyDescent="0.35">
      <c r="B95" t="str">
        <f>IF(Table2427[[#This Row],[Branch Name]]="","",(_xlfn.XLOOKUP(Table2427[[#This Row],[Branch Name]],'Lookup Values'!G:G,'Lookup Values'!I:I,0)))</f>
        <v/>
      </c>
      <c r="C95" s="27"/>
      <c r="D95" s="28"/>
      <c r="E95" s="27"/>
      <c r="F95" s="27"/>
      <c r="G95" s="27"/>
    </row>
    <row r="96" spans="1:7" x14ac:dyDescent="0.35">
      <c r="B96" t="str">
        <f>IF(Table2427[[#This Row],[Branch Name]]="","",(_xlfn.XLOOKUP(Table2427[[#This Row],[Branch Name]],'Lookup Values'!G:G,'Lookup Values'!I:I,0)))</f>
        <v/>
      </c>
      <c r="C96" s="27"/>
      <c r="D96" s="28"/>
      <c r="E96" s="27"/>
      <c r="F96" s="27"/>
      <c r="G96" s="27"/>
    </row>
    <row r="97" spans="2:7" x14ac:dyDescent="0.35">
      <c r="B97" t="str">
        <f>IF(Table2427[[#This Row],[Branch Name]]="","",(_xlfn.XLOOKUP(Table2427[[#This Row],[Branch Name]],'Lookup Values'!G:G,'Lookup Values'!I:I,0)))</f>
        <v/>
      </c>
      <c r="C97" s="27"/>
      <c r="D97" s="28"/>
      <c r="E97" s="27"/>
      <c r="F97" s="27"/>
      <c r="G97" s="27"/>
    </row>
    <row r="98" spans="2:7" x14ac:dyDescent="0.35">
      <c r="B98" t="str">
        <f>IF(Table2427[[#This Row],[Branch Name]]="","",(_xlfn.XLOOKUP(Table2427[[#This Row],[Branch Name]],'Lookup Values'!G:G,'Lookup Values'!I:I,0)))</f>
        <v/>
      </c>
      <c r="C98" s="27"/>
      <c r="D98" s="28"/>
      <c r="E98" s="27"/>
      <c r="F98" s="27"/>
      <c r="G98" s="27"/>
    </row>
    <row r="99" spans="2:7" x14ac:dyDescent="0.35">
      <c r="B99" t="str">
        <f>IF(Table2427[[#This Row],[Branch Name]]="","",(_xlfn.XLOOKUP(Table2427[[#This Row],[Branch Name]],'Lookup Values'!G:G,'Lookup Values'!I:I,0)))</f>
        <v/>
      </c>
      <c r="C99" s="27"/>
      <c r="D99" s="28"/>
      <c r="E99" s="27"/>
      <c r="F99" s="27"/>
      <c r="G99" s="27"/>
    </row>
    <row r="100" spans="2:7" x14ac:dyDescent="0.35">
      <c r="B100" t="str">
        <f>IF(Table2427[[#This Row],[Branch Name]]="","",(_xlfn.XLOOKUP(Table2427[[#This Row],[Branch Name]],'Lookup Values'!G:G,'Lookup Values'!I:I,0)))</f>
        <v/>
      </c>
      <c r="C100" s="27"/>
      <c r="D100" s="28"/>
      <c r="E100" s="27"/>
      <c r="F100" s="27"/>
      <c r="G100" s="27"/>
    </row>
    <row r="101" spans="2:7" x14ac:dyDescent="0.35">
      <c r="B101" t="str">
        <f>IF(Table2427[[#This Row],[Branch Name]]="","",(_xlfn.XLOOKUP(Table2427[[#This Row],[Branch Name]],'Lookup Values'!G:G,'Lookup Values'!I:I,0)))</f>
        <v/>
      </c>
      <c r="C101" s="27"/>
      <c r="D101" s="28"/>
      <c r="E101" s="27"/>
      <c r="F101" s="27"/>
      <c r="G101" s="27"/>
    </row>
    <row r="102" spans="2:7" x14ac:dyDescent="0.35">
      <c r="B102" t="str">
        <f>IF(Table2427[[#This Row],[Branch Name]]="","",(_xlfn.XLOOKUP(Table2427[[#This Row],[Branch Name]],'Lookup Values'!G:G,'Lookup Values'!I:I,0)))</f>
        <v/>
      </c>
      <c r="C102" s="27"/>
      <c r="D102" s="28"/>
      <c r="E102" s="27"/>
      <c r="F102" s="27"/>
      <c r="G102" s="27"/>
    </row>
    <row r="103" spans="2:7" x14ac:dyDescent="0.35">
      <c r="B103" t="str">
        <f>IF(Table2427[[#This Row],[Branch Name]]="","",(_xlfn.XLOOKUP(Table2427[[#This Row],[Branch Name]],'Lookup Values'!G:G,'Lookup Values'!I:I,0)))</f>
        <v/>
      </c>
      <c r="C103" s="27"/>
      <c r="D103" s="28"/>
      <c r="E103" s="27"/>
      <c r="F103" s="27"/>
      <c r="G103" s="27"/>
    </row>
    <row r="104" spans="2:7" x14ac:dyDescent="0.35">
      <c r="B104" t="str">
        <f>IF(Table2427[[#This Row],[Branch Name]]="","",(_xlfn.XLOOKUP(Table2427[[#This Row],[Branch Name]],'Lookup Values'!G:G,'Lookup Values'!I:I,0)))</f>
        <v/>
      </c>
      <c r="C104" s="27"/>
      <c r="D104" s="28"/>
      <c r="E104" s="27"/>
      <c r="F104" s="27"/>
      <c r="G104" s="27"/>
    </row>
    <row r="105" spans="2:7" x14ac:dyDescent="0.35">
      <c r="B105" t="str">
        <f>IF(Table2427[[#This Row],[Branch Name]]="","",(_xlfn.XLOOKUP(Table2427[[#This Row],[Branch Name]],'Lookup Values'!G:G,'Lookup Values'!I:I,0)))</f>
        <v/>
      </c>
      <c r="C105" s="27"/>
      <c r="D105" s="28"/>
      <c r="E105" s="27"/>
      <c r="F105" s="27"/>
      <c r="G105" s="27"/>
    </row>
    <row r="106" spans="2:7" x14ac:dyDescent="0.35">
      <c r="B106" t="str">
        <f>IF(Table2427[[#This Row],[Branch Name]]="","",(_xlfn.XLOOKUP(Table2427[[#This Row],[Branch Name]],'Lookup Values'!G:G,'Lookup Values'!I:I,0)))</f>
        <v/>
      </c>
      <c r="C106" s="27"/>
      <c r="D106" s="28"/>
      <c r="E106" s="27"/>
      <c r="F106" s="27"/>
      <c r="G106" s="27"/>
    </row>
    <row r="107" spans="2:7" x14ac:dyDescent="0.35">
      <c r="B107" t="str">
        <f>IF(Table2427[[#This Row],[Branch Name]]="","",(_xlfn.XLOOKUP(Table2427[[#This Row],[Branch Name]],'Lookup Values'!G:G,'Lookup Values'!I:I,0)))</f>
        <v/>
      </c>
      <c r="C107" s="27"/>
      <c r="D107" s="28"/>
      <c r="E107" s="27"/>
      <c r="F107" s="27"/>
      <c r="G107" s="27"/>
    </row>
    <row r="108" spans="2:7" x14ac:dyDescent="0.35">
      <c r="B108" t="str">
        <f>IF(Table2427[[#This Row],[Branch Name]]="","",(_xlfn.XLOOKUP(Table2427[[#This Row],[Branch Name]],'Lookup Values'!G:G,'Lookup Values'!I:I,0)))</f>
        <v/>
      </c>
      <c r="C108" s="27"/>
      <c r="D108" s="28"/>
      <c r="E108" s="27"/>
      <c r="F108" s="27"/>
      <c r="G108" s="27"/>
    </row>
    <row r="109" spans="2:7" x14ac:dyDescent="0.35">
      <c r="B109" t="str">
        <f>IF(Table2427[[#This Row],[Branch Name]]="","",(_xlfn.XLOOKUP(Table2427[[#This Row],[Branch Name]],'Lookup Values'!G:G,'Lookup Values'!I:I,0)))</f>
        <v/>
      </c>
      <c r="C109" s="27"/>
      <c r="D109" s="28"/>
      <c r="E109" s="27"/>
      <c r="F109" s="27"/>
      <c r="G109" s="27"/>
    </row>
    <row r="110" spans="2:7" x14ac:dyDescent="0.35">
      <c r="B110" t="str">
        <f>IF(Table2427[[#This Row],[Branch Name]]="","",(_xlfn.XLOOKUP(Table2427[[#This Row],[Branch Name]],'Lookup Values'!G:G,'Lookup Values'!I:I,0)))</f>
        <v/>
      </c>
      <c r="C110" s="27"/>
      <c r="D110" s="28"/>
      <c r="E110" s="27"/>
      <c r="F110" s="27"/>
      <c r="G110" s="27"/>
    </row>
    <row r="111" spans="2:7" x14ac:dyDescent="0.35">
      <c r="B111" t="str">
        <f>IF(Table2427[[#This Row],[Branch Name]]="","",(_xlfn.XLOOKUP(Table2427[[#This Row],[Branch Name]],'Lookup Values'!G:G,'Lookup Values'!I:I,0)))</f>
        <v/>
      </c>
      <c r="C111" s="27"/>
      <c r="D111" s="28"/>
      <c r="E111" s="27"/>
      <c r="F111" s="27"/>
      <c r="G111" s="27"/>
    </row>
    <row r="112" spans="2:7" x14ac:dyDescent="0.35">
      <c r="B112" t="str">
        <f>IF(Table2427[[#This Row],[Branch Name]]="","",(_xlfn.XLOOKUP(Table2427[[#This Row],[Branch Name]],'Lookup Values'!G:G,'Lookup Values'!I:I,0)))</f>
        <v/>
      </c>
      <c r="C112" s="27"/>
      <c r="D112" s="28"/>
      <c r="E112" s="27"/>
      <c r="F112" s="27"/>
      <c r="G112" s="27"/>
    </row>
    <row r="113" spans="1:7" x14ac:dyDescent="0.35">
      <c r="B113" t="str">
        <f>IF(Table2427[[#This Row],[Branch Name]]="","",(_xlfn.XLOOKUP(Table2427[[#This Row],[Branch Name]],'Lookup Values'!G:G,'Lookup Values'!I:I,0)))</f>
        <v/>
      </c>
      <c r="C113" s="27"/>
      <c r="D113" s="28"/>
      <c r="E113" s="27"/>
      <c r="F113" s="27"/>
      <c r="G113" s="27"/>
    </row>
    <row r="114" spans="1:7" x14ac:dyDescent="0.35">
      <c r="B114" t="str">
        <f>IF(Table2427[[#This Row],[Branch Name]]="","",(_xlfn.XLOOKUP(Table2427[[#This Row],[Branch Name]],'Lookup Values'!G:G,'Lookup Values'!I:I,0)))</f>
        <v/>
      </c>
      <c r="C114" s="27"/>
      <c r="D114" s="28"/>
      <c r="E114" s="27"/>
      <c r="F114" s="27"/>
      <c r="G114" s="27"/>
    </row>
    <row r="115" spans="1:7" x14ac:dyDescent="0.35">
      <c r="B115" t="str">
        <f>IF(Table2427[[#This Row],[Branch Name]]="","",(_xlfn.XLOOKUP(Table2427[[#This Row],[Branch Name]],'Lookup Values'!G:G,'Lookup Values'!I:I,0)))</f>
        <v/>
      </c>
      <c r="C115" s="27"/>
      <c r="D115" s="28"/>
      <c r="E115" s="27"/>
      <c r="F115" s="27"/>
      <c r="G115" s="27"/>
    </row>
    <row r="116" spans="1:7" x14ac:dyDescent="0.35">
      <c r="A116" s="27"/>
      <c r="B116" t="str">
        <f>IF(Table2427[[#This Row],[Branch Name]]="","",(_xlfn.XLOOKUP(Table2427[[#This Row],[Branch Name]],'Lookup Values'!G:G,'Lookup Values'!I:I,0)))</f>
        <v/>
      </c>
      <c r="C116" s="27"/>
      <c r="D116" s="28"/>
      <c r="E116" s="27"/>
      <c r="F116" s="27"/>
      <c r="G116" s="27"/>
    </row>
    <row r="117" spans="1:7" x14ac:dyDescent="0.35">
      <c r="B117" t="str">
        <f>IF(Table2427[[#This Row],[Branch Name]]="","",(_xlfn.XLOOKUP(Table2427[[#This Row],[Branch Name]],'Lookup Values'!G:G,'Lookup Values'!I:I,0)))</f>
        <v/>
      </c>
      <c r="C117" s="27"/>
      <c r="D117" s="28"/>
      <c r="E117" s="27"/>
      <c r="F117" s="27"/>
      <c r="G117" s="27"/>
    </row>
    <row r="118" spans="1:7" x14ac:dyDescent="0.35">
      <c r="B118" t="str">
        <f>IF(Table2427[[#This Row],[Branch Name]]="","",(_xlfn.XLOOKUP(Table2427[[#This Row],[Branch Name]],'Lookup Values'!G:G,'Lookup Values'!I:I,0)))</f>
        <v/>
      </c>
      <c r="C118" s="27"/>
      <c r="D118" s="28"/>
      <c r="E118" s="27"/>
      <c r="F118" s="27"/>
      <c r="G118" s="27"/>
    </row>
    <row r="119" spans="1:7" x14ac:dyDescent="0.35">
      <c r="A119" s="27"/>
      <c r="B119" t="str">
        <f>IF(Table2427[[#This Row],[Branch Name]]="","",(_xlfn.XLOOKUP(Table2427[[#This Row],[Branch Name]],'Lookup Values'!G:G,'Lookup Values'!I:I,0)))</f>
        <v/>
      </c>
      <c r="C119" s="27"/>
      <c r="D119" s="28"/>
      <c r="E119" s="27"/>
      <c r="F119" s="27"/>
      <c r="G119" s="27"/>
    </row>
    <row r="120" spans="1:7" x14ac:dyDescent="0.35">
      <c r="A120" s="27"/>
      <c r="B120" t="str">
        <f>IF(Table2427[[#This Row],[Branch Name]]="","",(_xlfn.XLOOKUP(Table2427[[#This Row],[Branch Name]],'Lookup Values'!G:G,'Lookup Values'!I:I,0)))</f>
        <v/>
      </c>
      <c r="C120" s="27"/>
      <c r="D120" s="28"/>
      <c r="E120" s="27"/>
      <c r="F120" s="27"/>
      <c r="G120" s="27"/>
    </row>
    <row r="121" spans="1:7" x14ac:dyDescent="0.35">
      <c r="B121" t="str">
        <f>IF(Table2427[[#This Row],[Branch Name]]="","",(_xlfn.XLOOKUP(Table2427[[#This Row],[Branch Name]],'Lookup Values'!G:G,'Lookup Values'!I:I,0)))</f>
        <v/>
      </c>
      <c r="C121" s="27"/>
      <c r="D121" s="28"/>
      <c r="E121" s="27"/>
      <c r="F121" s="27"/>
      <c r="G121" s="27"/>
    </row>
    <row r="122" spans="1:7" x14ac:dyDescent="0.35">
      <c r="B122" t="str">
        <f>IF(Table2427[[#This Row],[Branch Name]]="","",(_xlfn.XLOOKUP(Table2427[[#This Row],[Branch Name]],'Lookup Values'!G:G,'Lookup Values'!I:I,0)))</f>
        <v/>
      </c>
      <c r="C122" s="27"/>
      <c r="D122" s="28"/>
      <c r="E122" s="27"/>
      <c r="F122" s="27"/>
      <c r="G122" s="27"/>
    </row>
    <row r="123" spans="1:7" x14ac:dyDescent="0.35">
      <c r="B123" t="str">
        <f>IF(Table2427[[#This Row],[Branch Name]]="","",(_xlfn.XLOOKUP(Table2427[[#This Row],[Branch Name]],'Lookup Values'!G:G,'Lookup Values'!I:I,0)))</f>
        <v/>
      </c>
      <c r="C123" s="27"/>
      <c r="D123" s="28"/>
      <c r="E123" s="27"/>
      <c r="F123" s="27"/>
      <c r="G123" s="27"/>
    </row>
    <row r="124" spans="1:7" x14ac:dyDescent="0.35">
      <c r="B124" t="str">
        <f>IF(Table2427[[#This Row],[Branch Name]]="","",(_xlfn.XLOOKUP(Table2427[[#This Row],[Branch Name]],'Lookup Values'!G:G,'Lookup Values'!I:I,0)))</f>
        <v/>
      </c>
      <c r="C124" s="27"/>
      <c r="D124" s="28"/>
      <c r="E124" s="27"/>
      <c r="F124" s="27"/>
      <c r="G124" s="27"/>
    </row>
    <row r="125" spans="1:7" x14ac:dyDescent="0.35">
      <c r="B125" t="str">
        <f>IF(Table2427[[#This Row],[Branch Name]]="","",(_xlfn.XLOOKUP(Table2427[[#This Row],[Branch Name]],'Lookup Values'!G:G,'Lookup Values'!I:I,0)))</f>
        <v/>
      </c>
      <c r="C125" s="27"/>
      <c r="D125" s="28"/>
      <c r="E125" s="27"/>
      <c r="F125" s="27"/>
      <c r="G125" s="27"/>
    </row>
    <row r="126" spans="1:7" x14ac:dyDescent="0.35">
      <c r="A126" s="27"/>
      <c r="B126" t="str">
        <f>IF(Table2427[[#This Row],[Branch Name]]="","",(_xlfn.XLOOKUP(Table2427[[#This Row],[Branch Name]],'Lookup Values'!G:G,'Lookup Values'!I:I,0)))</f>
        <v/>
      </c>
      <c r="C126" s="27"/>
      <c r="D126" s="28"/>
      <c r="E126" s="27"/>
      <c r="F126" s="27"/>
      <c r="G126" s="27"/>
    </row>
    <row r="127" spans="1:7" x14ac:dyDescent="0.35">
      <c r="A127" s="27"/>
      <c r="B127" t="str">
        <f>IF(Table2427[[#This Row],[Branch Name]]="","",(_xlfn.XLOOKUP(Table2427[[#This Row],[Branch Name]],'Lookup Values'!G:G,'Lookup Values'!I:I,0)))</f>
        <v/>
      </c>
      <c r="C127" s="27"/>
      <c r="D127" s="28"/>
      <c r="E127" s="27"/>
      <c r="F127" s="27"/>
      <c r="G127" s="27"/>
    </row>
    <row r="128" spans="1:7" x14ac:dyDescent="0.35">
      <c r="A128" s="27"/>
      <c r="B128" t="str">
        <f>IF(Table2427[[#This Row],[Branch Name]]="","",(_xlfn.XLOOKUP(Table2427[[#This Row],[Branch Name]],'Lookup Values'!G:G,'Lookup Values'!I:I,0)))</f>
        <v/>
      </c>
      <c r="C128" s="27"/>
      <c r="D128" s="28"/>
      <c r="E128" s="27"/>
      <c r="F128" s="27"/>
      <c r="G128" s="27"/>
    </row>
    <row r="129" spans="1:7" x14ac:dyDescent="0.35">
      <c r="B129" t="str">
        <f>IF(Table2427[[#This Row],[Branch Name]]="","",(_xlfn.XLOOKUP(Table2427[[#This Row],[Branch Name]],'Lookup Values'!G:G,'Lookup Values'!I:I,0)))</f>
        <v/>
      </c>
      <c r="G129" s="25"/>
    </row>
    <row r="130" spans="1:7" x14ac:dyDescent="0.35">
      <c r="B130" t="str">
        <f>IF(Table2427[[#This Row],[Branch Name]]="","",(_xlfn.XLOOKUP(Table2427[[#This Row],[Branch Name]],'Lookup Values'!G:G,'Lookup Values'!I:I,0)))</f>
        <v/>
      </c>
    </row>
    <row r="131" spans="1:7" x14ac:dyDescent="0.35">
      <c r="A131" s="27"/>
      <c r="B131" t="str">
        <f>IF(Table2427[[#This Row],[Branch Name]]="","",(_xlfn.XLOOKUP(Table2427[[#This Row],[Branch Name]],'Lookup Values'!G:G,'Lookup Values'!I:I,0)))</f>
        <v/>
      </c>
      <c r="C131" s="27"/>
      <c r="D131" s="28"/>
      <c r="E131" s="27"/>
      <c r="F131" s="27"/>
      <c r="G131" s="29"/>
    </row>
    <row r="132" spans="1:7" x14ac:dyDescent="0.35">
      <c r="A132" s="27"/>
      <c r="B132" t="str">
        <f>IF(Table2427[[#This Row],[Branch Name]]="","",(_xlfn.XLOOKUP(Table2427[[#This Row],[Branch Name]],'Lookup Values'!G:G,'Lookup Values'!I:I,0)))</f>
        <v/>
      </c>
      <c r="C132" s="27"/>
      <c r="D132" s="28"/>
      <c r="E132" s="27"/>
      <c r="F132" s="27"/>
      <c r="G132" s="27"/>
    </row>
    <row r="133" spans="1:7" x14ac:dyDescent="0.35">
      <c r="A133" s="27"/>
      <c r="B133" t="str">
        <f>IF(Table2427[[#This Row],[Branch Name]]="","",(_xlfn.XLOOKUP(Table2427[[#This Row],[Branch Name]],'Lookup Values'!G:G,'Lookup Values'!I:I,0)))</f>
        <v/>
      </c>
      <c r="C133" s="27"/>
      <c r="D133" s="28"/>
      <c r="E133" s="27"/>
      <c r="F133" s="27"/>
      <c r="G133" s="27"/>
    </row>
    <row r="134" spans="1:7" x14ac:dyDescent="0.35">
      <c r="B134" t="str">
        <f>IF(Table2427[[#This Row],[Branch Name]]="","",(_xlfn.XLOOKUP(Table2427[[#This Row],[Branch Name]],'Lookup Values'!G:G,'Lookup Values'!I:I,0)))</f>
        <v/>
      </c>
    </row>
    <row r="135" spans="1:7" x14ac:dyDescent="0.35">
      <c r="A135" s="27"/>
      <c r="B135" t="str">
        <f>IF(Table2427[[#This Row],[Branch Name]]="","",(_xlfn.XLOOKUP(Table2427[[#This Row],[Branch Name]],'Lookup Values'!G:G,'Lookup Values'!I:I,0)))</f>
        <v/>
      </c>
      <c r="C135" s="27"/>
      <c r="D135" s="28"/>
      <c r="E135" s="27"/>
      <c r="F135" s="27"/>
      <c r="G135" s="27"/>
    </row>
    <row r="136" spans="1:7" x14ac:dyDescent="0.35">
      <c r="B136" t="str">
        <f>IF(Table2427[[#This Row],[Branch Name]]="","",(_xlfn.XLOOKUP(Table2427[[#This Row],[Branch Name]],'Lookup Values'!G:G,'Lookup Values'!I:I,0)))</f>
        <v/>
      </c>
    </row>
    <row r="137" spans="1:7" x14ac:dyDescent="0.35">
      <c r="B137" t="str">
        <f>IF(Table2427[[#This Row],[Branch Name]]="","",(_xlfn.XLOOKUP(Table2427[[#This Row],[Branch Name]],'Lookup Values'!G:G,'Lookup Values'!I:I,0)))</f>
        <v/>
      </c>
    </row>
    <row r="138" spans="1:7" x14ac:dyDescent="0.35">
      <c r="B138" t="str">
        <f>IF(Table2427[[#This Row],[Branch Name]]="","",(_xlfn.XLOOKUP(Table2427[[#This Row],[Branch Name]],'Lookup Values'!G:G,'Lookup Values'!I:I,0)))</f>
        <v/>
      </c>
    </row>
    <row r="139" spans="1:7" x14ac:dyDescent="0.35">
      <c r="B139" t="str">
        <f>IF(Table2427[[#This Row],[Branch Name]]="","",(_xlfn.XLOOKUP(Table2427[[#This Row],[Branch Name]],'Lookup Values'!G:G,'Lookup Values'!I:I,0)))</f>
        <v/>
      </c>
    </row>
    <row r="140" spans="1:7" x14ac:dyDescent="0.35">
      <c r="B140" t="str">
        <f>IF(Table2427[[#This Row],[Branch Name]]="","",(_xlfn.XLOOKUP(Table2427[[#This Row],[Branch Name]],'Lookup Values'!G:G,'Lookup Values'!I:I,0)))</f>
        <v/>
      </c>
    </row>
    <row r="141" spans="1:7" x14ac:dyDescent="0.35">
      <c r="B141" t="str">
        <f>IF(Table2427[[#This Row],[Branch Name]]="","",(_xlfn.XLOOKUP(Table2427[[#This Row],[Branch Name]],'Lookup Values'!G:G,'Lookup Values'!I:I,0)))</f>
        <v/>
      </c>
    </row>
    <row r="142" spans="1:7" x14ac:dyDescent="0.35">
      <c r="B142" t="str">
        <f>IF(Table2427[[#This Row],[Branch Name]]="","",(_xlfn.XLOOKUP(Table2427[[#This Row],[Branch Name]],'Lookup Values'!G:G,'Lookup Values'!I:I,0)))</f>
        <v/>
      </c>
    </row>
    <row r="143" spans="1:7" x14ac:dyDescent="0.35">
      <c r="B143" t="str">
        <f>IF(Table2427[[#This Row],[Branch Name]]="","",(_xlfn.XLOOKUP(Table2427[[#This Row],[Branch Name]],'Lookup Values'!G:G,'Lookup Values'!I:I,0)))</f>
        <v/>
      </c>
    </row>
    <row r="144" spans="1:7" x14ac:dyDescent="0.35">
      <c r="B144" t="str">
        <f>IF(Table2427[[#This Row],[Branch Name]]="","",(_xlfn.XLOOKUP(Table2427[[#This Row],[Branch Name]],'Lookup Values'!G:G,'Lookup Values'!I:I,0)))</f>
        <v/>
      </c>
    </row>
    <row r="145" spans="2:2" x14ac:dyDescent="0.35">
      <c r="B145" t="str">
        <f>IF(Table2427[[#This Row],[Branch Name]]="","",(_xlfn.XLOOKUP(Table2427[[#This Row],[Branch Name]],'Lookup Values'!G:G,'Lookup Values'!I:I,0)))</f>
        <v/>
      </c>
    </row>
    <row r="146" spans="2:2" x14ac:dyDescent="0.35">
      <c r="B146" t="str">
        <f>IF(Table2427[[#This Row],[Branch Name]]="","",(_xlfn.XLOOKUP(Table2427[[#This Row],[Branch Name]],'Lookup Values'!G:G,'Lookup Values'!I:I,0)))</f>
        <v/>
      </c>
    </row>
    <row r="147" spans="2:2" x14ac:dyDescent="0.35">
      <c r="B147" t="str">
        <f>IF(Table2427[[#This Row],[Branch Name]]="","",(_xlfn.XLOOKUP(Table2427[[#This Row],[Branch Name]],'Lookup Values'!G:G,'Lookup Values'!I:I,0)))</f>
        <v/>
      </c>
    </row>
    <row r="148" spans="2:2" x14ac:dyDescent="0.35">
      <c r="B148" t="str">
        <f>IF(Table2427[[#This Row],[Branch Name]]="","",(_xlfn.XLOOKUP(Table2427[[#This Row],[Branch Name]],'Lookup Values'!G:G,'Lookup Values'!I:I,0)))</f>
        <v/>
      </c>
    </row>
    <row r="149" spans="2:2" x14ac:dyDescent="0.35">
      <c r="B149" t="str">
        <f>IF(Table2427[[#This Row],[Branch Name]]="","",(_xlfn.XLOOKUP(Table2427[[#This Row],[Branch Name]],'Lookup Values'!G:G,'Lookup Values'!I:I,0)))</f>
        <v/>
      </c>
    </row>
    <row r="150" spans="2:2" x14ac:dyDescent="0.35">
      <c r="B150" t="str">
        <f>IF(Table2427[[#This Row],[Branch Name]]="","",(_xlfn.XLOOKUP(Table2427[[#This Row],[Branch Name]],'Lookup Values'!G:G,'Lookup Values'!I:I,0)))</f>
        <v/>
      </c>
    </row>
    <row r="151" spans="2:2" x14ac:dyDescent="0.35">
      <c r="B151" t="str">
        <f>IF(Table2427[[#This Row],[Branch Name]]="","",(_xlfn.XLOOKUP(Table2427[[#This Row],[Branch Name]],'Lookup Values'!G:G,'Lookup Values'!I:I,0)))</f>
        <v/>
      </c>
    </row>
    <row r="152" spans="2:2" x14ac:dyDescent="0.35">
      <c r="B152" t="str">
        <f>IF(Table2427[[#This Row],[Branch Name]]="","",(_xlfn.XLOOKUP(Table2427[[#This Row],[Branch Name]],'Lookup Values'!G:G,'Lookup Values'!I:I,0)))</f>
        <v/>
      </c>
    </row>
    <row r="153" spans="2:2" x14ac:dyDescent="0.35">
      <c r="B153" t="str">
        <f>IF(Table2427[[#This Row],[Branch Name]]="","",(_xlfn.XLOOKUP(Table2427[[#This Row],[Branch Name]],'Lookup Values'!G:G,'Lookup Values'!I:I,0)))</f>
        <v/>
      </c>
    </row>
    <row r="154" spans="2:2" x14ac:dyDescent="0.35">
      <c r="B154" t="str">
        <f>IF(Table2427[[#This Row],[Branch Name]]="","",(_xlfn.XLOOKUP(Table2427[[#This Row],[Branch Name]],'Lookup Values'!G:G,'Lookup Values'!I:I,0)))</f>
        <v/>
      </c>
    </row>
    <row r="155" spans="2:2" x14ac:dyDescent="0.35">
      <c r="B155" t="str">
        <f>IF(Table2427[[#This Row],[Branch Name]]="","",(_xlfn.XLOOKUP(Table2427[[#This Row],[Branch Name]],'Lookup Values'!G:G,'Lookup Values'!I:I,0)))</f>
        <v/>
      </c>
    </row>
    <row r="156" spans="2:2" x14ac:dyDescent="0.35">
      <c r="B156" t="str">
        <f>IF(Table2427[[#This Row],[Branch Name]]="","",(_xlfn.XLOOKUP(Table2427[[#This Row],[Branch Name]],'Lookup Values'!G:G,'Lookup Values'!I:I,0)))</f>
        <v/>
      </c>
    </row>
    <row r="157" spans="2:2" x14ac:dyDescent="0.35">
      <c r="B157" t="str">
        <f>IF(Table2427[[#This Row],[Branch Name]]="","",(_xlfn.XLOOKUP(Table2427[[#This Row],[Branch Name]],'Lookup Values'!G:G,'Lookup Values'!I:I,0)))</f>
        <v/>
      </c>
    </row>
    <row r="158" spans="2:2" x14ac:dyDescent="0.35">
      <c r="B158" t="str">
        <f>IF(Table2427[[#This Row],[Branch Name]]="","",(_xlfn.XLOOKUP(Table2427[[#This Row],[Branch Name]],'Lookup Values'!G:G,'Lookup Values'!I:I,0)))</f>
        <v/>
      </c>
    </row>
    <row r="159" spans="2:2" x14ac:dyDescent="0.35">
      <c r="B159" t="str">
        <f>IF(Table2427[[#This Row],[Branch Name]]="","",(_xlfn.XLOOKUP(Table2427[[#This Row],[Branch Name]],'Lookup Values'!G:G,'Lookup Values'!I:I,0)))</f>
        <v/>
      </c>
    </row>
    <row r="160" spans="2:2" x14ac:dyDescent="0.35">
      <c r="B160" t="str">
        <f>IF(Table2427[[#This Row],[Branch Name]]="","",(_xlfn.XLOOKUP(Table2427[[#This Row],[Branch Name]],'Lookup Values'!G:G,'Lookup Values'!I:I,0)))</f>
        <v/>
      </c>
    </row>
    <row r="161" spans="2:2" x14ac:dyDescent="0.35">
      <c r="B161" t="str">
        <f>IF(Table2427[[#This Row],[Branch Name]]="","",(_xlfn.XLOOKUP(Table2427[[#This Row],[Branch Name]],'Lookup Values'!G:G,'Lookup Values'!I:I,0)))</f>
        <v/>
      </c>
    </row>
    <row r="162" spans="2:2" x14ac:dyDescent="0.35">
      <c r="B162" t="str">
        <f>IF(Table2427[[#This Row],[Branch Name]]="","",(_xlfn.XLOOKUP(Table2427[[#This Row],[Branch Name]],'Lookup Values'!G:G,'Lookup Values'!I:I,0)))</f>
        <v/>
      </c>
    </row>
    <row r="163" spans="2:2" x14ac:dyDescent="0.35">
      <c r="B163" t="str">
        <f>IF(Table2427[[#This Row],[Branch Name]]="","",(_xlfn.XLOOKUP(Table2427[[#This Row],[Branch Name]],'Lookup Values'!G:G,'Lookup Values'!I:I,0)))</f>
        <v/>
      </c>
    </row>
    <row r="164" spans="2:2" x14ac:dyDescent="0.35">
      <c r="B164" t="str">
        <f>IF(Table2427[[#This Row],[Branch Name]]="","",(_xlfn.XLOOKUP(Table2427[[#This Row],[Branch Name]],'Lookup Values'!G:G,'Lookup Values'!I:I,0)))</f>
        <v/>
      </c>
    </row>
    <row r="165" spans="2:2" x14ac:dyDescent="0.35">
      <c r="B165" t="str">
        <f>IF(Table2427[[#This Row],[Branch Name]]="","",(_xlfn.XLOOKUP(Table2427[[#This Row],[Branch Name]],'Lookup Values'!G:G,'Lookup Values'!I:I,0)))</f>
        <v/>
      </c>
    </row>
    <row r="166" spans="2:2" x14ac:dyDescent="0.35">
      <c r="B166" t="str">
        <f>IF(Table2427[[#This Row],[Branch Name]]="","",(_xlfn.XLOOKUP(Table2427[[#This Row],[Branch Name]],'Lookup Values'!G:G,'Lookup Values'!I:I,0)))</f>
        <v/>
      </c>
    </row>
    <row r="167" spans="2:2" x14ac:dyDescent="0.35">
      <c r="B167" t="str">
        <f>IF(Table2427[[#This Row],[Branch Name]]="","",(_xlfn.XLOOKUP(Table2427[[#This Row],[Branch Name]],'Lookup Values'!G:G,'Lookup Values'!I:I,0)))</f>
        <v/>
      </c>
    </row>
    <row r="168" spans="2:2" x14ac:dyDescent="0.35">
      <c r="B168" t="str">
        <f>IF(Table2427[[#This Row],[Branch Name]]="","",(_xlfn.XLOOKUP(Table2427[[#This Row],[Branch Name]],'Lookup Values'!G:G,'Lookup Values'!I:I,0)))</f>
        <v/>
      </c>
    </row>
    <row r="169" spans="2:2" x14ac:dyDescent="0.35">
      <c r="B169" t="str">
        <f>IF(Table2427[[#This Row],[Branch Name]]="","",(_xlfn.XLOOKUP(Table2427[[#This Row],[Branch Name]],'Lookup Values'!G:G,'Lookup Values'!I:I,0)))</f>
        <v/>
      </c>
    </row>
    <row r="170" spans="2:2" x14ac:dyDescent="0.35">
      <c r="B170" t="str">
        <f>IF(Table2427[[#This Row],[Branch Name]]="","",(_xlfn.XLOOKUP(Table2427[[#This Row],[Branch Name]],'Lookup Values'!G:G,'Lookup Values'!I:I,0)))</f>
        <v/>
      </c>
    </row>
    <row r="171" spans="2:2" x14ac:dyDescent="0.35">
      <c r="B171" t="str">
        <f>IF(Table2427[[#This Row],[Branch Name]]="","",(_xlfn.XLOOKUP(Table2427[[#This Row],[Branch Name]],'Lookup Values'!G:G,'Lookup Values'!I:I,0)))</f>
        <v/>
      </c>
    </row>
    <row r="172" spans="2:2" x14ac:dyDescent="0.35">
      <c r="B172" t="str">
        <f>IF(Table2427[[#This Row],[Branch Name]]="","",(_xlfn.XLOOKUP(Table2427[[#This Row],[Branch Name]],'Lookup Values'!G:G,'Lookup Values'!I:I,0)))</f>
        <v/>
      </c>
    </row>
    <row r="173" spans="2:2" x14ac:dyDescent="0.35">
      <c r="B173" t="str">
        <f>IF(Table2427[[#This Row],[Branch Name]]="","",(_xlfn.XLOOKUP(Table2427[[#This Row],[Branch Name]],'Lookup Values'!G:G,'Lookup Values'!I:I,0)))</f>
        <v/>
      </c>
    </row>
    <row r="174" spans="2:2" x14ac:dyDescent="0.35">
      <c r="B174" t="str">
        <f>IF(Table2427[[#This Row],[Branch Name]]="","",(_xlfn.XLOOKUP(Table2427[[#This Row],[Branch Name]],'Lookup Values'!G:G,'Lookup Values'!I:I,0)))</f>
        <v/>
      </c>
    </row>
    <row r="175" spans="2:2" x14ac:dyDescent="0.35">
      <c r="B175" t="str">
        <f>IF(Table2427[[#This Row],[Branch Name]]="","",(_xlfn.XLOOKUP(Table2427[[#This Row],[Branch Name]],'Lookup Values'!G:G,'Lookup Values'!I:I,0)))</f>
        <v/>
      </c>
    </row>
    <row r="176" spans="2:2" x14ac:dyDescent="0.35">
      <c r="B176" t="str">
        <f>IF(Table2427[[#This Row],[Branch Name]]="","",(_xlfn.XLOOKUP(Table2427[[#This Row],[Branch Name]],'Lookup Values'!G:G,'Lookup Values'!I:I,0)))</f>
        <v/>
      </c>
    </row>
    <row r="177" spans="2:2" x14ac:dyDescent="0.35">
      <c r="B177" t="str">
        <f>IF(Table2427[[#This Row],[Branch Name]]="","",(_xlfn.XLOOKUP(Table2427[[#This Row],[Branch Name]],'Lookup Values'!G:G,'Lookup Values'!I:I,0)))</f>
        <v/>
      </c>
    </row>
    <row r="178" spans="2:2" x14ac:dyDescent="0.35">
      <c r="B178" t="str">
        <f>IF(Table2427[[#This Row],[Branch Name]]="","",(_xlfn.XLOOKUP(Table2427[[#This Row],[Branch Name]],'Lookup Values'!G:G,'Lookup Values'!I:I,0)))</f>
        <v/>
      </c>
    </row>
    <row r="179" spans="2:2" x14ac:dyDescent="0.35">
      <c r="B179" t="str">
        <f>IF(Table2427[[#This Row],[Branch Name]]="","",(_xlfn.XLOOKUP(Table2427[[#This Row],[Branch Name]],'Lookup Values'!G:G,'Lookup Values'!I:I,0)))</f>
        <v/>
      </c>
    </row>
    <row r="180" spans="2:2" x14ac:dyDescent="0.35">
      <c r="B180" t="str">
        <f>IF(Table2427[[#This Row],[Branch Name]]="","",(_xlfn.XLOOKUP(Table2427[[#This Row],[Branch Name]],'Lookup Values'!G:G,'Lookup Values'!I:I,0)))</f>
        <v/>
      </c>
    </row>
    <row r="181" spans="2:2" x14ac:dyDescent="0.35">
      <c r="B181" t="str">
        <f>IF(Table2427[[#This Row],[Branch Name]]="","",(_xlfn.XLOOKUP(Table2427[[#This Row],[Branch Name]],'Lookup Values'!G:G,'Lookup Values'!I:I,0)))</f>
        <v/>
      </c>
    </row>
    <row r="182" spans="2:2" x14ac:dyDescent="0.35">
      <c r="B182" t="str">
        <f>IF(Table2427[[#This Row],[Branch Name]]="","",(_xlfn.XLOOKUP(Table2427[[#This Row],[Branch Name]],'Lookup Values'!G:G,'Lookup Values'!I:I,0)))</f>
        <v/>
      </c>
    </row>
    <row r="183" spans="2:2" x14ac:dyDescent="0.35">
      <c r="B183" t="str">
        <f>IF(Table2427[[#This Row],[Branch Name]]="","",(_xlfn.XLOOKUP(Table2427[[#This Row],[Branch Name]],'Lookup Values'!G:G,'Lookup Values'!I:I,0)))</f>
        <v/>
      </c>
    </row>
    <row r="184" spans="2:2" x14ac:dyDescent="0.35">
      <c r="B184" t="str">
        <f>IF(Table2427[[#This Row],[Branch Name]]="","",(_xlfn.XLOOKUP(Table2427[[#This Row],[Branch Name]],'Lookup Values'!G:G,'Lookup Values'!I:I,0)))</f>
        <v/>
      </c>
    </row>
    <row r="185" spans="2:2" x14ac:dyDescent="0.35">
      <c r="B185" t="str">
        <f>IF(Table2427[[#This Row],[Branch Name]]="","",(_xlfn.XLOOKUP(Table2427[[#This Row],[Branch Name]],'Lookup Values'!G:G,'Lookup Values'!I:I,0)))</f>
        <v/>
      </c>
    </row>
    <row r="186" spans="2:2" x14ac:dyDescent="0.35">
      <c r="B186" t="str">
        <f>IF(Table2427[[#This Row],[Branch Name]]="","",(_xlfn.XLOOKUP(Table2427[[#This Row],[Branch Name]],'Lookup Values'!G:G,'Lookup Values'!I:I,0)))</f>
        <v/>
      </c>
    </row>
    <row r="187" spans="2:2" x14ac:dyDescent="0.35">
      <c r="B187" t="str">
        <f>IF(Table2427[[#This Row],[Branch Name]]="","",(_xlfn.XLOOKUP(Table2427[[#This Row],[Branch Name]],'Lookup Values'!G:G,'Lookup Values'!I:I,0)))</f>
        <v/>
      </c>
    </row>
    <row r="188" spans="2:2" x14ac:dyDescent="0.35">
      <c r="B188" t="str">
        <f>IF(Table2427[[#This Row],[Branch Name]]="","",(_xlfn.XLOOKUP(Table2427[[#This Row],[Branch Name]],'Lookup Values'!G:G,'Lookup Values'!I:I,0)))</f>
        <v/>
      </c>
    </row>
    <row r="189" spans="2:2" x14ac:dyDescent="0.35">
      <c r="B189" t="str">
        <f>IF(Table2427[[#This Row],[Branch Name]]="","",(_xlfn.XLOOKUP(Table2427[[#This Row],[Branch Name]],'Lookup Values'!G:G,'Lookup Values'!I:I,0)))</f>
        <v/>
      </c>
    </row>
    <row r="190" spans="2:2" x14ac:dyDescent="0.35">
      <c r="B190" t="str">
        <f>IF(Table2427[[#This Row],[Branch Name]]="","",(_xlfn.XLOOKUP(Table2427[[#This Row],[Branch Name]],'Lookup Values'!G:G,'Lookup Values'!I:I,0)))</f>
        <v/>
      </c>
    </row>
    <row r="191" spans="2:2" x14ac:dyDescent="0.35">
      <c r="B191" t="str">
        <f>IF(Table2427[[#This Row],[Branch Name]]="","",(_xlfn.XLOOKUP(Table2427[[#This Row],[Branch Name]],'Lookup Values'!G:G,'Lookup Values'!I:I,0)))</f>
        <v/>
      </c>
    </row>
    <row r="192" spans="2:2" x14ac:dyDescent="0.35">
      <c r="B192" t="str">
        <f>IF(Table2427[[#This Row],[Branch Name]]="","",(_xlfn.XLOOKUP(Table2427[[#This Row],[Branch Name]],'Lookup Values'!G:G,'Lookup Values'!I:I,0)))</f>
        <v/>
      </c>
    </row>
    <row r="193" spans="2:2" x14ac:dyDescent="0.35">
      <c r="B193" t="str">
        <f>IF(Table2427[[#This Row],[Branch Name]]="","",(_xlfn.XLOOKUP(Table2427[[#This Row],[Branch Name]],'Lookup Values'!G:G,'Lookup Values'!I:I,0)))</f>
        <v/>
      </c>
    </row>
    <row r="194" spans="2:2" x14ac:dyDescent="0.35">
      <c r="B194" t="str">
        <f>IF(Table2427[[#This Row],[Branch Name]]="","",(_xlfn.XLOOKUP(Table2427[[#This Row],[Branch Name]],'Lookup Values'!G:G,'Lookup Values'!I:I,0)))</f>
        <v/>
      </c>
    </row>
    <row r="195" spans="2:2" x14ac:dyDescent="0.35">
      <c r="B195" t="str">
        <f>IF(Table2427[[#This Row],[Branch Name]]="","",(_xlfn.XLOOKUP(Table2427[[#This Row],[Branch Name]],'Lookup Values'!G:G,'Lookup Values'!I:I,0)))</f>
        <v/>
      </c>
    </row>
    <row r="196" spans="2:2" x14ac:dyDescent="0.35">
      <c r="B196" t="str">
        <f>IF(Table2427[[#This Row],[Branch Name]]="","",(_xlfn.XLOOKUP(Table2427[[#This Row],[Branch Name]],'Lookup Values'!G:G,'Lookup Values'!I:I,0)))</f>
        <v/>
      </c>
    </row>
    <row r="197" spans="2:2" x14ac:dyDescent="0.35">
      <c r="B197" t="str">
        <f>IF(Table2427[[#This Row],[Branch Name]]="","",(_xlfn.XLOOKUP(Table2427[[#This Row],[Branch Name]],'Lookup Values'!G:G,'Lookup Values'!I:I,0)))</f>
        <v/>
      </c>
    </row>
    <row r="198" spans="2:2" x14ac:dyDescent="0.35">
      <c r="B198" t="str">
        <f>IF(Table2427[[#This Row],[Branch Name]]="","",(_xlfn.XLOOKUP(Table2427[[#This Row],[Branch Name]],'Lookup Values'!G:G,'Lookup Values'!I:I,0)))</f>
        <v/>
      </c>
    </row>
    <row r="199" spans="2:2" x14ac:dyDescent="0.35">
      <c r="B199" t="str">
        <f>IF(Table2427[[#This Row],[Branch Name]]="","",(_xlfn.XLOOKUP(Table2427[[#This Row],[Branch Name]],'Lookup Values'!G:G,'Lookup Values'!I:I,0)))</f>
        <v/>
      </c>
    </row>
    <row r="200" spans="2:2" x14ac:dyDescent="0.35">
      <c r="B200" t="str">
        <f>IF(Table2427[[#This Row],[Branch Name]]="","",(_xlfn.XLOOKUP(Table2427[[#This Row],[Branch Name]],'Lookup Values'!G:G,'Lookup Values'!I:I,0)))</f>
        <v/>
      </c>
    </row>
    <row r="201" spans="2:2" x14ac:dyDescent="0.35">
      <c r="B201" t="str">
        <f>IF(Table2427[[#This Row],[Branch Name]]="","",(_xlfn.XLOOKUP(Table2427[[#This Row],[Branch Name]],'Lookup Values'!G:G,'Lookup Values'!I:I,0)))</f>
        <v/>
      </c>
    </row>
    <row r="202" spans="2:2" x14ac:dyDescent="0.35">
      <c r="B202" t="str">
        <f>IF(Table2427[[#This Row],[Branch Name]]="","",(_xlfn.XLOOKUP(Table2427[[#This Row],[Branch Name]],'Lookup Values'!G:G,'Lookup Values'!I:I,0)))</f>
        <v/>
      </c>
    </row>
    <row r="203" spans="2:2" x14ac:dyDescent="0.35">
      <c r="B203" t="str">
        <f>IF(Table2427[[#This Row],[Branch Name]]="","",(_xlfn.XLOOKUP(Table2427[[#This Row],[Branch Name]],'Lookup Values'!G:G,'Lookup Values'!I:I,0)))</f>
        <v/>
      </c>
    </row>
    <row r="204" spans="2:2" x14ac:dyDescent="0.35">
      <c r="B204" t="str">
        <f>IF(Table2427[[#This Row],[Branch Name]]="","",(_xlfn.XLOOKUP(Table2427[[#This Row],[Branch Name]],'Lookup Values'!G:G,'Lookup Values'!I:I,0)))</f>
        <v/>
      </c>
    </row>
    <row r="205" spans="2:2" x14ac:dyDescent="0.35">
      <c r="B205" t="str">
        <f>IF(Table2427[[#This Row],[Branch Name]]="","",(_xlfn.XLOOKUP(Table2427[[#This Row],[Branch Name]],'Lookup Values'!G:G,'Lookup Values'!I:I,0)))</f>
        <v/>
      </c>
    </row>
    <row r="206" spans="2:2" x14ac:dyDescent="0.35">
      <c r="B206" t="str">
        <f>IF(Table2427[[#This Row],[Branch Name]]="","",(_xlfn.XLOOKUP(Table2427[[#This Row],[Branch Name]],'Lookup Values'!G:G,'Lookup Values'!I:I,0)))</f>
        <v/>
      </c>
    </row>
    <row r="207" spans="2:2" x14ac:dyDescent="0.35">
      <c r="B207" t="str">
        <f>IF(Table2427[[#This Row],[Branch Name]]="","",(_xlfn.XLOOKUP(Table2427[[#This Row],[Branch Name]],'Lookup Values'!G:G,'Lookup Values'!I:I,0)))</f>
        <v/>
      </c>
    </row>
    <row r="208" spans="2:2" x14ac:dyDescent="0.35">
      <c r="B208" t="str">
        <f>IF(Table2427[[#This Row],[Branch Name]]="","",(_xlfn.XLOOKUP(Table2427[[#This Row],[Branch Name]],'Lookup Values'!G:G,'Lookup Values'!I:I,0)))</f>
        <v/>
      </c>
    </row>
    <row r="209" spans="2:2" x14ac:dyDescent="0.35">
      <c r="B209" t="str">
        <f>IF(Table2427[[#This Row],[Branch Name]]="","",(_xlfn.XLOOKUP(Table2427[[#This Row],[Branch Name]],'Lookup Values'!G:G,'Lookup Values'!I:I,0)))</f>
        <v/>
      </c>
    </row>
    <row r="210" spans="2:2" x14ac:dyDescent="0.35">
      <c r="B210" t="str">
        <f>IF(Table2427[[#This Row],[Branch Name]]="","",(_xlfn.XLOOKUP(Table2427[[#This Row],[Branch Name]],'Lookup Values'!G:G,'Lookup Values'!I:I,0)))</f>
        <v/>
      </c>
    </row>
    <row r="211" spans="2:2" x14ac:dyDescent="0.35">
      <c r="B211" t="str">
        <f>IF(Table2427[[#This Row],[Branch Name]]="","",(_xlfn.XLOOKUP(Table2427[[#This Row],[Branch Name]],'Lookup Values'!G:G,'Lookup Values'!I:I,0)))</f>
        <v/>
      </c>
    </row>
    <row r="212" spans="2:2" x14ac:dyDescent="0.35">
      <c r="B212" t="str">
        <f>IF(Table2427[[#This Row],[Branch Name]]="","",(_xlfn.XLOOKUP(Table2427[[#This Row],[Branch Name]],'Lookup Values'!G:G,'Lookup Values'!I:I,0)))</f>
        <v/>
      </c>
    </row>
    <row r="213" spans="2:2" x14ac:dyDescent="0.35">
      <c r="B213" t="str">
        <f>IF(Table2427[[#This Row],[Branch Name]]="","",(_xlfn.XLOOKUP(Table2427[[#This Row],[Branch Name]],'Lookup Values'!G:G,'Lookup Values'!I:I,0)))</f>
        <v/>
      </c>
    </row>
    <row r="214" spans="2:2" x14ac:dyDescent="0.35">
      <c r="B214" t="str">
        <f>IF(Table2427[[#This Row],[Branch Name]]="","",(_xlfn.XLOOKUP(Table2427[[#This Row],[Branch Name]],'Lookup Values'!G:G,'Lookup Values'!I:I,0)))</f>
        <v/>
      </c>
    </row>
    <row r="215" spans="2:2" x14ac:dyDescent="0.35">
      <c r="B215" t="str">
        <f>IF(Table2427[[#This Row],[Branch Name]]="","",(_xlfn.XLOOKUP(Table2427[[#This Row],[Branch Name]],'Lookup Values'!G:G,'Lookup Values'!I:I,0)))</f>
        <v/>
      </c>
    </row>
    <row r="216" spans="2:2" x14ac:dyDescent="0.35">
      <c r="B216" t="str">
        <f>IF(Table2427[[#This Row],[Branch Name]]="","",(_xlfn.XLOOKUP(Table2427[[#This Row],[Branch Name]],'Lookup Values'!G:G,'Lookup Values'!I:I,0)))</f>
        <v/>
      </c>
    </row>
    <row r="217" spans="2:2" x14ac:dyDescent="0.35">
      <c r="B217" t="str">
        <f>IF(Table2427[[#This Row],[Branch Name]]="","",(_xlfn.XLOOKUP(Table2427[[#This Row],[Branch Name]],'Lookup Values'!G:G,'Lookup Values'!I:I,0)))</f>
        <v/>
      </c>
    </row>
    <row r="218" spans="2:2" x14ac:dyDescent="0.35">
      <c r="B218" t="str">
        <f>IF(Table2427[[#This Row],[Branch Name]]="","",(_xlfn.XLOOKUP(Table2427[[#This Row],[Branch Name]],'Lookup Values'!G:G,'Lookup Values'!I:I,0)))</f>
        <v/>
      </c>
    </row>
    <row r="219" spans="2:2" x14ac:dyDescent="0.35">
      <c r="B219" t="str">
        <f>IF(Table2427[[#This Row],[Branch Name]]="","",(_xlfn.XLOOKUP(Table2427[[#This Row],[Branch Name]],'Lookup Values'!G:G,'Lookup Values'!I:I,0)))</f>
        <v/>
      </c>
    </row>
    <row r="220" spans="2:2" x14ac:dyDescent="0.35">
      <c r="B220" t="str">
        <f>IF(Table2427[[#This Row],[Branch Name]]="","",(_xlfn.XLOOKUP(Table2427[[#This Row],[Branch Name]],'Lookup Values'!G:G,'Lookup Values'!I:I,0)))</f>
        <v/>
      </c>
    </row>
    <row r="221" spans="2:2" x14ac:dyDescent="0.35">
      <c r="B221" t="str">
        <f>IF(Table2427[[#This Row],[Branch Name]]="","",(_xlfn.XLOOKUP(Table2427[[#This Row],[Branch Name]],'Lookup Values'!G:G,'Lookup Values'!I:I,0)))</f>
        <v/>
      </c>
    </row>
    <row r="222" spans="2:2" x14ac:dyDescent="0.35">
      <c r="B222" t="str">
        <f>IF(Table2427[[#This Row],[Branch Name]]="","",(_xlfn.XLOOKUP(Table2427[[#This Row],[Branch Name]],'Lookup Values'!G:G,'Lookup Values'!I:I,0)))</f>
        <v/>
      </c>
    </row>
    <row r="223" spans="2:2" x14ac:dyDescent="0.35">
      <c r="B223" t="str">
        <f>IF(Table2427[[#This Row],[Branch Name]]="","",(_xlfn.XLOOKUP(Table2427[[#This Row],[Branch Name]],'Lookup Values'!G:G,'Lookup Values'!I:I,0)))</f>
        <v/>
      </c>
    </row>
    <row r="224" spans="2:2" x14ac:dyDescent="0.35">
      <c r="B224" t="str">
        <f>IF(Table2427[[#This Row],[Branch Name]]="","",(_xlfn.XLOOKUP(Table2427[[#This Row],[Branch Name]],'Lookup Values'!G:G,'Lookup Values'!I:I,0)))</f>
        <v/>
      </c>
    </row>
    <row r="225" spans="2:2" x14ac:dyDescent="0.35">
      <c r="B225" t="str">
        <f>IF(Table2427[[#This Row],[Branch Name]]="","",(_xlfn.XLOOKUP(Table2427[[#This Row],[Branch Name]],'Lookup Values'!G:G,'Lookup Values'!I:I,0)))</f>
        <v/>
      </c>
    </row>
    <row r="226" spans="2:2" x14ac:dyDescent="0.35">
      <c r="B226" t="str">
        <f>IF(Table2427[[#This Row],[Branch Name]]="","",(_xlfn.XLOOKUP(Table2427[[#This Row],[Branch Name]],'Lookup Values'!G:G,'Lookup Values'!I:I,0)))</f>
        <v/>
      </c>
    </row>
    <row r="227" spans="2:2" x14ac:dyDescent="0.35">
      <c r="B227" t="str">
        <f>IF(Table2427[[#This Row],[Branch Name]]="","",(_xlfn.XLOOKUP(Table2427[[#This Row],[Branch Name]],'Lookup Values'!G:G,'Lookup Values'!I:I,0)))</f>
        <v/>
      </c>
    </row>
    <row r="228" spans="2:2" x14ac:dyDescent="0.35">
      <c r="B228" t="str">
        <f>IF(Table2427[[#This Row],[Branch Name]]="","",(_xlfn.XLOOKUP(Table2427[[#This Row],[Branch Name]],'Lookup Values'!G:G,'Lookup Values'!I:I,0)))</f>
        <v/>
      </c>
    </row>
    <row r="229" spans="2:2" x14ac:dyDescent="0.35">
      <c r="B229" t="str">
        <f>IF(Table2427[[#This Row],[Branch Name]]="","",(_xlfn.XLOOKUP(Table2427[[#This Row],[Branch Name]],'Lookup Values'!G:G,'Lookup Values'!I:I,0)))</f>
        <v/>
      </c>
    </row>
    <row r="230" spans="2:2" x14ac:dyDescent="0.35">
      <c r="B230" t="str">
        <f>IF(Table2427[[#This Row],[Branch Name]]="","",(_xlfn.XLOOKUP(Table2427[[#This Row],[Branch Name]],'Lookup Values'!G:G,'Lookup Values'!I:I,0)))</f>
        <v/>
      </c>
    </row>
    <row r="231" spans="2:2" x14ac:dyDescent="0.35">
      <c r="B231" t="str">
        <f>IF(Table2427[[#This Row],[Branch Name]]="","",(_xlfn.XLOOKUP(Table2427[[#This Row],[Branch Name]],'Lookup Values'!G:G,'Lookup Values'!I:I,0)))</f>
        <v/>
      </c>
    </row>
    <row r="232" spans="2:2" x14ac:dyDescent="0.35">
      <c r="B232" t="str">
        <f>IF(Table2427[[#This Row],[Branch Name]]="","",(_xlfn.XLOOKUP(Table2427[[#This Row],[Branch Name]],'Lookup Values'!G:G,'Lookup Values'!I:I,0)))</f>
        <v/>
      </c>
    </row>
    <row r="233" spans="2:2" x14ac:dyDescent="0.35">
      <c r="B233" t="str">
        <f>IF(Table2427[[#This Row],[Branch Name]]="","",(_xlfn.XLOOKUP(Table2427[[#This Row],[Branch Name]],'Lookup Values'!G:G,'Lookup Values'!I:I,0)))</f>
        <v/>
      </c>
    </row>
    <row r="234" spans="2:2" x14ac:dyDescent="0.35">
      <c r="B234" t="str">
        <f>IF(Table2427[[#This Row],[Branch Name]]="","",(_xlfn.XLOOKUP(Table2427[[#This Row],[Branch Name]],'Lookup Values'!G:G,'Lookup Values'!I:I,0)))</f>
        <v/>
      </c>
    </row>
    <row r="235" spans="2:2" x14ac:dyDescent="0.35">
      <c r="B235" t="str">
        <f>IF(Table2427[[#This Row],[Branch Name]]="","",(_xlfn.XLOOKUP(Table2427[[#This Row],[Branch Name]],'Lookup Values'!G:G,'Lookup Values'!I:I,0)))</f>
        <v/>
      </c>
    </row>
    <row r="236" spans="2:2" x14ac:dyDescent="0.35">
      <c r="B236" t="str">
        <f>IF(Table2427[[#This Row],[Branch Name]]="","",(_xlfn.XLOOKUP(Table2427[[#This Row],[Branch Name]],'Lookup Values'!G:G,'Lookup Values'!I:I,0)))</f>
        <v/>
      </c>
    </row>
    <row r="237" spans="2:2" x14ac:dyDescent="0.35">
      <c r="B237" t="str">
        <f>IF(Table2427[[#This Row],[Branch Name]]="","",(_xlfn.XLOOKUP(Table2427[[#This Row],[Branch Name]],'Lookup Values'!G:G,'Lookup Values'!I:I,0)))</f>
        <v/>
      </c>
    </row>
    <row r="238" spans="2:2" x14ac:dyDescent="0.35">
      <c r="B238" t="str">
        <f>IF(Table2427[[#This Row],[Branch Name]]="","",(_xlfn.XLOOKUP(Table2427[[#This Row],[Branch Name]],'Lookup Values'!G:G,'Lookup Values'!I:I,0)))</f>
        <v/>
      </c>
    </row>
    <row r="239" spans="2:2" x14ac:dyDescent="0.35">
      <c r="B239" t="str">
        <f>IF(Table2427[[#This Row],[Branch Name]]="","",(_xlfn.XLOOKUP(Table2427[[#This Row],[Branch Name]],'Lookup Values'!G:G,'Lookup Values'!I:I,0)))</f>
        <v/>
      </c>
    </row>
    <row r="240" spans="2:2" x14ac:dyDescent="0.35">
      <c r="B240" t="str">
        <f>IF(Table2427[[#This Row],[Branch Name]]="","",(_xlfn.XLOOKUP(Table2427[[#This Row],[Branch Name]],'Lookup Values'!G:G,'Lookup Values'!I:I,0)))</f>
        <v/>
      </c>
    </row>
    <row r="241" spans="2:2" x14ac:dyDescent="0.35">
      <c r="B241" t="str">
        <f>IF(Table2427[[#This Row],[Branch Name]]="","",(_xlfn.XLOOKUP(Table2427[[#This Row],[Branch Name]],'Lookup Values'!G:G,'Lookup Values'!I:I,0)))</f>
        <v/>
      </c>
    </row>
    <row r="242" spans="2:2" x14ac:dyDescent="0.35">
      <c r="B242" t="str">
        <f>IF(Table2427[[#This Row],[Branch Name]]="","",(_xlfn.XLOOKUP(Table2427[[#This Row],[Branch Name]],'Lookup Values'!G:G,'Lookup Values'!I:I,0)))</f>
        <v/>
      </c>
    </row>
    <row r="243" spans="2:2" x14ac:dyDescent="0.35">
      <c r="B243" t="str">
        <f>IF(Table2427[[#This Row],[Branch Name]]="","",(_xlfn.XLOOKUP(Table2427[[#This Row],[Branch Name]],'Lookup Values'!G:G,'Lookup Values'!I:I,0)))</f>
        <v/>
      </c>
    </row>
    <row r="244" spans="2:2" x14ac:dyDescent="0.35">
      <c r="B244" t="str">
        <f>IF(Table2427[[#This Row],[Branch Name]]="","",(_xlfn.XLOOKUP(Table2427[[#This Row],[Branch Name]],'Lookup Values'!G:G,'Lookup Values'!I:I,0)))</f>
        <v/>
      </c>
    </row>
    <row r="245" spans="2:2" x14ac:dyDescent="0.35">
      <c r="B245" t="str">
        <f>IF(Table2427[[#This Row],[Branch Name]]="","",(_xlfn.XLOOKUP(Table2427[[#This Row],[Branch Name]],'Lookup Values'!G:G,'Lookup Values'!I:I,0)))</f>
        <v/>
      </c>
    </row>
    <row r="246" spans="2:2" x14ac:dyDescent="0.35">
      <c r="B246" t="str">
        <f>IF(Table2427[[#This Row],[Branch Name]]="","",(_xlfn.XLOOKUP(Table2427[[#This Row],[Branch Name]],'Lookup Values'!G:G,'Lookup Values'!I:I,0)))</f>
        <v/>
      </c>
    </row>
    <row r="247" spans="2:2" x14ac:dyDescent="0.35">
      <c r="B247" t="str">
        <f>IF(Table2427[[#This Row],[Branch Name]]="","",(_xlfn.XLOOKUP(Table2427[[#This Row],[Branch Name]],'Lookup Values'!G:G,'Lookup Values'!I:I,0)))</f>
        <v/>
      </c>
    </row>
    <row r="248" spans="2:2" x14ac:dyDescent="0.35">
      <c r="B248" t="str">
        <f>IF(Table2427[[#This Row],[Branch Name]]="","",(_xlfn.XLOOKUP(Table2427[[#This Row],[Branch Name]],'Lookup Values'!G:G,'Lookup Values'!I:I,0)))</f>
        <v/>
      </c>
    </row>
    <row r="249" spans="2:2" x14ac:dyDescent="0.35">
      <c r="B249" t="str">
        <f>IF(Table2427[[#This Row],[Branch Name]]="","",(_xlfn.XLOOKUP(Table2427[[#This Row],[Branch Name]],'Lookup Values'!G:G,'Lookup Values'!I:I,0)))</f>
        <v/>
      </c>
    </row>
    <row r="250" spans="2:2" x14ac:dyDescent="0.35">
      <c r="B250" t="str">
        <f>IF(Table2427[[#This Row],[Branch Name]]="","",(_xlfn.XLOOKUP(Table2427[[#This Row],[Branch Name]],'Lookup Values'!G:G,'Lookup Values'!I:I,0)))</f>
        <v/>
      </c>
    </row>
    <row r="251" spans="2:2" x14ac:dyDescent="0.35">
      <c r="B251" t="str">
        <f>IF(Table2427[[#This Row],[Branch Name]]="","",(_xlfn.XLOOKUP(Table2427[[#This Row],[Branch Name]],'Lookup Values'!G:G,'Lookup Values'!I:I,0)))</f>
        <v/>
      </c>
    </row>
    <row r="252" spans="2:2" x14ac:dyDescent="0.35">
      <c r="B252" t="str">
        <f>IF(Table2427[[#This Row],[Branch Name]]="","",(_xlfn.XLOOKUP(Table2427[[#This Row],[Branch Name]],'Lookup Values'!G:G,'Lookup Values'!I:I,0)))</f>
        <v/>
      </c>
    </row>
    <row r="253" spans="2:2" x14ac:dyDescent="0.35">
      <c r="B253" t="str">
        <f>IF(Table2427[[#This Row],[Branch Name]]="","",(_xlfn.XLOOKUP(Table2427[[#This Row],[Branch Name]],'Lookup Values'!G:G,'Lookup Values'!I:I,0)))</f>
        <v/>
      </c>
    </row>
    <row r="254" spans="2:2" x14ac:dyDescent="0.35">
      <c r="B254" t="str">
        <f>IF(Table2427[[#This Row],[Branch Name]]="","",(_xlfn.XLOOKUP(Table2427[[#This Row],[Branch Name]],'Lookup Values'!G:G,'Lookup Values'!I:I,0)))</f>
        <v/>
      </c>
    </row>
    <row r="255" spans="2:2" x14ac:dyDescent="0.35">
      <c r="B255" t="str">
        <f>IF(Table2427[[#This Row],[Branch Name]]="","",(_xlfn.XLOOKUP(Table2427[[#This Row],[Branch Name]],'Lookup Values'!G:G,'Lookup Values'!I:I,0)))</f>
        <v/>
      </c>
    </row>
    <row r="256" spans="2:2" x14ac:dyDescent="0.35">
      <c r="B256" t="str">
        <f>IF(Table2427[[#This Row],[Branch Name]]="","",(_xlfn.XLOOKUP(Table2427[[#This Row],[Branch Name]],'Lookup Values'!G:G,'Lookup Values'!I:I,0)))</f>
        <v/>
      </c>
    </row>
    <row r="257" spans="2:2" x14ac:dyDescent="0.35">
      <c r="B257" t="str">
        <f>IF(Table2427[[#This Row],[Branch Name]]="","",(_xlfn.XLOOKUP(Table2427[[#This Row],[Branch Name]],'Lookup Values'!G:G,'Lookup Values'!I:I,0)))</f>
        <v/>
      </c>
    </row>
    <row r="258" spans="2:2" x14ac:dyDescent="0.35">
      <c r="B258" t="str">
        <f>IF(Table2427[[#This Row],[Branch Name]]="","",(_xlfn.XLOOKUP(Table2427[[#This Row],[Branch Name]],'Lookup Values'!G:G,'Lookup Values'!I:I,0)))</f>
        <v/>
      </c>
    </row>
    <row r="259" spans="2:2" x14ac:dyDescent="0.35">
      <c r="B259" t="str">
        <f>IF(Table2427[[#This Row],[Branch Name]]="","",(_xlfn.XLOOKUP(Table2427[[#This Row],[Branch Name]],'Lookup Values'!G:G,'Lookup Values'!I:I,0)))</f>
        <v/>
      </c>
    </row>
    <row r="260" spans="2:2" x14ac:dyDescent="0.35">
      <c r="B260" t="str">
        <f>IF(Table2427[[#This Row],[Branch Name]]="","",(_xlfn.XLOOKUP(Table2427[[#This Row],[Branch Name]],'Lookup Values'!G:G,'Lookup Values'!I:I,0)))</f>
        <v/>
      </c>
    </row>
    <row r="261" spans="2:2" x14ac:dyDescent="0.35">
      <c r="B261" t="str">
        <f>IF(Table2427[[#This Row],[Branch Name]]="","",(_xlfn.XLOOKUP(Table2427[[#This Row],[Branch Name]],'Lookup Values'!G:G,'Lookup Values'!I:I,0)))</f>
        <v/>
      </c>
    </row>
    <row r="262" spans="2:2" x14ac:dyDescent="0.35">
      <c r="B262" t="str">
        <f>IF(Table2427[[#This Row],[Branch Name]]="","",(_xlfn.XLOOKUP(Table2427[[#This Row],[Branch Name]],'Lookup Values'!G:G,'Lookup Values'!I:I,0)))</f>
        <v/>
      </c>
    </row>
    <row r="263" spans="2:2" x14ac:dyDescent="0.35">
      <c r="B263" t="str">
        <f>IF(Table2427[[#This Row],[Branch Name]]="","",(_xlfn.XLOOKUP(Table2427[[#This Row],[Branch Name]],'Lookup Values'!G:G,'Lookup Values'!I:I,0)))</f>
        <v/>
      </c>
    </row>
    <row r="264" spans="2:2" x14ac:dyDescent="0.35">
      <c r="B264" t="str">
        <f>IF(Table2427[[#This Row],[Branch Name]]="","",(_xlfn.XLOOKUP(Table2427[[#This Row],[Branch Name]],'Lookup Values'!G:G,'Lookup Values'!I:I,0)))</f>
        <v/>
      </c>
    </row>
    <row r="265" spans="2:2" x14ac:dyDescent="0.35">
      <c r="B265" t="str">
        <f>IF(Table2427[[#This Row],[Branch Name]]="","",(_xlfn.XLOOKUP(Table2427[[#This Row],[Branch Name]],'Lookup Values'!G:G,'Lookup Values'!I:I,0)))</f>
        <v/>
      </c>
    </row>
    <row r="266" spans="2:2" x14ac:dyDescent="0.35">
      <c r="B266" t="str">
        <f>IF(Table2427[[#This Row],[Branch Name]]="","",(_xlfn.XLOOKUP(Table2427[[#This Row],[Branch Name]],'Lookup Values'!G:G,'Lookup Values'!I:I,0)))</f>
        <v/>
      </c>
    </row>
    <row r="267" spans="2:2" x14ac:dyDescent="0.35">
      <c r="B267" t="str">
        <f>IF(Table2427[[#This Row],[Branch Name]]="","",(_xlfn.XLOOKUP(Table2427[[#This Row],[Branch Name]],'Lookup Values'!G:G,'Lookup Values'!I:I,0)))</f>
        <v/>
      </c>
    </row>
    <row r="268" spans="2:2" x14ac:dyDescent="0.35">
      <c r="B268" t="str">
        <f>IF(Table2427[[#This Row],[Branch Name]]="","",(_xlfn.XLOOKUP(Table2427[[#This Row],[Branch Name]],'Lookup Values'!G:G,'Lookup Values'!I:I,0)))</f>
        <v/>
      </c>
    </row>
    <row r="269" spans="2:2" x14ac:dyDescent="0.35">
      <c r="B269" t="str">
        <f>IF(Table2427[[#This Row],[Branch Name]]="","",(_xlfn.XLOOKUP(Table2427[[#This Row],[Branch Name]],'Lookup Values'!G:G,'Lookup Values'!I:I,0)))</f>
        <v/>
      </c>
    </row>
    <row r="270" spans="2:2" x14ac:dyDescent="0.35">
      <c r="B270" t="str">
        <f>IF(Table2427[[#This Row],[Branch Name]]="","",(_xlfn.XLOOKUP(Table2427[[#This Row],[Branch Name]],'Lookup Values'!G:G,'Lookup Values'!I:I,0)))</f>
        <v/>
      </c>
    </row>
    <row r="271" spans="2:2" x14ac:dyDescent="0.35">
      <c r="B271" t="str">
        <f>IF(Table2427[[#This Row],[Branch Name]]="","",(_xlfn.XLOOKUP(Table2427[[#This Row],[Branch Name]],'Lookup Values'!G:G,'Lookup Values'!I:I,0)))</f>
        <v/>
      </c>
    </row>
    <row r="272" spans="2:2" x14ac:dyDescent="0.35">
      <c r="B272" t="str">
        <f>IF(Table2427[[#This Row],[Branch Name]]="","",(_xlfn.XLOOKUP(Table2427[[#This Row],[Branch Name]],'Lookup Values'!G:G,'Lookup Values'!I:I,0)))</f>
        <v/>
      </c>
    </row>
    <row r="273" spans="1:4" x14ac:dyDescent="0.35">
      <c r="B273" t="str">
        <f>IF(Table2427[[#This Row],[Branch Name]]="","",(_xlfn.XLOOKUP(Table2427[[#This Row],[Branch Name]],'Lookup Values'!G:G,'Lookup Values'!I:I,0)))</f>
        <v/>
      </c>
    </row>
    <row r="274" spans="1:4" x14ac:dyDescent="0.35">
      <c r="B274" t="str">
        <f>IF(Table2427[[#This Row],[Branch Name]]="","",(_xlfn.XLOOKUP(Table2427[[#This Row],[Branch Name]],'Lookup Values'!G:G,'Lookup Values'!I:I,0)))</f>
        <v/>
      </c>
    </row>
    <row r="275" spans="1:4" x14ac:dyDescent="0.35">
      <c r="B275" t="str">
        <f>IF(Table2427[[#This Row],[Branch Name]]="","",(_xlfn.XLOOKUP(Table2427[[#This Row],[Branch Name]],'Lookup Values'!G:G,'Lookup Values'!I:I,0)))</f>
        <v/>
      </c>
    </row>
    <row r="276" spans="1:4" x14ac:dyDescent="0.35">
      <c r="B276" t="str">
        <f>IF(Table2427[[#This Row],[Branch Name]]="","",(_xlfn.XLOOKUP(Table2427[[#This Row],[Branch Name]],'Lookup Values'!G:G,'Lookup Values'!I:I,0)))</f>
        <v/>
      </c>
    </row>
    <row r="277" spans="1:4" x14ac:dyDescent="0.35">
      <c r="B277" t="str">
        <f>IF(Table2427[[#This Row],[Branch Name]]="","",(_xlfn.XLOOKUP(Table2427[[#This Row],[Branch Name]],'Lookup Values'!G:G,'Lookup Values'!I:I,0)))</f>
        <v/>
      </c>
    </row>
    <row r="278" spans="1:4" x14ac:dyDescent="0.35">
      <c r="B278" t="str">
        <f>IF(Table2427[[#This Row],[Branch Name]]="","",(_xlfn.XLOOKUP(Table2427[[#This Row],[Branch Name]],'Lookup Values'!G:G,'Lookup Values'!I:I,0)))</f>
        <v/>
      </c>
    </row>
    <row r="279" spans="1:4" x14ac:dyDescent="0.35">
      <c r="A279" t="str">
        <f>IF(Table2427[[#This Row],[Branch Name]]="","",(_xlfn.XLOOKUP(Table2427[[#This Row],[Branch Name]],'Lookup Values'!G:G,'Lookup Values'!H:H,0)))</f>
        <v/>
      </c>
      <c r="B279" t="str">
        <f>IF(Table2427[[#This Row],[Branch Name]]="","",(_xlfn.XLOOKUP(Table2427[[#This Row],[Branch Name]],'Lookup Values'!G:G,'Lookup Values'!I:I,0)))</f>
        <v/>
      </c>
      <c r="C279" t="str">
        <f>IF(Table2427[[#This Row],[Journal Description (Service Description)]]="","",1)</f>
        <v/>
      </c>
      <c r="D279" s="2" t="str">
        <f>IF(Table2427[[#This Row],[Journal Description (Service Description)]]="","",VLOOKUP(Table2427[[#This Row],[Journal Description (Service Description)]],'Lookup Values'!$A:$B,2,FALSE))</f>
        <v/>
      </c>
    </row>
    <row r="280" spans="1:4" x14ac:dyDescent="0.35">
      <c r="A280" t="str">
        <f>IF(Table2427[[#This Row],[Branch Name]]="","",(_xlfn.XLOOKUP(Table2427[[#This Row],[Branch Name]],'Lookup Values'!G:G,'Lookup Values'!H:H,0)))</f>
        <v/>
      </c>
      <c r="B280" t="str">
        <f>IF(Table2427[[#This Row],[Branch Name]]="","",(_xlfn.XLOOKUP(Table2427[[#This Row],[Branch Name]],'Lookup Values'!G:G,'Lookup Values'!I:I,0)))</f>
        <v/>
      </c>
      <c r="C280" t="str">
        <f>IF(Table2427[[#This Row],[Journal Description (Service Description)]]="","",1)</f>
        <v/>
      </c>
      <c r="D280" s="2" t="str">
        <f>IF(Table2427[[#This Row],[Journal Description (Service Description)]]="","",VLOOKUP(Table2427[[#This Row],[Journal Description (Service Description)]],'Lookup Values'!$A:$B,2,FALSE))</f>
        <v/>
      </c>
    </row>
    <row r="281" spans="1:4" x14ac:dyDescent="0.35">
      <c r="A281" t="str">
        <f>IF(Table2427[[#This Row],[Branch Name]]="","",(_xlfn.XLOOKUP(Table2427[[#This Row],[Branch Name]],'Lookup Values'!G:G,'Lookup Values'!H:H,0)))</f>
        <v/>
      </c>
      <c r="B281" t="str">
        <f>IF(Table2427[[#This Row],[Branch Name]]="","",(_xlfn.XLOOKUP(Table2427[[#This Row],[Branch Name]],'Lookup Values'!G:G,'Lookup Values'!I:I,0)))</f>
        <v/>
      </c>
      <c r="C281" t="str">
        <f>IF(Table2427[[#This Row],[Journal Description (Service Description)]]="","",1)</f>
        <v/>
      </c>
      <c r="D281" s="2" t="str">
        <f>IF(Table2427[[#This Row],[Journal Description (Service Description)]]="","",VLOOKUP(Table2427[[#This Row],[Journal Description (Service Description)]],'Lookup Values'!$A:$B,2,FALSE))</f>
        <v/>
      </c>
    </row>
    <row r="282" spans="1:4" x14ac:dyDescent="0.35">
      <c r="A282" t="str">
        <f>IF(Table2427[[#This Row],[Branch Name]]="","",(_xlfn.XLOOKUP(Table2427[[#This Row],[Branch Name]],'Lookup Values'!G:G,'Lookup Values'!H:H,0)))</f>
        <v/>
      </c>
      <c r="B282" t="str">
        <f>IF(Table2427[[#This Row],[Branch Name]]="","",(_xlfn.XLOOKUP(Table2427[[#This Row],[Branch Name]],'Lookup Values'!G:G,'Lookup Values'!I:I,0)))</f>
        <v/>
      </c>
      <c r="C282" t="str">
        <f>IF(Table2427[[#This Row],[Journal Description (Service Description)]]="","",1)</f>
        <v/>
      </c>
      <c r="D282" s="2" t="str">
        <f>IF(Table2427[[#This Row],[Journal Description (Service Description)]]="","",VLOOKUP(Table2427[[#This Row],[Journal Description (Service Description)]],'Lookup Values'!$A:$B,2,FALSE))</f>
        <v/>
      </c>
    </row>
    <row r="283" spans="1:4" x14ac:dyDescent="0.35">
      <c r="A283" t="str">
        <f>IF(Table2427[[#This Row],[Branch Name]]="","",(_xlfn.XLOOKUP(Table2427[[#This Row],[Branch Name]],'Lookup Values'!G:G,'Lookup Values'!H:H,0)))</f>
        <v/>
      </c>
      <c r="B283" t="str">
        <f>IF(Table2427[[#This Row],[Branch Name]]="","",(_xlfn.XLOOKUP(Table2427[[#This Row],[Branch Name]],'Lookup Values'!G:G,'Lookup Values'!I:I,0)))</f>
        <v/>
      </c>
      <c r="C283" t="str">
        <f>IF(Table2427[[#This Row],[Journal Description (Service Description)]]="","",1)</f>
        <v/>
      </c>
      <c r="D283" s="2" t="str">
        <f>IF(Table2427[[#This Row],[Journal Description (Service Description)]]="","",VLOOKUP(Table2427[[#This Row],[Journal Description (Service Description)]],'Lookup Values'!$A:$B,2,FALSE))</f>
        <v/>
      </c>
    </row>
    <row r="284" spans="1:4" x14ac:dyDescent="0.35">
      <c r="A284" t="str">
        <f>IF(Table2427[[#This Row],[Branch Name]]="","",(_xlfn.XLOOKUP(Table2427[[#This Row],[Branch Name]],'Lookup Values'!G:G,'Lookup Values'!H:H,0)))</f>
        <v/>
      </c>
      <c r="B284" t="str">
        <f>IF(Table2427[[#This Row],[Branch Name]]="","",(_xlfn.XLOOKUP(Table2427[[#This Row],[Branch Name]],'Lookup Values'!G:G,'Lookup Values'!I:I,0)))</f>
        <v/>
      </c>
      <c r="C284" t="str">
        <f>IF(Table2427[[#This Row],[Journal Description (Service Description)]]="","",1)</f>
        <v/>
      </c>
      <c r="D284" s="2" t="str">
        <f>IF(Table2427[[#This Row],[Journal Description (Service Description)]]="","",VLOOKUP(Table2427[[#This Row],[Journal Description (Service Description)]],'Lookup Values'!$A:$B,2,FALSE))</f>
        <v/>
      </c>
    </row>
    <row r="285" spans="1:4" x14ac:dyDescent="0.35">
      <c r="A285" t="str">
        <f>IF(Table2427[[#This Row],[Branch Name]]="","",(_xlfn.XLOOKUP(Table2427[[#This Row],[Branch Name]],'Lookup Values'!G:G,'Lookup Values'!H:H,0)))</f>
        <v/>
      </c>
      <c r="B285" t="str">
        <f>IF(Table2427[[#This Row],[Branch Name]]="","",(_xlfn.XLOOKUP(Table2427[[#This Row],[Branch Name]],'Lookup Values'!G:G,'Lookup Values'!I:I,0)))</f>
        <v/>
      </c>
      <c r="C285" t="str">
        <f>IF(Table2427[[#This Row],[Journal Description (Service Description)]]="","",1)</f>
        <v/>
      </c>
      <c r="D285" s="2" t="str">
        <f>IF(Table2427[[#This Row],[Journal Description (Service Description)]]="","",VLOOKUP(Table2427[[#This Row],[Journal Description (Service Description)]],'Lookup Values'!$A:$B,2,FALSE))</f>
        <v/>
      </c>
    </row>
    <row r="286" spans="1:4" x14ac:dyDescent="0.35">
      <c r="A286" t="str">
        <f>IF(Table2427[[#This Row],[Branch Name]]="","",(_xlfn.XLOOKUP(Table2427[[#This Row],[Branch Name]],'Lookup Values'!G:G,'Lookup Values'!H:H,0)))</f>
        <v/>
      </c>
      <c r="B286" t="str">
        <f>IF(Table2427[[#This Row],[Branch Name]]="","",(_xlfn.XLOOKUP(Table2427[[#This Row],[Branch Name]],'Lookup Values'!G:G,'Lookup Values'!I:I,0)))</f>
        <v/>
      </c>
      <c r="C286" t="str">
        <f>IF(Table2427[[#This Row],[Journal Description (Service Description)]]="","",1)</f>
        <v/>
      </c>
      <c r="D286" s="2" t="str">
        <f>IF(Table2427[[#This Row],[Journal Description (Service Description)]]="","",VLOOKUP(Table2427[[#This Row],[Journal Description (Service Description)]],'Lookup Values'!$A:$B,2,FALSE))</f>
        <v/>
      </c>
    </row>
    <row r="287" spans="1:4" x14ac:dyDescent="0.35">
      <c r="A287" t="str">
        <f>IF(Table2427[[#This Row],[Branch Name]]="","",(_xlfn.XLOOKUP(Table2427[[#This Row],[Branch Name]],'Lookup Values'!G:G,'Lookup Values'!H:H,0)))</f>
        <v/>
      </c>
      <c r="B287" t="str">
        <f>IF(Table2427[[#This Row],[Branch Name]]="","",(_xlfn.XLOOKUP(Table2427[[#This Row],[Branch Name]],'Lookup Values'!G:G,'Lookup Values'!I:I,0)))</f>
        <v/>
      </c>
      <c r="C287" t="str">
        <f>IF(Table2427[[#This Row],[Journal Description (Service Description)]]="","",1)</f>
        <v/>
      </c>
      <c r="D287" s="2" t="str">
        <f>IF(Table2427[[#This Row],[Journal Description (Service Description)]]="","",VLOOKUP(Table2427[[#This Row],[Journal Description (Service Description)]],'Lookup Values'!$A:$B,2,FALSE))</f>
        <v/>
      </c>
    </row>
    <row r="288" spans="1:4" x14ac:dyDescent="0.35">
      <c r="A288" t="str">
        <f>IF(Table2427[[#This Row],[Branch Name]]="","",(_xlfn.XLOOKUP(Table2427[[#This Row],[Branch Name]],'Lookup Values'!G:G,'Lookup Values'!H:H,0)))</f>
        <v/>
      </c>
      <c r="B288" t="str">
        <f>IF(Table2427[[#This Row],[Branch Name]]="","",(_xlfn.XLOOKUP(Table2427[[#This Row],[Branch Name]],'Lookup Values'!G:G,'Lookup Values'!I:I,0)))</f>
        <v/>
      </c>
      <c r="C288" t="str">
        <f>IF(Table2427[[#This Row],[Journal Description (Service Description)]]="","",1)</f>
        <v/>
      </c>
      <c r="D288" s="2" t="str">
        <f>IF(Table2427[[#This Row],[Journal Description (Service Description)]]="","",VLOOKUP(Table2427[[#This Row],[Journal Description (Service Description)]],'Lookup Values'!$A:$B,2,FALSE))</f>
        <v/>
      </c>
    </row>
    <row r="289" spans="1:4" x14ac:dyDescent="0.35">
      <c r="A289" t="str">
        <f>IF(Table2427[[#This Row],[Branch Name]]="","",(_xlfn.XLOOKUP(Table2427[[#This Row],[Branch Name]],'Lookup Values'!G:G,'Lookup Values'!H:H,0)))</f>
        <v/>
      </c>
      <c r="B289" t="str">
        <f>IF(Table2427[[#This Row],[Branch Name]]="","",(_xlfn.XLOOKUP(Table2427[[#This Row],[Branch Name]],'Lookup Values'!G:G,'Lookup Values'!I:I,0)))</f>
        <v/>
      </c>
      <c r="C289" t="str">
        <f>IF(Table2427[[#This Row],[Journal Description (Service Description)]]="","",1)</f>
        <v/>
      </c>
      <c r="D289" s="2" t="str">
        <f>IF(Table2427[[#This Row],[Journal Description (Service Description)]]="","",VLOOKUP(Table2427[[#This Row],[Journal Description (Service Description)]],'Lookup Values'!$A:$B,2,FALSE))</f>
        <v/>
      </c>
    </row>
    <row r="290" spans="1:4" x14ac:dyDescent="0.35">
      <c r="A290" t="str">
        <f>IF(Table2427[[#This Row],[Branch Name]]="","",(_xlfn.XLOOKUP(Table2427[[#This Row],[Branch Name]],'Lookup Values'!G:G,'Lookup Values'!H:H,0)))</f>
        <v/>
      </c>
      <c r="B290" t="str">
        <f>IF(Table2427[[#This Row],[Branch Name]]="","",(_xlfn.XLOOKUP(Table2427[[#This Row],[Branch Name]],'Lookup Values'!G:G,'Lookup Values'!I:I,0)))</f>
        <v/>
      </c>
      <c r="C290" t="str">
        <f>IF(Table2427[[#This Row],[Journal Description (Service Description)]]="","",1)</f>
        <v/>
      </c>
      <c r="D290" s="2" t="str">
        <f>IF(Table2427[[#This Row],[Journal Description (Service Description)]]="","",VLOOKUP(Table2427[[#This Row],[Journal Description (Service Description)]],'Lookup Values'!$A:$B,2,FALSE))</f>
        <v/>
      </c>
    </row>
    <row r="291" spans="1:4" x14ac:dyDescent="0.35">
      <c r="A291" t="str">
        <f>IF(Table2427[[#This Row],[Branch Name]]="","",(_xlfn.XLOOKUP(Table2427[[#This Row],[Branch Name]],'Lookup Values'!G:G,'Lookup Values'!H:H,0)))</f>
        <v/>
      </c>
      <c r="B291" t="str">
        <f>IF(Table2427[[#This Row],[Branch Name]]="","",(_xlfn.XLOOKUP(Table2427[[#This Row],[Branch Name]],'Lookup Values'!G:G,'Lookup Values'!I:I,0)))</f>
        <v/>
      </c>
      <c r="C291" t="str">
        <f>IF(Table2427[[#This Row],[Journal Description (Service Description)]]="","",1)</f>
        <v/>
      </c>
      <c r="D291" s="2" t="str">
        <f>IF(Table2427[[#This Row],[Journal Description (Service Description)]]="","",VLOOKUP(Table2427[[#This Row],[Journal Description (Service Description)]],'Lookup Values'!$A:$B,2,FALSE))</f>
        <v/>
      </c>
    </row>
    <row r="292" spans="1:4" x14ac:dyDescent="0.35">
      <c r="A292" t="str">
        <f>IF(Table2427[[#This Row],[Branch Name]]="","",(_xlfn.XLOOKUP(Table2427[[#This Row],[Branch Name]],'Lookup Values'!G:G,'Lookup Values'!H:H,0)))</f>
        <v/>
      </c>
      <c r="B292" t="str">
        <f>IF(Table2427[[#This Row],[Branch Name]]="","",(_xlfn.XLOOKUP(Table2427[[#This Row],[Branch Name]],'Lookup Values'!G:G,'Lookup Values'!I:I,0)))</f>
        <v/>
      </c>
      <c r="C292" t="str">
        <f>IF(Table2427[[#This Row],[Journal Description (Service Description)]]="","",1)</f>
        <v/>
      </c>
      <c r="D292" s="2" t="str">
        <f>IF(Table2427[[#This Row],[Journal Description (Service Description)]]="","",VLOOKUP(Table2427[[#This Row],[Journal Description (Service Description)]],'Lookup Values'!$A:$B,2,FALSE))</f>
        <v/>
      </c>
    </row>
    <row r="293" spans="1:4" x14ac:dyDescent="0.35">
      <c r="A293" t="str">
        <f>IF(Table2427[[#This Row],[Branch Name]]="","",(_xlfn.XLOOKUP(Table2427[[#This Row],[Branch Name]],'Lookup Values'!G:G,'Lookup Values'!H:H,0)))</f>
        <v/>
      </c>
      <c r="B293" t="str">
        <f>IF(Table2427[[#This Row],[Branch Name]]="","",(_xlfn.XLOOKUP(Table2427[[#This Row],[Branch Name]],'Lookup Values'!G:G,'Lookup Values'!I:I,0)))</f>
        <v/>
      </c>
      <c r="C293" t="str">
        <f>IF(Table2427[[#This Row],[Journal Description (Service Description)]]="","",1)</f>
        <v/>
      </c>
      <c r="D293" s="2" t="str">
        <f>IF(Table2427[[#This Row],[Journal Description (Service Description)]]="","",VLOOKUP(Table2427[[#This Row],[Journal Description (Service Description)]],'Lookup Values'!$A:$B,2,FALSE))</f>
        <v/>
      </c>
    </row>
    <row r="294" spans="1:4" x14ac:dyDescent="0.35">
      <c r="A294" t="str">
        <f>IF(Table2427[[#This Row],[Branch Name]]="","",(_xlfn.XLOOKUP(Table2427[[#This Row],[Branch Name]],'Lookup Values'!G:G,'Lookup Values'!H:H,0)))</f>
        <v/>
      </c>
      <c r="B294" t="str">
        <f>IF(Table2427[[#This Row],[Branch Name]]="","",(_xlfn.XLOOKUP(Table2427[[#This Row],[Branch Name]],'Lookup Values'!G:G,'Lookup Values'!I:I,0)))</f>
        <v/>
      </c>
      <c r="C294" t="str">
        <f>IF(Table2427[[#This Row],[Journal Description (Service Description)]]="","",1)</f>
        <v/>
      </c>
      <c r="D294" s="2" t="str">
        <f>IF(Table2427[[#This Row],[Journal Description (Service Description)]]="","",VLOOKUP(Table2427[[#This Row],[Journal Description (Service Description)]],'Lookup Values'!$A:$B,2,FALSE))</f>
        <v/>
      </c>
    </row>
    <row r="295" spans="1:4" x14ac:dyDescent="0.35">
      <c r="A295" t="str">
        <f>IF(Table2427[[#This Row],[Branch Name]]="","",(_xlfn.XLOOKUP(Table2427[[#This Row],[Branch Name]],'Lookup Values'!G:G,'Lookup Values'!H:H,0)))</f>
        <v/>
      </c>
      <c r="B295" t="str">
        <f>IF(Table2427[[#This Row],[Branch Name]]="","",(_xlfn.XLOOKUP(Table2427[[#This Row],[Branch Name]],'Lookup Values'!G:G,'Lookup Values'!I:I,0)))</f>
        <v/>
      </c>
      <c r="C295" t="str">
        <f>IF(Table2427[[#This Row],[Journal Description (Service Description)]]="","",1)</f>
        <v/>
      </c>
      <c r="D295" s="2" t="str">
        <f>IF(Table2427[[#This Row],[Journal Description (Service Description)]]="","",VLOOKUP(Table2427[[#This Row],[Journal Description (Service Description)]],'Lookup Values'!$A:$B,2,FALSE))</f>
        <v/>
      </c>
    </row>
    <row r="296" spans="1:4" x14ac:dyDescent="0.35">
      <c r="A296" t="str">
        <f>IF(Table2427[[#This Row],[Branch Name]]="","",(_xlfn.XLOOKUP(Table2427[[#This Row],[Branch Name]],'Lookup Values'!G:G,'Lookup Values'!H:H,0)))</f>
        <v/>
      </c>
      <c r="B296" t="str">
        <f>IF(Table2427[[#This Row],[Branch Name]]="","",(_xlfn.XLOOKUP(Table2427[[#This Row],[Branch Name]],'Lookup Values'!G:G,'Lookup Values'!I:I,0)))</f>
        <v/>
      </c>
      <c r="C296" t="str">
        <f>IF(Table2427[[#This Row],[Journal Description (Service Description)]]="","",1)</f>
        <v/>
      </c>
      <c r="D296" s="2" t="str">
        <f>IF(Table2427[[#This Row],[Journal Description (Service Description)]]="","",VLOOKUP(Table2427[[#This Row],[Journal Description (Service Description)]],'Lookup Values'!$A:$B,2,FALSE))</f>
        <v/>
      </c>
    </row>
    <row r="297" spans="1:4" x14ac:dyDescent="0.35">
      <c r="A297" t="str">
        <f>IF(Table2427[[#This Row],[Branch Name]]="","",(_xlfn.XLOOKUP(Table2427[[#This Row],[Branch Name]],'Lookup Values'!G:G,'Lookup Values'!H:H,0)))</f>
        <v/>
      </c>
      <c r="B297" t="str">
        <f>IF(Table2427[[#This Row],[Branch Name]]="","",(_xlfn.XLOOKUP(Table2427[[#This Row],[Branch Name]],'Lookup Values'!G:G,'Lookup Values'!I:I,0)))</f>
        <v/>
      </c>
      <c r="C297" t="str">
        <f>IF(Table2427[[#This Row],[Journal Description (Service Description)]]="","",1)</f>
        <v/>
      </c>
      <c r="D297" s="2" t="str">
        <f>IF(Table2427[[#This Row],[Journal Description (Service Description)]]="","",VLOOKUP(Table2427[[#This Row],[Journal Description (Service Description)]],'Lookup Values'!$A:$B,2,FALSE))</f>
        <v/>
      </c>
    </row>
    <row r="298" spans="1:4" x14ac:dyDescent="0.35">
      <c r="A298" t="str">
        <f>IF(Table2427[[#This Row],[Branch Name]]="","",(_xlfn.XLOOKUP(Table2427[[#This Row],[Branch Name]],'Lookup Values'!G:G,'Lookup Values'!H:H,0)))</f>
        <v/>
      </c>
      <c r="B298" t="str">
        <f>IF(Table2427[[#This Row],[Branch Name]]="","",(_xlfn.XLOOKUP(Table2427[[#This Row],[Branch Name]],'Lookup Values'!G:G,'Lookup Values'!I:I,0)))</f>
        <v/>
      </c>
      <c r="C298" t="str">
        <f>IF(Table2427[[#This Row],[Journal Description (Service Description)]]="","",1)</f>
        <v/>
      </c>
      <c r="D298" s="2" t="str">
        <f>IF(Table2427[[#This Row],[Journal Description (Service Description)]]="","",VLOOKUP(Table2427[[#This Row],[Journal Description (Service Description)]],'Lookup Values'!$A:$B,2,FALSE))</f>
        <v/>
      </c>
    </row>
    <row r="299" spans="1:4" x14ac:dyDescent="0.35">
      <c r="A299" t="str">
        <f>IF(Table2427[[#This Row],[Branch Name]]="","",(_xlfn.XLOOKUP(Table2427[[#This Row],[Branch Name]],'Lookup Values'!G:G,'Lookup Values'!H:H,0)))</f>
        <v/>
      </c>
      <c r="B299" t="str">
        <f>IF(Table2427[[#This Row],[Branch Name]]="","",(_xlfn.XLOOKUP(Table2427[[#This Row],[Branch Name]],'Lookup Values'!G:G,'Lookup Values'!I:I,0)))</f>
        <v/>
      </c>
      <c r="C299" t="str">
        <f>IF(Table2427[[#This Row],[Journal Description (Service Description)]]="","",1)</f>
        <v/>
      </c>
      <c r="D299" s="2" t="str">
        <f>IF(Table2427[[#This Row],[Journal Description (Service Description)]]="","",VLOOKUP(Table2427[[#This Row],[Journal Description (Service Description)]],'Lookup Values'!$A:$B,2,FALSE))</f>
        <v/>
      </c>
    </row>
    <row r="300" spans="1:4" x14ac:dyDescent="0.35">
      <c r="A300" t="str">
        <f>IF(Table2427[[#This Row],[Branch Name]]="","",(_xlfn.XLOOKUP(Table2427[[#This Row],[Branch Name]],'Lookup Values'!G:G,'Lookup Values'!H:H,0)))</f>
        <v/>
      </c>
      <c r="B300" t="str">
        <f>IF(Table2427[[#This Row],[Branch Name]]="","",(_xlfn.XLOOKUP(Table2427[[#This Row],[Branch Name]],'Lookup Values'!G:G,'Lookup Values'!I:I,0)))</f>
        <v/>
      </c>
      <c r="C300" t="str">
        <f>IF(Table2427[[#This Row],[Journal Description (Service Description)]]="","",1)</f>
        <v/>
      </c>
      <c r="D300" s="2" t="str">
        <f>IF(Table2427[[#This Row],[Journal Description (Service Description)]]="","",VLOOKUP(Table2427[[#This Row],[Journal Description (Service Description)]],'Lookup Values'!$A:$B,2,FALSE))</f>
        <v/>
      </c>
    </row>
    <row r="301" spans="1:4" x14ac:dyDescent="0.35">
      <c r="A301" t="str">
        <f>IF(Table2427[[#This Row],[Branch Name]]="","",(_xlfn.XLOOKUP(Table2427[[#This Row],[Branch Name]],'Lookup Values'!G:G,'Lookup Values'!H:H,0)))</f>
        <v/>
      </c>
      <c r="B301" t="str">
        <f>IF(Table2427[[#This Row],[Branch Name]]="","",(_xlfn.XLOOKUP(Table2427[[#This Row],[Branch Name]],'Lookup Values'!G:G,'Lookup Values'!I:I,0)))</f>
        <v/>
      </c>
      <c r="C301" t="str">
        <f>IF(Table2427[[#This Row],[Journal Description (Service Description)]]="","",1)</f>
        <v/>
      </c>
      <c r="D301" s="2" t="str">
        <f>IF(Table2427[[#This Row],[Journal Description (Service Description)]]="","",VLOOKUP(Table2427[[#This Row],[Journal Description (Service Description)]],'Lookup Values'!$A:$B,2,FALSE))</f>
        <v/>
      </c>
    </row>
    <row r="302" spans="1:4" x14ac:dyDescent="0.35">
      <c r="A302" t="str">
        <f>IF(Table2427[[#This Row],[Branch Name]]="","",(_xlfn.XLOOKUP(Table2427[[#This Row],[Branch Name]],'Lookup Values'!G:G,'Lookup Values'!H:H,0)))</f>
        <v/>
      </c>
      <c r="B302" t="str">
        <f>IF(Table2427[[#This Row],[Branch Name]]="","",(_xlfn.XLOOKUP(Table2427[[#This Row],[Branch Name]],'Lookup Values'!G:G,'Lookup Values'!I:I,0)))</f>
        <v/>
      </c>
      <c r="C302" t="str">
        <f>IF(Table2427[[#This Row],[Journal Description (Service Description)]]="","",1)</f>
        <v/>
      </c>
      <c r="D302" s="2" t="str">
        <f>IF(Table2427[[#This Row],[Journal Description (Service Description)]]="","",VLOOKUP(Table2427[[#This Row],[Journal Description (Service Description)]],'Lookup Values'!$A:$B,2,FALSE))</f>
        <v/>
      </c>
    </row>
    <row r="303" spans="1:4" x14ac:dyDescent="0.35">
      <c r="A303" t="str">
        <f>IF(Table2427[[#This Row],[Branch Name]]="","",(_xlfn.XLOOKUP(Table2427[[#This Row],[Branch Name]],'Lookup Values'!G:G,'Lookup Values'!H:H,0)))</f>
        <v/>
      </c>
      <c r="B303" t="str">
        <f>IF(Table2427[[#This Row],[Branch Name]]="","",(_xlfn.XLOOKUP(Table2427[[#This Row],[Branch Name]],'Lookup Values'!G:G,'Lookup Values'!I:I,0)))</f>
        <v/>
      </c>
      <c r="C303" t="str">
        <f>IF(Table2427[[#This Row],[Journal Description (Service Description)]]="","",1)</f>
        <v/>
      </c>
      <c r="D303" s="2" t="str">
        <f>IF(Table2427[[#This Row],[Journal Description (Service Description)]]="","",VLOOKUP(Table2427[[#This Row],[Journal Description (Service Description)]],'Lookup Values'!$A:$B,2,FALSE))</f>
        <v/>
      </c>
    </row>
    <row r="304" spans="1:4" x14ac:dyDescent="0.35">
      <c r="A304" t="str">
        <f>IF(Table2427[[#This Row],[Branch Name]]="","",(_xlfn.XLOOKUP(Table2427[[#This Row],[Branch Name]],'Lookup Values'!G:G,'Lookup Values'!H:H,0)))</f>
        <v/>
      </c>
      <c r="B304" t="str">
        <f>IF(Table2427[[#This Row],[Branch Name]]="","",(_xlfn.XLOOKUP(Table2427[[#This Row],[Branch Name]],'Lookup Values'!G:G,'Lookup Values'!I:I,0)))</f>
        <v/>
      </c>
      <c r="C304" t="str">
        <f>IF(Table2427[[#This Row],[Journal Description (Service Description)]]="","",1)</f>
        <v/>
      </c>
      <c r="D304" s="2" t="str">
        <f>IF(Table2427[[#This Row],[Journal Description (Service Description)]]="","",VLOOKUP(Table2427[[#This Row],[Journal Description (Service Description)]],'Lookup Values'!$A:$B,2,FALSE))</f>
        <v/>
      </c>
    </row>
    <row r="305" spans="1:4" x14ac:dyDescent="0.35">
      <c r="A305" t="str">
        <f>IF(Table2427[[#This Row],[Branch Name]]="","",(_xlfn.XLOOKUP(Table2427[[#This Row],[Branch Name]],'Lookup Values'!G:G,'Lookup Values'!H:H,0)))</f>
        <v/>
      </c>
      <c r="B305" t="str">
        <f>IF(Table2427[[#This Row],[Branch Name]]="","",(_xlfn.XLOOKUP(Table2427[[#This Row],[Branch Name]],'Lookup Values'!G:G,'Lookup Values'!I:I,0)))</f>
        <v/>
      </c>
      <c r="C305" t="str">
        <f>IF(Table2427[[#This Row],[Journal Description (Service Description)]]="","",1)</f>
        <v/>
      </c>
      <c r="D305" s="2" t="str">
        <f>IF(Table2427[[#This Row],[Journal Description (Service Description)]]="","",VLOOKUP(Table2427[[#This Row],[Journal Description (Service Description)]],'Lookup Values'!$A:$B,2,FALSE))</f>
        <v/>
      </c>
    </row>
    <row r="306" spans="1:4" x14ac:dyDescent="0.35">
      <c r="A306" t="str">
        <f>IF(Table2427[[#This Row],[Branch Name]]="","",(_xlfn.XLOOKUP(Table2427[[#This Row],[Branch Name]],'Lookup Values'!G:G,'Lookup Values'!H:H,0)))</f>
        <v/>
      </c>
      <c r="B306" t="str">
        <f>IF(Table2427[[#This Row],[Branch Name]]="","",(_xlfn.XLOOKUP(Table2427[[#This Row],[Branch Name]],'Lookup Values'!G:G,'Lookup Values'!I:I,0)))</f>
        <v/>
      </c>
      <c r="C306" t="str">
        <f>IF(Table2427[[#This Row],[Journal Description (Service Description)]]="","",1)</f>
        <v/>
      </c>
      <c r="D306" s="2" t="str">
        <f>IF(Table2427[[#This Row],[Journal Description (Service Description)]]="","",VLOOKUP(Table2427[[#This Row],[Journal Description (Service Description)]],'Lookup Values'!$A:$B,2,FALSE))</f>
        <v/>
      </c>
    </row>
    <row r="307" spans="1:4" x14ac:dyDescent="0.35">
      <c r="A307" t="str">
        <f>IF(Table2427[[#This Row],[Branch Name]]="","",(_xlfn.XLOOKUP(Table2427[[#This Row],[Branch Name]],'Lookup Values'!G:G,'Lookup Values'!H:H,0)))</f>
        <v/>
      </c>
      <c r="B307" t="str">
        <f>IF(Table2427[[#This Row],[Branch Name]]="","",(_xlfn.XLOOKUP(Table2427[[#This Row],[Branch Name]],'Lookup Values'!G:G,'Lookup Values'!I:I,0)))</f>
        <v/>
      </c>
      <c r="C307" t="str">
        <f>IF(Table2427[[#This Row],[Journal Description (Service Description)]]="","",1)</f>
        <v/>
      </c>
      <c r="D307" s="2" t="str">
        <f>IF(Table2427[[#This Row],[Journal Description (Service Description)]]="","",VLOOKUP(Table2427[[#This Row],[Journal Description (Service Description)]],'Lookup Values'!$A:$B,2,FALSE))</f>
        <v/>
      </c>
    </row>
    <row r="308" spans="1:4" x14ac:dyDescent="0.35">
      <c r="A308" t="str">
        <f>IF(Table2427[[#This Row],[Branch Name]]="","",(_xlfn.XLOOKUP(Table2427[[#This Row],[Branch Name]],'Lookup Values'!G:G,'Lookup Values'!H:H,0)))</f>
        <v/>
      </c>
      <c r="B308" t="str">
        <f>IF(Table2427[[#This Row],[Branch Name]]="","",(_xlfn.XLOOKUP(Table2427[[#This Row],[Branch Name]],'Lookup Values'!G:G,'Lookup Values'!I:I,0)))</f>
        <v/>
      </c>
      <c r="C308" t="str">
        <f>IF(Table2427[[#This Row],[Journal Description (Service Description)]]="","",1)</f>
        <v/>
      </c>
      <c r="D308" s="2" t="str">
        <f>IF(Table2427[[#This Row],[Journal Description (Service Description)]]="","",VLOOKUP(Table2427[[#This Row],[Journal Description (Service Description)]],'Lookup Values'!$A:$B,2,FALSE))</f>
        <v/>
      </c>
    </row>
    <row r="309" spans="1:4" x14ac:dyDescent="0.35">
      <c r="A309" t="str">
        <f>IF(Table2427[[#This Row],[Branch Name]]="","",(_xlfn.XLOOKUP(Table2427[[#This Row],[Branch Name]],'Lookup Values'!G:G,'Lookup Values'!H:H,0)))</f>
        <v/>
      </c>
      <c r="B309" t="str">
        <f>IF(Table2427[[#This Row],[Branch Name]]="","",(_xlfn.XLOOKUP(Table2427[[#This Row],[Branch Name]],'Lookup Values'!G:G,'Lookup Values'!I:I,0)))</f>
        <v/>
      </c>
      <c r="C309" t="str">
        <f>IF(Table2427[[#This Row],[Journal Description (Service Description)]]="","",1)</f>
        <v/>
      </c>
      <c r="D309" s="2" t="str">
        <f>IF(Table2427[[#This Row],[Journal Description (Service Description)]]="","",VLOOKUP(Table2427[[#This Row],[Journal Description (Service Description)]],'Lookup Values'!$A:$B,2,FALSE))</f>
        <v/>
      </c>
    </row>
    <row r="310" spans="1:4" x14ac:dyDescent="0.35">
      <c r="A310" t="str">
        <f>IF(Table2427[[#This Row],[Branch Name]]="","",(_xlfn.XLOOKUP(Table2427[[#This Row],[Branch Name]],'Lookup Values'!G:G,'Lookup Values'!H:H,0)))</f>
        <v/>
      </c>
      <c r="B310" t="str">
        <f>IF(Table2427[[#This Row],[Branch Name]]="","",(_xlfn.XLOOKUP(Table2427[[#This Row],[Branch Name]],'Lookup Values'!G:G,'Lookup Values'!I:I,0)))</f>
        <v/>
      </c>
      <c r="C310" t="str">
        <f>IF(Table2427[[#This Row],[Journal Description (Service Description)]]="","",1)</f>
        <v/>
      </c>
      <c r="D310" s="2" t="str">
        <f>IF(Table2427[[#This Row],[Journal Description (Service Description)]]="","",VLOOKUP(Table2427[[#This Row],[Journal Description (Service Description)]],'Lookup Values'!$A:$B,2,FALSE))</f>
        <v/>
      </c>
    </row>
    <row r="311" spans="1:4" x14ac:dyDescent="0.35">
      <c r="A311" t="str">
        <f>IF(Table2427[[#This Row],[Branch Name]]="","",(_xlfn.XLOOKUP(Table2427[[#This Row],[Branch Name]],'Lookup Values'!G:G,'Lookup Values'!H:H,0)))</f>
        <v/>
      </c>
      <c r="B311" t="str">
        <f>IF(Table2427[[#This Row],[Branch Name]]="","",(_xlfn.XLOOKUP(Table2427[[#This Row],[Branch Name]],'Lookup Values'!G:G,'Lookup Values'!I:I,0)))</f>
        <v/>
      </c>
      <c r="C311" t="str">
        <f>IF(Table2427[[#This Row],[Journal Description (Service Description)]]="","",1)</f>
        <v/>
      </c>
      <c r="D311" s="2" t="str">
        <f>IF(Table2427[[#This Row],[Journal Description (Service Description)]]="","",VLOOKUP(Table2427[[#This Row],[Journal Description (Service Description)]],'Lookup Values'!$A:$B,2,FALSE))</f>
        <v/>
      </c>
    </row>
    <row r="312" spans="1:4" x14ac:dyDescent="0.35">
      <c r="A312" t="str">
        <f>IF(Table2427[[#This Row],[Branch Name]]="","",(_xlfn.XLOOKUP(Table2427[[#This Row],[Branch Name]],'Lookup Values'!G:G,'Lookup Values'!H:H,0)))</f>
        <v/>
      </c>
      <c r="B312" t="str">
        <f>IF(Table2427[[#This Row],[Branch Name]]="","",(_xlfn.XLOOKUP(Table2427[[#This Row],[Branch Name]],'Lookup Values'!G:G,'Lookup Values'!I:I,0)))</f>
        <v/>
      </c>
      <c r="C312" t="str">
        <f>IF(Table2427[[#This Row],[Journal Description (Service Description)]]="","",1)</f>
        <v/>
      </c>
      <c r="D312" s="2" t="str">
        <f>IF(Table2427[[#This Row],[Journal Description (Service Description)]]="","",VLOOKUP(Table2427[[#This Row],[Journal Description (Service Description)]],'Lookup Values'!$A:$B,2,FALSE))</f>
        <v/>
      </c>
    </row>
    <row r="313" spans="1:4" x14ac:dyDescent="0.35">
      <c r="A313" t="str">
        <f>IF(Table2427[[#This Row],[Branch Name]]="","",(_xlfn.XLOOKUP(Table2427[[#This Row],[Branch Name]],'Lookup Values'!G:G,'Lookup Values'!H:H,0)))</f>
        <v/>
      </c>
      <c r="B313" t="str">
        <f>IF(Table2427[[#This Row],[Branch Name]]="","",(_xlfn.XLOOKUP(Table2427[[#This Row],[Branch Name]],'Lookup Values'!G:G,'Lookup Values'!I:I,0)))</f>
        <v/>
      </c>
      <c r="C313" t="str">
        <f>IF(Table2427[[#This Row],[Journal Description (Service Description)]]="","",1)</f>
        <v/>
      </c>
      <c r="D313" s="2" t="str">
        <f>IF(Table2427[[#This Row],[Journal Description (Service Description)]]="","",VLOOKUP(Table2427[[#This Row],[Journal Description (Service Description)]],'Lookup Values'!$A:$B,2,FALSE))</f>
        <v/>
      </c>
    </row>
    <row r="314" spans="1:4" x14ac:dyDescent="0.35">
      <c r="A314" t="str">
        <f>IF(Table2427[[#This Row],[Branch Name]]="","",(_xlfn.XLOOKUP(Table2427[[#This Row],[Branch Name]],'Lookup Values'!G:G,'Lookup Values'!H:H,0)))</f>
        <v/>
      </c>
      <c r="B314" t="str">
        <f>IF(Table2427[[#This Row],[Branch Name]]="","",(_xlfn.XLOOKUP(Table2427[[#This Row],[Branch Name]],'Lookup Values'!G:G,'Lookup Values'!I:I,0)))</f>
        <v/>
      </c>
      <c r="C314" t="str">
        <f>IF(Table2427[[#This Row],[Journal Description (Service Description)]]="","",1)</f>
        <v/>
      </c>
      <c r="D314" s="2" t="str">
        <f>IF(Table2427[[#This Row],[Journal Description (Service Description)]]="","",VLOOKUP(Table2427[[#This Row],[Journal Description (Service Description)]],'Lookup Values'!$A:$B,2,FALSE))</f>
        <v/>
      </c>
    </row>
    <row r="315" spans="1:4" x14ac:dyDescent="0.35">
      <c r="A315" t="str">
        <f>IF(Table2427[[#This Row],[Branch Name]]="","",(_xlfn.XLOOKUP(Table2427[[#This Row],[Branch Name]],'Lookup Values'!G:G,'Lookup Values'!H:H,0)))</f>
        <v/>
      </c>
      <c r="B315" t="str">
        <f>IF(Table2427[[#This Row],[Branch Name]]="","",(_xlfn.XLOOKUP(Table2427[[#This Row],[Branch Name]],'Lookup Values'!G:G,'Lookup Values'!I:I,0)))</f>
        <v/>
      </c>
      <c r="C315" t="str">
        <f>IF(Table2427[[#This Row],[Journal Description (Service Description)]]="","",1)</f>
        <v/>
      </c>
      <c r="D315" s="2" t="str">
        <f>IF(Table2427[[#This Row],[Journal Description (Service Description)]]="","",VLOOKUP(Table2427[[#This Row],[Journal Description (Service Description)]],'Lookup Values'!$A:$B,2,FALSE))</f>
        <v/>
      </c>
    </row>
    <row r="316" spans="1:4" x14ac:dyDescent="0.35">
      <c r="A316" t="str">
        <f>IF(Table2427[[#This Row],[Branch Name]]="","",(_xlfn.XLOOKUP(Table2427[[#This Row],[Branch Name]],'Lookup Values'!G:G,'Lookup Values'!H:H,0)))</f>
        <v/>
      </c>
      <c r="B316" t="str">
        <f>IF(Table2427[[#This Row],[Branch Name]]="","",(_xlfn.XLOOKUP(Table2427[[#This Row],[Branch Name]],'Lookup Values'!G:G,'Lookup Values'!I:I,0)))</f>
        <v/>
      </c>
      <c r="C316" t="str">
        <f>IF(Table2427[[#This Row],[Journal Description (Service Description)]]="","",1)</f>
        <v/>
      </c>
      <c r="D316" s="2" t="str">
        <f>IF(Table2427[[#This Row],[Journal Description (Service Description)]]="","",VLOOKUP(Table2427[[#This Row],[Journal Description (Service Description)]],'Lookup Values'!$A:$B,2,FALSE))</f>
        <v/>
      </c>
    </row>
    <row r="317" spans="1:4" x14ac:dyDescent="0.35">
      <c r="A317" t="str">
        <f>IF(Table2427[[#This Row],[Branch Name]]="","",(_xlfn.XLOOKUP(Table2427[[#This Row],[Branch Name]],'Lookup Values'!G:G,'Lookup Values'!H:H,0)))</f>
        <v/>
      </c>
      <c r="B317" t="str">
        <f>IF(Table2427[[#This Row],[Branch Name]]="","",(_xlfn.XLOOKUP(Table2427[[#This Row],[Branch Name]],'Lookup Values'!G:G,'Lookup Values'!I:I,0)))</f>
        <v/>
      </c>
      <c r="C317" t="str">
        <f>IF(Table2427[[#This Row],[Journal Description (Service Description)]]="","",1)</f>
        <v/>
      </c>
      <c r="D317" s="2" t="str">
        <f>IF(Table2427[[#This Row],[Journal Description (Service Description)]]="","",VLOOKUP(Table2427[[#This Row],[Journal Description (Service Description)]],'Lookup Values'!$A:$B,2,FALSE))</f>
        <v/>
      </c>
    </row>
    <row r="318" spans="1:4" x14ac:dyDescent="0.35">
      <c r="A318" t="str">
        <f>IF(Table2427[[#This Row],[Branch Name]]="","",(_xlfn.XLOOKUP(Table2427[[#This Row],[Branch Name]],'Lookup Values'!G:G,'Lookup Values'!H:H,0)))</f>
        <v/>
      </c>
      <c r="B318" t="str">
        <f>IF(Table2427[[#This Row],[Branch Name]]="","",(_xlfn.XLOOKUP(Table2427[[#This Row],[Branch Name]],'Lookup Values'!G:G,'Lookup Values'!I:I,0)))</f>
        <v/>
      </c>
      <c r="C318" t="str">
        <f>IF(Table2427[[#This Row],[Journal Description (Service Description)]]="","",1)</f>
        <v/>
      </c>
      <c r="D318" s="2" t="str">
        <f>IF(Table2427[[#This Row],[Journal Description (Service Description)]]="","",VLOOKUP(Table2427[[#This Row],[Journal Description (Service Description)]],'Lookup Values'!$A:$B,2,FALSE))</f>
        <v/>
      </c>
    </row>
    <row r="319" spans="1:4" x14ac:dyDescent="0.35">
      <c r="A319" t="str">
        <f>IF(Table2427[[#This Row],[Branch Name]]="","",(_xlfn.XLOOKUP(Table2427[[#This Row],[Branch Name]],'Lookup Values'!G:G,'Lookup Values'!H:H,0)))</f>
        <v/>
      </c>
      <c r="B319" t="str">
        <f>IF(Table2427[[#This Row],[Branch Name]]="","",(_xlfn.XLOOKUP(Table2427[[#This Row],[Branch Name]],'Lookup Values'!G:G,'Lookup Values'!I:I,0)))</f>
        <v/>
      </c>
      <c r="C319" t="str">
        <f>IF(Table2427[[#This Row],[Journal Description (Service Description)]]="","",1)</f>
        <v/>
      </c>
      <c r="D319" s="2" t="str">
        <f>IF(Table2427[[#This Row],[Journal Description (Service Description)]]="","",VLOOKUP(Table2427[[#This Row],[Journal Description (Service Description)]],'Lookup Values'!$A:$B,2,FALSE))</f>
        <v/>
      </c>
    </row>
    <row r="320" spans="1:4" x14ac:dyDescent="0.35">
      <c r="A320" t="str">
        <f>IF(Table2427[[#This Row],[Branch Name]]="","",(_xlfn.XLOOKUP(Table2427[[#This Row],[Branch Name]],'Lookup Values'!G:G,'Lookup Values'!H:H,0)))</f>
        <v/>
      </c>
      <c r="B320" t="str">
        <f>IF(Table2427[[#This Row],[Branch Name]]="","",(_xlfn.XLOOKUP(Table2427[[#This Row],[Branch Name]],'Lookup Values'!G:G,'Lookup Values'!I:I,0)))</f>
        <v/>
      </c>
      <c r="C320" t="str">
        <f>IF(Table2427[[#This Row],[Journal Description (Service Description)]]="","",1)</f>
        <v/>
      </c>
      <c r="D320" s="2" t="str">
        <f>IF(Table2427[[#This Row],[Journal Description (Service Description)]]="","",VLOOKUP(Table2427[[#This Row],[Journal Description (Service Description)]],'Lookup Values'!$A:$B,2,FALSE))</f>
        <v/>
      </c>
    </row>
    <row r="321" spans="1:4" x14ac:dyDescent="0.35">
      <c r="A321" t="str">
        <f>IF(Table2427[[#This Row],[Branch Name]]="","",(_xlfn.XLOOKUP(Table2427[[#This Row],[Branch Name]],'Lookup Values'!G:G,'Lookup Values'!H:H,0)))</f>
        <v/>
      </c>
      <c r="B321" t="str">
        <f>IF(Table2427[[#This Row],[Branch Name]]="","",(_xlfn.XLOOKUP(Table2427[[#This Row],[Branch Name]],'Lookup Values'!G:G,'Lookup Values'!I:I,0)))</f>
        <v/>
      </c>
      <c r="C321" t="str">
        <f>IF(Table2427[[#This Row],[Journal Description (Service Description)]]="","",1)</f>
        <v/>
      </c>
      <c r="D321" s="2" t="str">
        <f>IF(Table2427[[#This Row],[Journal Description (Service Description)]]="","",VLOOKUP(Table2427[[#This Row],[Journal Description (Service Description)]],'Lookup Values'!$A:$B,2,FALSE))</f>
        <v/>
      </c>
    </row>
    <row r="322" spans="1:4" x14ac:dyDescent="0.35">
      <c r="A322" t="str">
        <f>IF(Table2427[[#This Row],[Branch Name]]="","",(_xlfn.XLOOKUP(Table2427[[#This Row],[Branch Name]],'Lookup Values'!G:G,'Lookup Values'!H:H,0)))</f>
        <v/>
      </c>
      <c r="B322" t="str">
        <f>IF(Table2427[[#This Row],[Branch Name]]="","",(_xlfn.XLOOKUP(Table2427[[#This Row],[Branch Name]],'Lookup Values'!G:G,'Lookup Values'!I:I,0)))</f>
        <v/>
      </c>
      <c r="C322" t="str">
        <f>IF(Table2427[[#This Row],[Journal Description (Service Description)]]="","",1)</f>
        <v/>
      </c>
      <c r="D322" s="2" t="str">
        <f>IF(Table2427[[#This Row],[Journal Description (Service Description)]]="","",VLOOKUP(Table2427[[#This Row],[Journal Description (Service Description)]],'Lookup Values'!$A:$B,2,FALSE))</f>
        <v/>
      </c>
    </row>
    <row r="323" spans="1:4" x14ac:dyDescent="0.35">
      <c r="A323" t="str">
        <f>IF(Table2427[[#This Row],[Branch Name]]="","",(_xlfn.XLOOKUP(Table2427[[#This Row],[Branch Name]],'Lookup Values'!G:G,'Lookup Values'!H:H,0)))</f>
        <v/>
      </c>
      <c r="B323" t="str">
        <f>IF(Table2427[[#This Row],[Branch Name]]="","",(_xlfn.XLOOKUP(Table2427[[#This Row],[Branch Name]],'Lookup Values'!G:G,'Lookup Values'!I:I,0)))</f>
        <v/>
      </c>
      <c r="C323" t="str">
        <f>IF(Table2427[[#This Row],[Journal Description (Service Description)]]="","",1)</f>
        <v/>
      </c>
      <c r="D323" s="2" t="str">
        <f>IF(Table2427[[#This Row],[Journal Description (Service Description)]]="","",VLOOKUP(Table2427[[#This Row],[Journal Description (Service Description)]],'Lookup Values'!$A:$B,2,FALSE))</f>
        <v/>
      </c>
    </row>
    <row r="324" spans="1:4" x14ac:dyDescent="0.35">
      <c r="A324" t="str">
        <f>IF(Table2427[[#This Row],[Branch Name]]="","",(_xlfn.XLOOKUP(Table2427[[#This Row],[Branch Name]],'Lookup Values'!G:G,'Lookup Values'!H:H,0)))</f>
        <v/>
      </c>
      <c r="B324" t="str">
        <f>IF(Table2427[[#This Row],[Branch Name]]="","",(_xlfn.XLOOKUP(Table2427[[#This Row],[Branch Name]],'Lookup Values'!G:G,'Lookup Values'!I:I,0)))</f>
        <v/>
      </c>
      <c r="C324" t="str">
        <f>IF(Table2427[[#This Row],[Journal Description (Service Description)]]="","",1)</f>
        <v/>
      </c>
      <c r="D324" s="2" t="str">
        <f>IF(Table2427[[#This Row],[Journal Description (Service Description)]]="","",VLOOKUP(Table2427[[#This Row],[Journal Description (Service Description)]],'Lookup Values'!$A:$B,2,FALSE))</f>
        <v/>
      </c>
    </row>
    <row r="325" spans="1:4" x14ac:dyDescent="0.35">
      <c r="A325" t="str">
        <f>IF(Table2427[[#This Row],[Branch Name]]="","",(_xlfn.XLOOKUP(Table2427[[#This Row],[Branch Name]],'Lookup Values'!G:G,'Lookup Values'!H:H,0)))</f>
        <v/>
      </c>
      <c r="B325" t="str">
        <f>IF(Table2427[[#This Row],[Branch Name]]="","",(_xlfn.XLOOKUP(Table2427[[#This Row],[Branch Name]],'Lookup Values'!G:G,'Lookup Values'!I:I,0)))</f>
        <v/>
      </c>
      <c r="C325" t="str">
        <f>IF(Table2427[[#This Row],[Journal Description (Service Description)]]="","",1)</f>
        <v/>
      </c>
      <c r="D325" s="2" t="str">
        <f>IF(Table2427[[#This Row],[Journal Description (Service Description)]]="","",VLOOKUP(Table2427[[#This Row],[Journal Description (Service Description)]],'Lookup Values'!$A:$B,2,FALSE))</f>
        <v/>
      </c>
    </row>
    <row r="326" spans="1:4" x14ac:dyDescent="0.35">
      <c r="A326" t="str">
        <f>IF(Table2427[[#This Row],[Branch Name]]="","",(_xlfn.XLOOKUP(Table2427[[#This Row],[Branch Name]],'Lookup Values'!G:G,'Lookup Values'!H:H,0)))</f>
        <v/>
      </c>
      <c r="B326" t="str">
        <f>IF(Table2427[[#This Row],[Branch Name]]="","",(_xlfn.XLOOKUP(Table2427[[#This Row],[Branch Name]],'Lookup Values'!G:G,'Lookup Values'!I:I,0)))</f>
        <v/>
      </c>
      <c r="C326" t="str">
        <f>IF(Table2427[[#This Row],[Journal Description (Service Description)]]="","",1)</f>
        <v/>
      </c>
      <c r="D326" s="2" t="str">
        <f>IF(Table2427[[#This Row],[Journal Description (Service Description)]]="","",VLOOKUP(Table2427[[#This Row],[Journal Description (Service Description)]],'Lookup Values'!$A:$B,2,FALSE))</f>
        <v/>
      </c>
    </row>
    <row r="327" spans="1:4" x14ac:dyDescent="0.35">
      <c r="A327" t="str">
        <f>IF(Table2427[[#This Row],[Branch Name]]="","",(_xlfn.XLOOKUP(Table2427[[#This Row],[Branch Name]],'Lookup Values'!G:G,'Lookup Values'!H:H,0)))</f>
        <v/>
      </c>
      <c r="B327" t="str">
        <f>IF(Table2427[[#This Row],[Branch Name]]="","",(_xlfn.XLOOKUP(Table2427[[#This Row],[Branch Name]],'Lookup Values'!G:G,'Lookup Values'!I:I,0)))</f>
        <v/>
      </c>
      <c r="C327" t="str">
        <f>IF(Table2427[[#This Row],[Journal Description (Service Description)]]="","",1)</f>
        <v/>
      </c>
      <c r="D327" s="2" t="str">
        <f>IF(Table2427[[#This Row],[Journal Description (Service Description)]]="","",VLOOKUP(Table2427[[#This Row],[Journal Description (Service Description)]],'Lookup Values'!$A:$B,2,FALSE))</f>
        <v/>
      </c>
    </row>
    <row r="328" spans="1:4" x14ac:dyDescent="0.35">
      <c r="A328" t="str">
        <f>IF(Table2427[[#This Row],[Branch Name]]="","",(_xlfn.XLOOKUP(Table2427[[#This Row],[Branch Name]],'Lookup Values'!G:G,'Lookup Values'!H:H,0)))</f>
        <v/>
      </c>
      <c r="B328" t="str">
        <f>IF(Table2427[[#This Row],[Branch Name]]="","",(_xlfn.XLOOKUP(Table2427[[#This Row],[Branch Name]],'Lookup Values'!G:G,'Lookup Values'!I:I,0)))</f>
        <v/>
      </c>
      <c r="C328" t="str">
        <f>IF(Table2427[[#This Row],[Journal Description (Service Description)]]="","",1)</f>
        <v/>
      </c>
      <c r="D328" s="2" t="str">
        <f>IF(Table2427[[#This Row],[Journal Description (Service Description)]]="","",VLOOKUP(Table2427[[#This Row],[Journal Description (Service Description)]],'Lookup Values'!$A:$B,2,FALSE))</f>
        <v/>
      </c>
    </row>
    <row r="329" spans="1:4" x14ac:dyDescent="0.35">
      <c r="A329" t="str">
        <f>IF(Table2427[[#This Row],[Branch Name]]="","",(_xlfn.XLOOKUP(Table2427[[#This Row],[Branch Name]],'Lookup Values'!G:G,'Lookup Values'!H:H,0)))</f>
        <v/>
      </c>
      <c r="B329" t="str">
        <f>IF(Table2427[[#This Row],[Branch Name]]="","",(_xlfn.XLOOKUP(Table2427[[#This Row],[Branch Name]],'Lookup Values'!G:G,'Lookup Values'!I:I,0)))</f>
        <v/>
      </c>
      <c r="C329" t="str">
        <f>IF(Table2427[[#This Row],[Journal Description (Service Description)]]="","",1)</f>
        <v/>
      </c>
      <c r="D329" s="2" t="str">
        <f>IF(Table2427[[#This Row],[Journal Description (Service Description)]]="","",VLOOKUP(Table2427[[#This Row],[Journal Description (Service Description)]],'Lookup Values'!$A:$B,2,FALSE))</f>
        <v/>
      </c>
    </row>
    <row r="330" spans="1:4" x14ac:dyDescent="0.35">
      <c r="A330" t="str">
        <f>IF(Table2427[[#This Row],[Branch Name]]="","",(_xlfn.XLOOKUP(Table2427[[#This Row],[Branch Name]],'Lookup Values'!G:G,'Lookup Values'!H:H,0)))</f>
        <v/>
      </c>
      <c r="B330" t="str">
        <f>IF(Table2427[[#This Row],[Branch Name]]="","",(_xlfn.XLOOKUP(Table2427[[#This Row],[Branch Name]],'Lookup Values'!G:G,'Lookup Values'!I:I,0)))</f>
        <v/>
      </c>
      <c r="C330" t="str">
        <f>IF(Table2427[[#This Row],[Journal Description (Service Description)]]="","",1)</f>
        <v/>
      </c>
      <c r="D330" s="2" t="str">
        <f>IF(Table2427[[#This Row],[Journal Description (Service Description)]]="","",VLOOKUP(Table2427[[#This Row],[Journal Description (Service Description)]],'Lookup Values'!$A:$B,2,FALSE))</f>
        <v/>
      </c>
    </row>
    <row r="331" spans="1:4" x14ac:dyDescent="0.35">
      <c r="A331" t="str">
        <f>IF(Table2427[[#This Row],[Branch Name]]="","",(_xlfn.XLOOKUP(Table2427[[#This Row],[Branch Name]],'Lookup Values'!G:G,'Lookup Values'!H:H,0)))</f>
        <v/>
      </c>
      <c r="B331" t="str">
        <f>IF(Table2427[[#This Row],[Branch Name]]="","",(_xlfn.XLOOKUP(Table2427[[#This Row],[Branch Name]],'Lookup Values'!G:G,'Lookup Values'!I:I,0)))</f>
        <v/>
      </c>
      <c r="C331" t="str">
        <f>IF(Table2427[[#This Row],[Journal Description (Service Description)]]="","",1)</f>
        <v/>
      </c>
      <c r="D331" s="2" t="str">
        <f>IF(Table2427[[#This Row],[Journal Description (Service Description)]]="","",VLOOKUP(Table2427[[#This Row],[Journal Description (Service Description)]],'Lookup Values'!$A:$B,2,FALSE))</f>
        <v/>
      </c>
    </row>
    <row r="332" spans="1:4" x14ac:dyDescent="0.35">
      <c r="A332" t="str">
        <f>IF(Table2427[[#This Row],[Branch Name]]="","",(_xlfn.XLOOKUP(Table2427[[#This Row],[Branch Name]],'Lookup Values'!G:G,'Lookup Values'!H:H,0)))</f>
        <v/>
      </c>
      <c r="B332" t="str">
        <f>IF(Table2427[[#This Row],[Branch Name]]="","",(_xlfn.XLOOKUP(Table2427[[#This Row],[Branch Name]],'Lookup Values'!G:G,'Lookup Values'!I:I,0)))</f>
        <v/>
      </c>
      <c r="C332" t="str">
        <f>IF(Table2427[[#This Row],[Journal Description (Service Description)]]="","",1)</f>
        <v/>
      </c>
      <c r="D332" s="2" t="str">
        <f>IF(Table2427[[#This Row],[Journal Description (Service Description)]]="","",VLOOKUP(Table2427[[#This Row],[Journal Description (Service Description)]],'Lookup Values'!$A:$B,2,FALSE))</f>
        <v/>
      </c>
    </row>
    <row r="333" spans="1:4" x14ac:dyDescent="0.35">
      <c r="A333" t="str">
        <f>IF(Table2427[[#This Row],[Branch Name]]="","",(_xlfn.XLOOKUP(Table2427[[#This Row],[Branch Name]],'Lookup Values'!G:G,'Lookup Values'!H:H,0)))</f>
        <v/>
      </c>
      <c r="B333" t="str">
        <f>IF(Table2427[[#This Row],[Branch Name]]="","",(_xlfn.XLOOKUP(Table2427[[#This Row],[Branch Name]],'Lookup Values'!G:G,'Lookup Values'!I:I,0)))</f>
        <v/>
      </c>
      <c r="C333" t="str">
        <f>IF(Table2427[[#This Row],[Journal Description (Service Description)]]="","",1)</f>
        <v/>
      </c>
      <c r="D333" s="2" t="str">
        <f>IF(Table2427[[#This Row],[Journal Description (Service Description)]]="","",VLOOKUP(Table2427[[#This Row],[Journal Description (Service Description)]],'Lookup Values'!$A:$B,2,FALSE))</f>
        <v/>
      </c>
    </row>
    <row r="334" spans="1:4" x14ac:dyDescent="0.35">
      <c r="A334" t="str">
        <f>IF(Table2427[[#This Row],[Branch Name]]="","",(_xlfn.XLOOKUP(Table2427[[#This Row],[Branch Name]],'Lookup Values'!G:G,'Lookup Values'!H:H,0)))</f>
        <v/>
      </c>
      <c r="B334" t="str">
        <f>IF(Table2427[[#This Row],[Branch Name]]="","",(_xlfn.XLOOKUP(Table2427[[#This Row],[Branch Name]],'Lookup Values'!G:G,'Lookup Values'!I:I,0)))</f>
        <v/>
      </c>
      <c r="C334" t="str">
        <f>IF(Table2427[[#This Row],[Journal Description (Service Description)]]="","",1)</f>
        <v/>
      </c>
      <c r="D334" s="2" t="str">
        <f>IF(Table2427[[#This Row],[Journal Description (Service Description)]]="","",VLOOKUP(Table2427[[#This Row],[Journal Description (Service Description)]],'Lookup Values'!$A:$B,2,FALSE))</f>
        <v/>
      </c>
    </row>
    <row r="335" spans="1:4" x14ac:dyDescent="0.35">
      <c r="A335" t="str">
        <f>IF(Table2427[[#This Row],[Branch Name]]="","",(_xlfn.XLOOKUP(Table2427[[#This Row],[Branch Name]],'Lookup Values'!G:G,'Lookup Values'!H:H,0)))</f>
        <v/>
      </c>
      <c r="B335" t="str">
        <f>IF(Table2427[[#This Row],[Branch Name]]="","",(_xlfn.XLOOKUP(Table2427[[#This Row],[Branch Name]],'Lookup Values'!G:G,'Lookup Values'!I:I,0)))</f>
        <v/>
      </c>
      <c r="C335" t="str">
        <f>IF(Table2427[[#This Row],[Journal Description (Service Description)]]="","",1)</f>
        <v/>
      </c>
      <c r="D335" s="2" t="str">
        <f>IF(Table2427[[#This Row],[Journal Description (Service Description)]]="","",VLOOKUP(Table2427[[#This Row],[Journal Description (Service Description)]],'Lookup Values'!$A:$B,2,FALSE))</f>
        <v/>
      </c>
    </row>
    <row r="336" spans="1:4" x14ac:dyDescent="0.35">
      <c r="A336" t="str">
        <f>IF(Table2427[[#This Row],[Branch Name]]="","",(_xlfn.XLOOKUP(Table2427[[#This Row],[Branch Name]],'Lookup Values'!G:G,'Lookup Values'!H:H,0)))</f>
        <v/>
      </c>
      <c r="B336" t="str">
        <f>IF(Table2427[[#This Row],[Branch Name]]="","",(_xlfn.XLOOKUP(Table2427[[#This Row],[Branch Name]],'Lookup Values'!G:G,'Lookup Values'!I:I,0)))</f>
        <v/>
      </c>
      <c r="C336" t="str">
        <f>IF(Table2427[[#This Row],[Journal Description (Service Description)]]="","",1)</f>
        <v/>
      </c>
      <c r="D336" s="2" t="str">
        <f>IF(Table2427[[#This Row],[Journal Description (Service Description)]]="","",VLOOKUP(Table2427[[#This Row],[Journal Description (Service Description)]],'Lookup Values'!$A:$B,2,FALSE))</f>
        <v/>
      </c>
    </row>
    <row r="337" spans="1:4" x14ac:dyDescent="0.35">
      <c r="A337" t="str">
        <f>IF(Table2427[[#This Row],[Branch Name]]="","",(_xlfn.XLOOKUP(Table2427[[#This Row],[Branch Name]],'Lookup Values'!G:G,'Lookup Values'!H:H,0)))</f>
        <v/>
      </c>
      <c r="B337" t="str">
        <f>IF(Table2427[[#This Row],[Branch Name]]="","",(_xlfn.XLOOKUP(Table2427[[#This Row],[Branch Name]],'Lookup Values'!G:G,'Lookup Values'!I:I,0)))</f>
        <v/>
      </c>
      <c r="C337" t="str">
        <f>IF(Table2427[[#This Row],[Journal Description (Service Description)]]="","",1)</f>
        <v/>
      </c>
      <c r="D337" s="2" t="str">
        <f>IF(Table2427[[#This Row],[Journal Description (Service Description)]]="","",VLOOKUP(Table2427[[#This Row],[Journal Description (Service Description)]],'Lookup Values'!$A:$B,2,FALSE))</f>
        <v/>
      </c>
    </row>
    <row r="338" spans="1:4" x14ac:dyDescent="0.35">
      <c r="A338" t="str">
        <f>IF(Table2427[[#This Row],[Branch Name]]="","",(_xlfn.XLOOKUP(Table2427[[#This Row],[Branch Name]],'Lookup Values'!G:G,'Lookup Values'!H:H,0)))</f>
        <v/>
      </c>
      <c r="B338" t="str">
        <f>IF(Table2427[[#This Row],[Branch Name]]="","",(_xlfn.XLOOKUP(Table2427[[#This Row],[Branch Name]],'Lookup Values'!G:G,'Lookup Values'!I:I,0)))</f>
        <v/>
      </c>
      <c r="C338" t="str">
        <f>IF(Table2427[[#This Row],[Journal Description (Service Description)]]="","",1)</f>
        <v/>
      </c>
      <c r="D338" s="2" t="str">
        <f>IF(Table2427[[#This Row],[Journal Description (Service Description)]]="","",VLOOKUP(Table2427[[#This Row],[Journal Description (Service Description)]],'Lookup Values'!$A:$B,2,FALSE))</f>
        <v/>
      </c>
    </row>
    <row r="339" spans="1:4" x14ac:dyDescent="0.35">
      <c r="A339" t="str">
        <f>IF(Table2427[[#This Row],[Branch Name]]="","",(_xlfn.XLOOKUP(Table2427[[#This Row],[Branch Name]],'Lookup Values'!G:G,'Lookup Values'!H:H,0)))</f>
        <v/>
      </c>
      <c r="B339" t="str">
        <f>IF(Table2427[[#This Row],[Branch Name]]="","",(_xlfn.XLOOKUP(Table2427[[#This Row],[Branch Name]],'Lookup Values'!G:G,'Lookup Values'!I:I,0)))</f>
        <v/>
      </c>
      <c r="C339" t="str">
        <f>IF(Table2427[[#This Row],[Journal Description (Service Description)]]="","",1)</f>
        <v/>
      </c>
      <c r="D339" s="2" t="str">
        <f>IF(Table2427[[#This Row],[Journal Description (Service Description)]]="","",VLOOKUP(Table2427[[#This Row],[Journal Description (Service Description)]],'Lookup Values'!$A:$B,2,FALSE))</f>
        <v/>
      </c>
    </row>
    <row r="340" spans="1:4" x14ac:dyDescent="0.35">
      <c r="A340" t="str">
        <f>IF(Table2427[[#This Row],[Branch Name]]="","",(_xlfn.XLOOKUP(Table2427[[#This Row],[Branch Name]],'Lookup Values'!G:G,'Lookup Values'!H:H,0)))</f>
        <v/>
      </c>
      <c r="B340" t="str">
        <f>IF(Table2427[[#This Row],[Branch Name]]="","",(_xlfn.XLOOKUP(Table2427[[#This Row],[Branch Name]],'Lookup Values'!G:G,'Lookup Values'!I:I,0)))</f>
        <v/>
      </c>
      <c r="C340" t="str">
        <f>IF(Table2427[[#This Row],[Journal Description (Service Description)]]="","",1)</f>
        <v/>
      </c>
      <c r="D340" s="2" t="str">
        <f>IF(Table2427[[#This Row],[Journal Description (Service Description)]]="","",VLOOKUP(Table2427[[#This Row],[Journal Description (Service Description)]],'Lookup Values'!$A:$B,2,FALSE))</f>
        <v/>
      </c>
    </row>
    <row r="341" spans="1:4" x14ac:dyDescent="0.35">
      <c r="A341" t="str">
        <f>IF(Table2427[[#This Row],[Branch Name]]="","",(_xlfn.XLOOKUP(Table2427[[#This Row],[Branch Name]],'Lookup Values'!G:G,'Lookup Values'!H:H,0)))</f>
        <v/>
      </c>
      <c r="B341" t="str">
        <f>IF(Table2427[[#This Row],[Branch Name]]="","",(_xlfn.XLOOKUP(Table2427[[#This Row],[Branch Name]],'Lookup Values'!G:G,'Lookup Values'!I:I,0)))</f>
        <v/>
      </c>
      <c r="C341" t="str">
        <f>IF(Table2427[[#This Row],[Journal Description (Service Description)]]="","",1)</f>
        <v/>
      </c>
      <c r="D341" s="2" t="str">
        <f>IF(Table2427[[#This Row],[Journal Description (Service Description)]]="","",VLOOKUP(Table2427[[#This Row],[Journal Description (Service Description)]],'Lookup Values'!$A:$B,2,FALSE))</f>
        <v/>
      </c>
    </row>
    <row r="342" spans="1:4" x14ac:dyDescent="0.35">
      <c r="A342" t="str">
        <f>IF(Table2427[[#This Row],[Branch Name]]="","",(_xlfn.XLOOKUP(Table2427[[#This Row],[Branch Name]],'Lookup Values'!G:G,'Lookup Values'!H:H,0)))</f>
        <v/>
      </c>
      <c r="B342" t="str">
        <f>IF(Table2427[[#This Row],[Branch Name]]="","",(_xlfn.XLOOKUP(Table2427[[#This Row],[Branch Name]],'Lookup Values'!G:G,'Lookup Values'!I:I,0)))</f>
        <v/>
      </c>
      <c r="C342" t="str">
        <f>IF(Table2427[[#This Row],[Journal Description (Service Description)]]="","",1)</f>
        <v/>
      </c>
      <c r="D342" s="2" t="str">
        <f>IF(Table2427[[#This Row],[Journal Description (Service Description)]]="","",VLOOKUP(Table2427[[#This Row],[Journal Description (Service Description)]],'Lookup Values'!$A:$B,2,FALSE))</f>
        <v/>
      </c>
    </row>
    <row r="343" spans="1:4" x14ac:dyDescent="0.35">
      <c r="A343" t="str">
        <f>IF(Table2427[[#This Row],[Branch Name]]="","",(_xlfn.XLOOKUP(Table2427[[#This Row],[Branch Name]],'Lookup Values'!G:G,'Lookup Values'!H:H,0)))</f>
        <v/>
      </c>
      <c r="B343" t="str">
        <f>IF(Table2427[[#This Row],[Branch Name]]="","",(_xlfn.XLOOKUP(Table2427[[#This Row],[Branch Name]],'Lookup Values'!G:G,'Lookup Values'!I:I,0)))</f>
        <v/>
      </c>
      <c r="C343" t="str">
        <f>IF(Table2427[[#This Row],[Journal Description (Service Description)]]="","",1)</f>
        <v/>
      </c>
      <c r="D343" s="2" t="str">
        <f>IF(Table2427[[#This Row],[Journal Description (Service Description)]]="","",VLOOKUP(Table2427[[#This Row],[Journal Description (Service Description)]],'Lookup Values'!$A:$B,2,FALSE))</f>
        <v/>
      </c>
    </row>
    <row r="344" spans="1:4" x14ac:dyDescent="0.35">
      <c r="A344" t="str">
        <f>IF(Table2427[[#This Row],[Branch Name]]="","",(_xlfn.XLOOKUP(Table2427[[#This Row],[Branch Name]],'Lookup Values'!G:G,'Lookup Values'!H:H,0)))</f>
        <v/>
      </c>
      <c r="B344" t="str">
        <f>IF(Table2427[[#This Row],[Branch Name]]="","",(_xlfn.XLOOKUP(Table2427[[#This Row],[Branch Name]],'Lookup Values'!G:G,'Lookup Values'!I:I,0)))</f>
        <v/>
      </c>
      <c r="C344" t="str">
        <f>IF(Table2427[[#This Row],[Journal Description (Service Description)]]="","",1)</f>
        <v/>
      </c>
      <c r="D344" s="2" t="str">
        <f>IF(Table2427[[#This Row],[Journal Description (Service Description)]]="","",VLOOKUP(Table2427[[#This Row],[Journal Description (Service Description)]],'Lookup Values'!$A:$B,2,FALSE))</f>
        <v/>
      </c>
    </row>
    <row r="345" spans="1:4" x14ac:dyDescent="0.35">
      <c r="A345" t="str">
        <f>IF(Table2427[[#This Row],[Branch Name]]="","",(_xlfn.XLOOKUP(Table2427[[#This Row],[Branch Name]],'Lookup Values'!G:G,'Lookup Values'!H:H,0)))</f>
        <v/>
      </c>
      <c r="B345" t="str">
        <f>IF(Table2427[[#This Row],[Branch Name]]="","",(_xlfn.XLOOKUP(Table2427[[#This Row],[Branch Name]],'Lookup Values'!G:G,'Lookup Values'!I:I,0)))</f>
        <v/>
      </c>
      <c r="C345" t="str">
        <f>IF(Table2427[[#This Row],[Journal Description (Service Description)]]="","",1)</f>
        <v/>
      </c>
      <c r="D345" s="2" t="str">
        <f>IF(Table2427[[#This Row],[Journal Description (Service Description)]]="","",VLOOKUP(Table2427[[#This Row],[Journal Description (Service Description)]],'Lookup Values'!$A:$B,2,FALSE))</f>
        <v/>
      </c>
    </row>
    <row r="346" spans="1:4" x14ac:dyDescent="0.35">
      <c r="A346" t="str">
        <f>IF(Table2427[[#This Row],[Branch Name]]="","",(_xlfn.XLOOKUP(Table2427[[#This Row],[Branch Name]],'Lookup Values'!G:G,'Lookup Values'!H:H,0)))</f>
        <v/>
      </c>
      <c r="B346" t="str">
        <f>IF(Table2427[[#This Row],[Branch Name]]="","",(_xlfn.XLOOKUP(Table2427[[#This Row],[Branch Name]],'Lookup Values'!G:G,'Lookup Values'!I:I,0)))</f>
        <v/>
      </c>
      <c r="C346" t="str">
        <f>IF(Table2427[[#This Row],[Journal Description (Service Description)]]="","",1)</f>
        <v/>
      </c>
      <c r="D346" s="2" t="str">
        <f>IF(Table2427[[#This Row],[Journal Description (Service Description)]]="","",VLOOKUP(Table2427[[#This Row],[Journal Description (Service Description)]],'Lookup Values'!$A:$B,2,FALSE))</f>
        <v/>
      </c>
    </row>
    <row r="347" spans="1:4" x14ac:dyDescent="0.35">
      <c r="A347" t="str">
        <f>IF(Table2427[[#This Row],[Branch Name]]="","",(_xlfn.XLOOKUP(Table2427[[#This Row],[Branch Name]],'Lookup Values'!G:G,'Lookup Values'!H:H,0)))</f>
        <v/>
      </c>
      <c r="B347" t="str">
        <f>IF(Table2427[[#This Row],[Branch Name]]="","",(_xlfn.XLOOKUP(Table2427[[#This Row],[Branch Name]],'Lookup Values'!G:G,'Lookup Values'!I:I,0)))</f>
        <v/>
      </c>
      <c r="C347" t="str">
        <f>IF(Table2427[[#This Row],[Journal Description (Service Description)]]="","",1)</f>
        <v/>
      </c>
      <c r="D347" s="2" t="str">
        <f>IF(Table2427[[#This Row],[Journal Description (Service Description)]]="","",VLOOKUP(Table2427[[#This Row],[Journal Description (Service Description)]],'Lookup Values'!$A:$B,2,FALSE))</f>
        <v/>
      </c>
    </row>
    <row r="348" spans="1:4" x14ac:dyDescent="0.35">
      <c r="A348" t="str">
        <f>IF(Table2427[[#This Row],[Branch Name]]="","",(_xlfn.XLOOKUP(Table2427[[#This Row],[Branch Name]],'Lookup Values'!G:G,'Lookup Values'!H:H,0)))</f>
        <v/>
      </c>
      <c r="B348" t="str">
        <f>IF(Table2427[[#This Row],[Branch Name]]="","",(_xlfn.XLOOKUP(Table2427[[#This Row],[Branch Name]],'Lookup Values'!G:G,'Lookup Values'!I:I,0)))</f>
        <v/>
      </c>
      <c r="C348" t="str">
        <f>IF(Table2427[[#This Row],[Journal Description (Service Description)]]="","",1)</f>
        <v/>
      </c>
      <c r="D348" s="2" t="str">
        <f>IF(Table2427[[#This Row],[Journal Description (Service Description)]]="","",VLOOKUP(Table2427[[#This Row],[Journal Description (Service Description)]],'Lookup Values'!$A:$B,2,FALSE))</f>
        <v/>
      </c>
    </row>
    <row r="349" spans="1:4" x14ac:dyDescent="0.35">
      <c r="A349" t="str">
        <f>IF(Table2427[[#This Row],[Branch Name]]="","",(_xlfn.XLOOKUP(Table2427[[#This Row],[Branch Name]],'Lookup Values'!G:G,'Lookup Values'!H:H,0)))</f>
        <v/>
      </c>
      <c r="B349" t="str">
        <f>IF(Table2427[[#This Row],[Branch Name]]="","",(_xlfn.XLOOKUP(Table2427[[#This Row],[Branch Name]],'Lookup Values'!G:G,'Lookup Values'!I:I,0)))</f>
        <v/>
      </c>
      <c r="C349" t="str">
        <f>IF(Table2427[[#This Row],[Journal Description (Service Description)]]="","",1)</f>
        <v/>
      </c>
      <c r="D349" s="2" t="str">
        <f>IF(Table2427[[#This Row],[Journal Description (Service Description)]]="","",VLOOKUP(Table2427[[#This Row],[Journal Description (Service Description)]],'Lookup Values'!$A:$B,2,FALSE))</f>
        <v/>
      </c>
    </row>
    <row r="350" spans="1:4" x14ac:dyDescent="0.35">
      <c r="A350" t="str">
        <f>IF(Table2427[[#This Row],[Branch Name]]="","",(_xlfn.XLOOKUP(Table2427[[#This Row],[Branch Name]],'Lookup Values'!G:G,'Lookup Values'!H:H,0)))</f>
        <v/>
      </c>
      <c r="B350" t="str">
        <f>IF(Table2427[[#This Row],[Branch Name]]="","",(_xlfn.XLOOKUP(Table2427[[#This Row],[Branch Name]],'Lookup Values'!G:G,'Lookup Values'!I:I,0)))</f>
        <v/>
      </c>
      <c r="C350" t="str">
        <f>IF(Table2427[[#This Row],[Journal Description (Service Description)]]="","",1)</f>
        <v/>
      </c>
      <c r="D350" s="2" t="str">
        <f>IF(Table2427[[#This Row],[Journal Description (Service Description)]]="","",VLOOKUP(Table2427[[#This Row],[Journal Description (Service Description)]],'Lookup Values'!$A:$B,2,FALSE))</f>
        <v/>
      </c>
    </row>
    <row r="351" spans="1:4" x14ac:dyDescent="0.35">
      <c r="A351" t="str">
        <f>IF(Table2427[[#This Row],[Branch Name]]="","",(_xlfn.XLOOKUP(Table2427[[#This Row],[Branch Name]],'Lookup Values'!G:G,'Lookup Values'!H:H,0)))</f>
        <v/>
      </c>
      <c r="B351" t="str">
        <f>IF(Table2427[[#This Row],[Branch Name]]="","",(_xlfn.XLOOKUP(Table2427[[#This Row],[Branch Name]],'Lookup Values'!G:G,'Lookup Values'!I:I,0)))</f>
        <v/>
      </c>
      <c r="C351" t="str">
        <f>IF(Table2427[[#This Row],[Journal Description (Service Description)]]="","",1)</f>
        <v/>
      </c>
      <c r="D351" s="2" t="str">
        <f>IF(Table2427[[#This Row],[Journal Description (Service Description)]]="","",VLOOKUP(Table2427[[#This Row],[Journal Description (Service Description)]],'Lookup Values'!$A:$B,2,FALSE))</f>
        <v/>
      </c>
    </row>
    <row r="352" spans="1:4" x14ac:dyDescent="0.35">
      <c r="A352" t="str">
        <f>IF(Table2427[[#This Row],[Branch Name]]="","",(_xlfn.XLOOKUP(Table2427[[#This Row],[Branch Name]],'Lookup Values'!G:G,'Lookup Values'!H:H,0)))</f>
        <v/>
      </c>
      <c r="B352" t="str">
        <f>IF(Table2427[[#This Row],[Branch Name]]="","",(_xlfn.XLOOKUP(Table2427[[#This Row],[Branch Name]],'Lookup Values'!G:G,'Lookup Values'!I:I,0)))</f>
        <v/>
      </c>
      <c r="C352" t="str">
        <f>IF(Table2427[[#This Row],[Journal Description (Service Description)]]="","",1)</f>
        <v/>
      </c>
      <c r="D352" s="2" t="str">
        <f>IF(Table2427[[#This Row],[Journal Description (Service Description)]]="","",VLOOKUP(Table2427[[#This Row],[Journal Description (Service Description)]],'Lookup Values'!$A:$B,2,FALSE))</f>
        <v/>
      </c>
    </row>
    <row r="353" spans="1:4" x14ac:dyDescent="0.35">
      <c r="A353" t="str">
        <f>IF(Table2427[[#This Row],[Branch Name]]="","",(_xlfn.XLOOKUP(Table2427[[#This Row],[Branch Name]],'Lookup Values'!G:G,'Lookup Values'!H:H,0)))</f>
        <v/>
      </c>
      <c r="B353" t="str">
        <f>IF(Table2427[[#This Row],[Branch Name]]="","",(_xlfn.XLOOKUP(Table2427[[#This Row],[Branch Name]],'Lookup Values'!G:G,'Lookup Values'!I:I,0)))</f>
        <v/>
      </c>
      <c r="C353" t="str">
        <f>IF(Table2427[[#This Row],[Journal Description (Service Description)]]="","",1)</f>
        <v/>
      </c>
      <c r="D353" s="2" t="str">
        <f>IF(Table2427[[#This Row],[Journal Description (Service Description)]]="","",VLOOKUP(Table2427[[#This Row],[Journal Description (Service Description)]],'Lookup Values'!$A:$B,2,FALSE))</f>
        <v/>
      </c>
    </row>
    <row r="354" spans="1:4" x14ac:dyDescent="0.35">
      <c r="A354" t="str">
        <f>IF(Table2427[[#This Row],[Branch Name]]="","",(_xlfn.XLOOKUP(Table2427[[#This Row],[Branch Name]],'Lookup Values'!G:G,'Lookup Values'!H:H,0)))</f>
        <v/>
      </c>
      <c r="B354" t="str">
        <f>IF(Table2427[[#This Row],[Branch Name]]="","",(_xlfn.XLOOKUP(Table2427[[#This Row],[Branch Name]],'Lookup Values'!G:G,'Lookup Values'!I:I,0)))</f>
        <v/>
      </c>
      <c r="C354" t="str">
        <f>IF(Table2427[[#This Row],[Journal Description (Service Description)]]="","",1)</f>
        <v/>
      </c>
      <c r="D354" s="2" t="str">
        <f>IF(Table2427[[#This Row],[Journal Description (Service Description)]]="","",VLOOKUP(Table2427[[#This Row],[Journal Description (Service Description)]],'Lookup Values'!$A:$B,2,FALSE))</f>
        <v/>
      </c>
    </row>
    <row r="355" spans="1:4" x14ac:dyDescent="0.35">
      <c r="A355" t="str">
        <f>IF(Table2427[[#This Row],[Branch Name]]="","",(_xlfn.XLOOKUP(Table2427[[#This Row],[Branch Name]],'Lookup Values'!G:G,'Lookup Values'!H:H,0)))</f>
        <v/>
      </c>
      <c r="B355" t="str">
        <f>IF(Table2427[[#This Row],[Branch Name]]="","",(_xlfn.XLOOKUP(Table2427[[#This Row],[Branch Name]],'Lookup Values'!G:G,'Lookup Values'!I:I,0)))</f>
        <v/>
      </c>
      <c r="C355" t="str">
        <f>IF(Table2427[[#This Row],[Journal Description (Service Description)]]="","",1)</f>
        <v/>
      </c>
      <c r="D355" s="2" t="str">
        <f>IF(Table2427[[#This Row],[Journal Description (Service Description)]]="","",VLOOKUP(Table2427[[#This Row],[Journal Description (Service Description)]],'Lookup Values'!$A:$B,2,FALSE))</f>
        <v/>
      </c>
    </row>
    <row r="356" spans="1:4" x14ac:dyDescent="0.35">
      <c r="A356" t="str">
        <f>IF(Table2427[[#This Row],[Branch Name]]="","",(_xlfn.XLOOKUP(Table2427[[#This Row],[Branch Name]],'Lookup Values'!G:G,'Lookup Values'!H:H,0)))</f>
        <v/>
      </c>
      <c r="B356" t="str">
        <f>IF(Table2427[[#This Row],[Branch Name]]="","",(_xlfn.XLOOKUP(Table2427[[#This Row],[Branch Name]],'Lookup Values'!G:G,'Lookup Values'!I:I,0)))</f>
        <v/>
      </c>
      <c r="C356" t="str">
        <f>IF(Table2427[[#This Row],[Journal Description (Service Description)]]="","",1)</f>
        <v/>
      </c>
      <c r="D356" s="2" t="str">
        <f>IF(Table2427[[#This Row],[Journal Description (Service Description)]]="","",VLOOKUP(Table2427[[#This Row],[Journal Description (Service Description)]],'Lookup Values'!$A:$B,2,FALSE))</f>
        <v/>
      </c>
    </row>
    <row r="357" spans="1:4" x14ac:dyDescent="0.35">
      <c r="A357" t="str">
        <f>IF(Table2427[[#This Row],[Branch Name]]="","",(_xlfn.XLOOKUP(Table2427[[#This Row],[Branch Name]],'Lookup Values'!G:G,'Lookup Values'!H:H,0)))</f>
        <v/>
      </c>
      <c r="B357" t="str">
        <f>IF(Table2427[[#This Row],[Branch Name]]="","",(_xlfn.XLOOKUP(Table2427[[#This Row],[Branch Name]],'Lookup Values'!G:G,'Lookup Values'!I:I,0)))</f>
        <v/>
      </c>
      <c r="C357" t="str">
        <f>IF(Table2427[[#This Row],[Journal Description (Service Description)]]="","",1)</f>
        <v/>
      </c>
      <c r="D357" s="2" t="str">
        <f>IF(Table2427[[#This Row],[Journal Description (Service Description)]]="","",VLOOKUP(Table2427[[#This Row],[Journal Description (Service Description)]],'Lookup Values'!$A:$B,2,FALSE))</f>
        <v/>
      </c>
    </row>
    <row r="358" spans="1:4" x14ac:dyDescent="0.35">
      <c r="A358" t="str">
        <f>IF(Table2427[[#This Row],[Branch Name]]="","",(_xlfn.XLOOKUP(Table2427[[#This Row],[Branch Name]],'Lookup Values'!G:G,'Lookup Values'!H:H,0)))</f>
        <v/>
      </c>
      <c r="B358" t="str">
        <f>IF(Table2427[[#This Row],[Branch Name]]="","",(_xlfn.XLOOKUP(Table2427[[#This Row],[Branch Name]],'Lookup Values'!G:G,'Lookup Values'!I:I,0)))</f>
        <v/>
      </c>
      <c r="C358" t="str">
        <f>IF(Table2427[[#This Row],[Journal Description (Service Description)]]="","",1)</f>
        <v/>
      </c>
      <c r="D358" s="2" t="str">
        <f>IF(Table2427[[#This Row],[Journal Description (Service Description)]]="","",VLOOKUP(Table2427[[#This Row],[Journal Description (Service Description)]],'Lookup Values'!$A:$B,2,FALSE))</f>
        <v/>
      </c>
    </row>
    <row r="359" spans="1:4" x14ac:dyDescent="0.35">
      <c r="A359" t="str">
        <f>IF(Table2427[[#This Row],[Branch Name]]="","",(_xlfn.XLOOKUP(Table2427[[#This Row],[Branch Name]],'Lookup Values'!G:G,'Lookup Values'!H:H,0)))</f>
        <v/>
      </c>
      <c r="B359" t="str">
        <f>IF(Table2427[[#This Row],[Branch Name]]="","",(_xlfn.XLOOKUP(Table2427[[#This Row],[Branch Name]],'Lookup Values'!G:G,'Lookup Values'!I:I,0)))</f>
        <v/>
      </c>
      <c r="C359" t="str">
        <f>IF(Table2427[[#This Row],[Journal Description (Service Description)]]="","",1)</f>
        <v/>
      </c>
      <c r="D359" s="2" t="str">
        <f>IF(Table2427[[#This Row],[Journal Description (Service Description)]]="","",VLOOKUP(Table2427[[#This Row],[Journal Description (Service Description)]],'Lookup Values'!$A:$B,2,FALSE))</f>
        <v/>
      </c>
    </row>
    <row r="360" spans="1:4" x14ac:dyDescent="0.35">
      <c r="A360" t="str">
        <f>IF(Table2427[[#This Row],[Branch Name]]="","",(_xlfn.XLOOKUP(Table2427[[#This Row],[Branch Name]],'Lookup Values'!G:G,'Lookup Values'!H:H,0)))</f>
        <v/>
      </c>
      <c r="B360" t="str">
        <f>IF(Table2427[[#This Row],[Branch Name]]="","",(_xlfn.XLOOKUP(Table2427[[#This Row],[Branch Name]],'Lookup Values'!G:G,'Lookup Values'!I:I,0)))</f>
        <v/>
      </c>
      <c r="C360" t="str">
        <f>IF(Table2427[[#This Row],[Journal Description (Service Description)]]="","",1)</f>
        <v/>
      </c>
      <c r="D360" s="2" t="str">
        <f>IF(Table2427[[#This Row],[Journal Description (Service Description)]]="","",VLOOKUP(Table2427[[#This Row],[Journal Description (Service Description)]],'Lookup Values'!$A:$B,2,FALSE))</f>
        <v/>
      </c>
    </row>
    <row r="361" spans="1:4" x14ac:dyDescent="0.35">
      <c r="A361" t="str">
        <f>IF(Table2427[[#This Row],[Branch Name]]="","",(_xlfn.XLOOKUP(Table2427[[#This Row],[Branch Name]],'Lookup Values'!G:G,'Lookup Values'!H:H,0)))</f>
        <v/>
      </c>
      <c r="B361" t="str">
        <f>IF(Table2427[[#This Row],[Branch Name]]="","",(_xlfn.XLOOKUP(Table2427[[#This Row],[Branch Name]],'Lookup Values'!G:G,'Lookup Values'!I:I,0)))</f>
        <v/>
      </c>
      <c r="C361" t="str">
        <f>IF(Table2427[[#This Row],[Journal Description (Service Description)]]="","",1)</f>
        <v/>
      </c>
      <c r="D361" s="2" t="str">
        <f>IF(Table2427[[#This Row],[Journal Description (Service Description)]]="","",VLOOKUP(Table2427[[#This Row],[Journal Description (Service Description)]],'Lookup Values'!$A:$B,2,FALSE))</f>
        <v/>
      </c>
    </row>
    <row r="362" spans="1:4" x14ac:dyDescent="0.35">
      <c r="A362" t="str">
        <f>IF(Table2427[[#This Row],[Branch Name]]="","",(_xlfn.XLOOKUP(Table2427[[#This Row],[Branch Name]],'Lookup Values'!G:G,'Lookup Values'!H:H,0)))</f>
        <v/>
      </c>
      <c r="B362" t="str">
        <f>IF(Table2427[[#This Row],[Branch Name]]="","",(_xlfn.XLOOKUP(Table2427[[#This Row],[Branch Name]],'Lookup Values'!G:G,'Lookup Values'!I:I,0)))</f>
        <v/>
      </c>
      <c r="C362" t="str">
        <f>IF(Table2427[[#This Row],[Journal Description (Service Description)]]="","",1)</f>
        <v/>
      </c>
      <c r="D362" s="2" t="str">
        <f>IF(Table2427[[#This Row],[Journal Description (Service Description)]]="","",VLOOKUP(Table2427[[#This Row],[Journal Description (Service Description)]],'Lookup Values'!$A:$B,2,FALSE))</f>
        <v/>
      </c>
    </row>
    <row r="363" spans="1:4" x14ac:dyDescent="0.35">
      <c r="A363" t="str">
        <f>IF(Table2427[[#This Row],[Branch Name]]="","",(_xlfn.XLOOKUP(Table2427[[#This Row],[Branch Name]],'Lookup Values'!G:G,'Lookup Values'!H:H,0)))</f>
        <v/>
      </c>
      <c r="B363" t="str">
        <f>IF(Table2427[[#This Row],[Branch Name]]="","",(_xlfn.XLOOKUP(Table2427[[#This Row],[Branch Name]],'Lookup Values'!G:G,'Lookup Values'!I:I,0)))</f>
        <v/>
      </c>
      <c r="C363" t="str">
        <f>IF(Table2427[[#This Row],[Journal Description (Service Description)]]="","",1)</f>
        <v/>
      </c>
      <c r="D363" s="2" t="str">
        <f>IF(Table2427[[#This Row],[Journal Description (Service Description)]]="","",VLOOKUP(Table2427[[#This Row],[Journal Description (Service Description)]],'Lookup Values'!$A:$B,2,FALSE))</f>
        <v/>
      </c>
    </row>
    <row r="364" spans="1:4" x14ac:dyDescent="0.35">
      <c r="A364" t="str">
        <f>IF(Table2427[[#This Row],[Branch Name]]="","",(_xlfn.XLOOKUP(Table2427[[#This Row],[Branch Name]],'Lookup Values'!G:G,'Lookup Values'!H:H,0)))</f>
        <v/>
      </c>
      <c r="B364" t="str">
        <f>IF(Table2427[[#This Row],[Branch Name]]="","",(_xlfn.XLOOKUP(Table2427[[#This Row],[Branch Name]],'Lookup Values'!G:G,'Lookup Values'!I:I,0)))</f>
        <v/>
      </c>
      <c r="C364" t="str">
        <f>IF(Table2427[[#This Row],[Journal Description (Service Description)]]="","",1)</f>
        <v/>
      </c>
      <c r="D364" s="2" t="str">
        <f>IF(Table2427[[#This Row],[Journal Description (Service Description)]]="","",VLOOKUP(Table2427[[#This Row],[Journal Description (Service Description)]],'Lookup Values'!$A:$B,2,FALSE))</f>
        <v/>
      </c>
    </row>
    <row r="365" spans="1:4" x14ac:dyDescent="0.35">
      <c r="A365" t="str">
        <f>IF(Table2427[[#This Row],[Branch Name]]="","",(_xlfn.XLOOKUP(Table2427[[#This Row],[Branch Name]],'Lookup Values'!G:G,'Lookup Values'!H:H,0)))</f>
        <v/>
      </c>
      <c r="B365" t="str">
        <f>IF(Table2427[[#This Row],[Branch Name]]="","",(_xlfn.XLOOKUP(Table2427[[#This Row],[Branch Name]],'Lookup Values'!G:G,'Lookup Values'!I:I,0)))</f>
        <v/>
      </c>
      <c r="C365" t="str">
        <f>IF(Table2427[[#This Row],[Journal Description (Service Description)]]="","",1)</f>
        <v/>
      </c>
      <c r="D365" s="2" t="str">
        <f>IF(Table2427[[#This Row],[Journal Description (Service Description)]]="","",VLOOKUP(Table2427[[#This Row],[Journal Description (Service Description)]],'Lookup Values'!$A:$B,2,FALSE))</f>
        <v/>
      </c>
    </row>
    <row r="366" spans="1:4" x14ac:dyDescent="0.35">
      <c r="A366" t="str">
        <f>IF(Table2427[[#This Row],[Branch Name]]="","",(_xlfn.XLOOKUP(Table2427[[#This Row],[Branch Name]],'Lookup Values'!G:G,'Lookup Values'!H:H,0)))</f>
        <v/>
      </c>
      <c r="B366" t="str">
        <f>IF(Table2427[[#This Row],[Branch Name]]="","",(_xlfn.XLOOKUP(Table2427[[#This Row],[Branch Name]],'Lookup Values'!G:G,'Lookup Values'!I:I,0)))</f>
        <v/>
      </c>
      <c r="C366" t="str">
        <f>IF(Table2427[[#This Row],[Journal Description (Service Description)]]="","",1)</f>
        <v/>
      </c>
      <c r="D366" s="2" t="str">
        <f>IF(Table2427[[#This Row],[Journal Description (Service Description)]]="","",VLOOKUP(Table2427[[#This Row],[Journal Description (Service Description)]],'Lookup Values'!$A:$B,2,FALSE))</f>
        <v/>
      </c>
    </row>
    <row r="367" spans="1:4" x14ac:dyDescent="0.35">
      <c r="A367" t="str">
        <f>IF(Table2427[[#This Row],[Branch Name]]="","",(_xlfn.XLOOKUP(Table2427[[#This Row],[Branch Name]],'Lookup Values'!G:G,'Lookup Values'!H:H,0)))</f>
        <v/>
      </c>
      <c r="B367" t="str">
        <f>IF(Table2427[[#This Row],[Branch Name]]="","",(_xlfn.XLOOKUP(Table2427[[#This Row],[Branch Name]],'Lookup Values'!G:G,'Lookup Values'!I:I,0)))</f>
        <v/>
      </c>
      <c r="C367" t="str">
        <f>IF(Table2427[[#This Row],[Journal Description (Service Description)]]="","",1)</f>
        <v/>
      </c>
      <c r="D367" s="2" t="str">
        <f>IF(Table2427[[#This Row],[Journal Description (Service Description)]]="","",VLOOKUP(Table2427[[#This Row],[Journal Description (Service Description)]],'Lookup Values'!$A:$B,2,FALSE))</f>
        <v/>
      </c>
    </row>
    <row r="368" spans="1:4" x14ac:dyDescent="0.35">
      <c r="A368" t="str">
        <f>IF(Table2427[[#This Row],[Branch Name]]="","",(_xlfn.XLOOKUP(Table2427[[#This Row],[Branch Name]],'Lookup Values'!G:G,'Lookup Values'!H:H,0)))</f>
        <v/>
      </c>
      <c r="B368" t="str">
        <f>IF(Table2427[[#This Row],[Branch Name]]="","",(_xlfn.XLOOKUP(Table2427[[#This Row],[Branch Name]],'Lookup Values'!G:G,'Lookup Values'!I:I,0)))</f>
        <v/>
      </c>
      <c r="C368" t="str">
        <f>IF(Table2427[[#This Row],[Journal Description (Service Description)]]="","",1)</f>
        <v/>
      </c>
      <c r="D368" s="2" t="str">
        <f>IF(Table2427[[#This Row],[Journal Description (Service Description)]]="","",VLOOKUP(Table2427[[#This Row],[Journal Description (Service Description)]],'Lookup Values'!$A:$B,2,FALSE))</f>
        <v/>
      </c>
    </row>
    <row r="369" spans="1:4" x14ac:dyDescent="0.35">
      <c r="A369" t="str">
        <f>IF(Table2427[[#This Row],[Branch Name]]="","",(_xlfn.XLOOKUP(Table2427[[#This Row],[Branch Name]],'Lookup Values'!G:G,'Lookup Values'!H:H,0)))</f>
        <v/>
      </c>
      <c r="B369" t="str">
        <f>IF(Table2427[[#This Row],[Branch Name]]="","",(_xlfn.XLOOKUP(Table2427[[#This Row],[Branch Name]],'Lookup Values'!G:G,'Lookup Values'!I:I,0)))</f>
        <v/>
      </c>
      <c r="C369" t="str">
        <f>IF(Table2427[[#This Row],[Journal Description (Service Description)]]="","",1)</f>
        <v/>
      </c>
      <c r="D369" s="2" t="str">
        <f>IF(Table2427[[#This Row],[Journal Description (Service Description)]]="","",VLOOKUP(Table2427[[#This Row],[Journal Description (Service Description)]],'Lookup Values'!$A:$B,2,FALSE))</f>
        <v/>
      </c>
    </row>
    <row r="370" spans="1:4" x14ac:dyDescent="0.35">
      <c r="A370" t="str">
        <f>IF(Table2427[[#This Row],[Branch Name]]="","",(_xlfn.XLOOKUP(Table2427[[#This Row],[Branch Name]],'Lookup Values'!G:G,'Lookup Values'!H:H,0)))</f>
        <v/>
      </c>
      <c r="B370" t="str">
        <f>IF(Table2427[[#This Row],[Branch Name]]="","",(_xlfn.XLOOKUP(Table2427[[#This Row],[Branch Name]],'Lookup Values'!G:G,'Lookup Values'!I:I,0)))</f>
        <v/>
      </c>
      <c r="C370" t="str">
        <f>IF(Table2427[[#This Row],[Journal Description (Service Description)]]="","",1)</f>
        <v/>
      </c>
      <c r="D370" s="2" t="str">
        <f>IF(Table2427[[#This Row],[Journal Description (Service Description)]]="","",VLOOKUP(Table2427[[#This Row],[Journal Description (Service Description)]],'Lookup Values'!$A:$B,2,FALSE))</f>
        <v/>
      </c>
    </row>
    <row r="371" spans="1:4" x14ac:dyDescent="0.35">
      <c r="A371" t="str">
        <f>IF(Table2427[[#This Row],[Branch Name]]="","",(_xlfn.XLOOKUP(Table2427[[#This Row],[Branch Name]],'Lookup Values'!G:G,'Lookup Values'!H:H,0)))</f>
        <v/>
      </c>
      <c r="B371" t="str">
        <f>IF(Table2427[[#This Row],[Branch Name]]="","",(_xlfn.XLOOKUP(Table2427[[#This Row],[Branch Name]],'Lookup Values'!G:G,'Lookup Values'!I:I,0)))</f>
        <v/>
      </c>
      <c r="C371" t="str">
        <f>IF(Table2427[[#This Row],[Journal Description (Service Description)]]="","",1)</f>
        <v/>
      </c>
      <c r="D371" s="2" t="str">
        <f>IF(Table2427[[#This Row],[Journal Description (Service Description)]]="","",VLOOKUP(Table2427[[#This Row],[Journal Description (Service Description)]],'Lookup Values'!$A:$B,2,FALSE))</f>
        <v/>
      </c>
    </row>
    <row r="372" spans="1:4" x14ac:dyDescent="0.35">
      <c r="A372" t="str">
        <f>IF(Table2427[[#This Row],[Branch Name]]="","",(_xlfn.XLOOKUP(Table2427[[#This Row],[Branch Name]],'Lookup Values'!G:G,'Lookup Values'!H:H,0)))</f>
        <v/>
      </c>
      <c r="B372" t="str">
        <f>IF(Table2427[[#This Row],[Branch Name]]="","",(_xlfn.XLOOKUP(Table2427[[#This Row],[Branch Name]],'Lookup Values'!G:G,'Lookup Values'!I:I,0)))</f>
        <v/>
      </c>
      <c r="C372" t="str">
        <f>IF(Table2427[[#This Row],[Journal Description (Service Description)]]="","",1)</f>
        <v/>
      </c>
      <c r="D372" s="2" t="str">
        <f>IF(Table2427[[#This Row],[Journal Description (Service Description)]]="","",VLOOKUP(Table2427[[#This Row],[Journal Description (Service Description)]],'Lookup Values'!$A:$B,2,FALSE))</f>
        <v/>
      </c>
    </row>
    <row r="373" spans="1:4" x14ac:dyDescent="0.35">
      <c r="A373" t="str">
        <f>IF(Table2427[[#This Row],[Branch Name]]="","",(_xlfn.XLOOKUP(Table2427[[#This Row],[Branch Name]],'Lookup Values'!G:G,'Lookup Values'!H:H,0)))</f>
        <v/>
      </c>
      <c r="B373" t="str">
        <f>IF(Table2427[[#This Row],[Branch Name]]="","",(_xlfn.XLOOKUP(Table2427[[#This Row],[Branch Name]],'Lookup Values'!G:G,'Lookup Values'!I:I,0)))</f>
        <v/>
      </c>
      <c r="C373" t="str">
        <f>IF(Table2427[[#This Row],[Journal Description (Service Description)]]="","",1)</f>
        <v/>
      </c>
      <c r="D373" s="2" t="str">
        <f>IF(Table2427[[#This Row],[Journal Description (Service Description)]]="","",VLOOKUP(Table2427[[#This Row],[Journal Description (Service Description)]],'Lookup Values'!$A:$B,2,FALSE))</f>
        <v/>
      </c>
    </row>
    <row r="374" spans="1:4" x14ac:dyDescent="0.35">
      <c r="A374" t="str">
        <f>IF(Table2427[[#This Row],[Branch Name]]="","",(_xlfn.XLOOKUP(Table2427[[#This Row],[Branch Name]],'Lookup Values'!G:G,'Lookup Values'!H:H,0)))</f>
        <v/>
      </c>
      <c r="B374" t="str">
        <f>IF(Table2427[[#This Row],[Branch Name]]="","",(_xlfn.XLOOKUP(Table2427[[#This Row],[Branch Name]],'Lookup Values'!G:G,'Lookup Values'!I:I,0)))</f>
        <v/>
      </c>
      <c r="C374" t="str">
        <f>IF(Table2427[[#This Row],[Journal Description (Service Description)]]="","",1)</f>
        <v/>
      </c>
      <c r="D374" s="2" t="str">
        <f>IF(Table2427[[#This Row],[Journal Description (Service Description)]]="","",VLOOKUP(Table2427[[#This Row],[Journal Description (Service Description)]],'Lookup Values'!$A:$B,2,FALSE))</f>
        <v/>
      </c>
    </row>
    <row r="375" spans="1:4" x14ac:dyDescent="0.35">
      <c r="A375" t="str">
        <f>IF(Table2427[[#This Row],[Branch Name]]="","",(_xlfn.XLOOKUP(Table2427[[#This Row],[Branch Name]],'Lookup Values'!G:G,'Lookup Values'!H:H,0)))</f>
        <v/>
      </c>
      <c r="B375" t="str">
        <f>IF(Table2427[[#This Row],[Branch Name]]="","",(_xlfn.XLOOKUP(Table2427[[#This Row],[Branch Name]],'Lookup Values'!G:G,'Lookup Values'!I:I,0)))</f>
        <v/>
      </c>
      <c r="C375" t="str">
        <f>IF(Table2427[[#This Row],[Journal Description (Service Description)]]="","",1)</f>
        <v/>
      </c>
      <c r="D375" s="2" t="str">
        <f>IF(Table2427[[#This Row],[Journal Description (Service Description)]]="","",VLOOKUP(Table2427[[#This Row],[Journal Description (Service Description)]],'Lookup Values'!$A:$B,2,FALSE))</f>
        <v/>
      </c>
    </row>
    <row r="376" spans="1:4" x14ac:dyDescent="0.35">
      <c r="A376" t="str">
        <f>IF(Table2427[[#This Row],[Branch Name]]="","",(_xlfn.XLOOKUP(Table2427[[#This Row],[Branch Name]],'Lookup Values'!G:G,'Lookup Values'!H:H,0)))</f>
        <v/>
      </c>
      <c r="B376" t="str">
        <f>IF(Table2427[[#This Row],[Branch Name]]="","",(_xlfn.XLOOKUP(Table2427[[#This Row],[Branch Name]],'Lookup Values'!G:G,'Lookup Values'!I:I,0)))</f>
        <v/>
      </c>
      <c r="C376" t="str">
        <f>IF(Table2427[[#This Row],[Journal Description (Service Description)]]="","",1)</f>
        <v/>
      </c>
      <c r="D376" s="2" t="str">
        <f>IF(Table2427[[#This Row],[Journal Description (Service Description)]]="","",VLOOKUP(Table2427[[#This Row],[Journal Description (Service Description)]],'Lookup Values'!$A:$B,2,FALSE))</f>
        <v/>
      </c>
    </row>
    <row r="377" spans="1:4" x14ac:dyDescent="0.35">
      <c r="A377" t="str">
        <f>IF(Table2427[[#This Row],[Branch Name]]="","",(_xlfn.XLOOKUP(Table2427[[#This Row],[Branch Name]],'Lookup Values'!G:G,'Lookup Values'!H:H,0)))</f>
        <v/>
      </c>
      <c r="B377" t="str">
        <f>IF(Table2427[[#This Row],[Branch Name]]="","",(_xlfn.XLOOKUP(Table2427[[#This Row],[Branch Name]],'Lookup Values'!G:G,'Lookup Values'!I:I,0)))</f>
        <v/>
      </c>
      <c r="C377" t="str">
        <f>IF(Table2427[[#This Row],[Journal Description (Service Description)]]="","",1)</f>
        <v/>
      </c>
      <c r="D377" s="2" t="str">
        <f>IF(Table2427[[#This Row],[Journal Description (Service Description)]]="","",VLOOKUP(Table2427[[#This Row],[Journal Description (Service Description)]],'Lookup Values'!$A:$B,2,FALSE))</f>
        <v/>
      </c>
    </row>
    <row r="378" spans="1:4" x14ac:dyDescent="0.35">
      <c r="A378" t="str">
        <f>IF(Table2427[[#This Row],[Branch Name]]="","",(_xlfn.XLOOKUP(Table2427[[#This Row],[Branch Name]],'Lookup Values'!G:G,'Lookup Values'!H:H,0)))</f>
        <v/>
      </c>
      <c r="B378" t="str">
        <f>IF(Table2427[[#This Row],[Branch Name]]="","",(_xlfn.XLOOKUP(Table2427[[#This Row],[Branch Name]],'Lookup Values'!G:G,'Lookup Values'!I:I,0)))</f>
        <v/>
      </c>
      <c r="C378" t="str">
        <f>IF(Table2427[[#This Row],[Journal Description (Service Description)]]="","",1)</f>
        <v/>
      </c>
      <c r="D378" s="2" t="str">
        <f>IF(Table2427[[#This Row],[Journal Description (Service Description)]]="","",VLOOKUP(Table2427[[#This Row],[Journal Description (Service Description)]],'Lookup Values'!$A:$B,2,FALSE))</f>
        <v/>
      </c>
    </row>
    <row r="379" spans="1:4" x14ac:dyDescent="0.35">
      <c r="A379" t="str">
        <f>IF(Table2427[[#This Row],[Branch Name]]="","",(_xlfn.XLOOKUP(Table2427[[#This Row],[Branch Name]],'Lookup Values'!G:G,'Lookup Values'!H:H,0)))</f>
        <v/>
      </c>
      <c r="B379" t="str">
        <f>IF(Table2427[[#This Row],[Branch Name]]="","",(_xlfn.XLOOKUP(Table2427[[#This Row],[Branch Name]],'Lookup Values'!G:G,'Lookup Values'!I:I,0)))</f>
        <v/>
      </c>
      <c r="C379" t="str">
        <f>IF(Table2427[[#This Row],[Journal Description (Service Description)]]="","",1)</f>
        <v/>
      </c>
      <c r="D379" s="2" t="str">
        <f>IF(Table2427[[#This Row],[Journal Description (Service Description)]]="","",VLOOKUP(Table2427[[#This Row],[Journal Description (Service Description)]],'Lookup Values'!$A:$B,2,FALSE))</f>
        <v/>
      </c>
    </row>
    <row r="380" spans="1:4" x14ac:dyDescent="0.35">
      <c r="A380" t="str">
        <f>IF(Table2427[[#This Row],[Branch Name]]="","",(_xlfn.XLOOKUP(Table2427[[#This Row],[Branch Name]],'Lookup Values'!G:G,'Lookup Values'!H:H,0)))</f>
        <v/>
      </c>
      <c r="B380" t="str">
        <f>IF(Table2427[[#This Row],[Branch Name]]="","",(_xlfn.XLOOKUP(Table2427[[#This Row],[Branch Name]],'Lookup Values'!G:G,'Lookup Values'!I:I,0)))</f>
        <v/>
      </c>
      <c r="C380" t="str">
        <f>IF(Table2427[[#This Row],[Journal Description (Service Description)]]="","",1)</f>
        <v/>
      </c>
      <c r="D380" s="2" t="str">
        <f>IF(Table2427[[#This Row],[Journal Description (Service Description)]]="","",VLOOKUP(Table2427[[#This Row],[Journal Description (Service Description)]],'Lookup Values'!$A:$B,2,FALSE))</f>
        <v/>
      </c>
    </row>
    <row r="381" spans="1:4" x14ac:dyDescent="0.35">
      <c r="A381" t="str">
        <f>IF(Table2427[[#This Row],[Branch Name]]="","",(_xlfn.XLOOKUP(Table2427[[#This Row],[Branch Name]],'Lookup Values'!G:G,'Lookup Values'!H:H,0)))</f>
        <v/>
      </c>
      <c r="B381" t="str">
        <f>IF(Table2427[[#This Row],[Branch Name]]="","",(_xlfn.XLOOKUP(Table2427[[#This Row],[Branch Name]],'Lookup Values'!G:G,'Lookup Values'!I:I,0)))</f>
        <v/>
      </c>
      <c r="C381" t="str">
        <f>IF(Table2427[[#This Row],[Journal Description (Service Description)]]="","",1)</f>
        <v/>
      </c>
      <c r="D381" s="2" t="str">
        <f>IF(Table2427[[#This Row],[Journal Description (Service Description)]]="","",VLOOKUP(Table2427[[#This Row],[Journal Description (Service Description)]],'Lookup Values'!$A:$B,2,FALSE))</f>
        <v/>
      </c>
    </row>
    <row r="382" spans="1:4" x14ac:dyDescent="0.35">
      <c r="A382" t="str">
        <f>IF(Table2427[[#This Row],[Branch Name]]="","",(_xlfn.XLOOKUP(Table2427[[#This Row],[Branch Name]],'Lookup Values'!G:G,'Lookup Values'!H:H,0)))</f>
        <v/>
      </c>
      <c r="B382" t="str">
        <f>IF(Table2427[[#This Row],[Branch Name]]="","",(_xlfn.XLOOKUP(Table2427[[#This Row],[Branch Name]],'Lookup Values'!G:G,'Lookup Values'!I:I,0)))</f>
        <v/>
      </c>
      <c r="C382" t="str">
        <f>IF(Table2427[[#This Row],[Journal Description (Service Description)]]="","",1)</f>
        <v/>
      </c>
      <c r="D382" s="2" t="str">
        <f>IF(Table2427[[#This Row],[Journal Description (Service Description)]]="","",VLOOKUP(Table2427[[#This Row],[Journal Description (Service Description)]],'Lookup Values'!$A:$B,2,FALSE))</f>
        <v/>
      </c>
    </row>
    <row r="383" spans="1:4" x14ac:dyDescent="0.35">
      <c r="A383" t="str">
        <f>IF(Table2427[[#This Row],[Branch Name]]="","",(_xlfn.XLOOKUP(Table2427[[#This Row],[Branch Name]],'Lookup Values'!G:G,'Lookup Values'!H:H,0)))</f>
        <v/>
      </c>
      <c r="B383" t="str">
        <f>IF(Table2427[[#This Row],[Branch Name]]="","",(_xlfn.XLOOKUP(Table2427[[#This Row],[Branch Name]],'Lookup Values'!G:G,'Lookup Values'!I:I,0)))</f>
        <v/>
      </c>
      <c r="C383" t="str">
        <f>IF(Table2427[[#This Row],[Journal Description (Service Description)]]="","",1)</f>
        <v/>
      </c>
      <c r="D383" s="2" t="str">
        <f>IF(Table2427[[#This Row],[Journal Description (Service Description)]]="","",VLOOKUP(Table2427[[#This Row],[Journal Description (Service Description)]],'Lookup Values'!$A:$B,2,FALSE))</f>
        <v/>
      </c>
    </row>
    <row r="384" spans="1:4" x14ac:dyDescent="0.35">
      <c r="A384" t="str">
        <f>IF(Table2427[[#This Row],[Branch Name]]="","",(_xlfn.XLOOKUP(Table2427[[#This Row],[Branch Name]],'Lookup Values'!G:G,'Lookup Values'!H:H,0)))</f>
        <v/>
      </c>
      <c r="B384" t="str">
        <f>IF(Table2427[[#This Row],[Branch Name]]="","",(_xlfn.XLOOKUP(Table2427[[#This Row],[Branch Name]],'Lookup Values'!G:G,'Lookup Values'!I:I,0)))</f>
        <v/>
      </c>
      <c r="C384" t="str">
        <f>IF(Table2427[[#This Row],[Journal Description (Service Description)]]="","",1)</f>
        <v/>
      </c>
      <c r="D384" s="2" t="str">
        <f>IF(Table2427[[#This Row],[Journal Description (Service Description)]]="","",VLOOKUP(Table2427[[#This Row],[Journal Description (Service Description)]],'Lookup Values'!$A:$B,2,FALSE))</f>
        <v/>
      </c>
    </row>
    <row r="385" spans="1:4" x14ac:dyDescent="0.35">
      <c r="A385" t="str">
        <f>IF(Table2427[[#This Row],[Branch Name]]="","",(_xlfn.XLOOKUP(Table2427[[#This Row],[Branch Name]],'Lookup Values'!G:G,'Lookup Values'!H:H,0)))</f>
        <v/>
      </c>
      <c r="B385" t="str">
        <f>IF(Table2427[[#This Row],[Branch Name]]="","",(_xlfn.XLOOKUP(Table2427[[#This Row],[Branch Name]],'Lookup Values'!G:G,'Lookup Values'!I:I,0)))</f>
        <v/>
      </c>
      <c r="C385" t="str">
        <f>IF(Table2427[[#This Row],[Journal Description (Service Description)]]="","",1)</f>
        <v/>
      </c>
      <c r="D385" s="2" t="str">
        <f>IF(Table2427[[#This Row],[Journal Description (Service Description)]]="","",VLOOKUP(Table2427[[#This Row],[Journal Description (Service Description)]],'Lookup Values'!$A:$B,2,FALSE))</f>
        <v/>
      </c>
    </row>
    <row r="386" spans="1:4" x14ac:dyDescent="0.35">
      <c r="A386" t="str">
        <f>IF(Table2427[[#This Row],[Branch Name]]="","",(_xlfn.XLOOKUP(Table2427[[#This Row],[Branch Name]],'Lookup Values'!G:G,'Lookup Values'!H:H,0)))</f>
        <v/>
      </c>
      <c r="B386" t="str">
        <f>IF(Table2427[[#This Row],[Branch Name]]="","",(_xlfn.XLOOKUP(Table2427[[#This Row],[Branch Name]],'Lookup Values'!G:G,'Lookup Values'!I:I,0)))</f>
        <v/>
      </c>
      <c r="C386" t="str">
        <f>IF(Table2427[[#This Row],[Journal Description (Service Description)]]="","",1)</f>
        <v/>
      </c>
      <c r="D386" s="2" t="str">
        <f>IF(Table2427[[#This Row],[Journal Description (Service Description)]]="","",VLOOKUP(Table2427[[#This Row],[Journal Description (Service Description)]],'Lookup Values'!$A:$B,2,FALSE))</f>
        <v/>
      </c>
    </row>
    <row r="387" spans="1:4" x14ac:dyDescent="0.35">
      <c r="A387" t="str">
        <f>IF(Table2427[[#This Row],[Branch Name]]="","",(_xlfn.XLOOKUP(Table2427[[#This Row],[Branch Name]],'Lookup Values'!G:G,'Lookup Values'!H:H,0)))</f>
        <v/>
      </c>
      <c r="B387" t="str">
        <f>IF(Table2427[[#This Row],[Branch Name]]="","",(_xlfn.XLOOKUP(Table2427[[#This Row],[Branch Name]],'Lookup Values'!G:G,'Lookup Values'!I:I,0)))</f>
        <v/>
      </c>
      <c r="C387" t="str">
        <f>IF(Table2427[[#This Row],[Journal Description (Service Description)]]="","",1)</f>
        <v/>
      </c>
      <c r="D387" s="2" t="str">
        <f>IF(Table2427[[#This Row],[Journal Description (Service Description)]]="","",VLOOKUP(Table2427[[#This Row],[Journal Description (Service Description)]],'Lookup Values'!$A:$B,2,FALSE))</f>
        <v/>
      </c>
    </row>
    <row r="388" spans="1:4" x14ac:dyDescent="0.35">
      <c r="A388" t="str">
        <f>IF(Table2427[[#This Row],[Branch Name]]="","",(_xlfn.XLOOKUP(Table2427[[#This Row],[Branch Name]],'Lookup Values'!G:G,'Lookup Values'!H:H,0)))</f>
        <v/>
      </c>
      <c r="B388" t="str">
        <f>IF(Table2427[[#This Row],[Branch Name]]="","",(_xlfn.XLOOKUP(Table2427[[#This Row],[Branch Name]],'Lookup Values'!G:G,'Lookup Values'!I:I,0)))</f>
        <v/>
      </c>
      <c r="C388" t="str">
        <f>IF(Table2427[[#This Row],[Journal Description (Service Description)]]="","",1)</f>
        <v/>
      </c>
      <c r="D388" s="2" t="str">
        <f>IF(Table2427[[#This Row],[Journal Description (Service Description)]]="","",VLOOKUP(Table2427[[#This Row],[Journal Description (Service Description)]],'Lookup Values'!$A:$B,2,FALSE))</f>
        <v/>
      </c>
    </row>
    <row r="389" spans="1:4" x14ac:dyDescent="0.35">
      <c r="A389" t="str">
        <f>IF(Table2427[[#This Row],[Branch Name]]="","",(_xlfn.XLOOKUP(Table2427[[#This Row],[Branch Name]],'Lookup Values'!G:G,'Lookup Values'!H:H,0)))</f>
        <v/>
      </c>
      <c r="B389" t="str">
        <f>IF(Table2427[[#This Row],[Branch Name]]="","",(_xlfn.XLOOKUP(Table2427[[#This Row],[Branch Name]],'Lookup Values'!G:G,'Lookup Values'!I:I,0)))</f>
        <v/>
      </c>
      <c r="C389" t="str">
        <f>IF(Table2427[[#This Row],[Journal Description (Service Description)]]="","",1)</f>
        <v/>
      </c>
      <c r="D389" s="2" t="str">
        <f>IF(Table2427[[#This Row],[Journal Description (Service Description)]]="","",VLOOKUP(Table2427[[#This Row],[Journal Description (Service Description)]],'Lookup Values'!$A:$B,2,FALSE))</f>
        <v/>
      </c>
    </row>
    <row r="390" spans="1:4" x14ac:dyDescent="0.35">
      <c r="A390" t="str">
        <f>IF(Table2427[[#This Row],[Branch Name]]="","",(_xlfn.XLOOKUP(Table2427[[#This Row],[Branch Name]],'Lookup Values'!G:G,'Lookup Values'!H:H,0)))</f>
        <v/>
      </c>
      <c r="B390" t="str">
        <f>IF(Table2427[[#This Row],[Branch Name]]="","",(_xlfn.XLOOKUP(Table2427[[#This Row],[Branch Name]],'Lookup Values'!G:G,'Lookup Values'!I:I,0)))</f>
        <v/>
      </c>
      <c r="C390" t="str">
        <f>IF(Table2427[[#This Row],[Journal Description (Service Description)]]="","",1)</f>
        <v/>
      </c>
      <c r="D390" s="2" t="str">
        <f>IF(Table2427[[#This Row],[Journal Description (Service Description)]]="","",VLOOKUP(Table2427[[#This Row],[Journal Description (Service Description)]],'Lookup Values'!$A:$B,2,FALSE))</f>
        <v/>
      </c>
    </row>
    <row r="391" spans="1:4" x14ac:dyDescent="0.35">
      <c r="A391" t="str">
        <f>IF(Table2427[[#This Row],[Branch Name]]="","",(_xlfn.XLOOKUP(Table2427[[#This Row],[Branch Name]],'Lookup Values'!G:G,'Lookup Values'!H:H,0)))</f>
        <v/>
      </c>
      <c r="B391" t="str">
        <f>IF(Table2427[[#This Row],[Branch Name]]="","",(_xlfn.XLOOKUP(Table2427[[#This Row],[Branch Name]],'Lookup Values'!G:G,'Lookup Values'!I:I,0)))</f>
        <v/>
      </c>
      <c r="C391" t="str">
        <f>IF(Table2427[[#This Row],[Journal Description (Service Description)]]="","",1)</f>
        <v/>
      </c>
      <c r="D391" s="2" t="str">
        <f>IF(Table2427[[#This Row],[Journal Description (Service Description)]]="","",VLOOKUP(Table2427[[#This Row],[Journal Description (Service Description)]],'Lookup Values'!$A:$B,2,FALSE))</f>
        <v/>
      </c>
    </row>
    <row r="392" spans="1:4" x14ac:dyDescent="0.35">
      <c r="A392" t="str">
        <f>IF(Table2427[[#This Row],[Branch Name]]="","",(_xlfn.XLOOKUP(Table2427[[#This Row],[Branch Name]],'Lookup Values'!G:G,'Lookup Values'!H:H,0)))</f>
        <v/>
      </c>
      <c r="B392" t="str">
        <f>IF(Table2427[[#This Row],[Branch Name]]="","",(_xlfn.XLOOKUP(Table2427[[#This Row],[Branch Name]],'Lookup Values'!G:G,'Lookup Values'!I:I,0)))</f>
        <v/>
      </c>
      <c r="C392" t="str">
        <f>IF(Table2427[[#This Row],[Journal Description (Service Description)]]="","",1)</f>
        <v/>
      </c>
      <c r="D392" s="2" t="str">
        <f>IF(Table2427[[#This Row],[Journal Description (Service Description)]]="","",VLOOKUP(Table2427[[#This Row],[Journal Description (Service Description)]],'Lookup Values'!$A:$B,2,FALSE))</f>
        <v/>
      </c>
    </row>
    <row r="393" spans="1:4" x14ac:dyDescent="0.35">
      <c r="A393" t="str">
        <f>IF(Table2427[[#This Row],[Branch Name]]="","",(_xlfn.XLOOKUP(Table2427[[#This Row],[Branch Name]],'Lookup Values'!G:G,'Lookup Values'!H:H,0)))</f>
        <v/>
      </c>
      <c r="B393" t="str">
        <f>IF(Table2427[[#This Row],[Branch Name]]="","",(_xlfn.XLOOKUP(Table2427[[#This Row],[Branch Name]],'Lookup Values'!G:G,'Lookup Values'!I:I,0)))</f>
        <v/>
      </c>
      <c r="C393" t="str">
        <f>IF(Table2427[[#This Row],[Journal Description (Service Description)]]="","",1)</f>
        <v/>
      </c>
      <c r="D393" s="2" t="str">
        <f>IF(Table2427[[#This Row],[Journal Description (Service Description)]]="","",VLOOKUP(Table2427[[#This Row],[Journal Description (Service Description)]],'Lookup Values'!$A:$B,2,FALSE))</f>
        <v/>
      </c>
    </row>
    <row r="394" spans="1:4" x14ac:dyDescent="0.35">
      <c r="A394" t="str">
        <f>IF(Table2427[[#This Row],[Branch Name]]="","",(_xlfn.XLOOKUP(Table2427[[#This Row],[Branch Name]],'Lookup Values'!G:G,'Lookup Values'!H:H,0)))</f>
        <v/>
      </c>
      <c r="B394" t="str">
        <f>IF(Table2427[[#This Row],[Branch Name]]="","",(_xlfn.XLOOKUP(Table2427[[#This Row],[Branch Name]],'Lookup Values'!G:G,'Lookup Values'!I:I,0)))</f>
        <v/>
      </c>
      <c r="C394" t="str">
        <f>IF(Table2427[[#This Row],[Journal Description (Service Description)]]="","",1)</f>
        <v/>
      </c>
      <c r="D394" s="2" t="str">
        <f>IF(Table2427[[#This Row],[Journal Description (Service Description)]]="","",VLOOKUP(Table2427[[#This Row],[Journal Description (Service Description)]],'Lookup Values'!$A:$B,2,FALSE))</f>
        <v/>
      </c>
    </row>
    <row r="395" spans="1:4" x14ac:dyDescent="0.35">
      <c r="A395" t="str">
        <f>IF(Table2427[[#This Row],[Branch Name]]="","",(_xlfn.XLOOKUP(Table2427[[#This Row],[Branch Name]],'Lookup Values'!G:G,'Lookup Values'!H:H,0)))</f>
        <v/>
      </c>
      <c r="B395" t="str">
        <f>IF(Table2427[[#This Row],[Branch Name]]="","",(_xlfn.XLOOKUP(Table2427[[#This Row],[Branch Name]],'Lookup Values'!G:G,'Lookup Values'!I:I,0)))</f>
        <v/>
      </c>
      <c r="C395" t="str">
        <f>IF(Table2427[[#This Row],[Journal Description (Service Description)]]="","",1)</f>
        <v/>
      </c>
      <c r="D395" s="2" t="str">
        <f>IF(Table2427[[#This Row],[Journal Description (Service Description)]]="","",VLOOKUP(Table2427[[#This Row],[Journal Description (Service Description)]],'Lookup Values'!$A:$B,2,FALSE))</f>
        <v/>
      </c>
    </row>
    <row r="396" spans="1:4" x14ac:dyDescent="0.35">
      <c r="A396" t="str">
        <f>IF(Table2427[[#This Row],[Branch Name]]="","",(_xlfn.XLOOKUP(Table2427[[#This Row],[Branch Name]],'Lookup Values'!G:G,'Lookup Values'!H:H,0)))</f>
        <v/>
      </c>
      <c r="B396" t="str">
        <f>IF(Table2427[[#This Row],[Branch Name]]="","",(_xlfn.XLOOKUP(Table2427[[#This Row],[Branch Name]],'Lookup Values'!G:G,'Lookup Values'!I:I,0)))</f>
        <v/>
      </c>
      <c r="C396" t="str">
        <f>IF(Table2427[[#This Row],[Journal Description (Service Description)]]="","",1)</f>
        <v/>
      </c>
      <c r="D396" s="2" t="str">
        <f>IF(Table2427[[#This Row],[Journal Description (Service Description)]]="","",VLOOKUP(Table2427[[#This Row],[Journal Description (Service Description)]],'Lookup Values'!$A:$B,2,FALSE))</f>
        <v/>
      </c>
    </row>
    <row r="397" spans="1:4" x14ac:dyDescent="0.35">
      <c r="A397" t="str">
        <f>IF(Table2427[[#This Row],[Branch Name]]="","",(_xlfn.XLOOKUP(Table2427[[#This Row],[Branch Name]],'Lookup Values'!G:G,'Lookup Values'!H:H,0)))</f>
        <v/>
      </c>
      <c r="B397" t="str">
        <f>IF(Table2427[[#This Row],[Branch Name]]="","",(_xlfn.XLOOKUP(Table2427[[#This Row],[Branch Name]],'Lookup Values'!G:G,'Lookup Values'!I:I,0)))</f>
        <v/>
      </c>
      <c r="C397" t="str">
        <f>IF(Table2427[[#This Row],[Journal Description (Service Description)]]="","",1)</f>
        <v/>
      </c>
      <c r="D397" s="2" t="str">
        <f>IF(Table2427[[#This Row],[Journal Description (Service Description)]]="","",VLOOKUP(Table2427[[#This Row],[Journal Description (Service Description)]],'Lookup Values'!$A:$B,2,FALSE))</f>
        <v/>
      </c>
    </row>
    <row r="398" spans="1:4" x14ac:dyDescent="0.35">
      <c r="A398" t="str">
        <f>IF(Table2427[[#This Row],[Branch Name]]="","",(_xlfn.XLOOKUP(Table2427[[#This Row],[Branch Name]],'Lookup Values'!G:G,'Lookup Values'!H:H,0)))</f>
        <v/>
      </c>
      <c r="B398" t="str">
        <f>IF(Table2427[[#This Row],[Branch Name]]="","",(_xlfn.XLOOKUP(Table2427[[#This Row],[Branch Name]],'Lookup Values'!G:G,'Lookup Values'!I:I,0)))</f>
        <v/>
      </c>
      <c r="C398" t="str">
        <f>IF(Table2427[[#This Row],[Journal Description (Service Description)]]="","",1)</f>
        <v/>
      </c>
      <c r="D398" s="2" t="str">
        <f>IF(Table2427[[#This Row],[Journal Description (Service Description)]]="","",VLOOKUP(Table2427[[#This Row],[Journal Description (Service Description)]],'Lookup Values'!$A:$B,2,FALSE))</f>
        <v/>
      </c>
    </row>
    <row r="399" spans="1:4" x14ac:dyDescent="0.35">
      <c r="A399" t="str">
        <f>IF(Table2427[[#This Row],[Branch Name]]="","",(_xlfn.XLOOKUP(Table2427[[#This Row],[Branch Name]],'Lookup Values'!G:G,'Lookup Values'!H:H,0)))</f>
        <v/>
      </c>
      <c r="B399" t="str">
        <f>IF(Table2427[[#This Row],[Branch Name]]="","",(_xlfn.XLOOKUP(Table2427[[#This Row],[Branch Name]],'Lookup Values'!G:G,'Lookup Values'!I:I,0)))</f>
        <v/>
      </c>
      <c r="C399" t="str">
        <f>IF(Table2427[[#This Row],[Journal Description (Service Description)]]="","",1)</f>
        <v/>
      </c>
      <c r="D399" s="2" t="str">
        <f>IF(Table2427[[#This Row],[Journal Description (Service Description)]]="","",VLOOKUP(Table2427[[#This Row],[Journal Description (Service Description)]],'Lookup Values'!$A:$B,2,FALSE))</f>
        <v/>
      </c>
    </row>
    <row r="400" spans="1:4" x14ac:dyDescent="0.35">
      <c r="A400" t="str">
        <f>IF(Table2427[[#This Row],[Branch Name]]="","",(_xlfn.XLOOKUP(Table2427[[#This Row],[Branch Name]],'Lookup Values'!G:G,'Lookup Values'!H:H,0)))</f>
        <v/>
      </c>
      <c r="B400" t="str">
        <f>IF(Table2427[[#This Row],[Branch Name]]="","",(_xlfn.XLOOKUP(Table2427[[#This Row],[Branch Name]],'Lookup Values'!G:G,'Lookup Values'!I:I,0)))</f>
        <v/>
      </c>
      <c r="C400" t="str">
        <f>IF(Table2427[[#This Row],[Journal Description (Service Description)]]="","",1)</f>
        <v/>
      </c>
      <c r="D400" s="2" t="str">
        <f>IF(Table2427[[#This Row],[Journal Description (Service Description)]]="","",VLOOKUP(Table2427[[#This Row],[Journal Description (Service Description)]],'Lookup Values'!$A:$B,2,FALSE))</f>
        <v/>
      </c>
    </row>
    <row r="401" spans="1:4" x14ac:dyDescent="0.35">
      <c r="A401" t="str">
        <f>IF(Table2427[[#This Row],[Branch Name]]="","",(_xlfn.XLOOKUP(Table2427[[#This Row],[Branch Name]],'Lookup Values'!G:G,'Lookup Values'!H:H,0)))</f>
        <v/>
      </c>
      <c r="B401" t="str">
        <f>IF(Table2427[[#This Row],[Branch Name]]="","",(_xlfn.XLOOKUP(Table2427[[#This Row],[Branch Name]],'Lookup Values'!G:G,'Lookup Values'!I:I,0)))</f>
        <v/>
      </c>
      <c r="C401" t="str">
        <f>IF(Table2427[[#This Row],[Journal Description (Service Description)]]="","",1)</f>
        <v/>
      </c>
      <c r="D401" s="2" t="str">
        <f>IF(Table2427[[#This Row],[Journal Description (Service Description)]]="","",VLOOKUP(Table2427[[#This Row],[Journal Description (Service Description)]],'Lookup Values'!$A:$B,2,FALSE))</f>
        <v/>
      </c>
    </row>
    <row r="402" spans="1:4" x14ac:dyDescent="0.35">
      <c r="A402" t="str">
        <f>IF(Table2427[[#This Row],[Branch Name]]="","",(_xlfn.XLOOKUP(Table2427[[#This Row],[Branch Name]],'Lookup Values'!G:G,'Lookup Values'!H:H,0)))</f>
        <v/>
      </c>
      <c r="B402" t="str">
        <f>IF(Table2427[[#This Row],[Branch Name]]="","",(_xlfn.XLOOKUP(Table2427[[#This Row],[Branch Name]],'Lookup Values'!G:G,'Lookup Values'!I:I,0)))</f>
        <v/>
      </c>
      <c r="C402" t="str">
        <f>IF(Table2427[[#This Row],[Journal Description (Service Description)]]="","",1)</f>
        <v/>
      </c>
      <c r="D402" s="2" t="str">
        <f>IF(Table2427[[#This Row],[Journal Description (Service Description)]]="","",VLOOKUP(Table2427[[#This Row],[Journal Description (Service Description)]],'Lookup Values'!$A:$B,2,FALSE))</f>
        <v/>
      </c>
    </row>
    <row r="403" spans="1:4" x14ac:dyDescent="0.35">
      <c r="A403" t="str">
        <f>IF(Table2427[[#This Row],[Branch Name]]="","",(_xlfn.XLOOKUP(Table2427[[#This Row],[Branch Name]],'Lookup Values'!G:G,'Lookup Values'!H:H,0)))</f>
        <v/>
      </c>
      <c r="B403" t="str">
        <f>IF(Table2427[[#This Row],[Branch Name]]="","",(_xlfn.XLOOKUP(Table2427[[#This Row],[Branch Name]],'Lookup Values'!G:G,'Lookup Values'!I:I,0)))</f>
        <v/>
      </c>
      <c r="C403" t="str">
        <f>IF(Table2427[[#This Row],[Journal Description (Service Description)]]="","",1)</f>
        <v/>
      </c>
      <c r="D403" s="2" t="str">
        <f>IF(Table2427[[#This Row],[Journal Description (Service Description)]]="","",VLOOKUP(Table2427[[#This Row],[Journal Description (Service Description)]],'Lookup Values'!$A:$B,2,FALSE))</f>
        <v/>
      </c>
    </row>
    <row r="404" spans="1:4" x14ac:dyDescent="0.35">
      <c r="A404" t="str">
        <f>IF(Table2427[[#This Row],[Branch Name]]="","",(_xlfn.XLOOKUP(Table2427[[#This Row],[Branch Name]],'Lookup Values'!G:G,'Lookup Values'!H:H,0)))</f>
        <v/>
      </c>
      <c r="B404" t="str">
        <f>IF(Table2427[[#This Row],[Branch Name]]="","",(_xlfn.XLOOKUP(Table2427[[#This Row],[Branch Name]],'Lookup Values'!G:G,'Lookup Values'!I:I,0)))</f>
        <v/>
      </c>
      <c r="C404" t="str">
        <f>IF(Table2427[[#This Row],[Journal Description (Service Description)]]="","",1)</f>
        <v/>
      </c>
      <c r="D404" s="2" t="str">
        <f>IF(Table2427[[#This Row],[Journal Description (Service Description)]]="","",VLOOKUP(Table2427[[#This Row],[Journal Description (Service Description)]],'Lookup Values'!$A:$B,2,FALSE))</f>
        <v/>
      </c>
    </row>
    <row r="405" spans="1:4" x14ac:dyDescent="0.35">
      <c r="A405" t="str">
        <f>IF(Table2427[[#This Row],[Branch Name]]="","",(_xlfn.XLOOKUP(Table2427[[#This Row],[Branch Name]],'Lookup Values'!G:G,'Lookup Values'!H:H,0)))</f>
        <v/>
      </c>
      <c r="B405" t="str">
        <f>IF(Table2427[[#This Row],[Branch Name]]="","",(_xlfn.XLOOKUP(Table2427[[#This Row],[Branch Name]],'Lookup Values'!G:G,'Lookup Values'!I:I,0)))</f>
        <v/>
      </c>
      <c r="C405" t="str">
        <f>IF(Table2427[[#This Row],[Journal Description (Service Description)]]="","",1)</f>
        <v/>
      </c>
      <c r="D405" s="2" t="str">
        <f>IF(Table2427[[#This Row],[Journal Description (Service Description)]]="","",VLOOKUP(Table2427[[#This Row],[Journal Description (Service Description)]],'Lookup Values'!$A:$B,2,FALSE))</f>
        <v/>
      </c>
    </row>
    <row r="406" spans="1:4" x14ac:dyDescent="0.35">
      <c r="A406" t="str">
        <f>IF(Table2427[[#This Row],[Branch Name]]="","",(_xlfn.XLOOKUP(Table2427[[#This Row],[Branch Name]],'Lookup Values'!G:G,'Lookup Values'!H:H,0)))</f>
        <v/>
      </c>
      <c r="B406" t="str">
        <f>IF(Table2427[[#This Row],[Branch Name]]="","",(_xlfn.XLOOKUP(Table2427[[#This Row],[Branch Name]],'Lookup Values'!G:G,'Lookup Values'!I:I,0)))</f>
        <v/>
      </c>
      <c r="C406" t="str">
        <f>IF(Table2427[[#This Row],[Journal Description (Service Description)]]="","",1)</f>
        <v/>
      </c>
      <c r="D406" s="2" t="str">
        <f>IF(Table2427[[#This Row],[Journal Description (Service Description)]]="","",VLOOKUP(Table2427[[#This Row],[Journal Description (Service Description)]],'Lookup Values'!$A:$B,2,FALSE))</f>
        <v/>
      </c>
    </row>
    <row r="407" spans="1:4" x14ac:dyDescent="0.35">
      <c r="A407" t="str">
        <f>IF(Table2427[[#This Row],[Branch Name]]="","",(_xlfn.XLOOKUP(Table2427[[#This Row],[Branch Name]],'Lookup Values'!G:G,'Lookup Values'!H:H,0)))</f>
        <v/>
      </c>
      <c r="B407" t="str">
        <f>IF(Table2427[[#This Row],[Branch Name]]="","",(_xlfn.XLOOKUP(Table2427[[#This Row],[Branch Name]],'Lookup Values'!G:G,'Lookup Values'!I:I,0)))</f>
        <v/>
      </c>
      <c r="C407" t="str">
        <f>IF(Table2427[[#This Row],[Journal Description (Service Description)]]="","",1)</f>
        <v/>
      </c>
      <c r="D407" s="2" t="str">
        <f>IF(Table2427[[#This Row],[Journal Description (Service Description)]]="","",VLOOKUP(Table2427[[#This Row],[Journal Description (Service Description)]],'Lookup Values'!$A:$B,2,FALSE))</f>
        <v/>
      </c>
    </row>
    <row r="408" spans="1:4" x14ac:dyDescent="0.35">
      <c r="A408" t="str">
        <f>IF(Table2427[[#This Row],[Branch Name]]="","",(_xlfn.XLOOKUP(Table2427[[#This Row],[Branch Name]],'Lookup Values'!G:G,'Lookup Values'!H:H,0)))</f>
        <v/>
      </c>
      <c r="B408" t="str">
        <f>IF(Table2427[[#This Row],[Branch Name]]="","",(_xlfn.XLOOKUP(Table2427[[#This Row],[Branch Name]],'Lookup Values'!G:G,'Lookup Values'!I:I,0)))</f>
        <v/>
      </c>
      <c r="C408" t="str">
        <f>IF(Table2427[[#This Row],[Journal Description (Service Description)]]="","",1)</f>
        <v/>
      </c>
      <c r="D408" s="2" t="str">
        <f>IF(Table2427[[#This Row],[Journal Description (Service Description)]]="","",VLOOKUP(Table2427[[#This Row],[Journal Description (Service Description)]],'Lookup Values'!$A:$B,2,FALSE))</f>
        <v/>
      </c>
    </row>
    <row r="409" spans="1:4" x14ac:dyDescent="0.35">
      <c r="A409" t="str">
        <f>IF(Table2427[[#This Row],[Branch Name]]="","",(_xlfn.XLOOKUP(Table2427[[#This Row],[Branch Name]],'Lookup Values'!G:G,'Lookup Values'!H:H,0)))</f>
        <v/>
      </c>
      <c r="B409" t="str">
        <f>IF(Table2427[[#This Row],[Branch Name]]="","",(_xlfn.XLOOKUP(Table2427[[#This Row],[Branch Name]],'Lookup Values'!G:G,'Lookup Values'!I:I,0)))</f>
        <v/>
      </c>
      <c r="C409" t="str">
        <f>IF(Table2427[[#This Row],[Journal Description (Service Description)]]="","",1)</f>
        <v/>
      </c>
      <c r="D409" s="2" t="str">
        <f>IF(Table2427[[#This Row],[Journal Description (Service Description)]]="","",VLOOKUP(Table2427[[#This Row],[Journal Description (Service Description)]],'Lookup Values'!$A:$B,2,FALSE))</f>
        <v/>
      </c>
    </row>
    <row r="410" spans="1:4" x14ac:dyDescent="0.35">
      <c r="A410" t="str">
        <f>IF(Table2427[[#This Row],[Branch Name]]="","",(_xlfn.XLOOKUP(Table2427[[#This Row],[Branch Name]],'Lookup Values'!G:G,'Lookup Values'!H:H,0)))</f>
        <v/>
      </c>
      <c r="B410" t="str">
        <f>IF(Table2427[[#This Row],[Branch Name]]="","",(_xlfn.XLOOKUP(Table2427[[#This Row],[Branch Name]],'Lookup Values'!G:G,'Lookup Values'!I:I,0)))</f>
        <v/>
      </c>
      <c r="C410" t="str">
        <f>IF(Table2427[[#This Row],[Journal Description (Service Description)]]="","",1)</f>
        <v/>
      </c>
      <c r="D410" s="2" t="str">
        <f>IF(Table2427[[#This Row],[Journal Description (Service Description)]]="","",VLOOKUP(Table2427[[#This Row],[Journal Description (Service Description)]],'Lookup Values'!$A:$B,2,FALSE))</f>
        <v/>
      </c>
    </row>
    <row r="411" spans="1:4" x14ac:dyDescent="0.35">
      <c r="A411" t="str">
        <f>IF(Table2427[[#This Row],[Branch Name]]="","",(_xlfn.XLOOKUP(Table2427[[#This Row],[Branch Name]],'Lookup Values'!G:G,'Lookup Values'!H:H,0)))</f>
        <v/>
      </c>
      <c r="B411" t="str">
        <f>IF(Table2427[[#This Row],[Branch Name]]="","",(_xlfn.XLOOKUP(Table2427[[#This Row],[Branch Name]],'Lookup Values'!G:G,'Lookup Values'!I:I,0)))</f>
        <v/>
      </c>
      <c r="C411" t="str">
        <f>IF(Table2427[[#This Row],[Journal Description (Service Description)]]="","",1)</f>
        <v/>
      </c>
      <c r="D411" s="2" t="str">
        <f>IF(Table2427[[#This Row],[Journal Description (Service Description)]]="","",VLOOKUP(Table2427[[#This Row],[Journal Description (Service Description)]],'Lookup Values'!$A:$B,2,FALSE))</f>
        <v/>
      </c>
    </row>
    <row r="412" spans="1:4" x14ac:dyDescent="0.35">
      <c r="A412" t="str">
        <f>IF(Table2427[[#This Row],[Branch Name]]="","",(_xlfn.XLOOKUP(Table2427[[#This Row],[Branch Name]],'Lookup Values'!G:G,'Lookup Values'!H:H,0)))</f>
        <v/>
      </c>
      <c r="B412" t="str">
        <f>IF(Table2427[[#This Row],[Branch Name]]="","",(_xlfn.XLOOKUP(Table2427[[#This Row],[Branch Name]],'Lookup Values'!G:G,'Lookup Values'!I:I,0)))</f>
        <v/>
      </c>
      <c r="C412" t="str">
        <f>IF(Table2427[[#This Row],[Journal Description (Service Description)]]="","",1)</f>
        <v/>
      </c>
      <c r="D412" s="2" t="str">
        <f>IF(Table2427[[#This Row],[Journal Description (Service Description)]]="","",VLOOKUP(Table2427[[#This Row],[Journal Description (Service Description)]],'Lookup Values'!$A:$B,2,FALSE))</f>
        <v/>
      </c>
    </row>
    <row r="413" spans="1:4" x14ac:dyDescent="0.35">
      <c r="A413" t="str">
        <f>IF(Table2427[[#This Row],[Branch Name]]="","",(_xlfn.XLOOKUP(Table2427[[#This Row],[Branch Name]],'Lookup Values'!G:G,'Lookup Values'!H:H,0)))</f>
        <v/>
      </c>
      <c r="B413" t="str">
        <f>IF(Table2427[[#This Row],[Branch Name]]="","",(_xlfn.XLOOKUP(Table2427[[#This Row],[Branch Name]],'Lookup Values'!G:G,'Lookup Values'!I:I,0)))</f>
        <v/>
      </c>
      <c r="C413" t="str">
        <f>IF(Table2427[[#This Row],[Journal Description (Service Description)]]="","",1)</f>
        <v/>
      </c>
      <c r="D413" s="2" t="str">
        <f>IF(Table2427[[#This Row],[Journal Description (Service Description)]]="","",VLOOKUP(Table2427[[#This Row],[Journal Description (Service Description)]],'Lookup Values'!$A:$B,2,FALSE))</f>
        <v/>
      </c>
    </row>
    <row r="414" spans="1:4" x14ac:dyDescent="0.35">
      <c r="A414" t="str">
        <f>IF(Table2427[[#This Row],[Branch Name]]="","",(_xlfn.XLOOKUP(Table2427[[#This Row],[Branch Name]],'Lookup Values'!G:G,'Lookup Values'!H:H,0)))</f>
        <v/>
      </c>
      <c r="B414" t="str">
        <f>IF(Table2427[[#This Row],[Branch Name]]="","",(_xlfn.XLOOKUP(Table2427[[#This Row],[Branch Name]],'Lookup Values'!G:G,'Lookup Values'!I:I,0)))</f>
        <v/>
      </c>
      <c r="C414" t="str">
        <f>IF(Table2427[[#This Row],[Journal Description (Service Description)]]="","",1)</f>
        <v/>
      </c>
      <c r="D414" s="2" t="str">
        <f>IF(Table2427[[#This Row],[Journal Description (Service Description)]]="","",VLOOKUP(Table2427[[#This Row],[Journal Description (Service Description)]],'Lookup Values'!$A:$B,2,FALSE))</f>
        <v/>
      </c>
    </row>
    <row r="415" spans="1:4" x14ac:dyDescent="0.35">
      <c r="A415" t="str">
        <f>IF(Table2427[[#This Row],[Branch Name]]="","",(_xlfn.XLOOKUP(Table2427[[#This Row],[Branch Name]],'Lookup Values'!G:G,'Lookup Values'!H:H,0)))</f>
        <v/>
      </c>
      <c r="B415" t="str">
        <f>IF(Table2427[[#This Row],[Branch Name]]="","",(_xlfn.XLOOKUP(Table2427[[#This Row],[Branch Name]],'Lookup Values'!G:G,'Lookup Values'!I:I,0)))</f>
        <v/>
      </c>
      <c r="C415" t="str">
        <f>IF(Table2427[[#This Row],[Journal Description (Service Description)]]="","",1)</f>
        <v/>
      </c>
      <c r="D415" s="2" t="str">
        <f>IF(Table2427[[#This Row],[Journal Description (Service Description)]]="","",VLOOKUP(Table2427[[#This Row],[Journal Description (Service Description)]],'Lookup Values'!$A:$B,2,FALSE))</f>
        <v/>
      </c>
    </row>
    <row r="416" spans="1:4" x14ac:dyDescent="0.35">
      <c r="A416" t="str">
        <f>IF(Table2427[[#This Row],[Branch Name]]="","",(_xlfn.XLOOKUP(Table2427[[#This Row],[Branch Name]],'Lookup Values'!G:G,'Lookup Values'!H:H,0)))</f>
        <v/>
      </c>
      <c r="B416" t="str">
        <f>IF(Table2427[[#This Row],[Branch Name]]="","",(_xlfn.XLOOKUP(Table2427[[#This Row],[Branch Name]],'Lookup Values'!G:G,'Lookup Values'!I:I,0)))</f>
        <v/>
      </c>
      <c r="C416" t="str">
        <f>IF(Table2427[[#This Row],[Journal Description (Service Description)]]="","",1)</f>
        <v/>
      </c>
      <c r="D416" s="2" t="str">
        <f>IF(Table2427[[#This Row],[Journal Description (Service Description)]]="","",VLOOKUP(Table2427[[#This Row],[Journal Description (Service Description)]],'Lookup Values'!$A:$B,2,FALSE))</f>
        <v/>
      </c>
    </row>
    <row r="417" spans="1:4" x14ac:dyDescent="0.35">
      <c r="A417" t="str">
        <f>IF(Table2427[[#This Row],[Branch Name]]="","",(_xlfn.XLOOKUP(Table2427[[#This Row],[Branch Name]],'Lookup Values'!G:G,'Lookup Values'!H:H,0)))</f>
        <v/>
      </c>
      <c r="B417" t="str">
        <f>IF(Table2427[[#This Row],[Branch Name]]="","",(_xlfn.XLOOKUP(Table2427[[#This Row],[Branch Name]],'Lookup Values'!G:G,'Lookup Values'!I:I,0)))</f>
        <v/>
      </c>
      <c r="C417" t="str">
        <f>IF(Table2427[[#This Row],[Journal Description (Service Description)]]="","",1)</f>
        <v/>
      </c>
      <c r="D417" s="2" t="str">
        <f>IF(Table2427[[#This Row],[Journal Description (Service Description)]]="","",VLOOKUP(Table2427[[#This Row],[Journal Description (Service Description)]],'Lookup Values'!$A:$B,2,FALSE))</f>
        <v/>
      </c>
    </row>
    <row r="418" spans="1:4" x14ac:dyDescent="0.35">
      <c r="A418" t="str">
        <f>IF(Table2427[[#This Row],[Branch Name]]="","",(_xlfn.XLOOKUP(Table2427[[#This Row],[Branch Name]],'Lookup Values'!G:G,'Lookup Values'!H:H,0)))</f>
        <v/>
      </c>
      <c r="B418" t="str">
        <f>IF(Table2427[[#This Row],[Branch Name]]="","",(_xlfn.XLOOKUP(Table2427[[#This Row],[Branch Name]],'Lookup Values'!G:G,'Lookup Values'!I:I,0)))</f>
        <v/>
      </c>
      <c r="C418" t="str">
        <f>IF(Table2427[[#This Row],[Journal Description (Service Description)]]="","",1)</f>
        <v/>
      </c>
      <c r="D418" s="2" t="str">
        <f>IF(Table2427[[#This Row],[Journal Description (Service Description)]]="","",VLOOKUP(Table2427[[#This Row],[Journal Description (Service Description)]],'Lookup Values'!$A:$B,2,FALSE))</f>
        <v/>
      </c>
    </row>
    <row r="419" spans="1:4" x14ac:dyDescent="0.35">
      <c r="A419" t="str">
        <f>IF(Table2427[[#This Row],[Branch Name]]="","",(_xlfn.XLOOKUP(Table2427[[#This Row],[Branch Name]],'Lookup Values'!G:G,'Lookup Values'!H:H,0)))</f>
        <v/>
      </c>
      <c r="B419" t="str">
        <f>IF(Table2427[[#This Row],[Branch Name]]="","",(_xlfn.XLOOKUP(Table2427[[#This Row],[Branch Name]],'Lookup Values'!G:G,'Lookup Values'!I:I,0)))</f>
        <v/>
      </c>
      <c r="C419" t="str">
        <f>IF(Table2427[[#This Row],[Journal Description (Service Description)]]="","",1)</f>
        <v/>
      </c>
      <c r="D419" s="2" t="str">
        <f>IF(Table2427[[#This Row],[Journal Description (Service Description)]]="","",VLOOKUP(Table2427[[#This Row],[Journal Description (Service Description)]],'Lookup Values'!$A:$B,2,FALSE))</f>
        <v/>
      </c>
    </row>
    <row r="420" spans="1:4" x14ac:dyDescent="0.35">
      <c r="A420" t="str">
        <f>IF(Table2427[[#This Row],[Branch Name]]="","",(_xlfn.XLOOKUP(Table2427[[#This Row],[Branch Name]],'Lookup Values'!G:G,'Lookup Values'!H:H,0)))</f>
        <v/>
      </c>
      <c r="B420" t="str">
        <f>IF(Table2427[[#This Row],[Branch Name]]="","",(_xlfn.XLOOKUP(Table2427[[#This Row],[Branch Name]],'Lookup Values'!G:G,'Lookup Values'!I:I,0)))</f>
        <v/>
      </c>
      <c r="C420" t="str">
        <f>IF(Table2427[[#This Row],[Journal Description (Service Description)]]="","",1)</f>
        <v/>
      </c>
      <c r="D420" s="2" t="str">
        <f>IF(Table2427[[#This Row],[Journal Description (Service Description)]]="","",VLOOKUP(Table2427[[#This Row],[Journal Description (Service Description)]],'Lookup Values'!$A:$B,2,FALSE))</f>
        <v/>
      </c>
    </row>
    <row r="421" spans="1:4" x14ac:dyDescent="0.35">
      <c r="A421" t="str">
        <f>IF(Table2427[[#This Row],[Branch Name]]="","",(_xlfn.XLOOKUP(Table2427[[#This Row],[Branch Name]],'Lookup Values'!G:G,'Lookup Values'!H:H,0)))</f>
        <v/>
      </c>
      <c r="B421" t="str">
        <f>IF(Table2427[[#This Row],[Branch Name]]="","",(_xlfn.XLOOKUP(Table2427[[#This Row],[Branch Name]],'Lookup Values'!G:G,'Lookup Values'!I:I,0)))</f>
        <v/>
      </c>
      <c r="C421" t="str">
        <f>IF(Table2427[[#This Row],[Journal Description (Service Description)]]="","",1)</f>
        <v/>
      </c>
      <c r="D421" s="2" t="str">
        <f>IF(Table2427[[#This Row],[Journal Description (Service Description)]]="","",VLOOKUP(Table2427[[#This Row],[Journal Description (Service Description)]],'Lookup Values'!$A:$B,2,FALSE))</f>
        <v/>
      </c>
    </row>
    <row r="422" spans="1:4" x14ac:dyDescent="0.35">
      <c r="A422" t="str">
        <f>IF(Table2427[[#This Row],[Branch Name]]="","",(_xlfn.XLOOKUP(Table2427[[#This Row],[Branch Name]],'Lookup Values'!G:G,'Lookup Values'!H:H,0)))</f>
        <v/>
      </c>
      <c r="B422" t="str">
        <f>IF(Table2427[[#This Row],[Branch Name]]="","",(_xlfn.XLOOKUP(Table2427[[#This Row],[Branch Name]],'Lookup Values'!G:G,'Lookup Values'!I:I,0)))</f>
        <v/>
      </c>
      <c r="C422" t="str">
        <f>IF(Table2427[[#This Row],[Journal Description (Service Description)]]="","",1)</f>
        <v/>
      </c>
      <c r="D422" s="2" t="str">
        <f>IF(Table2427[[#This Row],[Journal Description (Service Description)]]="","",VLOOKUP(Table2427[[#This Row],[Journal Description (Service Description)]],'Lookup Values'!$A:$B,2,FALSE))</f>
        <v/>
      </c>
    </row>
    <row r="423" spans="1:4" x14ac:dyDescent="0.35">
      <c r="A423" t="str">
        <f>IF(Table2427[[#This Row],[Branch Name]]="","",(_xlfn.XLOOKUP(Table2427[[#This Row],[Branch Name]],'Lookup Values'!G:G,'Lookup Values'!H:H,0)))</f>
        <v/>
      </c>
      <c r="B423" t="str">
        <f>IF(Table2427[[#This Row],[Branch Name]]="","",(_xlfn.XLOOKUP(Table2427[[#This Row],[Branch Name]],'Lookup Values'!G:G,'Lookup Values'!I:I,0)))</f>
        <v/>
      </c>
      <c r="C423" t="str">
        <f>IF(Table2427[[#This Row],[Journal Description (Service Description)]]="","",1)</f>
        <v/>
      </c>
      <c r="D423" s="2" t="str">
        <f>IF(Table2427[[#This Row],[Journal Description (Service Description)]]="","",VLOOKUP(Table2427[[#This Row],[Journal Description (Service Description)]],'Lookup Values'!$A:$B,2,FALSE))</f>
        <v/>
      </c>
    </row>
    <row r="424" spans="1:4" x14ac:dyDescent="0.35">
      <c r="A424" t="str">
        <f>IF(Table2427[[#This Row],[Branch Name]]="","",(_xlfn.XLOOKUP(Table2427[[#This Row],[Branch Name]],'Lookup Values'!G:G,'Lookup Values'!H:H,0)))</f>
        <v/>
      </c>
      <c r="B424" t="str">
        <f>IF(Table2427[[#This Row],[Branch Name]]="","",(_xlfn.XLOOKUP(Table2427[[#This Row],[Branch Name]],'Lookup Values'!G:G,'Lookup Values'!I:I,0)))</f>
        <v/>
      </c>
      <c r="C424" t="str">
        <f>IF(Table2427[[#This Row],[Journal Description (Service Description)]]="","",1)</f>
        <v/>
      </c>
      <c r="D424" s="2" t="str">
        <f>IF(Table2427[[#This Row],[Journal Description (Service Description)]]="","",VLOOKUP(Table2427[[#This Row],[Journal Description (Service Description)]],'Lookup Values'!$A:$B,2,FALSE))</f>
        <v/>
      </c>
    </row>
    <row r="425" spans="1:4" x14ac:dyDescent="0.35">
      <c r="A425" t="str">
        <f>IF(Table2427[[#This Row],[Branch Name]]="","",(_xlfn.XLOOKUP(Table2427[[#This Row],[Branch Name]],'Lookup Values'!G:G,'Lookup Values'!H:H,0)))</f>
        <v/>
      </c>
      <c r="B425" t="str">
        <f>IF(Table2427[[#This Row],[Branch Name]]="","",(_xlfn.XLOOKUP(Table2427[[#This Row],[Branch Name]],'Lookup Values'!G:G,'Lookup Values'!I:I,0)))</f>
        <v/>
      </c>
      <c r="C425" t="str">
        <f>IF(Table2427[[#This Row],[Journal Description (Service Description)]]="","",1)</f>
        <v/>
      </c>
      <c r="D425" s="2" t="str">
        <f>IF(Table2427[[#This Row],[Journal Description (Service Description)]]="","",VLOOKUP(Table2427[[#This Row],[Journal Description (Service Description)]],'Lookup Values'!$A:$B,2,FALSE))</f>
        <v/>
      </c>
    </row>
    <row r="426" spans="1:4" x14ac:dyDescent="0.35">
      <c r="A426" t="str">
        <f>IF(Table2427[[#This Row],[Branch Name]]="","",(_xlfn.XLOOKUP(Table2427[[#This Row],[Branch Name]],'Lookup Values'!G:G,'Lookup Values'!H:H,0)))</f>
        <v/>
      </c>
      <c r="B426" t="str">
        <f>IF(Table2427[[#This Row],[Branch Name]]="","",(_xlfn.XLOOKUP(Table2427[[#This Row],[Branch Name]],'Lookup Values'!G:G,'Lookup Values'!I:I,0)))</f>
        <v/>
      </c>
      <c r="C426" t="str">
        <f>IF(Table2427[[#This Row],[Journal Description (Service Description)]]="","",1)</f>
        <v/>
      </c>
      <c r="D426" s="2" t="str">
        <f>IF(Table2427[[#This Row],[Journal Description (Service Description)]]="","",VLOOKUP(Table2427[[#This Row],[Journal Description (Service Description)]],'Lookup Values'!$A:$B,2,FALSE))</f>
        <v/>
      </c>
    </row>
    <row r="427" spans="1:4" x14ac:dyDescent="0.35">
      <c r="A427" t="str">
        <f>IF(Table2427[[#This Row],[Branch Name]]="","",(_xlfn.XLOOKUP(Table2427[[#This Row],[Branch Name]],'Lookup Values'!G:G,'Lookup Values'!H:H,0)))</f>
        <v/>
      </c>
      <c r="B427" t="str">
        <f>IF(Table2427[[#This Row],[Branch Name]]="","",(_xlfn.XLOOKUP(Table2427[[#This Row],[Branch Name]],'Lookup Values'!G:G,'Lookup Values'!I:I,0)))</f>
        <v/>
      </c>
      <c r="C427" t="str">
        <f>IF(Table2427[[#This Row],[Journal Description (Service Description)]]="","",1)</f>
        <v/>
      </c>
      <c r="D427" s="2" t="str">
        <f>IF(Table2427[[#This Row],[Journal Description (Service Description)]]="","",VLOOKUP(Table2427[[#This Row],[Journal Description (Service Description)]],'Lookup Values'!$A:$B,2,FALSE))</f>
        <v/>
      </c>
    </row>
    <row r="428" spans="1:4" x14ac:dyDescent="0.35">
      <c r="A428" t="str">
        <f>IF(Table2427[[#This Row],[Branch Name]]="","",(_xlfn.XLOOKUP(Table2427[[#This Row],[Branch Name]],'Lookup Values'!G:G,'Lookup Values'!H:H,0)))</f>
        <v/>
      </c>
      <c r="B428" t="str">
        <f>IF(Table2427[[#This Row],[Branch Name]]="","",(_xlfn.XLOOKUP(Table2427[[#This Row],[Branch Name]],'Lookup Values'!G:G,'Lookup Values'!I:I,0)))</f>
        <v/>
      </c>
      <c r="C428" t="str">
        <f>IF(Table2427[[#This Row],[Journal Description (Service Description)]]="","",1)</f>
        <v/>
      </c>
      <c r="D428" s="2" t="str">
        <f>IF(Table2427[[#This Row],[Journal Description (Service Description)]]="","",VLOOKUP(Table2427[[#This Row],[Journal Description (Service Description)]],'Lookup Values'!$A:$B,2,FALSE))</f>
        <v/>
      </c>
    </row>
    <row r="429" spans="1:4" x14ac:dyDescent="0.35">
      <c r="A429" t="str">
        <f>IF(Table2427[[#This Row],[Branch Name]]="","",(_xlfn.XLOOKUP(Table2427[[#This Row],[Branch Name]],'Lookup Values'!G:G,'Lookup Values'!H:H,0)))</f>
        <v/>
      </c>
      <c r="B429" t="str">
        <f>IF(Table2427[[#This Row],[Branch Name]]="","",(_xlfn.XLOOKUP(Table2427[[#This Row],[Branch Name]],'Lookup Values'!G:G,'Lookup Values'!I:I,0)))</f>
        <v/>
      </c>
      <c r="C429" t="str">
        <f>IF(Table2427[[#This Row],[Journal Description (Service Description)]]="","",1)</f>
        <v/>
      </c>
      <c r="D429" s="2" t="str">
        <f>IF(Table2427[[#This Row],[Journal Description (Service Description)]]="","",VLOOKUP(Table2427[[#This Row],[Journal Description (Service Description)]],'Lookup Values'!$A:$B,2,FALSE))</f>
        <v/>
      </c>
    </row>
    <row r="430" spans="1:4" x14ac:dyDescent="0.35">
      <c r="A430" t="str">
        <f>IF(Table2427[[#This Row],[Branch Name]]="","",(_xlfn.XLOOKUP(Table2427[[#This Row],[Branch Name]],'Lookup Values'!G:G,'Lookup Values'!H:H,0)))</f>
        <v/>
      </c>
      <c r="B430" t="str">
        <f>IF(Table2427[[#This Row],[Branch Name]]="","",(_xlfn.XLOOKUP(Table2427[[#This Row],[Branch Name]],'Lookup Values'!G:G,'Lookup Values'!I:I,0)))</f>
        <v/>
      </c>
      <c r="C430" t="str">
        <f>IF(Table2427[[#This Row],[Journal Description (Service Description)]]="","",1)</f>
        <v/>
      </c>
      <c r="D430" s="2" t="str">
        <f>IF(Table2427[[#This Row],[Journal Description (Service Description)]]="","",VLOOKUP(Table2427[[#This Row],[Journal Description (Service Description)]],'Lookup Values'!$A:$B,2,FALSE))</f>
        <v/>
      </c>
    </row>
    <row r="431" spans="1:4" x14ac:dyDescent="0.35">
      <c r="A431" t="str">
        <f>IF(Table2427[[#This Row],[Branch Name]]="","",(_xlfn.XLOOKUP(Table2427[[#This Row],[Branch Name]],'Lookup Values'!G:G,'Lookup Values'!H:H,0)))</f>
        <v/>
      </c>
      <c r="B431" t="str">
        <f>IF(Table2427[[#This Row],[Branch Name]]="","",(_xlfn.XLOOKUP(Table2427[[#This Row],[Branch Name]],'Lookup Values'!G:G,'Lookup Values'!I:I,0)))</f>
        <v/>
      </c>
      <c r="C431" t="str">
        <f>IF(Table2427[[#This Row],[Journal Description (Service Description)]]="","",1)</f>
        <v/>
      </c>
      <c r="D431" s="2" t="str">
        <f>IF(Table2427[[#This Row],[Journal Description (Service Description)]]="","",VLOOKUP(Table2427[[#This Row],[Journal Description (Service Description)]],'Lookup Values'!$A:$B,2,FALSE))</f>
        <v/>
      </c>
    </row>
    <row r="432" spans="1:4" x14ac:dyDescent="0.35">
      <c r="A432" t="str">
        <f>IF(Table2427[[#This Row],[Branch Name]]="","",(_xlfn.XLOOKUP(Table2427[[#This Row],[Branch Name]],'Lookup Values'!G:G,'Lookup Values'!H:H,0)))</f>
        <v/>
      </c>
      <c r="B432" t="str">
        <f>IF(Table2427[[#This Row],[Branch Name]]="","",(_xlfn.XLOOKUP(Table2427[[#This Row],[Branch Name]],'Lookup Values'!G:G,'Lookup Values'!I:I,0)))</f>
        <v/>
      </c>
      <c r="C432" t="str">
        <f>IF(Table2427[[#This Row],[Journal Description (Service Description)]]="","",1)</f>
        <v/>
      </c>
      <c r="D432" s="2" t="str">
        <f>IF(Table2427[[#This Row],[Journal Description (Service Description)]]="","",VLOOKUP(Table2427[[#This Row],[Journal Description (Service Description)]],'Lookup Values'!$A:$B,2,FALSE))</f>
        <v/>
      </c>
    </row>
    <row r="433" spans="1:4" x14ac:dyDescent="0.35">
      <c r="A433" t="str">
        <f>IF(Table2427[[#This Row],[Branch Name]]="","",(_xlfn.XLOOKUP(Table2427[[#This Row],[Branch Name]],'Lookup Values'!G:G,'Lookup Values'!H:H,0)))</f>
        <v/>
      </c>
      <c r="B433" t="str">
        <f>IF(Table2427[[#This Row],[Branch Name]]="","",(_xlfn.XLOOKUP(Table2427[[#This Row],[Branch Name]],'Lookup Values'!G:G,'Lookup Values'!I:I,0)))</f>
        <v/>
      </c>
      <c r="C433" t="str">
        <f>IF(Table2427[[#This Row],[Journal Description (Service Description)]]="","",1)</f>
        <v/>
      </c>
      <c r="D433" s="2" t="str">
        <f>IF(Table2427[[#This Row],[Journal Description (Service Description)]]="","",VLOOKUP(Table2427[[#This Row],[Journal Description (Service Description)]],'Lookup Values'!$A:$B,2,FALSE))</f>
        <v/>
      </c>
    </row>
    <row r="434" spans="1:4" x14ac:dyDescent="0.35">
      <c r="A434" t="str">
        <f>IF(Table2427[[#This Row],[Branch Name]]="","",(_xlfn.XLOOKUP(Table2427[[#This Row],[Branch Name]],'Lookup Values'!G:G,'Lookup Values'!H:H,0)))</f>
        <v/>
      </c>
      <c r="B434" t="str">
        <f>IF(Table2427[[#This Row],[Branch Name]]="","",(_xlfn.XLOOKUP(Table2427[[#This Row],[Branch Name]],'Lookup Values'!G:G,'Lookup Values'!I:I,0)))</f>
        <v/>
      </c>
      <c r="C434" t="str">
        <f>IF(Table2427[[#This Row],[Journal Description (Service Description)]]="","",1)</f>
        <v/>
      </c>
      <c r="D434" s="2" t="str">
        <f>IF(Table2427[[#This Row],[Journal Description (Service Description)]]="","",VLOOKUP(Table2427[[#This Row],[Journal Description (Service Description)]],'Lookup Values'!$A:$B,2,FALSE))</f>
        <v/>
      </c>
    </row>
    <row r="435" spans="1:4" x14ac:dyDescent="0.35">
      <c r="A435" t="str">
        <f>IF(Table2427[[#This Row],[Branch Name]]="","",(_xlfn.XLOOKUP(Table2427[[#This Row],[Branch Name]],'Lookup Values'!G:G,'Lookup Values'!H:H,0)))</f>
        <v/>
      </c>
      <c r="B435" t="str">
        <f>IF(Table2427[[#This Row],[Branch Name]]="","",(_xlfn.XLOOKUP(Table2427[[#This Row],[Branch Name]],'Lookup Values'!G:G,'Lookup Values'!I:I,0)))</f>
        <v/>
      </c>
      <c r="C435" t="str">
        <f>IF(Table2427[[#This Row],[Journal Description (Service Description)]]="","",1)</f>
        <v/>
      </c>
      <c r="D435" s="2" t="str">
        <f>IF(Table2427[[#This Row],[Journal Description (Service Description)]]="","",VLOOKUP(Table2427[[#This Row],[Journal Description (Service Description)]],'Lookup Values'!$A:$B,2,FALSE))</f>
        <v/>
      </c>
    </row>
    <row r="436" spans="1:4" x14ac:dyDescent="0.35">
      <c r="A436" t="str">
        <f>IF(Table2427[[#This Row],[Branch Name]]="","",(_xlfn.XLOOKUP(Table2427[[#This Row],[Branch Name]],'Lookup Values'!G:G,'Lookup Values'!H:H,0)))</f>
        <v/>
      </c>
      <c r="B436" t="str">
        <f>IF(Table2427[[#This Row],[Branch Name]]="","",(_xlfn.XLOOKUP(Table2427[[#This Row],[Branch Name]],'Lookup Values'!G:G,'Lookup Values'!I:I,0)))</f>
        <v/>
      </c>
      <c r="C436" t="str">
        <f>IF(Table2427[[#This Row],[Journal Description (Service Description)]]="","",1)</f>
        <v/>
      </c>
      <c r="D436" s="2" t="str">
        <f>IF(Table2427[[#This Row],[Journal Description (Service Description)]]="","",VLOOKUP(Table2427[[#This Row],[Journal Description (Service Description)]],'Lookup Values'!$A:$B,2,FALSE))</f>
        <v/>
      </c>
    </row>
    <row r="437" spans="1:4" x14ac:dyDescent="0.35">
      <c r="A437" t="str">
        <f>IF(Table2427[[#This Row],[Branch Name]]="","",(_xlfn.XLOOKUP(Table2427[[#This Row],[Branch Name]],'Lookup Values'!G:G,'Lookup Values'!H:H,0)))</f>
        <v/>
      </c>
      <c r="B437" t="str">
        <f>IF(Table2427[[#This Row],[Branch Name]]="","",(_xlfn.XLOOKUP(Table2427[[#This Row],[Branch Name]],'Lookup Values'!G:G,'Lookup Values'!I:I,0)))</f>
        <v/>
      </c>
      <c r="C437" t="str">
        <f>IF(Table2427[[#This Row],[Journal Description (Service Description)]]="","",1)</f>
        <v/>
      </c>
      <c r="D437" s="2" t="str">
        <f>IF(Table2427[[#This Row],[Journal Description (Service Description)]]="","",VLOOKUP(Table2427[[#This Row],[Journal Description (Service Description)]],'Lookup Values'!$A:$B,2,FALSE))</f>
        <v/>
      </c>
    </row>
    <row r="438" spans="1:4" x14ac:dyDescent="0.35">
      <c r="A438" t="str">
        <f>IF(Table2427[[#This Row],[Branch Name]]="","",(_xlfn.XLOOKUP(Table2427[[#This Row],[Branch Name]],'Lookup Values'!G:G,'Lookup Values'!H:H,0)))</f>
        <v/>
      </c>
      <c r="B438" t="str">
        <f>IF(Table2427[[#This Row],[Branch Name]]="","",(_xlfn.XLOOKUP(Table2427[[#This Row],[Branch Name]],'Lookup Values'!G:G,'Lookup Values'!I:I,0)))</f>
        <v/>
      </c>
      <c r="C438" t="str">
        <f>IF(Table2427[[#This Row],[Journal Description (Service Description)]]="","",1)</f>
        <v/>
      </c>
      <c r="D438" s="2" t="str">
        <f>IF(Table2427[[#This Row],[Journal Description (Service Description)]]="","",VLOOKUP(Table2427[[#This Row],[Journal Description (Service Description)]],'Lookup Values'!$A:$B,2,FALSE))</f>
        <v/>
      </c>
    </row>
    <row r="439" spans="1:4" x14ac:dyDescent="0.35">
      <c r="A439" t="str">
        <f>IF(Table2427[[#This Row],[Branch Name]]="","",(_xlfn.XLOOKUP(Table2427[[#This Row],[Branch Name]],'Lookup Values'!G:G,'Lookup Values'!H:H,0)))</f>
        <v/>
      </c>
      <c r="B439" t="str">
        <f>IF(Table2427[[#This Row],[Branch Name]]="","",(_xlfn.XLOOKUP(Table2427[[#This Row],[Branch Name]],'Lookup Values'!G:G,'Lookup Values'!I:I,0)))</f>
        <v/>
      </c>
      <c r="C439" t="str">
        <f>IF(Table2427[[#This Row],[Journal Description (Service Description)]]="","",1)</f>
        <v/>
      </c>
      <c r="D439" s="2" t="str">
        <f>IF(Table2427[[#This Row],[Journal Description (Service Description)]]="","",VLOOKUP(Table2427[[#This Row],[Journal Description (Service Description)]],'Lookup Values'!$A:$B,2,FALSE))</f>
        <v/>
      </c>
    </row>
    <row r="440" spans="1:4" x14ac:dyDescent="0.35">
      <c r="A440" t="str">
        <f>IF(Table2427[[#This Row],[Branch Name]]="","",(_xlfn.XLOOKUP(Table2427[[#This Row],[Branch Name]],'Lookup Values'!G:G,'Lookup Values'!H:H,0)))</f>
        <v/>
      </c>
      <c r="B440" t="str">
        <f>IF(Table2427[[#This Row],[Branch Name]]="","",(_xlfn.XLOOKUP(Table2427[[#This Row],[Branch Name]],'Lookup Values'!G:G,'Lookup Values'!I:I,0)))</f>
        <v/>
      </c>
      <c r="C440" t="str">
        <f>IF(Table2427[[#This Row],[Journal Description (Service Description)]]="","",1)</f>
        <v/>
      </c>
      <c r="D440" s="2" t="str">
        <f>IF(Table2427[[#This Row],[Journal Description (Service Description)]]="","",VLOOKUP(Table2427[[#This Row],[Journal Description (Service Description)]],'Lookup Values'!$A:$B,2,FALSE))</f>
        <v/>
      </c>
    </row>
    <row r="441" spans="1:4" x14ac:dyDescent="0.35">
      <c r="A441" t="str">
        <f>IF(Table2427[[#This Row],[Branch Name]]="","",(_xlfn.XLOOKUP(Table2427[[#This Row],[Branch Name]],'Lookup Values'!G:G,'Lookup Values'!H:H,0)))</f>
        <v/>
      </c>
      <c r="B441" t="str">
        <f>IF(Table2427[[#This Row],[Branch Name]]="","",(_xlfn.XLOOKUP(Table2427[[#This Row],[Branch Name]],'Lookup Values'!G:G,'Lookup Values'!I:I,0)))</f>
        <v/>
      </c>
      <c r="C441" t="str">
        <f>IF(Table2427[[#This Row],[Journal Description (Service Description)]]="","",1)</f>
        <v/>
      </c>
      <c r="D441" s="2" t="str">
        <f>IF(Table2427[[#This Row],[Journal Description (Service Description)]]="","",VLOOKUP(Table2427[[#This Row],[Journal Description (Service Description)]],'Lookup Values'!$A:$B,2,FALSE))</f>
        <v/>
      </c>
    </row>
    <row r="442" spans="1:4" x14ac:dyDescent="0.35">
      <c r="A442" t="str">
        <f>IF(Table2427[[#This Row],[Branch Name]]="","",(_xlfn.XLOOKUP(Table2427[[#This Row],[Branch Name]],'Lookup Values'!G:G,'Lookup Values'!H:H,0)))</f>
        <v/>
      </c>
      <c r="B442" t="str">
        <f>IF(Table2427[[#This Row],[Branch Name]]="","",(_xlfn.XLOOKUP(Table2427[[#This Row],[Branch Name]],'Lookup Values'!G:G,'Lookup Values'!I:I,0)))</f>
        <v/>
      </c>
      <c r="C442" t="str">
        <f>IF(Table2427[[#This Row],[Journal Description (Service Description)]]="","",1)</f>
        <v/>
      </c>
      <c r="D442" s="2" t="str">
        <f>IF(Table2427[[#This Row],[Journal Description (Service Description)]]="","",VLOOKUP(Table2427[[#This Row],[Journal Description (Service Description)]],'Lookup Values'!$A:$B,2,FALSE))</f>
        <v/>
      </c>
    </row>
    <row r="443" spans="1:4" x14ac:dyDescent="0.35">
      <c r="A443" t="str">
        <f>IF(Table2427[[#This Row],[Branch Name]]="","",(_xlfn.XLOOKUP(Table2427[[#This Row],[Branch Name]],'Lookup Values'!G:G,'Lookup Values'!H:H,0)))</f>
        <v/>
      </c>
      <c r="B443" t="str">
        <f>IF(Table2427[[#This Row],[Branch Name]]="","",(_xlfn.XLOOKUP(Table2427[[#This Row],[Branch Name]],'Lookup Values'!G:G,'Lookup Values'!I:I,0)))</f>
        <v/>
      </c>
      <c r="C443" t="str">
        <f>IF(Table2427[[#This Row],[Journal Description (Service Description)]]="","",1)</f>
        <v/>
      </c>
      <c r="D443" s="2" t="str">
        <f>IF(Table2427[[#This Row],[Journal Description (Service Description)]]="","",VLOOKUP(Table2427[[#This Row],[Journal Description (Service Description)]],'Lookup Values'!$A:$B,2,FALSE))</f>
        <v/>
      </c>
    </row>
    <row r="444" spans="1:4" x14ac:dyDescent="0.35">
      <c r="A444" t="str">
        <f>IF(Table2427[[#This Row],[Branch Name]]="","",(_xlfn.XLOOKUP(Table2427[[#This Row],[Branch Name]],'Lookup Values'!G:G,'Lookup Values'!H:H,0)))</f>
        <v/>
      </c>
      <c r="B444" t="str">
        <f>IF(Table2427[[#This Row],[Branch Name]]="","",(_xlfn.XLOOKUP(Table2427[[#This Row],[Branch Name]],'Lookup Values'!G:G,'Lookup Values'!I:I,0)))</f>
        <v/>
      </c>
      <c r="C444" t="str">
        <f>IF(Table2427[[#This Row],[Journal Description (Service Description)]]="","",1)</f>
        <v/>
      </c>
      <c r="D444" s="2" t="str">
        <f>IF(Table2427[[#This Row],[Journal Description (Service Description)]]="","",VLOOKUP(Table2427[[#This Row],[Journal Description (Service Description)]],'Lookup Values'!$A:$B,2,FALSE))</f>
        <v/>
      </c>
    </row>
    <row r="445" spans="1:4" x14ac:dyDescent="0.35">
      <c r="A445" t="str">
        <f>IF(Table2427[[#This Row],[Branch Name]]="","",(_xlfn.XLOOKUP(Table2427[[#This Row],[Branch Name]],'Lookup Values'!G:G,'Lookup Values'!H:H,0)))</f>
        <v/>
      </c>
      <c r="B445" t="str">
        <f>IF(Table2427[[#This Row],[Branch Name]]="","",(_xlfn.XLOOKUP(Table2427[[#This Row],[Branch Name]],'Lookup Values'!G:G,'Lookup Values'!I:I,0)))</f>
        <v/>
      </c>
      <c r="C445" t="str">
        <f>IF(Table2427[[#This Row],[Journal Description (Service Description)]]="","",1)</f>
        <v/>
      </c>
      <c r="D445" s="2" t="str">
        <f>IF(Table2427[[#This Row],[Journal Description (Service Description)]]="","",VLOOKUP(Table2427[[#This Row],[Journal Description (Service Description)]],'Lookup Values'!$A:$B,2,FALSE))</f>
        <v/>
      </c>
    </row>
    <row r="446" spans="1:4" x14ac:dyDescent="0.35">
      <c r="A446" t="str">
        <f>IF(Table2427[[#This Row],[Branch Name]]="","",(_xlfn.XLOOKUP(Table2427[[#This Row],[Branch Name]],'Lookup Values'!G:G,'Lookup Values'!H:H,0)))</f>
        <v/>
      </c>
      <c r="B446" t="str">
        <f>IF(Table2427[[#This Row],[Branch Name]]="","",(_xlfn.XLOOKUP(Table2427[[#This Row],[Branch Name]],'Lookup Values'!G:G,'Lookup Values'!I:I,0)))</f>
        <v/>
      </c>
      <c r="C446" t="str">
        <f>IF(Table2427[[#This Row],[Journal Description (Service Description)]]="","",1)</f>
        <v/>
      </c>
      <c r="D446" s="2" t="str">
        <f>IF(Table2427[[#This Row],[Journal Description (Service Description)]]="","",VLOOKUP(Table2427[[#This Row],[Journal Description (Service Description)]],'Lookup Values'!$A:$B,2,FALSE))</f>
        <v/>
      </c>
    </row>
    <row r="447" spans="1:4" x14ac:dyDescent="0.35">
      <c r="A447" t="str">
        <f>IF(Table2427[[#This Row],[Branch Name]]="","",(_xlfn.XLOOKUP(Table2427[[#This Row],[Branch Name]],'Lookup Values'!G:G,'Lookup Values'!H:H,0)))</f>
        <v/>
      </c>
      <c r="B447" t="str">
        <f>IF(Table2427[[#This Row],[Branch Name]]="","",(_xlfn.XLOOKUP(Table2427[[#This Row],[Branch Name]],'Lookup Values'!G:G,'Lookup Values'!I:I,0)))</f>
        <v/>
      </c>
      <c r="C447" t="str">
        <f>IF(Table2427[[#This Row],[Journal Description (Service Description)]]="","",1)</f>
        <v/>
      </c>
      <c r="D447" s="2" t="str">
        <f>IF(Table2427[[#This Row],[Journal Description (Service Description)]]="","",VLOOKUP(Table2427[[#This Row],[Journal Description (Service Description)]],'Lookup Values'!$A:$B,2,FALSE))</f>
        <v/>
      </c>
    </row>
    <row r="448" spans="1:4" x14ac:dyDescent="0.35">
      <c r="A448" t="str">
        <f>IF(Table2427[[#This Row],[Branch Name]]="","",(_xlfn.XLOOKUP(Table2427[[#This Row],[Branch Name]],'Lookup Values'!G:G,'Lookup Values'!H:H,0)))</f>
        <v/>
      </c>
      <c r="B448" t="str">
        <f>IF(Table2427[[#This Row],[Branch Name]]="","",(_xlfn.XLOOKUP(Table2427[[#This Row],[Branch Name]],'Lookup Values'!G:G,'Lookup Values'!I:I,0)))</f>
        <v/>
      </c>
      <c r="C448" t="str">
        <f>IF(Table2427[[#This Row],[Journal Description (Service Description)]]="","",1)</f>
        <v/>
      </c>
      <c r="D448" s="2" t="str">
        <f>IF(Table2427[[#This Row],[Journal Description (Service Description)]]="","",VLOOKUP(Table2427[[#This Row],[Journal Description (Service Description)]],'Lookup Values'!$A:$B,2,FALSE))</f>
        <v/>
      </c>
    </row>
    <row r="449" spans="1:4" x14ac:dyDescent="0.35">
      <c r="A449" t="str">
        <f>IF(Table2427[[#This Row],[Branch Name]]="","",(_xlfn.XLOOKUP(Table2427[[#This Row],[Branch Name]],'Lookup Values'!G:G,'Lookup Values'!H:H,0)))</f>
        <v/>
      </c>
      <c r="B449" t="str">
        <f>IF(Table2427[[#This Row],[Branch Name]]="","",(_xlfn.XLOOKUP(Table2427[[#This Row],[Branch Name]],'Lookup Values'!G:G,'Lookup Values'!I:I,0)))</f>
        <v/>
      </c>
      <c r="C449" t="str">
        <f>IF(Table2427[[#This Row],[Journal Description (Service Description)]]="","",1)</f>
        <v/>
      </c>
      <c r="D449" s="2" t="str">
        <f>IF(Table2427[[#This Row],[Journal Description (Service Description)]]="","",VLOOKUP(Table2427[[#This Row],[Journal Description (Service Description)]],'Lookup Values'!$A:$B,2,FALSE))</f>
        <v/>
      </c>
    </row>
    <row r="450" spans="1:4" x14ac:dyDescent="0.35">
      <c r="A450" t="str">
        <f>IF(Table2427[[#This Row],[Branch Name]]="","",(_xlfn.XLOOKUP(Table2427[[#This Row],[Branch Name]],'Lookup Values'!G:G,'Lookup Values'!H:H,0)))</f>
        <v/>
      </c>
      <c r="B450" t="str">
        <f>IF(Table2427[[#This Row],[Branch Name]]="","",(_xlfn.XLOOKUP(Table2427[[#This Row],[Branch Name]],'Lookup Values'!G:G,'Lookup Values'!I:I,0)))</f>
        <v/>
      </c>
      <c r="C450" t="str">
        <f>IF(Table2427[[#This Row],[Journal Description (Service Description)]]="","",1)</f>
        <v/>
      </c>
      <c r="D450" s="2" t="str">
        <f>IF(Table2427[[#This Row],[Journal Description (Service Description)]]="","",VLOOKUP(Table2427[[#This Row],[Journal Description (Service Description)]],'Lookup Values'!$A:$B,2,FALSE))</f>
        <v/>
      </c>
    </row>
    <row r="451" spans="1:4" x14ac:dyDescent="0.35">
      <c r="A451" t="str">
        <f>IF(Table2427[[#This Row],[Branch Name]]="","",(_xlfn.XLOOKUP(Table2427[[#This Row],[Branch Name]],'Lookup Values'!G:G,'Lookup Values'!H:H,0)))</f>
        <v/>
      </c>
      <c r="B451" t="str">
        <f>IF(Table2427[[#This Row],[Branch Name]]="","",(_xlfn.XLOOKUP(Table2427[[#This Row],[Branch Name]],'Lookup Values'!G:G,'Lookup Values'!I:I,0)))</f>
        <v/>
      </c>
      <c r="C451" t="str">
        <f>IF(Table2427[[#This Row],[Journal Description (Service Description)]]="","",1)</f>
        <v/>
      </c>
      <c r="D451" s="2" t="str">
        <f>IF(Table2427[[#This Row],[Journal Description (Service Description)]]="","",VLOOKUP(Table2427[[#This Row],[Journal Description (Service Description)]],'Lookup Values'!$A:$B,2,FALSE))</f>
        <v/>
      </c>
    </row>
    <row r="452" spans="1:4" x14ac:dyDescent="0.35">
      <c r="A452" t="str">
        <f>IF(Table2427[[#This Row],[Branch Name]]="","",(_xlfn.XLOOKUP(Table2427[[#This Row],[Branch Name]],'Lookup Values'!G:G,'Lookup Values'!H:H,0)))</f>
        <v/>
      </c>
      <c r="B452" t="str">
        <f>IF(Table2427[[#This Row],[Branch Name]]="","",(_xlfn.XLOOKUP(Table2427[[#This Row],[Branch Name]],'Lookup Values'!G:G,'Lookup Values'!I:I,0)))</f>
        <v/>
      </c>
      <c r="C452" t="str">
        <f>IF(Table2427[[#This Row],[Journal Description (Service Description)]]="","",1)</f>
        <v/>
      </c>
      <c r="D452" s="2" t="str">
        <f>IF(Table2427[[#This Row],[Journal Description (Service Description)]]="","",VLOOKUP(Table2427[[#This Row],[Journal Description (Service Description)]],'Lookup Values'!$A:$B,2,FALSE))</f>
        <v/>
      </c>
    </row>
    <row r="453" spans="1:4" x14ac:dyDescent="0.35">
      <c r="A453" t="str">
        <f>IF(Table2427[[#This Row],[Branch Name]]="","",(_xlfn.XLOOKUP(Table2427[[#This Row],[Branch Name]],'Lookup Values'!G:G,'Lookup Values'!H:H,0)))</f>
        <v/>
      </c>
      <c r="B453" t="str">
        <f>IF(Table2427[[#This Row],[Branch Name]]="","",(_xlfn.XLOOKUP(Table2427[[#This Row],[Branch Name]],'Lookup Values'!G:G,'Lookup Values'!I:I,0)))</f>
        <v/>
      </c>
      <c r="C453" t="str">
        <f>IF(Table2427[[#This Row],[Journal Description (Service Description)]]="","",1)</f>
        <v/>
      </c>
      <c r="D453" s="2" t="str">
        <f>IF(Table2427[[#This Row],[Journal Description (Service Description)]]="","",VLOOKUP(Table2427[[#This Row],[Journal Description (Service Description)]],'Lookup Values'!$A:$B,2,FALSE))</f>
        <v/>
      </c>
    </row>
    <row r="454" spans="1:4" x14ac:dyDescent="0.35">
      <c r="A454" t="str">
        <f>IF(Table2427[[#This Row],[Branch Name]]="","",(_xlfn.XLOOKUP(Table2427[[#This Row],[Branch Name]],'Lookup Values'!G:G,'Lookup Values'!H:H,0)))</f>
        <v/>
      </c>
      <c r="B454" t="str">
        <f>IF(Table2427[[#This Row],[Branch Name]]="","",(_xlfn.XLOOKUP(Table2427[[#This Row],[Branch Name]],'Lookup Values'!G:G,'Lookup Values'!I:I,0)))</f>
        <v/>
      </c>
      <c r="C454" t="str">
        <f>IF(Table2427[[#This Row],[Journal Description (Service Description)]]="","",1)</f>
        <v/>
      </c>
      <c r="D454" s="2" t="str">
        <f>IF(Table2427[[#This Row],[Journal Description (Service Description)]]="","",VLOOKUP(Table2427[[#This Row],[Journal Description (Service Description)]],'Lookup Values'!$A:$B,2,FALSE))</f>
        <v/>
      </c>
    </row>
    <row r="455" spans="1:4" x14ac:dyDescent="0.35">
      <c r="A455" t="str">
        <f>IF(Table2427[[#This Row],[Branch Name]]="","",(_xlfn.XLOOKUP(Table2427[[#This Row],[Branch Name]],'Lookup Values'!G:G,'Lookup Values'!H:H,0)))</f>
        <v/>
      </c>
      <c r="B455" t="str">
        <f>IF(Table2427[[#This Row],[Branch Name]]="","",(_xlfn.XLOOKUP(Table2427[[#This Row],[Branch Name]],'Lookup Values'!G:G,'Lookup Values'!I:I,0)))</f>
        <v/>
      </c>
      <c r="C455" t="str">
        <f>IF(Table2427[[#This Row],[Journal Description (Service Description)]]="","",1)</f>
        <v/>
      </c>
      <c r="D455" s="2" t="str">
        <f>IF(Table2427[[#This Row],[Journal Description (Service Description)]]="","",VLOOKUP(Table2427[[#This Row],[Journal Description (Service Description)]],'Lookup Values'!$A:$B,2,FALSE))</f>
        <v/>
      </c>
    </row>
    <row r="456" spans="1:4" x14ac:dyDescent="0.35">
      <c r="A456" t="str">
        <f>IF(Table2427[[#This Row],[Branch Name]]="","",(_xlfn.XLOOKUP(Table2427[[#This Row],[Branch Name]],'Lookup Values'!G:G,'Lookup Values'!H:H,0)))</f>
        <v/>
      </c>
      <c r="B456" t="str">
        <f>IF(Table2427[[#This Row],[Branch Name]]="","",(_xlfn.XLOOKUP(Table2427[[#This Row],[Branch Name]],'Lookup Values'!G:G,'Lookup Values'!I:I,0)))</f>
        <v/>
      </c>
      <c r="C456" t="str">
        <f>IF(Table2427[[#This Row],[Journal Description (Service Description)]]="","",1)</f>
        <v/>
      </c>
      <c r="D456" s="2" t="str">
        <f>IF(Table2427[[#This Row],[Journal Description (Service Description)]]="","",VLOOKUP(Table2427[[#This Row],[Journal Description (Service Description)]],'Lookup Values'!$A:$B,2,FALSE))</f>
        <v/>
      </c>
    </row>
    <row r="457" spans="1:4" x14ac:dyDescent="0.35">
      <c r="A457" t="str">
        <f>IF(Table2427[[#This Row],[Branch Name]]="","",(_xlfn.XLOOKUP(Table2427[[#This Row],[Branch Name]],'Lookup Values'!G:G,'Lookup Values'!H:H,0)))</f>
        <v/>
      </c>
      <c r="B457" t="str">
        <f>IF(Table2427[[#This Row],[Branch Name]]="","",(_xlfn.XLOOKUP(Table2427[[#This Row],[Branch Name]],'Lookup Values'!G:G,'Lookup Values'!I:I,0)))</f>
        <v/>
      </c>
      <c r="C457" t="str">
        <f>IF(Table2427[[#This Row],[Journal Description (Service Description)]]="","",1)</f>
        <v/>
      </c>
      <c r="D457" s="2" t="str">
        <f>IF(Table2427[[#This Row],[Journal Description (Service Description)]]="","",VLOOKUP(Table2427[[#This Row],[Journal Description (Service Description)]],'Lookup Values'!$A:$B,2,FALSE))</f>
        <v/>
      </c>
    </row>
    <row r="458" spans="1:4" x14ac:dyDescent="0.35">
      <c r="A458" t="str">
        <f>IF(Table2427[[#This Row],[Branch Name]]="","",(_xlfn.XLOOKUP(Table2427[[#This Row],[Branch Name]],'Lookup Values'!G:G,'Lookup Values'!H:H,0)))</f>
        <v/>
      </c>
      <c r="B458" t="str">
        <f>IF(Table2427[[#This Row],[Branch Name]]="","",(_xlfn.XLOOKUP(Table2427[[#This Row],[Branch Name]],'Lookup Values'!G:G,'Lookup Values'!I:I,0)))</f>
        <v/>
      </c>
      <c r="C458" t="str">
        <f>IF(Table2427[[#This Row],[Journal Description (Service Description)]]="","",1)</f>
        <v/>
      </c>
      <c r="D458" s="2" t="str">
        <f>IF(Table2427[[#This Row],[Journal Description (Service Description)]]="","",VLOOKUP(Table2427[[#This Row],[Journal Description (Service Description)]],'Lookup Values'!$A:$B,2,FALSE))</f>
        <v/>
      </c>
    </row>
    <row r="459" spans="1:4" x14ac:dyDescent="0.35">
      <c r="A459" t="str">
        <f>IF(Table2427[[#This Row],[Branch Name]]="","",(_xlfn.XLOOKUP(Table2427[[#This Row],[Branch Name]],'Lookup Values'!G:G,'Lookup Values'!H:H,0)))</f>
        <v/>
      </c>
      <c r="B459" t="str">
        <f>IF(Table2427[[#This Row],[Branch Name]]="","",(_xlfn.XLOOKUP(Table2427[[#This Row],[Branch Name]],'Lookup Values'!G:G,'Lookup Values'!I:I,0)))</f>
        <v/>
      </c>
      <c r="C459" t="str">
        <f>IF(Table2427[[#This Row],[Journal Description (Service Description)]]="","",1)</f>
        <v/>
      </c>
      <c r="D459" s="2" t="str">
        <f>IF(Table2427[[#This Row],[Journal Description (Service Description)]]="","",VLOOKUP(Table2427[[#This Row],[Journal Description (Service Description)]],'Lookup Values'!$A:$B,2,FALSE))</f>
        <v/>
      </c>
    </row>
    <row r="460" spans="1:4" x14ac:dyDescent="0.35">
      <c r="A460" t="str">
        <f>IF(Table2427[[#This Row],[Branch Name]]="","",(_xlfn.XLOOKUP(Table2427[[#This Row],[Branch Name]],'Lookup Values'!G:G,'Lookup Values'!H:H,0)))</f>
        <v/>
      </c>
      <c r="B460" t="str">
        <f>IF(Table2427[[#This Row],[Branch Name]]="","",(_xlfn.XLOOKUP(Table2427[[#This Row],[Branch Name]],'Lookup Values'!G:G,'Lookup Values'!I:I,0)))</f>
        <v/>
      </c>
      <c r="C460" t="str">
        <f>IF(Table2427[[#This Row],[Journal Description (Service Description)]]="","",1)</f>
        <v/>
      </c>
      <c r="D460" s="2" t="str">
        <f>IF(Table2427[[#This Row],[Journal Description (Service Description)]]="","",VLOOKUP(Table2427[[#This Row],[Journal Description (Service Description)]],'Lookup Values'!$A:$B,2,FALSE))</f>
        <v/>
      </c>
    </row>
    <row r="461" spans="1:4" x14ac:dyDescent="0.35">
      <c r="A461" t="str">
        <f>IF(Table2427[[#This Row],[Branch Name]]="","",(_xlfn.XLOOKUP(Table2427[[#This Row],[Branch Name]],'Lookup Values'!G:G,'Lookup Values'!H:H,0)))</f>
        <v/>
      </c>
      <c r="B461" t="str">
        <f>IF(Table2427[[#This Row],[Branch Name]]="","",(_xlfn.XLOOKUP(Table2427[[#This Row],[Branch Name]],'Lookup Values'!G:G,'Lookup Values'!I:I,0)))</f>
        <v/>
      </c>
      <c r="C461" t="str">
        <f>IF(Table2427[[#This Row],[Journal Description (Service Description)]]="","",1)</f>
        <v/>
      </c>
      <c r="D461" s="2" t="str">
        <f>IF(Table2427[[#This Row],[Journal Description (Service Description)]]="","",VLOOKUP(Table2427[[#This Row],[Journal Description (Service Description)]],'Lookup Values'!$A:$B,2,FALSE))</f>
        <v/>
      </c>
    </row>
    <row r="462" spans="1:4" x14ac:dyDescent="0.35">
      <c r="A462" t="str">
        <f>IF(Table2427[[#This Row],[Branch Name]]="","",(_xlfn.XLOOKUP(Table2427[[#This Row],[Branch Name]],'Lookup Values'!G:G,'Lookup Values'!H:H,0)))</f>
        <v/>
      </c>
      <c r="B462" t="str">
        <f>IF(Table2427[[#This Row],[Branch Name]]="","",(_xlfn.XLOOKUP(Table2427[[#This Row],[Branch Name]],'Lookup Values'!G:G,'Lookup Values'!I:I,0)))</f>
        <v/>
      </c>
      <c r="C462" t="str">
        <f>IF(Table2427[[#This Row],[Journal Description (Service Description)]]="","",1)</f>
        <v/>
      </c>
      <c r="D462" s="2" t="str">
        <f>IF(Table2427[[#This Row],[Journal Description (Service Description)]]="","",VLOOKUP(Table2427[[#This Row],[Journal Description (Service Description)]],'Lookup Values'!$A:$B,2,FALSE))</f>
        <v/>
      </c>
    </row>
    <row r="463" spans="1:4" x14ac:dyDescent="0.35">
      <c r="A463" t="str">
        <f>IF(Table2427[[#This Row],[Branch Name]]="","",(_xlfn.XLOOKUP(Table2427[[#This Row],[Branch Name]],'Lookup Values'!G:G,'Lookup Values'!H:H,0)))</f>
        <v/>
      </c>
      <c r="B463" t="str">
        <f>IF(Table2427[[#This Row],[Branch Name]]="","",(_xlfn.XLOOKUP(Table2427[[#This Row],[Branch Name]],'Lookup Values'!G:G,'Lookup Values'!I:I,0)))</f>
        <v/>
      </c>
      <c r="C463" t="str">
        <f>IF(Table2427[[#This Row],[Journal Description (Service Description)]]="","",1)</f>
        <v/>
      </c>
      <c r="D463" s="2" t="str">
        <f>IF(Table2427[[#This Row],[Journal Description (Service Description)]]="","",VLOOKUP(Table2427[[#This Row],[Journal Description (Service Description)]],'Lookup Values'!$A:$B,2,FALSE))</f>
        <v/>
      </c>
    </row>
    <row r="464" spans="1:4" x14ac:dyDescent="0.35">
      <c r="A464" t="str">
        <f>IF(Table2427[[#This Row],[Branch Name]]="","",(_xlfn.XLOOKUP(Table2427[[#This Row],[Branch Name]],'Lookup Values'!G:G,'Lookup Values'!H:H,0)))</f>
        <v/>
      </c>
      <c r="B464" t="str">
        <f>IF(Table2427[[#This Row],[Branch Name]]="","",(_xlfn.XLOOKUP(Table2427[[#This Row],[Branch Name]],'Lookup Values'!G:G,'Lookup Values'!I:I,0)))</f>
        <v/>
      </c>
      <c r="C464" t="str">
        <f>IF(Table2427[[#This Row],[Journal Description (Service Description)]]="","",1)</f>
        <v/>
      </c>
      <c r="D464" s="2" t="str">
        <f>IF(Table2427[[#This Row],[Journal Description (Service Description)]]="","",VLOOKUP(Table2427[[#This Row],[Journal Description (Service Description)]],'Lookup Values'!$A:$B,2,FALSE))</f>
        <v/>
      </c>
    </row>
    <row r="465" spans="1:4" x14ac:dyDescent="0.35">
      <c r="A465" t="str">
        <f>IF(Table2427[[#This Row],[Branch Name]]="","",(_xlfn.XLOOKUP(Table2427[[#This Row],[Branch Name]],'Lookup Values'!G:G,'Lookup Values'!H:H,0)))</f>
        <v/>
      </c>
      <c r="B465" t="str">
        <f>IF(Table2427[[#This Row],[Branch Name]]="","",(_xlfn.XLOOKUP(Table2427[[#This Row],[Branch Name]],'Lookup Values'!G:G,'Lookup Values'!I:I,0)))</f>
        <v/>
      </c>
      <c r="C465" t="str">
        <f>IF(Table2427[[#This Row],[Journal Description (Service Description)]]="","",1)</f>
        <v/>
      </c>
      <c r="D465" s="2" t="str">
        <f>IF(Table2427[[#This Row],[Journal Description (Service Description)]]="","",VLOOKUP(Table2427[[#This Row],[Journal Description (Service Description)]],'Lookup Values'!$A:$B,2,FALSE))</f>
        <v/>
      </c>
    </row>
    <row r="466" spans="1:4" x14ac:dyDescent="0.35">
      <c r="A466" t="str">
        <f>IF(Table2427[[#This Row],[Branch Name]]="","",(_xlfn.XLOOKUP(Table2427[[#This Row],[Branch Name]],'Lookup Values'!G:G,'Lookup Values'!H:H,0)))</f>
        <v/>
      </c>
      <c r="B466" t="str">
        <f>IF(Table2427[[#This Row],[Branch Name]]="","",(_xlfn.XLOOKUP(Table2427[[#This Row],[Branch Name]],'Lookup Values'!G:G,'Lookup Values'!I:I,0)))</f>
        <v/>
      </c>
      <c r="C466" t="str">
        <f>IF(Table2427[[#This Row],[Journal Description (Service Description)]]="","",1)</f>
        <v/>
      </c>
      <c r="D466" s="2" t="str">
        <f>IF(Table2427[[#This Row],[Journal Description (Service Description)]]="","",VLOOKUP(Table2427[[#This Row],[Journal Description (Service Description)]],'Lookup Values'!$A:$B,2,FALSE))</f>
        <v/>
      </c>
    </row>
    <row r="467" spans="1:4" x14ac:dyDescent="0.35">
      <c r="A467" t="str">
        <f>IF(Table2427[[#This Row],[Branch Name]]="","",(_xlfn.XLOOKUP(Table2427[[#This Row],[Branch Name]],'Lookup Values'!G:G,'Lookup Values'!H:H,0)))</f>
        <v/>
      </c>
      <c r="B467" t="str">
        <f>IF(Table2427[[#This Row],[Branch Name]]="","",(_xlfn.XLOOKUP(Table2427[[#This Row],[Branch Name]],'Lookup Values'!G:G,'Lookup Values'!I:I,0)))</f>
        <v/>
      </c>
      <c r="C467" t="str">
        <f>IF(Table2427[[#This Row],[Journal Description (Service Description)]]="","",1)</f>
        <v/>
      </c>
      <c r="D467" s="2" t="str">
        <f>IF(Table2427[[#This Row],[Journal Description (Service Description)]]="","",VLOOKUP(Table2427[[#This Row],[Journal Description (Service Description)]],'Lookup Values'!$A:$B,2,FALSE))</f>
        <v/>
      </c>
    </row>
    <row r="468" spans="1:4" x14ac:dyDescent="0.35">
      <c r="A468" t="str">
        <f>IF(Table2427[[#This Row],[Branch Name]]="","",(_xlfn.XLOOKUP(Table2427[[#This Row],[Branch Name]],'Lookup Values'!G:G,'Lookup Values'!H:H,0)))</f>
        <v/>
      </c>
      <c r="B468" t="str">
        <f>IF(Table2427[[#This Row],[Branch Name]]="","",(_xlfn.XLOOKUP(Table2427[[#This Row],[Branch Name]],'Lookup Values'!G:G,'Lookup Values'!I:I,0)))</f>
        <v/>
      </c>
      <c r="C468" t="str">
        <f>IF(Table2427[[#This Row],[Journal Description (Service Description)]]="","",1)</f>
        <v/>
      </c>
      <c r="D468" s="2" t="str">
        <f>IF(Table2427[[#This Row],[Journal Description (Service Description)]]="","",VLOOKUP(Table2427[[#This Row],[Journal Description (Service Description)]],'Lookup Values'!$A:$B,2,FALSE))</f>
        <v/>
      </c>
    </row>
    <row r="469" spans="1:4" x14ac:dyDescent="0.35">
      <c r="A469" t="str">
        <f>IF(Table2427[[#This Row],[Branch Name]]="","",(_xlfn.XLOOKUP(Table2427[[#This Row],[Branch Name]],'Lookup Values'!G:G,'Lookup Values'!H:H,0)))</f>
        <v/>
      </c>
      <c r="B469" t="str">
        <f>IF(Table2427[[#This Row],[Branch Name]]="","",(_xlfn.XLOOKUP(Table2427[[#This Row],[Branch Name]],'Lookup Values'!G:G,'Lookup Values'!I:I,0)))</f>
        <v/>
      </c>
      <c r="C469" t="str">
        <f>IF(Table2427[[#This Row],[Journal Description (Service Description)]]="","",1)</f>
        <v/>
      </c>
      <c r="D469" s="2" t="str">
        <f>IF(Table2427[[#This Row],[Journal Description (Service Description)]]="","",VLOOKUP(Table2427[[#This Row],[Journal Description (Service Description)]],'Lookup Values'!$A:$B,2,FALSE))</f>
        <v/>
      </c>
    </row>
    <row r="470" spans="1:4" x14ac:dyDescent="0.35">
      <c r="A470" t="str">
        <f>IF(Table2427[[#This Row],[Branch Name]]="","",(_xlfn.XLOOKUP(Table2427[[#This Row],[Branch Name]],'Lookup Values'!G:G,'Lookup Values'!H:H,0)))</f>
        <v/>
      </c>
      <c r="B470" t="str">
        <f>IF(Table2427[[#This Row],[Branch Name]]="","",(_xlfn.XLOOKUP(Table2427[[#This Row],[Branch Name]],'Lookup Values'!G:G,'Lookup Values'!I:I,0)))</f>
        <v/>
      </c>
      <c r="C470" t="str">
        <f>IF(Table2427[[#This Row],[Journal Description (Service Description)]]="","",1)</f>
        <v/>
      </c>
      <c r="D470" s="2" t="str">
        <f>IF(Table2427[[#This Row],[Journal Description (Service Description)]]="","",VLOOKUP(Table2427[[#This Row],[Journal Description (Service Description)]],'Lookup Values'!$A:$B,2,FALSE))</f>
        <v/>
      </c>
    </row>
    <row r="471" spans="1:4" x14ac:dyDescent="0.35">
      <c r="A471" t="str">
        <f>IF(Table2427[[#This Row],[Branch Name]]="","",(_xlfn.XLOOKUP(Table2427[[#This Row],[Branch Name]],'Lookup Values'!G:G,'Lookup Values'!H:H,0)))</f>
        <v/>
      </c>
      <c r="B471" t="str">
        <f>IF(Table2427[[#This Row],[Branch Name]]="","",(_xlfn.XLOOKUP(Table2427[[#This Row],[Branch Name]],'Lookup Values'!G:G,'Lookup Values'!I:I,0)))</f>
        <v/>
      </c>
      <c r="C471" t="str">
        <f>IF(Table2427[[#This Row],[Journal Description (Service Description)]]="","",1)</f>
        <v/>
      </c>
      <c r="D471" s="2" t="str">
        <f>IF(Table2427[[#This Row],[Journal Description (Service Description)]]="","",VLOOKUP(Table2427[[#This Row],[Journal Description (Service Description)]],'Lookup Values'!$A:$B,2,FALSE))</f>
        <v/>
      </c>
    </row>
    <row r="472" spans="1:4" x14ac:dyDescent="0.35">
      <c r="A472" t="str">
        <f>IF(Table2427[[#This Row],[Branch Name]]="","",(_xlfn.XLOOKUP(Table2427[[#This Row],[Branch Name]],'Lookup Values'!G:G,'Lookup Values'!H:H,0)))</f>
        <v/>
      </c>
      <c r="B472" t="str">
        <f>IF(Table2427[[#This Row],[Branch Name]]="","",(_xlfn.XLOOKUP(Table2427[[#This Row],[Branch Name]],'Lookup Values'!G:G,'Lookup Values'!I:I,0)))</f>
        <v/>
      </c>
      <c r="C472" t="str">
        <f>IF(Table2427[[#This Row],[Journal Description (Service Description)]]="","",1)</f>
        <v/>
      </c>
      <c r="D472" s="2" t="str">
        <f>IF(Table2427[[#This Row],[Journal Description (Service Description)]]="","",VLOOKUP(Table2427[[#This Row],[Journal Description (Service Description)]],'Lookup Values'!$A:$B,2,FALSE))</f>
        <v/>
      </c>
    </row>
    <row r="473" spans="1:4" x14ac:dyDescent="0.35">
      <c r="A473" t="str">
        <f>IF(Table2427[[#This Row],[Branch Name]]="","",(_xlfn.XLOOKUP(Table2427[[#This Row],[Branch Name]],'Lookup Values'!G:G,'Lookup Values'!H:H,0)))</f>
        <v/>
      </c>
      <c r="B473" t="str">
        <f>IF(Table2427[[#This Row],[Branch Name]]="","",(_xlfn.XLOOKUP(Table2427[[#This Row],[Branch Name]],'Lookup Values'!G:G,'Lookup Values'!I:I,0)))</f>
        <v/>
      </c>
      <c r="C473" t="str">
        <f>IF(Table2427[[#This Row],[Journal Description (Service Description)]]="","",1)</f>
        <v/>
      </c>
      <c r="D473" s="2" t="str">
        <f>IF(Table2427[[#This Row],[Journal Description (Service Description)]]="","",VLOOKUP(Table2427[[#This Row],[Journal Description (Service Description)]],'Lookup Values'!$A:$B,2,FALSE))</f>
        <v/>
      </c>
    </row>
    <row r="474" spans="1:4" x14ac:dyDescent="0.35">
      <c r="A474" t="str">
        <f>IF(Table2427[[#This Row],[Branch Name]]="","",(_xlfn.XLOOKUP(Table2427[[#This Row],[Branch Name]],'Lookup Values'!G:G,'Lookup Values'!H:H,0)))</f>
        <v/>
      </c>
      <c r="B474" t="str">
        <f>IF(Table2427[[#This Row],[Branch Name]]="","",(_xlfn.XLOOKUP(Table2427[[#This Row],[Branch Name]],'Lookup Values'!G:G,'Lookup Values'!I:I,0)))</f>
        <v/>
      </c>
      <c r="C474" t="str">
        <f>IF(Table2427[[#This Row],[Journal Description (Service Description)]]="","",1)</f>
        <v/>
      </c>
      <c r="D474" s="2" t="str">
        <f>IF(Table2427[[#This Row],[Journal Description (Service Description)]]="","",VLOOKUP(Table2427[[#This Row],[Journal Description (Service Description)]],'Lookup Values'!$A:$B,2,FALSE))</f>
        <v/>
      </c>
    </row>
    <row r="475" spans="1:4" x14ac:dyDescent="0.35">
      <c r="A475" t="str">
        <f>IF(Table2427[[#This Row],[Branch Name]]="","",(_xlfn.XLOOKUP(Table2427[[#This Row],[Branch Name]],'Lookup Values'!G:G,'Lookup Values'!H:H,0)))</f>
        <v/>
      </c>
      <c r="B475" t="str">
        <f>IF(Table2427[[#This Row],[Branch Name]]="","",(_xlfn.XLOOKUP(Table2427[[#This Row],[Branch Name]],'Lookup Values'!G:G,'Lookup Values'!I:I,0)))</f>
        <v/>
      </c>
      <c r="C475" t="str">
        <f>IF(Table2427[[#This Row],[Journal Description (Service Description)]]="","",1)</f>
        <v/>
      </c>
      <c r="D475" s="2" t="str">
        <f>IF(Table2427[[#This Row],[Journal Description (Service Description)]]="","",VLOOKUP(Table2427[[#This Row],[Journal Description (Service Description)]],'Lookup Values'!$A:$B,2,FALSE))</f>
        <v/>
      </c>
    </row>
    <row r="476" spans="1:4" x14ac:dyDescent="0.35">
      <c r="A476" t="str">
        <f>IF(Table2427[[#This Row],[Branch Name]]="","",(_xlfn.XLOOKUP(Table2427[[#This Row],[Branch Name]],'Lookup Values'!G:G,'Lookup Values'!H:H,0)))</f>
        <v/>
      </c>
      <c r="B476" t="str">
        <f>IF(Table2427[[#This Row],[Branch Name]]="","",(_xlfn.XLOOKUP(Table2427[[#This Row],[Branch Name]],'Lookup Values'!G:G,'Lookup Values'!I:I,0)))</f>
        <v/>
      </c>
      <c r="C476" t="str">
        <f>IF(Table2427[[#This Row],[Journal Description (Service Description)]]="","",1)</f>
        <v/>
      </c>
      <c r="D476" s="2" t="str">
        <f>IF(Table2427[[#This Row],[Journal Description (Service Description)]]="","",VLOOKUP(Table2427[[#This Row],[Journal Description (Service Description)]],'Lookup Values'!$A:$B,2,FALSE))</f>
        <v/>
      </c>
    </row>
    <row r="477" spans="1:4" x14ac:dyDescent="0.35">
      <c r="A477" t="str">
        <f>IF(Table2427[[#This Row],[Branch Name]]="","",(_xlfn.XLOOKUP(Table2427[[#This Row],[Branch Name]],'Lookup Values'!G:G,'Lookup Values'!H:H,0)))</f>
        <v/>
      </c>
      <c r="B477" t="str">
        <f>IF(Table2427[[#This Row],[Branch Name]]="","",(_xlfn.XLOOKUP(Table2427[[#This Row],[Branch Name]],'Lookup Values'!G:G,'Lookup Values'!I:I,0)))</f>
        <v/>
      </c>
      <c r="C477" t="str">
        <f>IF(Table2427[[#This Row],[Journal Description (Service Description)]]="","",1)</f>
        <v/>
      </c>
      <c r="D477" s="2" t="str">
        <f>IF(Table2427[[#This Row],[Journal Description (Service Description)]]="","",VLOOKUP(Table2427[[#This Row],[Journal Description (Service Description)]],'Lookup Values'!$A:$B,2,FALSE))</f>
        <v/>
      </c>
    </row>
    <row r="478" spans="1:4" x14ac:dyDescent="0.35">
      <c r="A478" t="str">
        <f>IF(Table2427[[#This Row],[Branch Name]]="","",(_xlfn.XLOOKUP(Table2427[[#This Row],[Branch Name]],'Lookup Values'!G:G,'Lookup Values'!H:H,0)))</f>
        <v/>
      </c>
      <c r="B478" t="str">
        <f>IF(Table2427[[#This Row],[Branch Name]]="","",(_xlfn.XLOOKUP(Table2427[[#This Row],[Branch Name]],'Lookup Values'!G:G,'Lookup Values'!I:I,0)))</f>
        <v/>
      </c>
      <c r="C478" t="str">
        <f>IF(Table2427[[#This Row],[Journal Description (Service Description)]]="","",1)</f>
        <v/>
      </c>
      <c r="D478" s="2" t="str">
        <f>IF(Table2427[[#This Row],[Journal Description (Service Description)]]="","",VLOOKUP(Table2427[[#This Row],[Journal Description (Service Description)]],'Lookup Values'!$A:$B,2,FALSE))</f>
        <v/>
      </c>
    </row>
    <row r="479" spans="1:4" x14ac:dyDescent="0.35">
      <c r="A479" t="str">
        <f>IF(Table2427[[#This Row],[Branch Name]]="","",(_xlfn.XLOOKUP(Table2427[[#This Row],[Branch Name]],'Lookup Values'!G:G,'Lookup Values'!H:H,0)))</f>
        <v/>
      </c>
      <c r="B479" t="str">
        <f>IF(Table2427[[#This Row],[Branch Name]]="","",(_xlfn.XLOOKUP(Table2427[[#This Row],[Branch Name]],'Lookup Values'!G:G,'Lookup Values'!I:I,0)))</f>
        <v/>
      </c>
      <c r="C479" t="str">
        <f>IF(Table2427[[#This Row],[Journal Description (Service Description)]]="","",1)</f>
        <v/>
      </c>
      <c r="D479" s="2" t="str">
        <f>IF(Table2427[[#This Row],[Journal Description (Service Description)]]="","",VLOOKUP(Table2427[[#This Row],[Journal Description (Service Description)]],'Lookup Values'!$A:$B,2,FALSE))</f>
        <v/>
      </c>
    </row>
    <row r="480" spans="1:4" x14ac:dyDescent="0.35">
      <c r="A480" t="str">
        <f>IF(Table2427[[#This Row],[Branch Name]]="","",(_xlfn.XLOOKUP(Table2427[[#This Row],[Branch Name]],'Lookup Values'!G:G,'Lookup Values'!H:H,0)))</f>
        <v/>
      </c>
      <c r="B480" t="str">
        <f>IF(Table2427[[#This Row],[Branch Name]]="","",(_xlfn.XLOOKUP(Table2427[[#This Row],[Branch Name]],'Lookup Values'!G:G,'Lookup Values'!I:I,0)))</f>
        <v/>
      </c>
      <c r="C480" t="str">
        <f>IF(Table2427[[#This Row],[Journal Description (Service Description)]]="","",1)</f>
        <v/>
      </c>
      <c r="D480" s="2" t="str">
        <f>IF(Table2427[[#This Row],[Journal Description (Service Description)]]="","",VLOOKUP(Table2427[[#This Row],[Journal Description (Service Description)]],'Lookup Values'!$A:$B,2,FALSE))</f>
        <v/>
      </c>
    </row>
    <row r="481" spans="1:4" x14ac:dyDescent="0.35">
      <c r="A481" t="str">
        <f>IF(Table2427[[#This Row],[Branch Name]]="","",(_xlfn.XLOOKUP(Table2427[[#This Row],[Branch Name]],'Lookup Values'!G:G,'Lookup Values'!H:H,0)))</f>
        <v/>
      </c>
      <c r="B481" t="str">
        <f>IF(Table2427[[#This Row],[Branch Name]]="","",(_xlfn.XLOOKUP(Table2427[[#This Row],[Branch Name]],'Lookup Values'!G:G,'Lookup Values'!I:I,0)))</f>
        <v/>
      </c>
      <c r="C481" t="str">
        <f>IF(Table2427[[#This Row],[Journal Description (Service Description)]]="","",1)</f>
        <v/>
      </c>
      <c r="D481" s="2" t="str">
        <f>IF(Table2427[[#This Row],[Journal Description (Service Description)]]="","",VLOOKUP(Table2427[[#This Row],[Journal Description (Service Description)]],'Lookup Values'!$A:$B,2,FALSE))</f>
        <v/>
      </c>
    </row>
    <row r="482" spans="1:4" x14ac:dyDescent="0.35">
      <c r="A482" t="str">
        <f>IF(Table2427[[#This Row],[Branch Name]]="","",(_xlfn.XLOOKUP(Table2427[[#This Row],[Branch Name]],'Lookup Values'!G:G,'Lookup Values'!H:H,0)))</f>
        <v/>
      </c>
      <c r="B482" t="str">
        <f>IF(Table2427[[#This Row],[Branch Name]]="","",(_xlfn.XLOOKUP(Table2427[[#This Row],[Branch Name]],'Lookup Values'!G:G,'Lookup Values'!I:I,0)))</f>
        <v/>
      </c>
      <c r="C482" t="str">
        <f>IF(Table2427[[#This Row],[Journal Description (Service Description)]]="","",1)</f>
        <v/>
      </c>
      <c r="D482" s="2" t="str">
        <f>IF(Table2427[[#This Row],[Journal Description (Service Description)]]="","",VLOOKUP(Table2427[[#This Row],[Journal Description (Service Description)]],'Lookup Values'!$A:$B,2,FALSE))</f>
        <v/>
      </c>
    </row>
    <row r="483" spans="1:4" x14ac:dyDescent="0.35">
      <c r="A483" t="str">
        <f>IF(Table2427[[#This Row],[Branch Name]]="","",(_xlfn.XLOOKUP(Table2427[[#This Row],[Branch Name]],'Lookup Values'!G:G,'Lookup Values'!H:H,0)))</f>
        <v/>
      </c>
      <c r="B483" t="str">
        <f>IF(Table2427[[#This Row],[Branch Name]]="","",(_xlfn.XLOOKUP(Table2427[[#This Row],[Branch Name]],'Lookup Values'!G:G,'Lookup Values'!I:I,0)))</f>
        <v/>
      </c>
      <c r="C483" t="str">
        <f>IF(Table2427[[#This Row],[Journal Description (Service Description)]]="","",1)</f>
        <v/>
      </c>
      <c r="D483" s="2" t="str">
        <f>IF(Table2427[[#This Row],[Journal Description (Service Description)]]="","",VLOOKUP(Table2427[[#This Row],[Journal Description (Service Description)]],'Lookup Values'!$A:$B,2,FALSE))</f>
        <v/>
      </c>
    </row>
    <row r="484" spans="1:4" x14ac:dyDescent="0.35">
      <c r="A484" t="str">
        <f>IF(Table2427[[#This Row],[Branch Name]]="","",(_xlfn.XLOOKUP(Table2427[[#This Row],[Branch Name]],'Lookup Values'!G:G,'Lookup Values'!H:H,0)))</f>
        <v/>
      </c>
      <c r="B484" t="str">
        <f>IF(Table2427[[#This Row],[Branch Name]]="","",(_xlfn.XLOOKUP(Table2427[[#This Row],[Branch Name]],'Lookup Values'!G:G,'Lookup Values'!I:I,0)))</f>
        <v/>
      </c>
      <c r="C484" t="str">
        <f>IF(Table2427[[#This Row],[Journal Description (Service Description)]]="","",1)</f>
        <v/>
      </c>
      <c r="D484" s="2" t="str">
        <f>IF(Table2427[[#This Row],[Journal Description (Service Description)]]="","",VLOOKUP(Table2427[[#This Row],[Journal Description (Service Description)]],'Lookup Values'!$A:$B,2,FALSE))</f>
        <v/>
      </c>
    </row>
    <row r="485" spans="1:4" x14ac:dyDescent="0.35">
      <c r="A485" t="str">
        <f>IF(Table2427[[#This Row],[Branch Name]]="","",(_xlfn.XLOOKUP(Table2427[[#This Row],[Branch Name]],'Lookup Values'!G:G,'Lookup Values'!H:H,0)))</f>
        <v/>
      </c>
      <c r="B485" t="str">
        <f>IF(Table2427[[#This Row],[Branch Name]]="","",(_xlfn.XLOOKUP(Table2427[[#This Row],[Branch Name]],'Lookup Values'!G:G,'Lookup Values'!I:I,0)))</f>
        <v/>
      </c>
      <c r="C485" t="str">
        <f>IF(Table2427[[#This Row],[Journal Description (Service Description)]]="","",1)</f>
        <v/>
      </c>
      <c r="D485" s="2" t="str">
        <f>IF(Table2427[[#This Row],[Journal Description (Service Description)]]="","",VLOOKUP(Table2427[[#This Row],[Journal Description (Service Description)]],'Lookup Values'!$A:$B,2,FALSE))</f>
        <v/>
      </c>
    </row>
    <row r="486" spans="1:4" x14ac:dyDescent="0.35">
      <c r="A486" t="str">
        <f>IF(Table2427[[#This Row],[Branch Name]]="","",(_xlfn.XLOOKUP(Table2427[[#This Row],[Branch Name]],'Lookup Values'!G:G,'Lookup Values'!H:H,0)))</f>
        <v/>
      </c>
      <c r="B486" t="str">
        <f>IF(Table2427[[#This Row],[Branch Name]]="","",(_xlfn.XLOOKUP(Table2427[[#This Row],[Branch Name]],'Lookup Values'!G:G,'Lookup Values'!I:I,0)))</f>
        <v/>
      </c>
      <c r="C486" t="str">
        <f>IF(Table2427[[#This Row],[Journal Description (Service Description)]]="","",1)</f>
        <v/>
      </c>
      <c r="D486" s="2" t="str">
        <f>IF(Table2427[[#This Row],[Journal Description (Service Description)]]="","",VLOOKUP(Table2427[[#This Row],[Journal Description (Service Description)]],'Lookup Values'!$A:$B,2,FALSE))</f>
        <v/>
      </c>
    </row>
    <row r="487" spans="1:4" x14ac:dyDescent="0.35">
      <c r="A487" t="str">
        <f>IF(Table2427[[#This Row],[Branch Name]]="","",(_xlfn.XLOOKUP(Table2427[[#This Row],[Branch Name]],'Lookup Values'!G:G,'Lookup Values'!H:H,0)))</f>
        <v/>
      </c>
      <c r="B487" t="str">
        <f>IF(Table2427[[#This Row],[Branch Name]]="","",(_xlfn.XLOOKUP(Table2427[[#This Row],[Branch Name]],'Lookup Values'!G:G,'Lookup Values'!I:I,0)))</f>
        <v/>
      </c>
      <c r="C487" t="str">
        <f>IF(Table2427[[#This Row],[Journal Description (Service Description)]]="","",1)</f>
        <v/>
      </c>
      <c r="D487" s="2" t="str">
        <f>IF(Table2427[[#This Row],[Journal Description (Service Description)]]="","",VLOOKUP(Table2427[[#This Row],[Journal Description (Service Description)]],'Lookup Values'!$A:$B,2,FALSE))</f>
        <v/>
      </c>
    </row>
    <row r="488" spans="1:4" x14ac:dyDescent="0.35">
      <c r="A488" t="str">
        <f>IF(Table2427[[#This Row],[Branch Name]]="","",(_xlfn.XLOOKUP(Table2427[[#This Row],[Branch Name]],'Lookup Values'!G:G,'Lookup Values'!H:H,0)))</f>
        <v/>
      </c>
      <c r="B488" t="str">
        <f>IF(Table2427[[#This Row],[Branch Name]]="","",(_xlfn.XLOOKUP(Table2427[[#This Row],[Branch Name]],'Lookup Values'!G:G,'Lookup Values'!I:I,0)))</f>
        <v/>
      </c>
      <c r="C488" t="str">
        <f>IF(Table2427[[#This Row],[Journal Description (Service Description)]]="","",1)</f>
        <v/>
      </c>
      <c r="D488" s="2" t="str">
        <f>IF(Table2427[[#This Row],[Journal Description (Service Description)]]="","",VLOOKUP(Table2427[[#This Row],[Journal Description (Service Description)]],'Lookup Values'!$A:$B,2,FALSE))</f>
        <v/>
      </c>
    </row>
    <row r="489" spans="1:4" x14ac:dyDescent="0.35">
      <c r="A489" t="str">
        <f>IF(Table2427[[#This Row],[Branch Name]]="","",(_xlfn.XLOOKUP(Table2427[[#This Row],[Branch Name]],'Lookup Values'!G:G,'Lookup Values'!H:H,0)))</f>
        <v/>
      </c>
      <c r="B489" t="str">
        <f>IF(Table2427[[#This Row],[Branch Name]]="","",(_xlfn.XLOOKUP(Table2427[[#This Row],[Branch Name]],'Lookup Values'!G:G,'Lookup Values'!I:I,0)))</f>
        <v/>
      </c>
      <c r="C489" t="str">
        <f>IF(Table2427[[#This Row],[Journal Description (Service Description)]]="","",1)</f>
        <v/>
      </c>
      <c r="D489" s="2" t="str">
        <f>IF(Table2427[[#This Row],[Journal Description (Service Description)]]="","",VLOOKUP(Table2427[[#This Row],[Journal Description (Service Description)]],'Lookup Values'!$A:$B,2,FALSE))</f>
        <v/>
      </c>
    </row>
    <row r="490" spans="1:4" x14ac:dyDescent="0.35">
      <c r="A490" t="str">
        <f>IF(Table2427[[#This Row],[Branch Name]]="","",(_xlfn.XLOOKUP(Table2427[[#This Row],[Branch Name]],'Lookup Values'!G:G,'Lookup Values'!H:H,0)))</f>
        <v/>
      </c>
      <c r="B490" t="str">
        <f>IF(Table2427[[#This Row],[Branch Name]]="","",(_xlfn.XLOOKUP(Table2427[[#This Row],[Branch Name]],'Lookup Values'!G:G,'Lookup Values'!I:I,0)))</f>
        <v/>
      </c>
      <c r="C490" t="str">
        <f>IF(Table2427[[#This Row],[Journal Description (Service Description)]]="","",1)</f>
        <v/>
      </c>
      <c r="D490" s="2" t="str">
        <f>IF(Table2427[[#This Row],[Journal Description (Service Description)]]="","",VLOOKUP(Table2427[[#This Row],[Journal Description (Service Description)]],'Lookup Values'!$A:$B,2,FALSE))</f>
        <v/>
      </c>
    </row>
    <row r="491" spans="1:4" x14ac:dyDescent="0.35">
      <c r="A491" t="str">
        <f>IF(Table2427[[#This Row],[Branch Name]]="","",(_xlfn.XLOOKUP(Table2427[[#This Row],[Branch Name]],'Lookup Values'!G:G,'Lookup Values'!H:H,0)))</f>
        <v/>
      </c>
      <c r="B491" t="str">
        <f>IF(Table2427[[#This Row],[Branch Name]]="","",(_xlfn.XLOOKUP(Table2427[[#This Row],[Branch Name]],'Lookup Values'!G:G,'Lookup Values'!I:I,0)))</f>
        <v/>
      </c>
      <c r="C491" t="str">
        <f>IF(Table2427[[#This Row],[Journal Description (Service Description)]]="","",1)</f>
        <v/>
      </c>
      <c r="D491" s="2" t="str">
        <f>IF(Table2427[[#This Row],[Journal Description (Service Description)]]="","",VLOOKUP(Table2427[[#This Row],[Journal Description (Service Description)]],'Lookup Values'!$A:$B,2,FALSE))</f>
        <v/>
      </c>
    </row>
    <row r="492" spans="1:4" x14ac:dyDescent="0.35">
      <c r="A492" t="str">
        <f>IF(Table2427[[#This Row],[Branch Name]]="","",(_xlfn.XLOOKUP(Table2427[[#This Row],[Branch Name]],'Lookup Values'!G:G,'Lookup Values'!H:H,0)))</f>
        <v/>
      </c>
      <c r="B492" t="str">
        <f>IF(Table2427[[#This Row],[Branch Name]]="","",(_xlfn.XLOOKUP(Table2427[[#This Row],[Branch Name]],'Lookup Values'!G:G,'Lookup Values'!I:I,0)))</f>
        <v/>
      </c>
      <c r="C492" t="str">
        <f>IF(Table2427[[#This Row],[Journal Description (Service Description)]]="","",1)</f>
        <v/>
      </c>
      <c r="D492" s="2" t="str">
        <f>IF(Table2427[[#This Row],[Journal Description (Service Description)]]="","",VLOOKUP(Table2427[[#This Row],[Journal Description (Service Description)]],'Lookup Values'!$A:$B,2,FALSE))</f>
        <v/>
      </c>
    </row>
    <row r="493" spans="1:4" x14ac:dyDescent="0.35">
      <c r="A493" t="str">
        <f>IF(Table2427[[#This Row],[Branch Name]]="","",(_xlfn.XLOOKUP(Table2427[[#This Row],[Branch Name]],'Lookup Values'!G:G,'Lookup Values'!H:H,0)))</f>
        <v/>
      </c>
      <c r="B493" t="str">
        <f>IF(Table2427[[#This Row],[Branch Name]]="","",(_xlfn.XLOOKUP(Table2427[[#This Row],[Branch Name]],'Lookup Values'!G:G,'Lookup Values'!I:I,0)))</f>
        <v/>
      </c>
      <c r="C493" t="str">
        <f>IF(Table2427[[#This Row],[Journal Description (Service Description)]]="","",1)</f>
        <v/>
      </c>
      <c r="D493" s="2" t="str">
        <f>IF(Table2427[[#This Row],[Journal Description (Service Description)]]="","",VLOOKUP(Table2427[[#This Row],[Journal Description (Service Description)]],'Lookup Values'!$A:$B,2,FALSE))</f>
        <v/>
      </c>
    </row>
    <row r="494" spans="1:4" x14ac:dyDescent="0.35">
      <c r="A494" t="str">
        <f>IF(Table2427[[#This Row],[Branch Name]]="","",(_xlfn.XLOOKUP(Table2427[[#This Row],[Branch Name]],'Lookup Values'!G:G,'Lookup Values'!H:H,0)))</f>
        <v/>
      </c>
      <c r="B494" t="str">
        <f>IF(Table2427[[#This Row],[Branch Name]]="","",(_xlfn.XLOOKUP(Table2427[[#This Row],[Branch Name]],'Lookup Values'!G:G,'Lookup Values'!I:I,0)))</f>
        <v/>
      </c>
      <c r="C494" t="str">
        <f>IF(Table2427[[#This Row],[Journal Description (Service Description)]]="","",1)</f>
        <v/>
      </c>
      <c r="D494" s="2" t="str">
        <f>IF(Table2427[[#This Row],[Journal Description (Service Description)]]="","",VLOOKUP(Table2427[[#This Row],[Journal Description (Service Description)]],'Lookup Values'!$A:$B,2,FALSE))</f>
        <v/>
      </c>
    </row>
    <row r="495" spans="1:4" x14ac:dyDescent="0.35">
      <c r="A495" t="str">
        <f>IF(Table2427[[#This Row],[Branch Name]]="","",(_xlfn.XLOOKUP(Table2427[[#This Row],[Branch Name]],'Lookup Values'!G:G,'Lookup Values'!H:H,0)))</f>
        <v/>
      </c>
      <c r="B495" t="str">
        <f>IF(Table2427[[#This Row],[Branch Name]]="","",(_xlfn.XLOOKUP(Table2427[[#This Row],[Branch Name]],'Lookup Values'!G:G,'Lookup Values'!I:I,0)))</f>
        <v/>
      </c>
      <c r="C495" t="str">
        <f>IF(Table2427[[#This Row],[Journal Description (Service Description)]]="","",1)</f>
        <v/>
      </c>
      <c r="D495" s="2" t="str">
        <f>IF(Table2427[[#This Row],[Journal Description (Service Description)]]="","",VLOOKUP(Table2427[[#This Row],[Journal Description (Service Description)]],'Lookup Values'!$A:$B,2,FALSE))</f>
        <v/>
      </c>
    </row>
    <row r="496" spans="1:4" x14ac:dyDescent="0.35">
      <c r="A496" t="str">
        <f>IF(Table2427[[#This Row],[Branch Name]]="","",(_xlfn.XLOOKUP(Table2427[[#This Row],[Branch Name]],'Lookup Values'!G:G,'Lookup Values'!H:H,0)))</f>
        <v/>
      </c>
      <c r="B496" t="str">
        <f>IF(Table2427[[#This Row],[Branch Name]]="","",(_xlfn.XLOOKUP(Table2427[[#This Row],[Branch Name]],'Lookup Values'!G:G,'Lookup Values'!I:I,0)))</f>
        <v/>
      </c>
      <c r="C496" t="str">
        <f>IF(Table2427[[#This Row],[Journal Description (Service Description)]]="","",1)</f>
        <v/>
      </c>
      <c r="D496" s="2" t="str">
        <f>IF(Table2427[[#This Row],[Journal Description (Service Description)]]="","",VLOOKUP(Table2427[[#This Row],[Journal Description (Service Description)]],'Lookup Values'!$A:$B,2,FALSE))</f>
        <v/>
      </c>
    </row>
    <row r="497" spans="1:4" x14ac:dyDescent="0.35">
      <c r="A497" t="str">
        <f>IF(Table2427[[#This Row],[Branch Name]]="","",(_xlfn.XLOOKUP(Table2427[[#This Row],[Branch Name]],'Lookup Values'!G:G,'Lookup Values'!H:H,0)))</f>
        <v/>
      </c>
      <c r="B497" t="str">
        <f>IF(Table2427[[#This Row],[Branch Name]]="","",(_xlfn.XLOOKUP(Table2427[[#This Row],[Branch Name]],'Lookup Values'!G:G,'Lookup Values'!I:I,0)))</f>
        <v/>
      </c>
      <c r="C497" t="str">
        <f>IF(Table2427[[#This Row],[Journal Description (Service Description)]]="","",1)</f>
        <v/>
      </c>
      <c r="D497" s="2" t="str">
        <f>IF(Table2427[[#This Row],[Journal Description (Service Description)]]="","",VLOOKUP(Table2427[[#This Row],[Journal Description (Service Description)]],'Lookup Values'!$A:$B,2,FALSE))</f>
        <v/>
      </c>
    </row>
    <row r="498" spans="1:4" x14ac:dyDescent="0.35">
      <c r="A498" t="str">
        <f>IF(Table2427[[#This Row],[Branch Name]]="","",(_xlfn.XLOOKUP(Table2427[[#This Row],[Branch Name]],'Lookup Values'!G:G,'Lookup Values'!H:H,0)))</f>
        <v/>
      </c>
      <c r="B498" t="str">
        <f>IF(Table2427[[#This Row],[Branch Name]]="","",(_xlfn.XLOOKUP(Table2427[[#This Row],[Branch Name]],'Lookup Values'!G:G,'Lookup Values'!I:I,0)))</f>
        <v/>
      </c>
      <c r="C498" t="str">
        <f>IF(Table2427[[#This Row],[Journal Description (Service Description)]]="","",1)</f>
        <v/>
      </c>
      <c r="D498" s="2" t="str">
        <f>IF(Table2427[[#This Row],[Journal Description (Service Description)]]="","",VLOOKUP(Table2427[[#This Row],[Journal Description (Service Description)]],'Lookup Values'!$A:$B,2,FALSE))</f>
        <v/>
      </c>
    </row>
    <row r="499" spans="1:4" x14ac:dyDescent="0.35">
      <c r="A499" t="str">
        <f>IF(Table2427[[#This Row],[Branch Name]]="","",(_xlfn.XLOOKUP(Table2427[[#This Row],[Branch Name]],'Lookup Values'!G:G,'Lookup Values'!H:H,0)))</f>
        <v/>
      </c>
      <c r="B499" t="str">
        <f>IF(Table2427[[#This Row],[Branch Name]]="","",(_xlfn.XLOOKUP(Table2427[[#This Row],[Branch Name]],'Lookup Values'!G:G,'Lookup Values'!I:I,0)))</f>
        <v/>
      </c>
      <c r="C499" t="str">
        <f>IF(Table2427[[#This Row],[Journal Description (Service Description)]]="","",1)</f>
        <v/>
      </c>
      <c r="D499" s="2" t="str">
        <f>IF(Table2427[[#This Row],[Journal Description (Service Description)]]="","",VLOOKUP(Table2427[[#This Row],[Journal Description (Service Description)]],'Lookup Values'!$A:$B,2,FALSE))</f>
        <v/>
      </c>
    </row>
    <row r="500" spans="1:4" x14ac:dyDescent="0.35">
      <c r="A500" t="str">
        <f>IF(Table2427[[#This Row],[Branch Name]]="","",(_xlfn.XLOOKUP(Table2427[[#This Row],[Branch Name]],'Lookup Values'!G:G,'Lookup Values'!H:H,0)))</f>
        <v/>
      </c>
      <c r="B500" t="str">
        <f>IF(Table2427[[#This Row],[Branch Name]]="","",(_xlfn.XLOOKUP(Table2427[[#This Row],[Branch Name]],'Lookup Values'!G:G,'Lookup Values'!I:I,0)))</f>
        <v/>
      </c>
      <c r="C500" t="str">
        <f>IF(Table2427[[#This Row],[Journal Description (Service Description)]]="","",1)</f>
        <v/>
      </c>
      <c r="D500" s="2" t="str">
        <f>IF(Table2427[[#This Row],[Journal Description (Service Description)]]="","",VLOOKUP(Table2427[[#This Row],[Journal Description (Service Description)]],'Lookup Values'!$A:$B,2,FALSE))</f>
        <v/>
      </c>
    </row>
    <row r="501" spans="1:4" x14ac:dyDescent="0.35">
      <c r="A501" t="str">
        <f>IF(Table2427[[#This Row],[Branch Name]]="","",(_xlfn.XLOOKUP(Table2427[[#This Row],[Branch Name]],'Lookup Values'!G:G,'Lookup Values'!H:H,0)))</f>
        <v/>
      </c>
      <c r="B501" t="str">
        <f>IF(Table2427[[#This Row],[Branch Name]]="","",(_xlfn.XLOOKUP(Table2427[[#This Row],[Branch Name]],'Lookup Values'!G:G,'Lookup Values'!I:I,0)))</f>
        <v/>
      </c>
      <c r="C501" t="str">
        <f>IF(Table2427[[#This Row],[Journal Description (Service Description)]]="","",1)</f>
        <v/>
      </c>
      <c r="D501" s="2" t="str">
        <f>IF(Table2427[[#This Row],[Journal Description (Service Description)]]="","",VLOOKUP(Table2427[[#This Row],[Journal Description (Service Description)]],'Lookup Values'!$A:$B,2,FALSE))</f>
        <v/>
      </c>
    </row>
    <row r="502" spans="1:4" x14ac:dyDescent="0.35">
      <c r="A502" t="str">
        <f>IF(Table2427[[#This Row],[Branch Name]]="","",(_xlfn.XLOOKUP(Table2427[[#This Row],[Branch Name]],'Lookup Values'!G:G,'Lookup Values'!H:H,0)))</f>
        <v/>
      </c>
      <c r="B502" t="str">
        <f>IF(Table2427[[#This Row],[Branch Name]]="","",(_xlfn.XLOOKUP(Table2427[[#This Row],[Branch Name]],'Lookup Values'!G:G,'Lookup Values'!I:I,0)))</f>
        <v/>
      </c>
      <c r="C502" t="str">
        <f>IF(Table2427[[#This Row],[Journal Description (Service Description)]]="","",1)</f>
        <v/>
      </c>
      <c r="D502" s="2" t="str">
        <f>IF(Table2427[[#This Row],[Journal Description (Service Description)]]="","",VLOOKUP(Table2427[[#This Row],[Journal Description (Service Description)]],'Lookup Values'!$A:$B,2,FALSE))</f>
        <v/>
      </c>
    </row>
    <row r="503" spans="1:4" x14ac:dyDescent="0.35">
      <c r="A503" t="str">
        <f>IF(Table2427[[#This Row],[Branch Name]]="","",(_xlfn.XLOOKUP(Table2427[[#This Row],[Branch Name]],'Lookup Values'!G:G,'Lookup Values'!H:H,0)))</f>
        <v/>
      </c>
      <c r="B503" t="str">
        <f>IF(Table2427[[#This Row],[Branch Name]]="","",(_xlfn.XLOOKUP(Table2427[[#This Row],[Branch Name]],'Lookup Values'!G:G,'Lookup Values'!I:I,0)))</f>
        <v/>
      </c>
      <c r="C503" t="str">
        <f>IF(Table2427[[#This Row],[Journal Description (Service Description)]]="","",1)</f>
        <v/>
      </c>
      <c r="D503" s="2" t="str">
        <f>IF(Table2427[[#This Row],[Journal Description (Service Description)]]="","",VLOOKUP(Table2427[[#This Row],[Journal Description (Service Description)]],'Lookup Values'!$A:$B,2,FALSE))</f>
        <v/>
      </c>
    </row>
    <row r="504" spans="1:4" x14ac:dyDescent="0.35">
      <c r="A504" t="str">
        <f>IF(Table2427[[#This Row],[Branch Name]]="","",(_xlfn.XLOOKUP(Table2427[[#This Row],[Branch Name]],'Lookup Values'!G:G,'Lookup Values'!H:H,0)))</f>
        <v/>
      </c>
      <c r="B504" t="str">
        <f>IF(Table2427[[#This Row],[Branch Name]]="","",(_xlfn.XLOOKUP(Table2427[[#This Row],[Branch Name]],'Lookup Values'!G:G,'Lookup Values'!I:I,0)))</f>
        <v/>
      </c>
      <c r="C504" t="str">
        <f>IF(Table2427[[#This Row],[Journal Description (Service Description)]]="","",1)</f>
        <v/>
      </c>
      <c r="D504" s="2" t="str">
        <f>IF(Table2427[[#This Row],[Journal Description (Service Description)]]="","",VLOOKUP(Table2427[[#This Row],[Journal Description (Service Description)]],'Lookup Values'!$A:$B,2,FALSE))</f>
        <v/>
      </c>
    </row>
    <row r="505" spans="1:4" x14ac:dyDescent="0.35">
      <c r="A505" t="str">
        <f>IF(Table2427[[#This Row],[Branch Name]]="","",(_xlfn.XLOOKUP(Table2427[[#This Row],[Branch Name]],'Lookup Values'!G:G,'Lookup Values'!H:H,0)))</f>
        <v/>
      </c>
      <c r="B505" t="str">
        <f>IF(Table2427[[#This Row],[Branch Name]]="","",(_xlfn.XLOOKUP(Table2427[[#This Row],[Branch Name]],'Lookup Values'!G:G,'Lookup Values'!I:I,0)))</f>
        <v/>
      </c>
      <c r="C505" t="str">
        <f>IF(Table2427[[#This Row],[Journal Description (Service Description)]]="","",1)</f>
        <v/>
      </c>
      <c r="D505" s="2" t="str">
        <f>IF(Table2427[[#This Row],[Journal Description (Service Description)]]="","",VLOOKUP(Table2427[[#This Row],[Journal Description (Service Description)]],'Lookup Values'!$A:$B,2,FALSE))</f>
        <v/>
      </c>
    </row>
    <row r="506" spans="1:4" x14ac:dyDescent="0.35">
      <c r="A506" t="str">
        <f>IF(Table2427[[#This Row],[Branch Name]]="","",(_xlfn.XLOOKUP(Table2427[[#This Row],[Branch Name]],'Lookup Values'!G:G,'Lookup Values'!H:H,0)))</f>
        <v/>
      </c>
      <c r="B506" t="str">
        <f>IF(Table2427[[#This Row],[Branch Name]]="","",(_xlfn.XLOOKUP(Table2427[[#This Row],[Branch Name]],'Lookup Values'!G:G,'Lookup Values'!I:I,0)))</f>
        <v/>
      </c>
      <c r="C506" t="str">
        <f>IF(Table2427[[#This Row],[Journal Description (Service Description)]]="","",1)</f>
        <v/>
      </c>
      <c r="D506" s="2" t="str">
        <f>IF(Table2427[[#This Row],[Journal Description (Service Description)]]="","",VLOOKUP(Table2427[[#This Row],[Journal Description (Service Description)]],'Lookup Values'!$A:$B,2,FALSE))</f>
        <v/>
      </c>
    </row>
    <row r="507" spans="1:4" x14ac:dyDescent="0.35">
      <c r="A507" t="str">
        <f>IF(Table2427[[#This Row],[Branch Name]]="","",(_xlfn.XLOOKUP(Table2427[[#This Row],[Branch Name]],'Lookup Values'!G:G,'Lookup Values'!H:H,0)))</f>
        <v/>
      </c>
      <c r="B507" t="str">
        <f>IF(Table2427[[#This Row],[Branch Name]]="","",(_xlfn.XLOOKUP(Table2427[[#This Row],[Branch Name]],'Lookup Values'!G:G,'Lookup Values'!I:I,0)))</f>
        <v/>
      </c>
      <c r="C507" t="str">
        <f>IF(Table2427[[#This Row],[Journal Description (Service Description)]]="","",1)</f>
        <v/>
      </c>
      <c r="D507" s="2" t="str">
        <f>IF(Table2427[[#This Row],[Journal Description (Service Description)]]="","",VLOOKUP(Table2427[[#This Row],[Journal Description (Service Description)]],'Lookup Values'!$A:$B,2,FALSE))</f>
        <v/>
      </c>
    </row>
    <row r="508" spans="1:4" x14ac:dyDescent="0.35">
      <c r="A508" t="str">
        <f>IF(Table2427[[#This Row],[Branch Name]]="","",(_xlfn.XLOOKUP(Table2427[[#This Row],[Branch Name]],'Lookup Values'!G:G,'Lookup Values'!H:H,0)))</f>
        <v/>
      </c>
      <c r="B508" t="str">
        <f>IF(Table2427[[#This Row],[Branch Name]]="","",(_xlfn.XLOOKUP(Table2427[[#This Row],[Branch Name]],'Lookup Values'!G:G,'Lookup Values'!I:I,0)))</f>
        <v/>
      </c>
      <c r="C508" t="str">
        <f>IF(Table2427[[#This Row],[Journal Description (Service Description)]]="","",1)</f>
        <v/>
      </c>
      <c r="D508" s="2" t="str">
        <f>IF(Table2427[[#This Row],[Journal Description (Service Description)]]="","",VLOOKUP(Table2427[[#This Row],[Journal Description (Service Description)]],'Lookup Values'!$A:$B,2,FALSE))</f>
        <v/>
      </c>
    </row>
    <row r="509" spans="1:4" x14ac:dyDescent="0.35">
      <c r="A509" t="str">
        <f>IF(Table2427[[#This Row],[Branch Name]]="","",(_xlfn.XLOOKUP(Table2427[[#This Row],[Branch Name]],'Lookup Values'!G:G,'Lookup Values'!H:H,0)))</f>
        <v/>
      </c>
      <c r="B509" t="str">
        <f>IF(Table2427[[#This Row],[Branch Name]]="","",(_xlfn.XLOOKUP(Table2427[[#This Row],[Branch Name]],'Lookup Values'!G:G,'Lookup Values'!I:I,0)))</f>
        <v/>
      </c>
      <c r="C509" t="str">
        <f>IF(Table2427[[#This Row],[Journal Description (Service Description)]]="","",1)</f>
        <v/>
      </c>
      <c r="D509" s="2" t="str">
        <f>IF(Table2427[[#This Row],[Journal Description (Service Description)]]="","",VLOOKUP(Table2427[[#This Row],[Journal Description (Service Description)]],'Lookup Values'!$A:$B,2,FALSE))</f>
        <v/>
      </c>
    </row>
    <row r="510" spans="1:4" x14ac:dyDescent="0.35">
      <c r="A510" t="str">
        <f>IF(Table2427[[#This Row],[Branch Name]]="","",(_xlfn.XLOOKUP(Table2427[[#This Row],[Branch Name]],'Lookup Values'!G:G,'Lookup Values'!H:H,0)))</f>
        <v/>
      </c>
      <c r="B510" t="str">
        <f>IF(Table2427[[#This Row],[Branch Name]]="","",(_xlfn.XLOOKUP(Table2427[[#This Row],[Branch Name]],'Lookup Values'!G:G,'Lookup Values'!I:I,0)))</f>
        <v/>
      </c>
      <c r="C510" t="str">
        <f>IF(Table2427[[#This Row],[Journal Description (Service Description)]]="","",1)</f>
        <v/>
      </c>
      <c r="D510" s="2" t="str">
        <f>IF(Table2427[[#This Row],[Journal Description (Service Description)]]="","",VLOOKUP(Table2427[[#This Row],[Journal Description (Service Description)]],'Lookup Values'!$A:$B,2,FALSE))</f>
        <v/>
      </c>
    </row>
    <row r="511" spans="1:4" x14ac:dyDescent="0.35">
      <c r="A511" t="str">
        <f>IF(Table2427[[#This Row],[Branch Name]]="","",(_xlfn.XLOOKUP(Table2427[[#This Row],[Branch Name]],'Lookup Values'!G:G,'Lookup Values'!H:H,0)))</f>
        <v/>
      </c>
      <c r="B511" t="str">
        <f>IF(Table2427[[#This Row],[Branch Name]]="","",(_xlfn.XLOOKUP(Table2427[[#This Row],[Branch Name]],'Lookup Values'!G:G,'Lookup Values'!I:I,0)))</f>
        <v/>
      </c>
      <c r="C511" t="str">
        <f>IF(Table2427[[#This Row],[Journal Description (Service Description)]]="","",1)</f>
        <v/>
      </c>
      <c r="D511" s="2" t="str">
        <f>IF(Table2427[[#This Row],[Journal Description (Service Description)]]="","",VLOOKUP(Table2427[[#This Row],[Journal Description (Service Description)]],'Lookup Values'!$A:$B,2,FALSE))</f>
        <v/>
      </c>
    </row>
    <row r="512" spans="1:4" x14ac:dyDescent="0.35">
      <c r="A512" t="str">
        <f>IF(Table2427[[#This Row],[Branch Name]]="","",(_xlfn.XLOOKUP(Table2427[[#This Row],[Branch Name]],'Lookup Values'!G:G,'Lookup Values'!H:H,0)))</f>
        <v/>
      </c>
      <c r="B512" t="str">
        <f>IF(Table2427[[#This Row],[Branch Name]]="","",(_xlfn.XLOOKUP(Table2427[[#This Row],[Branch Name]],'Lookup Values'!G:G,'Lookup Values'!I:I,0)))</f>
        <v/>
      </c>
      <c r="C512" t="str">
        <f>IF(Table2427[[#This Row],[Journal Description (Service Description)]]="","",1)</f>
        <v/>
      </c>
      <c r="D512" s="2" t="str">
        <f>IF(Table2427[[#This Row],[Journal Description (Service Description)]]="","",VLOOKUP(Table2427[[#This Row],[Journal Description (Service Description)]],'Lookup Values'!$A:$B,2,FALSE))</f>
        <v/>
      </c>
    </row>
    <row r="513" spans="1:4" x14ac:dyDescent="0.35">
      <c r="A513" t="str">
        <f>IF(Table2427[[#This Row],[Branch Name]]="","",(_xlfn.XLOOKUP(Table2427[[#This Row],[Branch Name]],'Lookup Values'!G:G,'Lookup Values'!H:H,0)))</f>
        <v/>
      </c>
      <c r="B513" t="str">
        <f>IF(Table2427[[#This Row],[Branch Name]]="","",(_xlfn.XLOOKUP(Table2427[[#This Row],[Branch Name]],'Lookup Values'!G:G,'Lookup Values'!I:I,0)))</f>
        <v/>
      </c>
      <c r="C513" t="str">
        <f>IF(Table2427[[#This Row],[Journal Description (Service Description)]]="","",1)</f>
        <v/>
      </c>
      <c r="D513" s="2" t="str">
        <f>IF(Table2427[[#This Row],[Journal Description (Service Description)]]="","",VLOOKUP(Table2427[[#This Row],[Journal Description (Service Description)]],'Lookup Values'!$A:$B,2,FALSE))</f>
        <v/>
      </c>
    </row>
    <row r="514" spans="1:4" x14ac:dyDescent="0.35">
      <c r="A514" t="str">
        <f>IF(Table2427[[#This Row],[Branch Name]]="","",(_xlfn.XLOOKUP(Table2427[[#This Row],[Branch Name]],'Lookup Values'!G:G,'Lookup Values'!H:H,0)))</f>
        <v/>
      </c>
      <c r="B514" t="str">
        <f>IF(Table2427[[#This Row],[Branch Name]]="","",(_xlfn.XLOOKUP(Table2427[[#This Row],[Branch Name]],'Lookup Values'!G:G,'Lookup Values'!I:I,0)))</f>
        <v/>
      </c>
      <c r="C514" t="str">
        <f>IF(Table2427[[#This Row],[Journal Description (Service Description)]]="","",1)</f>
        <v/>
      </c>
      <c r="D514" s="2" t="str">
        <f>IF(Table2427[[#This Row],[Journal Description (Service Description)]]="","",VLOOKUP(Table2427[[#This Row],[Journal Description (Service Description)]],'Lookup Values'!$A:$B,2,FALSE))</f>
        <v/>
      </c>
    </row>
    <row r="515" spans="1:4" x14ac:dyDescent="0.35">
      <c r="A515" t="str">
        <f>IF(Table2427[[#This Row],[Branch Name]]="","",(_xlfn.XLOOKUP(Table2427[[#This Row],[Branch Name]],'Lookup Values'!G:G,'Lookup Values'!H:H,0)))</f>
        <v/>
      </c>
      <c r="B515" t="str">
        <f>IF(Table2427[[#This Row],[Branch Name]]="","",(_xlfn.XLOOKUP(Table2427[[#This Row],[Branch Name]],'Lookup Values'!G:G,'Lookup Values'!I:I,0)))</f>
        <v/>
      </c>
      <c r="C515" t="str">
        <f>IF(Table2427[[#This Row],[Journal Description (Service Description)]]="","",1)</f>
        <v/>
      </c>
      <c r="D515" s="2" t="str">
        <f>IF(Table2427[[#This Row],[Journal Description (Service Description)]]="","",VLOOKUP(Table2427[[#This Row],[Journal Description (Service Description)]],'Lookup Values'!$A:$B,2,FALSE))</f>
        <v/>
      </c>
    </row>
    <row r="516" spans="1:4" x14ac:dyDescent="0.35">
      <c r="A516" t="str">
        <f>IF(Table2427[[#This Row],[Branch Name]]="","",(_xlfn.XLOOKUP(Table2427[[#This Row],[Branch Name]],'Lookup Values'!G:G,'Lookup Values'!H:H,0)))</f>
        <v/>
      </c>
      <c r="B516" t="str">
        <f>IF(Table2427[[#This Row],[Branch Name]]="","",(_xlfn.XLOOKUP(Table2427[[#This Row],[Branch Name]],'Lookup Values'!G:G,'Lookup Values'!I:I,0)))</f>
        <v/>
      </c>
      <c r="C516" t="str">
        <f>IF(Table2427[[#This Row],[Journal Description (Service Description)]]="","",1)</f>
        <v/>
      </c>
      <c r="D516" s="2" t="str">
        <f>IF(Table2427[[#This Row],[Journal Description (Service Description)]]="","",VLOOKUP(Table2427[[#This Row],[Journal Description (Service Description)]],'Lookup Values'!$A:$B,2,FALSE))</f>
        <v/>
      </c>
    </row>
    <row r="517" spans="1:4" x14ac:dyDescent="0.35">
      <c r="A517" t="str">
        <f>IF(Table2427[[#This Row],[Branch Name]]="","",(_xlfn.XLOOKUP(Table2427[[#This Row],[Branch Name]],'Lookup Values'!G:G,'Lookup Values'!H:H,0)))</f>
        <v/>
      </c>
      <c r="B517" t="str">
        <f>IF(Table2427[[#This Row],[Branch Name]]="","",(_xlfn.XLOOKUP(Table2427[[#This Row],[Branch Name]],'Lookup Values'!G:G,'Lookup Values'!I:I,0)))</f>
        <v/>
      </c>
      <c r="C517" t="str">
        <f>IF(Table2427[[#This Row],[Journal Description (Service Description)]]="","",1)</f>
        <v/>
      </c>
      <c r="D517" s="2" t="str">
        <f>IF(Table2427[[#This Row],[Journal Description (Service Description)]]="","",VLOOKUP(Table2427[[#This Row],[Journal Description (Service Description)]],'Lookup Values'!$A:$B,2,FALSE))</f>
        <v/>
      </c>
    </row>
    <row r="518" spans="1:4" x14ac:dyDescent="0.35">
      <c r="A518" t="str">
        <f>IF(Table2427[[#This Row],[Branch Name]]="","",(_xlfn.XLOOKUP(Table2427[[#This Row],[Branch Name]],'Lookup Values'!G:G,'Lookup Values'!H:H,0)))</f>
        <v/>
      </c>
      <c r="B518" t="str">
        <f>IF(Table2427[[#This Row],[Branch Name]]="","",(_xlfn.XLOOKUP(Table2427[[#This Row],[Branch Name]],'Lookup Values'!G:G,'Lookup Values'!I:I,0)))</f>
        <v/>
      </c>
      <c r="C518" t="str">
        <f>IF(Table2427[[#This Row],[Journal Description (Service Description)]]="","",1)</f>
        <v/>
      </c>
      <c r="D518" s="2" t="str">
        <f>IF(Table2427[[#This Row],[Journal Description (Service Description)]]="","",VLOOKUP(Table2427[[#This Row],[Journal Description (Service Description)]],'Lookup Values'!$A:$B,2,FALSE))</f>
        <v/>
      </c>
    </row>
    <row r="519" spans="1:4" x14ac:dyDescent="0.35">
      <c r="A519" t="str">
        <f>IF(Table2427[[#This Row],[Branch Name]]="","",(_xlfn.XLOOKUP(Table2427[[#This Row],[Branch Name]],'Lookup Values'!G:G,'Lookup Values'!H:H,0)))</f>
        <v/>
      </c>
      <c r="B519" t="str">
        <f>IF(Table2427[[#This Row],[Branch Name]]="","",(_xlfn.XLOOKUP(Table2427[[#This Row],[Branch Name]],'Lookup Values'!G:G,'Lookup Values'!I:I,0)))</f>
        <v/>
      </c>
      <c r="C519" t="str">
        <f>IF(Table2427[[#This Row],[Journal Description (Service Description)]]="","",1)</f>
        <v/>
      </c>
      <c r="D519" s="2" t="str">
        <f>IF(Table2427[[#This Row],[Journal Description (Service Description)]]="","",VLOOKUP(Table2427[[#This Row],[Journal Description (Service Description)]],'Lookup Values'!$A:$B,2,FALSE))</f>
        <v/>
      </c>
    </row>
    <row r="520" spans="1:4" x14ac:dyDescent="0.35">
      <c r="A520" t="str">
        <f>IF(Table2427[[#This Row],[Branch Name]]="","",(_xlfn.XLOOKUP(Table2427[[#This Row],[Branch Name]],'Lookup Values'!G:G,'Lookup Values'!H:H,0)))</f>
        <v/>
      </c>
      <c r="B520" t="str">
        <f>IF(Table2427[[#This Row],[Branch Name]]="","",(_xlfn.XLOOKUP(Table2427[[#This Row],[Branch Name]],'Lookup Values'!G:G,'Lookup Values'!I:I,0)))</f>
        <v/>
      </c>
      <c r="C520" t="str">
        <f>IF(Table2427[[#This Row],[Journal Description (Service Description)]]="","",1)</f>
        <v/>
      </c>
      <c r="D520" s="2" t="str">
        <f>IF(Table2427[[#This Row],[Journal Description (Service Description)]]="","",VLOOKUP(Table2427[[#This Row],[Journal Description (Service Description)]],'Lookup Values'!$A:$B,2,FALSE))</f>
        <v/>
      </c>
    </row>
    <row r="521" spans="1:4" x14ac:dyDescent="0.35">
      <c r="A521" t="str">
        <f>IF(Table2427[[#This Row],[Branch Name]]="","",(_xlfn.XLOOKUP(Table2427[[#This Row],[Branch Name]],'Lookup Values'!G:G,'Lookup Values'!H:H,0)))</f>
        <v/>
      </c>
      <c r="B521" t="str">
        <f>IF(Table2427[[#This Row],[Branch Name]]="","",(_xlfn.XLOOKUP(Table2427[[#This Row],[Branch Name]],'Lookup Values'!G:G,'Lookup Values'!I:I,0)))</f>
        <v/>
      </c>
      <c r="C521" t="str">
        <f>IF(Table2427[[#This Row],[Journal Description (Service Description)]]="","",1)</f>
        <v/>
      </c>
      <c r="D521" s="2" t="str">
        <f>IF(Table2427[[#This Row],[Journal Description (Service Description)]]="","",VLOOKUP(Table2427[[#This Row],[Journal Description (Service Description)]],'Lookup Values'!$A:$B,2,FALSE))</f>
        <v/>
      </c>
    </row>
    <row r="522" spans="1:4" x14ac:dyDescent="0.35">
      <c r="A522" t="str">
        <f>IF(Table2427[[#This Row],[Branch Name]]="","",(_xlfn.XLOOKUP(Table2427[[#This Row],[Branch Name]],'Lookup Values'!G:G,'Lookup Values'!H:H,0)))</f>
        <v/>
      </c>
      <c r="B522" t="str">
        <f>IF(Table2427[[#This Row],[Branch Name]]="","",(_xlfn.XLOOKUP(Table2427[[#This Row],[Branch Name]],'Lookup Values'!G:G,'Lookup Values'!I:I,0)))</f>
        <v/>
      </c>
      <c r="C522" t="str">
        <f>IF(Table2427[[#This Row],[Journal Description (Service Description)]]="","",1)</f>
        <v/>
      </c>
      <c r="D522" s="2" t="str">
        <f>IF(Table2427[[#This Row],[Journal Description (Service Description)]]="","",VLOOKUP(Table2427[[#This Row],[Journal Description (Service Description)]],'Lookup Values'!$A:$B,2,FALSE))</f>
        <v/>
      </c>
    </row>
    <row r="523" spans="1:4" x14ac:dyDescent="0.35">
      <c r="A523" t="str">
        <f>IF(Table2427[[#This Row],[Branch Name]]="","",(_xlfn.XLOOKUP(Table2427[[#This Row],[Branch Name]],'Lookup Values'!G:G,'Lookup Values'!H:H,0)))</f>
        <v/>
      </c>
      <c r="B523" t="str">
        <f>IF(Table2427[[#This Row],[Branch Name]]="","",(_xlfn.XLOOKUP(Table2427[[#This Row],[Branch Name]],'Lookup Values'!G:G,'Lookup Values'!I:I,0)))</f>
        <v/>
      </c>
      <c r="C523" t="str">
        <f>IF(Table2427[[#This Row],[Journal Description (Service Description)]]="","",1)</f>
        <v/>
      </c>
      <c r="D523" s="2" t="str">
        <f>IF(Table2427[[#This Row],[Journal Description (Service Description)]]="","",VLOOKUP(Table2427[[#This Row],[Journal Description (Service Description)]],'Lookup Values'!$A:$B,2,FALSE))</f>
        <v/>
      </c>
    </row>
    <row r="524" spans="1:4" x14ac:dyDescent="0.35">
      <c r="A524" t="str">
        <f>IF(Table2427[[#This Row],[Branch Name]]="","",(_xlfn.XLOOKUP(Table2427[[#This Row],[Branch Name]],'Lookup Values'!G:G,'Lookup Values'!H:H,0)))</f>
        <v/>
      </c>
      <c r="B524" t="str">
        <f>IF(Table2427[[#This Row],[Branch Name]]="","",(_xlfn.XLOOKUP(Table2427[[#This Row],[Branch Name]],'Lookup Values'!G:G,'Lookup Values'!I:I,0)))</f>
        <v/>
      </c>
      <c r="C524" t="str">
        <f>IF(Table2427[[#This Row],[Journal Description (Service Description)]]="","",1)</f>
        <v/>
      </c>
      <c r="D524" s="2" t="str">
        <f>IF(Table2427[[#This Row],[Journal Description (Service Description)]]="","",VLOOKUP(Table2427[[#This Row],[Journal Description (Service Description)]],'Lookup Values'!$A:$B,2,FALSE))</f>
        <v/>
      </c>
    </row>
    <row r="525" spans="1:4" x14ac:dyDescent="0.35">
      <c r="A525" t="str">
        <f>IF(Table2427[[#This Row],[Branch Name]]="","",(_xlfn.XLOOKUP(Table2427[[#This Row],[Branch Name]],'Lookup Values'!G:G,'Lookup Values'!H:H,0)))</f>
        <v/>
      </c>
      <c r="B525" t="str">
        <f>IF(Table2427[[#This Row],[Branch Name]]="","",(_xlfn.XLOOKUP(Table2427[[#This Row],[Branch Name]],'Lookup Values'!G:G,'Lookup Values'!I:I,0)))</f>
        <v/>
      </c>
      <c r="C525" t="str">
        <f>IF(Table2427[[#This Row],[Journal Description (Service Description)]]="","",1)</f>
        <v/>
      </c>
      <c r="D525" s="2" t="str">
        <f>IF(Table2427[[#This Row],[Journal Description (Service Description)]]="","",VLOOKUP(Table2427[[#This Row],[Journal Description (Service Description)]],'Lookup Values'!$A:$B,2,FALSE))</f>
        <v/>
      </c>
    </row>
    <row r="526" spans="1:4" x14ac:dyDescent="0.35">
      <c r="A526" t="str">
        <f>IF(Table2427[[#This Row],[Branch Name]]="","",(_xlfn.XLOOKUP(Table2427[[#This Row],[Branch Name]],'Lookup Values'!G:G,'Lookup Values'!H:H,0)))</f>
        <v/>
      </c>
      <c r="B526" t="str">
        <f>IF(Table2427[[#This Row],[Branch Name]]="","",(_xlfn.XLOOKUP(Table2427[[#This Row],[Branch Name]],'Lookup Values'!G:G,'Lookup Values'!I:I,0)))</f>
        <v/>
      </c>
      <c r="C526" t="str">
        <f>IF(Table2427[[#This Row],[Journal Description (Service Description)]]="","",1)</f>
        <v/>
      </c>
      <c r="D526" s="2" t="str">
        <f>IF(Table2427[[#This Row],[Journal Description (Service Description)]]="","",VLOOKUP(Table2427[[#This Row],[Journal Description (Service Description)]],'Lookup Values'!$A:$B,2,FALSE))</f>
        <v/>
      </c>
    </row>
    <row r="527" spans="1:4" x14ac:dyDescent="0.35">
      <c r="A527" t="str">
        <f>IF(Table2427[[#This Row],[Branch Name]]="","",(_xlfn.XLOOKUP(Table2427[[#This Row],[Branch Name]],'Lookup Values'!G:G,'Lookup Values'!H:H,0)))</f>
        <v/>
      </c>
      <c r="B527" t="str">
        <f>IF(Table2427[[#This Row],[Branch Name]]="","",(_xlfn.XLOOKUP(Table2427[[#This Row],[Branch Name]],'Lookup Values'!G:G,'Lookup Values'!I:I,0)))</f>
        <v/>
      </c>
      <c r="C527" t="str">
        <f>IF(Table2427[[#This Row],[Journal Description (Service Description)]]="","",1)</f>
        <v/>
      </c>
      <c r="D527" s="2" t="str">
        <f>IF(Table2427[[#This Row],[Journal Description (Service Description)]]="","",VLOOKUP(Table2427[[#This Row],[Journal Description (Service Description)]],'Lookup Values'!$A:$B,2,FALSE))</f>
        <v/>
      </c>
    </row>
    <row r="528" spans="1:4" x14ac:dyDescent="0.35">
      <c r="A528" t="str">
        <f>IF(Table2427[[#This Row],[Branch Name]]="","",(_xlfn.XLOOKUP(Table2427[[#This Row],[Branch Name]],'Lookup Values'!G:G,'Lookup Values'!H:H,0)))</f>
        <v/>
      </c>
      <c r="B528" t="str">
        <f>IF(Table2427[[#This Row],[Branch Name]]="","",(_xlfn.XLOOKUP(Table2427[[#This Row],[Branch Name]],'Lookup Values'!G:G,'Lookup Values'!I:I,0)))</f>
        <v/>
      </c>
      <c r="C528" t="str">
        <f>IF(Table2427[[#This Row],[Journal Description (Service Description)]]="","",1)</f>
        <v/>
      </c>
      <c r="D528" s="2" t="str">
        <f>IF(Table2427[[#This Row],[Journal Description (Service Description)]]="","",VLOOKUP(Table2427[[#This Row],[Journal Description (Service Description)]],'Lookup Values'!$A:$B,2,FALSE))</f>
        <v/>
      </c>
    </row>
    <row r="529" spans="1:4" x14ac:dyDescent="0.35">
      <c r="A529" t="str">
        <f>IF(Table2427[[#This Row],[Branch Name]]="","",(_xlfn.XLOOKUP(Table2427[[#This Row],[Branch Name]],'Lookup Values'!G:G,'Lookup Values'!H:H,0)))</f>
        <v/>
      </c>
      <c r="B529" t="str">
        <f>IF(Table2427[[#This Row],[Branch Name]]="","",(_xlfn.XLOOKUP(Table2427[[#This Row],[Branch Name]],'Lookup Values'!G:G,'Lookup Values'!I:I,0)))</f>
        <v/>
      </c>
      <c r="C529" t="str">
        <f>IF(Table2427[[#This Row],[Journal Description (Service Description)]]="","",1)</f>
        <v/>
      </c>
      <c r="D529" s="2" t="str">
        <f>IF(Table2427[[#This Row],[Journal Description (Service Description)]]="","",VLOOKUP(Table2427[[#This Row],[Journal Description (Service Description)]],'Lookup Values'!$A:$B,2,FALSE))</f>
        <v/>
      </c>
    </row>
    <row r="530" spans="1:4" x14ac:dyDescent="0.35">
      <c r="A530" t="str">
        <f>IF(Table2427[[#This Row],[Branch Name]]="","",(_xlfn.XLOOKUP(Table2427[[#This Row],[Branch Name]],'Lookup Values'!G:G,'Lookup Values'!H:H,0)))</f>
        <v/>
      </c>
      <c r="B530" t="str">
        <f>IF(Table2427[[#This Row],[Branch Name]]="","",(_xlfn.XLOOKUP(Table2427[[#This Row],[Branch Name]],'Lookup Values'!G:G,'Lookup Values'!I:I,0)))</f>
        <v/>
      </c>
      <c r="C530" t="str">
        <f>IF(Table2427[[#This Row],[Journal Description (Service Description)]]="","",1)</f>
        <v/>
      </c>
      <c r="D530" s="2" t="str">
        <f>IF(Table2427[[#This Row],[Journal Description (Service Description)]]="","",VLOOKUP(Table2427[[#This Row],[Journal Description (Service Description)]],'Lookup Values'!$A:$B,2,FALSE))</f>
        <v/>
      </c>
    </row>
    <row r="531" spans="1:4" x14ac:dyDescent="0.35">
      <c r="A531" t="str">
        <f>IF(Table2427[[#This Row],[Branch Name]]="","",(_xlfn.XLOOKUP(Table2427[[#This Row],[Branch Name]],'Lookup Values'!G:G,'Lookup Values'!H:H,0)))</f>
        <v/>
      </c>
      <c r="B531" t="str">
        <f>IF(Table2427[[#This Row],[Branch Name]]="","",(_xlfn.XLOOKUP(Table2427[[#This Row],[Branch Name]],'Lookup Values'!G:G,'Lookup Values'!I:I,0)))</f>
        <v/>
      </c>
      <c r="C531" t="str">
        <f>IF(Table2427[[#This Row],[Journal Description (Service Description)]]="","",1)</f>
        <v/>
      </c>
      <c r="D531" s="2" t="str">
        <f>IF(Table2427[[#This Row],[Journal Description (Service Description)]]="","",VLOOKUP(Table2427[[#This Row],[Journal Description (Service Description)]],'Lookup Values'!$A:$B,2,FALSE))</f>
        <v/>
      </c>
    </row>
    <row r="532" spans="1:4" x14ac:dyDescent="0.35">
      <c r="A532" t="str">
        <f>IF(Table2427[[#This Row],[Branch Name]]="","",(_xlfn.XLOOKUP(Table2427[[#This Row],[Branch Name]],'Lookup Values'!G:G,'Lookup Values'!H:H,0)))</f>
        <v/>
      </c>
      <c r="B532" t="str">
        <f>IF(Table2427[[#This Row],[Branch Name]]="","",(_xlfn.XLOOKUP(Table2427[[#This Row],[Branch Name]],'Lookup Values'!G:G,'Lookup Values'!I:I,0)))</f>
        <v/>
      </c>
      <c r="C532" t="str">
        <f>IF(Table2427[[#This Row],[Journal Description (Service Description)]]="","",1)</f>
        <v/>
      </c>
      <c r="D532" s="2" t="str">
        <f>IF(Table2427[[#This Row],[Journal Description (Service Description)]]="","",VLOOKUP(Table2427[[#This Row],[Journal Description (Service Description)]],'Lookup Values'!$A:$B,2,FALSE))</f>
        <v/>
      </c>
    </row>
    <row r="533" spans="1:4" x14ac:dyDescent="0.35">
      <c r="A533" t="str">
        <f>IF(Table2427[[#This Row],[Branch Name]]="","",(_xlfn.XLOOKUP(Table2427[[#This Row],[Branch Name]],'Lookup Values'!G:G,'Lookup Values'!H:H,0)))</f>
        <v/>
      </c>
      <c r="B533" t="str">
        <f>IF(Table2427[[#This Row],[Branch Name]]="","",(_xlfn.XLOOKUP(Table2427[[#This Row],[Branch Name]],'Lookup Values'!G:G,'Lookup Values'!I:I,0)))</f>
        <v/>
      </c>
      <c r="C533" t="str">
        <f>IF(Table2427[[#This Row],[Journal Description (Service Description)]]="","",1)</f>
        <v/>
      </c>
      <c r="D533" s="2" t="str">
        <f>IF(Table2427[[#This Row],[Journal Description (Service Description)]]="","",VLOOKUP(Table2427[[#This Row],[Journal Description (Service Description)]],'Lookup Values'!$A:$B,2,FALSE))</f>
        <v/>
      </c>
    </row>
  </sheetData>
  <protectedRanges>
    <protectedRange sqref="D18:D533" name="Amount"/>
    <protectedRange sqref="D9" name="Amount_1"/>
    <protectedRange sqref="D10:D12" name="Amount_1_1_5_1"/>
    <protectedRange sqref="D13" name="Amount_1_1_6_1"/>
    <protectedRange sqref="D14:D15" name="Amount_1_1_7_1"/>
    <protectedRange sqref="D16" name="Amount_1_1_8_1"/>
    <protectedRange sqref="D17" name="Amount_1_1_9_1"/>
  </protectedRange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3283A66-2E04-461F-9F7F-913022E5698A}">
          <x14:formula1>
            <xm:f>'Lookup Values'!$A$2:$A$7</xm:f>
          </x14:formula1>
          <xm:sqref>F525:F533</xm:sqref>
        </x14:dataValidation>
        <x14:dataValidation type="list" allowBlank="1" showInputMessage="1" showErrorMessage="1" xr:uid="{0BFBFEAA-29B7-4013-8023-64AE2850CE76}">
          <x14:formula1>
            <xm:f>'Lookup Values'!$A$2:$A$9</xm:f>
          </x14:formula1>
          <xm:sqref>F18:F126</xm:sqref>
        </x14:dataValidation>
        <x14:dataValidation type="list" allowBlank="1" showInputMessage="1" showErrorMessage="1" xr:uid="{01AF02F4-B29B-459B-AF8F-724FAD2F7193}">
          <x14:formula1>
            <xm:f>'Lookup Values'!$A$2:$A$39</xm:f>
          </x14:formula1>
          <xm:sqref>F127:F524</xm:sqref>
        </x14:dataValidation>
        <x14:dataValidation type="list" allowBlank="1" showInputMessage="1" showErrorMessage="1" xr:uid="{E9A13463-379B-4665-8593-71D31FDBE4A9}">
          <x14:formula1>
            <xm:f>'Lookup Values'!$G$2:$G$35</xm:f>
          </x14:formula1>
          <xm:sqref>E18:E533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68C62-7438-46E3-BEA4-24DE66F9EB9A}">
  <sheetPr codeName="Sheet12"/>
  <dimension ref="A1:I27"/>
  <sheetViews>
    <sheetView workbookViewId="0">
      <selection activeCell="D14" sqref="D14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9" t="s">
        <v>73</v>
      </c>
      <c r="B4" s="44" t="s">
        <v>200</v>
      </c>
      <c r="C4" s="44" t="s">
        <v>159</v>
      </c>
      <c r="D4" t="s">
        <v>160</v>
      </c>
      <c r="E4">
        <v>1</v>
      </c>
      <c r="F4" s="59">
        <v>71.75</v>
      </c>
      <c r="G4" s="34" t="s">
        <v>56</v>
      </c>
      <c r="H4" s="34" t="s">
        <v>33</v>
      </c>
      <c r="I4" s="35" t="s">
        <v>129</v>
      </c>
    </row>
    <row r="5" spans="1:9" x14ac:dyDescent="0.35">
      <c r="A5" s="49" t="s">
        <v>73</v>
      </c>
      <c r="B5" s="44" t="s">
        <v>200</v>
      </c>
      <c r="C5" s="44" t="s">
        <v>159</v>
      </c>
      <c r="D5" t="s">
        <v>160</v>
      </c>
      <c r="E5">
        <v>1</v>
      </c>
      <c r="F5" s="59">
        <v>71.75</v>
      </c>
      <c r="G5" s="34" t="s">
        <v>56</v>
      </c>
      <c r="H5" s="34" t="s">
        <v>33</v>
      </c>
      <c r="I5" s="35" t="s">
        <v>128</v>
      </c>
    </row>
    <row r="6" spans="1:9" x14ac:dyDescent="0.35">
      <c r="A6" s="49" t="s">
        <v>73</v>
      </c>
      <c r="B6" s="44" t="s">
        <v>201</v>
      </c>
      <c r="C6" s="44" t="s">
        <v>159</v>
      </c>
      <c r="D6" t="s">
        <v>160</v>
      </c>
      <c r="E6">
        <v>1</v>
      </c>
      <c r="F6" s="60">
        <v>40</v>
      </c>
      <c r="G6" s="34" t="s">
        <v>56</v>
      </c>
      <c r="H6" s="34" t="s">
        <v>34</v>
      </c>
      <c r="I6" s="35" t="s">
        <v>262</v>
      </c>
    </row>
    <row r="7" spans="1:9" x14ac:dyDescent="0.35">
      <c r="A7" s="49" t="s">
        <v>73</v>
      </c>
      <c r="B7" s="44" t="s">
        <v>201</v>
      </c>
      <c r="C7" s="44" t="s">
        <v>159</v>
      </c>
      <c r="D7" t="s">
        <v>160</v>
      </c>
      <c r="E7">
        <v>1</v>
      </c>
      <c r="F7" s="60">
        <v>71.75</v>
      </c>
      <c r="G7" s="34" t="s">
        <v>56</v>
      </c>
      <c r="H7" s="34" t="s">
        <v>33</v>
      </c>
      <c r="I7" s="35" t="s">
        <v>264</v>
      </c>
    </row>
    <row r="8" spans="1:9" x14ac:dyDescent="0.35">
      <c r="A8" s="49" t="s">
        <v>73</v>
      </c>
      <c r="B8" s="44" t="s">
        <v>201</v>
      </c>
      <c r="C8" s="44" t="s">
        <v>159</v>
      </c>
      <c r="D8" t="s">
        <v>160</v>
      </c>
      <c r="E8">
        <v>1</v>
      </c>
      <c r="F8" s="60">
        <v>71.75</v>
      </c>
      <c r="G8" s="34" t="s">
        <v>56</v>
      </c>
      <c r="H8" s="34" t="s">
        <v>33</v>
      </c>
      <c r="I8" s="35" t="s">
        <v>265</v>
      </c>
    </row>
    <row r="9" spans="1:9" x14ac:dyDescent="0.35">
      <c r="A9" s="49" t="s">
        <v>73</v>
      </c>
      <c r="B9" s="44" t="s">
        <v>201</v>
      </c>
      <c r="C9" s="44" t="s">
        <v>159</v>
      </c>
      <c r="D9" t="s">
        <v>160</v>
      </c>
      <c r="E9">
        <v>1</v>
      </c>
      <c r="F9" s="60">
        <v>71.75</v>
      </c>
      <c r="G9" s="34" t="s">
        <v>56</v>
      </c>
      <c r="H9" s="34" t="s">
        <v>33</v>
      </c>
      <c r="I9" s="35" t="s">
        <v>266</v>
      </c>
    </row>
    <row r="10" spans="1:9" x14ac:dyDescent="0.35">
      <c r="A10" s="49" t="s">
        <v>73</v>
      </c>
      <c r="B10" s="44" t="s">
        <v>199</v>
      </c>
      <c r="C10" s="44" t="s">
        <v>159</v>
      </c>
      <c r="D10" t="s">
        <v>160</v>
      </c>
      <c r="E10">
        <v>1</v>
      </c>
      <c r="F10" s="60">
        <v>71.75</v>
      </c>
      <c r="G10" s="34" t="s">
        <v>56</v>
      </c>
      <c r="H10" s="34" t="s">
        <v>33</v>
      </c>
      <c r="I10" s="35" t="s">
        <v>267</v>
      </c>
    </row>
    <row r="11" spans="1:9" x14ac:dyDescent="0.35">
      <c r="A11" s="49" t="s">
        <v>73</v>
      </c>
      <c r="B11" s="44" t="s">
        <v>200</v>
      </c>
      <c r="C11" s="44" t="s">
        <v>159</v>
      </c>
      <c r="D11" t="s">
        <v>160</v>
      </c>
      <c r="E11">
        <v>1</v>
      </c>
      <c r="F11" s="60">
        <v>71.75</v>
      </c>
      <c r="G11" s="34" t="s">
        <v>56</v>
      </c>
      <c r="H11" s="34" t="s">
        <v>33</v>
      </c>
      <c r="I11" s="35" t="s">
        <v>269</v>
      </c>
    </row>
    <row r="12" spans="1:9" x14ac:dyDescent="0.35">
      <c r="A12" s="49" t="s">
        <v>73</v>
      </c>
      <c r="B12" s="44" t="s">
        <v>201</v>
      </c>
      <c r="C12" s="44" t="s">
        <v>159</v>
      </c>
      <c r="D12" t="s">
        <v>160</v>
      </c>
      <c r="E12">
        <v>1</v>
      </c>
      <c r="F12" s="60">
        <v>71.75</v>
      </c>
      <c r="G12" s="34" t="s">
        <v>56</v>
      </c>
      <c r="H12" s="34" t="s">
        <v>33</v>
      </c>
      <c r="I12" s="35" t="s">
        <v>274</v>
      </c>
    </row>
    <row r="13" spans="1:9" x14ac:dyDescent="0.35">
      <c r="A13" s="49" t="s">
        <v>73</v>
      </c>
      <c r="B13" s="61" t="s">
        <v>201</v>
      </c>
      <c r="C13" s="44" t="s">
        <v>159</v>
      </c>
      <c r="D13" t="s">
        <v>160</v>
      </c>
      <c r="E13">
        <v>1</v>
      </c>
      <c r="F13" s="62">
        <v>14</v>
      </c>
      <c r="G13" s="34" t="s">
        <v>56</v>
      </c>
      <c r="H13" s="63" t="s">
        <v>35</v>
      </c>
      <c r="I13" s="64" t="s">
        <v>281</v>
      </c>
    </row>
    <row r="14" spans="1:9" x14ac:dyDescent="0.35">
      <c r="A14" s="49"/>
      <c r="B14" s="50"/>
      <c r="C14" s="44"/>
      <c r="D14" s="44"/>
      <c r="E14" s="44"/>
      <c r="F14" s="60"/>
      <c r="G14" s="34"/>
      <c r="H14" s="37"/>
      <c r="I14" s="37"/>
    </row>
    <row r="15" spans="1:9" x14ac:dyDescent="0.35">
      <c r="A15" s="49"/>
      <c r="B15" s="51"/>
      <c r="C15" s="44"/>
      <c r="D15" s="44"/>
      <c r="E15" s="44"/>
      <c r="F15" s="60"/>
      <c r="G15" s="34"/>
      <c r="H15" s="39"/>
      <c r="I15" s="39"/>
    </row>
    <row r="16" spans="1:9" x14ac:dyDescent="0.35">
      <c r="A16" s="49"/>
      <c r="B16" s="50"/>
      <c r="C16" s="44"/>
      <c r="D16" s="44"/>
      <c r="E16" s="44"/>
      <c r="F16" s="60"/>
      <c r="G16" s="34"/>
      <c r="H16" s="37"/>
      <c r="I16" s="37"/>
    </row>
    <row r="17" spans="1:9" x14ac:dyDescent="0.35">
      <c r="A17" s="49"/>
      <c r="B17" s="50"/>
      <c r="C17" s="44"/>
      <c r="D17" s="44"/>
      <c r="E17" s="44"/>
      <c r="F17" s="60"/>
      <c r="G17" s="34"/>
      <c r="H17" s="37"/>
      <c r="I17" s="37"/>
    </row>
    <row r="18" spans="1:9" x14ac:dyDescent="0.35">
      <c r="A18" s="49"/>
      <c r="B18" s="50"/>
      <c r="C18" s="44"/>
      <c r="D18" s="44"/>
      <c r="E18" s="44"/>
      <c r="F18" s="60"/>
      <c r="G18" s="34"/>
      <c r="H18" s="27"/>
      <c r="I18" s="27"/>
    </row>
    <row r="19" spans="1:9" x14ac:dyDescent="0.35">
      <c r="A19" s="49"/>
      <c r="B19" s="50"/>
      <c r="C19" s="44"/>
      <c r="D19" s="44"/>
      <c r="E19" s="44"/>
      <c r="F19" s="60"/>
      <c r="G19" s="34"/>
      <c r="H19" s="37"/>
      <c r="I19" s="37"/>
    </row>
    <row r="20" spans="1:9" x14ac:dyDescent="0.35">
      <c r="A20" s="49"/>
      <c r="B20" s="50"/>
      <c r="C20" s="44"/>
      <c r="D20" s="44"/>
      <c r="E20" s="44"/>
      <c r="F20" s="60"/>
      <c r="G20" s="34"/>
      <c r="H20" s="37"/>
      <c r="I20" s="37"/>
    </row>
    <row r="21" spans="1:9" x14ac:dyDescent="0.35">
      <c r="A21" s="49"/>
      <c r="B21" s="50"/>
      <c r="C21" s="44"/>
      <c r="D21" s="44"/>
      <c r="E21" s="44"/>
      <c r="F21" s="60"/>
      <c r="G21" s="34"/>
      <c r="H21" s="37"/>
      <c r="I21" s="37"/>
    </row>
    <row r="22" spans="1:9" x14ac:dyDescent="0.35">
      <c r="A22" s="49"/>
      <c r="B22" s="50"/>
      <c r="C22" s="44"/>
      <c r="D22" s="44"/>
      <c r="E22" s="44"/>
      <c r="F22" s="60"/>
      <c r="G22" s="34"/>
      <c r="H22" s="37"/>
      <c r="I22" s="37"/>
    </row>
    <row r="23" spans="1:9" x14ac:dyDescent="0.35">
      <c r="A23" s="49"/>
      <c r="B23" s="50"/>
      <c r="C23" s="44"/>
      <c r="D23" s="44"/>
      <c r="E23" s="44"/>
      <c r="F23" s="60"/>
      <c r="G23" s="34"/>
      <c r="H23" s="37"/>
      <c r="I23" s="37"/>
    </row>
    <row r="24" spans="1:9" x14ac:dyDescent="0.35">
      <c r="A24" s="49"/>
      <c r="B24" s="50"/>
      <c r="C24" s="44"/>
      <c r="D24" s="44"/>
      <c r="E24" s="44"/>
      <c r="F24" s="60"/>
      <c r="G24" s="34"/>
      <c r="H24" s="27"/>
      <c r="I24" s="27"/>
    </row>
    <row r="25" spans="1:9" x14ac:dyDescent="0.35">
      <c r="A25" s="49"/>
      <c r="B25" s="50"/>
      <c r="C25" s="44"/>
      <c r="D25" s="44"/>
      <c r="E25" s="44"/>
      <c r="F25" s="60"/>
      <c r="G25" s="34"/>
      <c r="H25" s="27"/>
      <c r="I25" s="27"/>
    </row>
    <row r="26" spans="1:9" x14ac:dyDescent="0.35">
      <c r="A26" s="49"/>
      <c r="B26" s="44"/>
      <c r="C26" s="44"/>
      <c r="D26" s="44"/>
      <c r="E26" s="44"/>
      <c r="F26" s="60"/>
      <c r="G26" s="34"/>
      <c r="H26" s="27"/>
      <c r="I26" s="27"/>
    </row>
    <row r="27" spans="1:9" x14ac:dyDescent="0.35">
      <c r="A27" s="49"/>
      <c r="B27" s="44"/>
      <c r="C27" s="44"/>
      <c r="D27" s="44"/>
      <c r="E27" s="44"/>
      <c r="F27" s="60"/>
      <c r="G27" s="34"/>
      <c r="H27" s="27"/>
      <c r="I27" s="27"/>
    </row>
  </sheetData>
  <protectedRanges>
    <protectedRange sqref="F14:F27" name="Amount_8"/>
    <protectedRange sqref="F4:F5" name="Amount"/>
    <protectedRange sqref="F6" name="Amount_1"/>
    <protectedRange sqref="F7:F10" name="Amount_2"/>
    <protectedRange sqref="F11" name="Amount_3"/>
    <protectedRange sqref="F12" name="Amount_4"/>
    <protectedRange sqref="F13" name="Amount_5"/>
  </protectedRange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76D16-45F9-4E5B-82D4-F603217A151A}">
  <sheetPr codeName="Sheet13"/>
  <dimension ref="A1:G533"/>
  <sheetViews>
    <sheetView topLeftCell="A7" workbookViewId="0">
      <selection activeCell="B20" sqref="B20"/>
    </sheetView>
  </sheetViews>
  <sheetFormatPr defaultColWidth="9.1796875" defaultRowHeight="14.5" x14ac:dyDescent="0.35"/>
  <cols>
    <col min="1" max="1" width="14.1796875" customWidth="1"/>
    <col min="2" max="2" width="18.54296875" bestFit="1" customWidth="1"/>
    <col min="3" max="3" width="16.7265625" customWidth="1"/>
    <col min="4" max="4" width="19.54296875" style="65" customWidth="1"/>
    <col min="5" max="5" width="46.26953125" customWidth="1"/>
    <col min="6" max="6" width="47.1796875" bestFit="1" customWidth="1"/>
    <col min="7" max="7" width="3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x14ac:dyDescent="0.35">
      <c r="A3" s="6" t="s">
        <v>28</v>
      </c>
      <c r="B3" s="7" t="s">
        <v>324</v>
      </c>
    </row>
    <row r="4" spans="1:7" x14ac:dyDescent="0.35">
      <c r="A4" s="8" t="s">
        <v>29</v>
      </c>
      <c r="B4" s="9">
        <v>44532</v>
      </c>
      <c r="C4" s="5"/>
      <c r="E4" s="44"/>
    </row>
    <row r="5" spans="1:7" ht="15" thickBot="1" x14ac:dyDescent="0.4">
      <c r="A5" s="10" t="s">
        <v>30</v>
      </c>
      <c r="B5" s="11" t="s">
        <v>213</v>
      </c>
      <c r="C5" s="15"/>
    </row>
    <row r="8" spans="1:7" x14ac:dyDescent="0.35">
      <c r="A8" s="1" t="s">
        <v>0</v>
      </c>
      <c r="B8" s="1" t="s">
        <v>1</v>
      </c>
      <c r="C8" s="1" t="s">
        <v>71</v>
      </c>
      <c r="D8" s="66" t="s">
        <v>2</v>
      </c>
      <c r="E8" s="1" t="s">
        <v>4</v>
      </c>
      <c r="F8" s="1" t="s">
        <v>81</v>
      </c>
      <c r="G8" s="1" t="s">
        <v>77</v>
      </c>
    </row>
    <row r="9" spans="1:7" x14ac:dyDescent="0.35">
      <c r="A9" s="1" t="s">
        <v>6</v>
      </c>
      <c r="B9" s="12" t="s">
        <v>7</v>
      </c>
      <c r="C9" s="12">
        <f>IF(Table2428[[#This Row],[Journal Description (Service Description)]]="","",1)</f>
        <v>1</v>
      </c>
      <c r="D9" s="66">
        <f>-SUM(D10:D136)</f>
        <v>-3567.5999999999995</v>
      </c>
      <c r="E9" s="1" t="s">
        <v>12</v>
      </c>
      <c r="F9" s="1" t="s">
        <v>13</v>
      </c>
      <c r="G9" s="13">
        <v>44470</v>
      </c>
    </row>
    <row r="10" spans="1:7" x14ac:dyDescent="0.35">
      <c r="A10" s="1" t="s">
        <v>23</v>
      </c>
      <c r="B10" t="s">
        <v>244</v>
      </c>
      <c r="C10" s="12">
        <f>IF(Table2428[[#This Row],[Journal Description (Service Description)]]="","",1)</f>
        <v>1</v>
      </c>
      <c r="D10" s="65">
        <v>25</v>
      </c>
      <c r="E10" t="s">
        <v>64</v>
      </c>
      <c r="F10" t="s">
        <v>36</v>
      </c>
      <c r="G10" t="s">
        <v>241</v>
      </c>
    </row>
    <row r="11" spans="1:7" x14ac:dyDescent="0.35">
      <c r="A11" s="1" t="s">
        <v>23</v>
      </c>
      <c r="B11" t="s">
        <v>244</v>
      </c>
      <c r="C11" s="12">
        <f>IF(Table2428[[#This Row],[Journal Description (Service Description)]]="","",1)</f>
        <v>1</v>
      </c>
      <c r="D11" s="65">
        <v>40</v>
      </c>
      <c r="E11" s="27" t="s">
        <v>64</v>
      </c>
      <c r="F11" s="27" t="s">
        <v>34</v>
      </c>
      <c r="G11" s="27" t="s">
        <v>241</v>
      </c>
    </row>
    <row r="12" spans="1:7" x14ac:dyDescent="0.35">
      <c r="A12" s="1" t="s">
        <v>23</v>
      </c>
      <c r="B12" t="s">
        <v>244</v>
      </c>
      <c r="C12" s="12">
        <f>IF(Table2428[[#This Row],[Journal Description (Service Description)]]="","",1)</f>
        <v>1</v>
      </c>
      <c r="D12" s="65">
        <v>14</v>
      </c>
      <c r="E12" s="27" t="s">
        <v>64</v>
      </c>
      <c r="F12" s="27" t="s">
        <v>35</v>
      </c>
      <c r="G12" s="27" t="s">
        <v>241</v>
      </c>
    </row>
    <row r="13" spans="1:7" x14ac:dyDescent="0.35">
      <c r="A13" s="1" t="s">
        <v>23</v>
      </c>
      <c r="B13" t="s">
        <v>244</v>
      </c>
      <c r="C13" s="12">
        <f>IF(Table2428[[#This Row],[Journal Description (Service Description)]]="","",1)</f>
        <v>1</v>
      </c>
      <c r="D13" s="65">
        <v>40</v>
      </c>
      <c r="E13" s="27" t="s">
        <v>64</v>
      </c>
      <c r="F13" s="27" t="s">
        <v>34</v>
      </c>
      <c r="G13" s="27" t="s">
        <v>242</v>
      </c>
    </row>
    <row r="14" spans="1:7" x14ac:dyDescent="0.35">
      <c r="A14" s="1" t="s">
        <v>6</v>
      </c>
      <c r="B14" t="s">
        <v>86</v>
      </c>
      <c r="C14" s="12">
        <f>IF(Table2428[[#This Row],[Journal Description (Service Description)]]="","",1)</f>
        <v>1</v>
      </c>
      <c r="D14" s="65">
        <v>14</v>
      </c>
      <c r="E14" s="27" t="s">
        <v>47</v>
      </c>
      <c r="F14" s="27" t="s">
        <v>35</v>
      </c>
      <c r="G14" s="27" t="s">
        <v>243</v>
      </c>
    </row>
    <row r="15" spans="1:7" x14ac:dyDescent="0.35">
      <c r="A15" s="1" t="s">
        <v>6</v>
      </c>
      <c r="B15" s="52" t="s">
        <v>219</v>
      </c>
      <c r="C15" s="12">
        <f>IF(Table2428[[#This Row],[Journal Description (Service Description)]]="","",1)</f>
        <v>1</v>
      </c>
      <c r="D15" s="65">
        <v>71.75</v>
      </c>
      <c r="E15" t="s">
        <v>50</v>
      </c>
      <c r="F15" s="27" t="s">
        <v>33</v>
      </c>
      <c r="G15" s="27" t="s">
        <v>250</v>
      </c>
    </row>
    <row r="16" spans="1:7" x14ac:dyDescent="0.35">
      <c r="A16" s="1" t="s">
        <v>6</v>
      </c>
      <c r="B16" t="s">
        <v>86</v>
      </c>
      <c r="C16" s="12">
        <f>IF(Table2428[[#This Row],[Journal Description (Service Description)]]="","",1)</f>
        <v>1</v>
      </c>
      <c r="D16" s="65">
        <v>71.75</v>
      </c>
      <c r="E16" s="27" t="s">
        <v>47</v>
      </c>
      <c r="F16" s="27" t="s">
        <v>33</v>
      </c>
      <c r="G16" s="27" t="s">
        <v>227</v>
      </c>
    </row>
    <row r="17" spans="1:7" x14ac:dyDescent="0.35">
      <c r="A17" s="1" t="s">
        <v>6</v>
      </c>
      <c r="B17" t="s">
        <v>86</v>
      </c>
      <c r="C17" s="12">
        <f>IF(Table2428[[#This Row],[Journal Description (Service Description)]]="","",1)</f>
        <v>1</v>
      </c>
      <c r="D17" s="65">
        <v>71.75</v>
      </c>
      <c r="E17" s="27" t="s">
        <v>47</v>
      </c>
      <c r="F17" s="27" t="s">
        <v>33</v>
      </c>
      <c r="G17" s="27" t="s">
        <v>251</v>
      </c>
    </row>
    <row r="18" spans="1:7" hidden="1" x14ac:dyDescent="0.35">
      <c r="A18" s="1" t="s">
        <v>6</v>
      </c>
      <c r="B18" t="s">
        <v>287</v>
      </c>
      <c r="C18" s="27">
        <v>1</v>
      </c>
      <c r="D18" s="65">
        <v>71.75</v>
      </c>
      <c r="E18" s="27" t="s">
        <v>56</v>
      </c>
      <c r="F18" s="27" t="s">
        <v>33</v>
      </c>
      <c r="G18" s="27" t="s">
        <v>129</v>
      </c>
    </row>
    <row r="19" spans="1:7" hidden="1" x14ac:dyDescent="0.35">
      <c r="A19" s="1" t="s">
        <v>6</v>
      </c>
      <c r="B19" t="s">
        <v>287</v>
      </c>
      <c r="C19" s="27">
        <v>1</v>
      </c>
      <c r="D19" s="65">
        <v>71.75</v>
      </c>
      <c r="E19" s="27" t="s">
        <v>56</v>
      </c>
      <c r="F19" s="27" t="s">
        <v>33</v>
      </c>
      <c r="G19" s="27" t="s">
        <v>128</v>
      </c>
    </row>
    <row r="20" spans="1:7" x14ac:dyDescent="0.35">
      <c r="A20" s="1" t="s">
        <v>6</v>
      </c>
      <c r="B20" t="s">
        <v>72</v>
      </c>
      <c r="C20" s="12">
        <f>IF(Table2428[[#This Row],[Journal Description (Service Description)]]="","",1)</f>
        <v>1</v>
      </c>
      <c r="D20" s="65">
        <v>71.75</v>
      </c>
      <c r="E20" s="27" t="s">
        <v>82</v>
      </c>
      <c r="F20" s="27" t="s">
        <v>33</v>
      </c>
      <c r="G20" s="27" t="s">
        <v>252</v>
      </c>
    </row>
    <row r="21" spans="1:7" x14ac:dyDescent="0.35">
      <c r="A21" s="1" t="s">
        <v>6</v>
      </c>
      <c r="B21" s="52" t="s">
        <v>219</v>
      </c>
      <c r="C21" s="12">
        <f>IF(Table2428[[#This Row],[Journal Description (Service Description)]]="","",1)</f>
        <v>1</v>
      </c>
      <c r="D21" s="65">
        <v>71.75</v>
      </c>
      <c r="E21" s="27" t="s">
        <v>50</v>
      </c>
      <c r="F21" s="27" t="s">
        <v>33</v>
      </c>
      <c r="G21" s="27" t="s">
        <v>253</v>
      </c>
    </row>
    <row r="22" spans="1:7" x14ac:dyDescent="0.35">
      <c r="A22" s="1" t="s">
        <v>23</v>
      </c>
      <c r="B22" t="s">
        <v>211</v>
      </c>
      <c r="C22" s="12">
        <f>IF(Table2428[[#This Row],[Journal Description (Service Description)]]="","",1)</f>
        <v>1</v>
      </c>
      <c r="D22" s="65">
        <v>71.75</v>
      </c>
      <c r="E22" s="27" t="s">
        <v>62</v>
      </c>
      <c r="F22" s="27" t="s">
        <v>33</v>
      </c>
      <c r="G22" s="27" t="s">
        <v>254</v>
      </c>
    </row>
    <row r="23" spans="1:7" x14ac:dyDescent="0.35">
      <c r="A23" s="1" t="s">
        <v>23</v>
      </c>
      <c r="B23" t="s">
        <v>206</v>
      </c>
      <c r="C23" s="12">
        <f>IF(Table2428[[#This Row],[Journal Description (Service Description)]]="","",1)</f>
        <v>1</v>
      </c>
      <c r="D23" s="67">
        <v>132</v>
      </c>
      <c r="E23" s="27" t="s">
        <v>63</v>
      </c>
      <c r="F23" s="27" t="s">
        <v>90</v>
      </c>
      <c r="G23" s="27" t="s">
        <v>255</v>
      </c>
    </row>
    <row r="24" spans="1:7" x14ac:dyDescent="0.35">
      <c r="A24" s="1" t="s">
        <v>6</v>
      </c>
      <c r="B24" t="str">
        <f>IF(Table2428[[#This Row],[Branch Name]]="","",(_xlfn.XLOOKUP(Table2428[[#This Row],[Branch Name]],'[4]Lookup Values'!G:G,'[4]Lookup Values'!I:I,0)))</f>
        <v>1-14501-7B213</v>
      </c>
      <c r="C24" s="12">
        <f>IF(Table2428[[#This Row],[Journal Description (Service Description)]]="","",1)</f>
        <v>1</v>
      </c>
      <c r="D24" s="67">
        <v>132</v>
      </c>
      <c r="E24" s="27" t="s">
        <v>47</v>
      </c>
      <c r="F24" s="27" t="s">
        <v>90</v>
      </c>
      <c r="G24" s="27" t="s">
        <v>256</v>
      </c>
    </row>
    <row r="25" spans="1:7" x14ac:dyDescent="0.35">
      <c r="A25" s="1" t="s">
        <v>6</v>
      </c>
      <c r="B25" t="str">
        <f>IF(Table2428[[#This Row],[Branch Name]]="","",(_xlfn.XLOOKUP(Table2428[[#This Row],[Branch Name]],'[4]Lookup Values'!G:G,'[4]Lookup Values'!I:I,0)))</f>
        <v>1-14501-7B213</v>
      </c>
      <c r="C25" s="12">
        <f>IF(Table2428[[#This Row],[Journal Description (Service Description)]]="","",1)</f>
        <v>1</v>
      </c>
      <c r="D25" s="67">
        <v>166.1</v>
      </c>
      <c r="E25" s="27" t="s">
        <v>47</v>
      </c>
      <c r="F25" s="27" t="s">
        <v>91</v>
      </c>
      <c r="G25" s="27" t="s">
        <v>257</v>
      </c>
    </row>
    <row r="26" spans="1:7" x14ac:dyDescent="0.35">
      <c r="A26" s="1" t="s">
        <v>6</v>
      </c>
      <c r="B26" t="str">
        <f>IF(Table2428[[#This Row],[Branch Name]]="","",(_xlfn.XLOOKUP(Table2428[[#This Row],[Branch Name]],'[4]Lookup Values'!G:G,'[4]Lookup Values'!I:I,0)))</f>
        <v>1-14501-7B213</v>
      </c>
      <c r="C26" s="12">
        <f>IF(Table2428[[#This Row],[Journal Description (Service Description)]]="","",1)</f>
        <v>1</v>
      </c>
      <c r="D26" s="67">
        <v>40</v>
      </c>
      <c r="E26" s="27" t="s">
        <v>47</v>
      </c>
      <c r="F26" s="27" t="s">
        <v>34</v>
      </c>
      <c r="G26" s="27" t="s">
        <v>258</v>
      </c>
    </row>
    <row r="27" spans="1:7" x14ac:dyDescent="0.35">
      <c r="A27" s="1" t="s">
        <v>6</v>
      </c>
      <c r="B27" t="s">
        <v>219</v>
      </c>
      <c r="C27" s="12">
        <f>IF(Table2428[[#This Row],[Journal Description (Service Description)]]="","",1)</f>
        <v>1</v>
      </c>
      <c r="D27" s="67">
        <v>132</v>
      </c>
      <c r="E27" s="27" t="s">
        <v>50</v>
      </c>
      <c r="F27" s="27" t="s">
        <v>90</v>
      </c>
      <c r="G27" s="27" t="s">
        <v>248</v>
      </c>
    </row>
    <row r="28" spans="1:7" x14ac:dyDescent="0.35">
      <c r="A28" s="1" t="s">
        <v>6</v>
      </c>
      <c r="B28" t="s">
        <v>72</v>
      </c>
      <c r="C28" s="12">
        <f>IF(Table2428[[#This Row],[Journal Description (Service Description)]]="","",1)</f>
        <v>1</v>
      </c>
      <c r="D28" s="67">
        <v>40</v>
      </c>
      <c r="E28" s="27" t="s">
        <v>82</v>
      </c>
      <c r="F28" s="27" t="s">
        <v>34</v>
      </c>
      <c r="G28" s="27" t="s">
        <v>245</v>
      </c>
    </row>
    <row r="29" spans="1:7" x14ac:dyDescent="0.35">
      <c r="A29" s="1" t="s">
        <v>23</v>
      </c>
      <c r="B29" t="str">
        <f>IF(Table2428[[#This Row],[Branch Name]]="","",(_xlfn.XLOOKUP(Table2428[[#This Row],[Branch Name]],'[4]Lookup Values'!G:G,'[4]Lookup Values'!I:I,0)))</f>
        <v>100009-200-7B213</v>
      </c>
      <c r="C29" s="12">
        <f>IF(Table2428[[#This Row],[Journal Description (Service Description)]]="","",1)</f>
        <v>1</v>
      </c>
      <c r="D29" s="67">
        <v>14</v>
      </c>
      <c r="E29" s="27" t="s">
        <v>62</v>
      </c>
      <c r="F29" s="27" t="s">
        <v>35</v>
      </c>
      <c r="G29" s="27" t="s">
        <v>246</v>
      </c>
    </row>
    <row r="30" spans="1:7" x14ac:dyDescent="0.35">
      <c r="A30" s="1" t="s">
        <v>6</v>
      </c>
      <c r="B30" t="str">
        <f>IF(Table2428[[#This Row],[Branch Name]]="","",(_xlfn.XLOOKUP(Table2428[[#This Row],[Branch Name]],'[4]Lookup Values'!G:G,'[4]Lookup Values'!I:I,0)))</f>
        <v>1-14501-7B213</v>
      </c>
      <c r="C30" s="12">
        <f>IF(Table2428[[#This Row],[Journal Description (Service Description)]]="","",1)</f>
        <v>1</v>
      </c>
      <c r="D30" s="67">
        <v>132</v>
      </c>
      <c r="E30" s="27" t="s">
        <v>47</v>
      </c>
      <c r="F30" s="27" t="s">
        <v>90</v>
      </c>
      <c r="G30" s="27" t="s">
        <v>247</v>
      </c>
    </row>
    <row r="31" spans="1:7" x14ac:dyDescent="0.35">
      <c r="A31" s="1" t="s">
        <v>6</v>
      </c>
      <c r="B31" t="str">
        <f>IF(Table2428[[#This Row],[Branch Name]]="","",(_xlfn.XLOOKUP(Table2428[[#This Row],[Branch Name]],'[4]Lookup Values'!G:G,'[4]Lookup Values'!I:I,0)))</f>
        <v>1-14501-7B213</v>
      </c>
      <c r="C31" s="12">
        <f>IF(Table2428[[#This Row],[Journal Description (Service Description)]]="","",1)</f>
        <v>1</v>
      </c>
      <c r="D31" s="67">
        <v>166.1</v>
      </c>
      <c r="E31" s="27" t="s">
        <v>47</v>
      </c>
      <c r="F31" s="27" t="s">
        <v>91</v>
      </c>
      <c r="G31" s="27" t="s">
        <v>249</v>
      </c>
    </row>
    <row r="32" spans="1:7" x14ac:dyDescent="0.35">
      <c r="A32" s="1" t="s">
        <v>6</v>
      </c>
      <c r="B32" t="str">
        <f>IF(Table2428[[#This Row],[Branch Name]]="","",(_xlfn.XLOOKUP(Table2428[[#This Row],[Branch Name]],'[4]Lookup Values'!G:G,'[4]Lookup Values'!I:I,0)))</f>
        <v>1-14501-7B213</v>
      </c>
      <c r="C32" s="12">
        <f>IF(Table2428[[#This Row],[Journal Description (Service Description)]]="","",1)</f>
        <v>1</v>
      </c>
      <c r="D32" s="67">
        <v>14</v>
      </c>
      <c r="E32" s="27" t="s">
        <v>47</v>
      </c>
      <c r="F32" s="27" t="s">
        <v>35</v>
      </c>
      <c r="G32" s="27" t="s">
        <v>259</v>
      </c>
    </row>
    <row r="33" spans="1:7" x14ac:dyDescent="0.35">
      <c r="A33" s="1" t="s">
        <v>23</v>
      </c>
      <c r="B33" t="str">
        <f>IF(Table2428[[#This Row],[Branch Name]]="","",(_xlfn.XLOOKUP(Table2428[[#This Row],[Branch Name]],'[4]Lookup Values'!G:G,'[4]Lookup Values'!I:I,0)))</f>
        <v>100009-200-7B213</v>
      </c>
      <c r="C33" s="12">
        <f>IF(Table2428[[#This Row],[Journal Description (Service Description)]]="","",1)</f>
        <v>1</v>
      </c>
      <c r="D33" s="67">
        <v>25</v>
      </c>
      <c r="E33" s="27" t="s">
        <v>62</v>
      </c>
      <c r="F33" s="27" t="s">
        <v>36</v>
      </c>
      <c r="G33" s="27" t="s">
        <v>260</v>
      </c>
    </row>
    <row r="34" spans="1:7" x14ac:dyDescent="0.35">
      <c r="A34" s="1" t="s">
        <v>6</v>
      </c>
      <c r="B34" t="str">
        <f>IF(Table2428[[#This Row],[Branch Name]]="","",(_xlfn.XLOOKUP(Table2428[[#This Row],[Branch Name]],'[4]Lookup Values'!G:G,'[4]Lookup Values'!I:I,0)))</f>
        <v>1-19521-7B213</v>
      </c>
      <c r="C34" s="12">
        <f>IF(Table2428[[#This Row],[Journal Description (Service Description)]]="","",1)</f>
        <v>1</v>
      </c>
      <c r="D34" s="67">
        <v>25</v>
      </c>
      <c r="E34" s="27" t="s">
        <v>61</v>
      </c>
      <c r="F34" s="27" t="s">
        <v>36</v>
      </c>
      <c r="G34" s="27" t="s">
        <v>261</v>
      </c>
    </row>
    <row r="35" spans="1:7" x14ac:dyDescent="0.35">
      <c r="A35" s="1" t="s">
        <v>6</v>
      </c>
      <c r="B35" t="str">
        <f>IF(Table2428[[#This Row],[Branch Name]]="","",(_xlfn.XLOOKUP(Table2428[[#This Row],[Branch Name]],'[4]Lookup Values'!G:G,'[4]Lookup Values'!I:I,0)))</f>
        <v>1-19521-7B213</v>
      </c>
      <c r="C35" s="12">
        <f>IF(Table2428[[#This Row],[Journal Description (Service Description)]]="","",1)</f>
        <v>1</v>
      </c>
      <c r="D35" s="67">
        <v>14</v>
      </c>
      <c r="E35" s="27" t="s">
        <v>61</v>
      </c>
      <c r="F35" s="27" t="s">
        <v>35</v>
      </c>
      <c r="G35" s="27" t="s">
        <v>261</v>
      </c>
    </row>
    <row r="36" spans="1:7" hidden="1" x14ac:dyDescent="0.35">
      <c r="A36" s="1" t="s">
        <v>6</v>
      </c>
      <c r="B36" t="s">
        <v>74</v>
      </c>
      <c r="C36" s="12">
        <f>IF(Table2428[[#This Row],[Journal Description (Service Description)]]="","",1)</f>
        <v>1</v>
      </c>
      <c r="D36" s="67">
        <v>40</v>
      </c>
      <c r="E36" s="27" t="s">
        <v>56</v>
      </c>
      <c r="F36" s="27" t="s">
        <v>34</v>
      </c>
      <c r="G36" s="27" t="s">
        <v>262</v>
      </c>
    </row>
    <row r="37" spans="1:7" x14ac:dyDescent="0.35">
      <c r="A37" s="1" t="s">
        <v>6</v>
      </c>
      <c r="B37" t="str">
        <f>IF(Table2428[[#This Row],[Branch Name]]="","",(_xlfn.XLOOKUP(Table2428[[#This Row],[Branch Name]],'[4]Lookup Values'!G:G,'[4]Lookup Values'!I:I,0)))</f>
        <v>1-14501-7B213</v>
      </c>
      <c r="C37" s="12">
        <f>IF(Table2428[[#This Row],[Journal Description (Service Description)]]="","",1)</f>
        <v>1</v>
      </c>
      <c r="D37" s="67">
        <v>71.75</v>
      </c>
      <c r="E37" s="27" t="s">
        <v>47</v>
      </c>
      <c r="F37" s="27" t="s">
        <v>33</v>
      </c>
      <c r="G37" s="27" t="s">
        <v>263</v>
      </c>
    </row>
    <row r="38" spans="1:7" hidden="1" x14ac:dyDescent="0.35">
      <c r="A38" s="1" t="s">
        <v>6</v>
      </c>
      <c r="B38" t="s">
        <v>74</v>
      </c>
      <c r="C38" s="12">
        <f>IF(Table2428[[#This Row],[Journal Description (Service Description)]]="","",1)</f>
        <v>1</v>
      </c>
      <c r="D38" s="67">
        <v>71.75</v>
      </c>
      <c r="E38" s="27" t="s">
        <v>56</v>
      </c>
      <c r="F38" s="27" t="s">
        <v>33</v>
      </c>
      <c r="G38" s="27" t="s">
        <v>264</v>
      </c>
    </row>
    <row r="39" spans="1:7" hidden="1" x14ac:dyDescent="0.35">
      <c r="A39" s="1" t="s">
        <v>6</v>
      </c>
      <c r="B39" t="s">
        <v>74</v>
      </c>
      <c r="C39" s="12">
        <f>IF(Table2428[[#This Row],[Journal Description (Service Description)]]="","",1)</f>
        <v>1</v>
      </c>
      <c r="D39" s="67">
        <v>71.75</v>
      </c>
      <c r="E39" s="27" t="s">
        <v>56</v>
      </c>
      <c r="F39" s="27" t="s">
        <v>33</v>
      </c>
      <c r="G39" s="27" t="s">
        <v>265</v>
      </c>
    </row>
    <row r="40" spans="1:7" hidden="1" x14ac:dyDescent="0.35">
      <c r="A40" s="1" t="s">
        <v>6</v>
      </c>
      <c r="B40" t="s">
        <v>74</v>
      </c>
      <c r="C40" s="12">
        <f>IF(Table2428[[#This Row],[Journal Description (Service Description)]]="","",1)</f>
        <v>1</v>
      </c>
      <c r="D40" s="67">
        <v>71.75</v>
      </c>
      <c r="E40" s="27" t="s">
        <v>56</v>
      </c>
      <c r="F40" s="27" t="s">
        <v>33</v>
      </c>
      <c r="G40" s="27" t="s">
        <v>266</v>
      </c>
    </row>
    <row r="41" spans="1:7" hidden="1" x14ac:dyDescent="0.35">
      <c r="A41" s="1" t="s">
        <v>6</v>
      </c>
      <c r="B41" t="s">
        <v>163</v>
      </c>
      <c r="C41" s="12">
        <f>IF(Table2428[[#This Row],[Journal Description (Service Description)]]="","",1)</f>
        <v>1</v>
      </c>
      <c r="D41" s="67">
        <v>71.75</v>
      </c>
      <c r="E41" s="27" t="s">
        <v>56</v>
      </c>
      <c r="F41" s="27" t="s">
        <v>33</v>
      </c>
      <c r="G41" s="27" t="s">
        <v>267</v>
      </c>
    </row>
    <row r="42" spans="1:7" x14ac:dyDescent="0.35">
      <c r="A42" s="1" t="s">
        <v>6</v>
      </c>
      <c r="B42" t="str">
        <f>IF(Table2428[[#This Row],[Branch Name]]="","",(_xlfn.XLOOKUP(Table2428[[#This Row],[Branch Name]],'[4]Lookup Values'!G:G,'[4]Lookup Values'!I:I,0)))</f>
        <v>1-14501-7B213</v>
      </c>
      <c r="C42" s="12">
        <f>IF(Table2428[[#This Row],[Journal Description (Service Description)]]="","",1)</f>
        <v>1</v>
      </c>
      <c r="D42" s="67">
        <v>71.75</v>
      </c>
      <c r="E42" s="27" t="s">
        <v>47</v>
      </c>
      <c r="F42" s="27" t="s">
        <v>33</v>
      </c>
      <c r="G42" s="27" t="s">
        <v>268</v>
      </c>
    </row>
    <row r="43" spans="1:7" hidden="1" x14ac:dyDescent="0.35">
      <c r="A43" s="1" t="s">
        <v>6</v>
      </c>
      <c r="B43" t="s">
        <v>287</v>
      </c>
      <c r="C43" s="12">
        <f>IF(Table2428[[#This Row],[Journal Description (Service Description)]]="","",1)</f>
        <v>1</v>
      </c>
      <c r="D43" s="67">
        <v>71.75</v>
      </c>
      <c r="E43" s="27" t="s">
        <v>56</v>
      </c>
      <c r="F43" s="27" t="s">
        <v>33</v>
      </c>
      <c r="G43" s="27" t="s">
        <v>269</v>
      </c>
    </row>
    <row r="44" spans="1:7" x14ac:dyDescent="0.35">
      <c r="A44" s="1" t="s">
        <v>23</v>
      </c>
      <c r="B44" t="str">
        <f>IF(Table2428[[#This Row],[Branch Name]]="","",(_xlfn.XLOOKUP(Table2428[[#This Row],[Branch Name]],'[4]Lookup Values'!G:G,'[4]Lookup Values'!I:I,0)))</f>
        <v>100012-200-7B213</v>
      </c>
      <c r="C44" s="12">
        <f>IF(Table2428[[#This Row],[Journal Description (Service Description)]]="","",1)</f>
        <v>1</v>
      </c>
      <c r="D44" s="67">
        <v>71.75</v>
      </c>
      <c r="E44" s="27" t="s">
        <v>64</v>
      </c>
      <c r="F44" s="27" t="s">
        <v>33</v>
      </c>
      <c r="G44" s="27" t="s">
        <v>270</v>
      </c>
    </row>
    <row r="45" spans="1:7" x14ac:dyDescent="0.35">
      <c r="A45" s="1" t="s">
        <v>6</v>
      </c>
      <c r="B45" s="52" t="s">
        <v>219</v>
      </c>
      <c r="C45" s="12">
        <f>IF(Table2428[[#This Row],[Journal Description (Service Description)]]="","",1)</f>
        <v>1</v>
      </c>
      <c r="D45" s="67">
        <v>71.75</v>
      </c>
      <c r="E45" s="27" t="s">
        <v>50</v>
      </c>
      <c r="F45" s="27" t="s">
        <v>33</v>
      </c>
      <c r="G45" s="27" t="s">
        <v>271</v>
      </c>
    </row>
    <row r="46" spans="1:7" x14ac:dyDescent="0.35">
      <c r="A46" s="1" t="s">
        <v>6</v>
      </c>
      <c r="B46" t="str">
        <f>IF(Table2428[[#This Row],[Branch Name]]="","",(_xlfn.XLOOKUP(Table2428[[#This Row],[Branch Name]],'[4]Lookup Values'!G:G,'[4]Lookup Values'!I:I,0)))</f>
        <v>1-14501-7B213</v>
      </c>
      <c r="C46" s="12">
        <f>IF(Table2428[[#This Row],[Journal Description (Service Description)]]="","",1)</f>
        <v>1</v>
      </c>
      <c r="D46" s="67">
        <v>71.75</v>
      </c>
      <c r="E46" s="27" t="s">
        <v>47</v>
      </c>
      <c r="F46" s="27" t="s">
        <v>33</v>
      </c>
      <c r="G46" s="27" t="s">
        <v>272</v>
      </c>
    </row>
    <row r="47" spans="1:7" x14ac:dyDescent="0.35">
      <c r="A47" s="1" t="s">
        <v>6</v>
      </c>
      <c r="B47" s="52" t="s">
        <v>219</v>
      </c>
      <c r="C47" s="12">
        <f>IF(Table2428[[#This Row],[Journal Description (Service Description)]]="","",1)</f>
        <v>1</v>
      </c>
      <c r="D47" s="67">
        <v>71.75</v>
      </c>
      <c r="E47" s="27" t="s">
        <v>50</v>
      </c>
      <c r="F47" s="27" t="s">
        <v>33</v>
      </c>
      <c r="G47" s="27" t="s">
        <v>273</v>
      </c>
    </row>
    <row r="48" spans="1:7" hidden="1" x14ac:dyDescent="0.35">
      <c r="A48" s="1" t="s">
        <v>6</v>
      </c>
      <c r="B48" t="s">
        <v>74</v>
      </c>
      <c r="C48" s="12">
        <f>IF(Table2428[[#This Row],[Journal Description (Service Description)]]="","",1)</f>
        <v>1</v>
      </c>
      <c r="D48" s="67">
        <v>71.75</v>
      </c>
      <c r="E48" s="27" t="s">
        <v>56</v>
      </c>
      <c r="F48" s="27" t="s">
        <v>33</v>
      </c>
      <c r="G48" s="27" t="s">
        <v>274</v>
      </c>
    </row>
    <row r="49" spans="1:7" x14ac:dyDescent="0.35">
      <c r="A49" s="1" t="s">
        <v>6</v>
      </c>
      <c r="B49" t="str">
        <f>IF(Table2428[[#This Row],[Branch Name]]="","",(_xlfn.XLOOKUP(Table2428[[#This Row],[Branch Name]],'[4]Lookup Values'!G:G,'[4]Lookup Values'!I:I,0)))</f>
        <v>1-14501-7B213</v>
      </c>
      <c r="C49" s="12">
        <f>IF(Table2428[[#This Row],[Journal Description (Service Description)]]="","",1)</f>
        <v>1</v>
      </c>
      <c r="D49" s="67">
        <v>166.1</v>
      </c>
      <c r="E49" s="27" t="s">
        <v>47</v>
      </c>
      <c r="F49" s="27" t="s">
        <v>91</v>
      </c>
      <c r="G49" s="27" t="s">
        <v>275</v>
      </c>
    </row>
    <row r="50" spans="1:7" x14ac:dyDescent="0.35">
      <c r="A50" s="1" t="s">
        <v>23</v>
      </c>
      <c r="B50" t="s">
        <v>206</v>
      </c>
      <c r="C50" s="12">
        <f>IF(Table2428[[#This Row],[Journal Description (Service Description)]]="","",1)</f>
        <v>1</v>
      </c>
      <c r="D50" s="67">
        <v>166.1</v>
      </c>
      <c r="E50" s="27" t="s">
        <v>63</v>
      </c>
      <c r="F50" s="27" t="s">
        <v>91</v>
      </c>
      <c r="G50" s="27" t="s">
        <v>276</v>
      </c>
    </row>
    <row r="51" spans="1:7" x14ac:dyDescent="0.35">
      <c r="A51" s="1" t="s">
        <v>6</v>
      </c>
      <c r="B51" t="str">
        <f>IF(Table2428[[#This Row],[Branch Name]]="","",(_xlfn.XLOOKUP(Table2428[[#This Row],[Branch Name]],'[4]Lookup Values'!G:G,'[4]Lookup Values'!I:I,0)))</f>
        <v>1-30612-7B213</v>
      </c>
      <c r="C51" s="12">
        <f>IF(Table2428[[#This Row],[Journal Description (Service Description)]]="","",1)</f>
        <v>1</v>
      </c>
      <c r="D51" s="67">
        <v>25</v>
      </c>
      <c r="E51" s="27" t="s">
        <v>82</v>
      </c>
      <c r="F51" s="27" t="s">
        <v>36</v>
      </c>
      <c r="G51" s="27" t="s">
        <v>277</v>
      </c>
    </row>
    <row r="52" spans="1:7" x14ac:dyDescent="0.35">
      <c r="A52" s="1" t="s">
        <v>23</v>
      </c>
      <c r="B52" t="str">
        <f>IF(Table2428[[#This Row],[Branch Name]]="","",(_xlfn.XLOOKUP(Table2428[[#This Row],[Branch Name]],'[4]Lookup Values'!G:G,'[4]Lookup Values'!I:I,0)))</f>
        <v>100009-200-7B213</v>
      </c>
      <c r="C52" s="12">
        <f>IF(Table2428[[#This Row],[Journal Description (Service Description)]]="","",1)</f>
        <v>1</v>
      </c>
      <c r="D52" s="67">
        <v>14</v>
      </c>
      <c r="E52" s="27" t="s">
        <v>62</v>
      </c>
      <c r="F52" s="27" t="s">
        <v>35</v>
      </c>
      <c r="G52" s="27" t="s">
        <v>278</v>
      </c>
    </row>
    <row r="53" spans="1:7" x14ac:dyDescent="0.35">
      <c r="A53" s="1" t="s">
        <v>23</v>
      </c>
      <c r="B53" t="s">
        <v>244</v>
      </c>
      <c r="C53" s="12">
        <f>IF(Table2428[[#This Row],[Journal Description (Service Description)]]="","",1)</f>
        <v>1</v>
      </c>
      <c r="D53" s="67">
        <v>14</v>
      </c>
      <c r="E53" s="27" t="s">
        <v>64</v>
      </c>
      <c r="F53" s="27" t="s">
        <v>35</v>
      </c>
      <c r="G53" s="27" t="s">
        <v>279</v>
      </c>
    </row>
    <row r="54" spans="1:7" x14ac:dyDescent="0.35">
      <c r="A54" s="1" t="s">
        <v>6</v>
      </c>
      <c r="B54" s="52" t="s">
        <v>153</v>
      </c>
      <c r="C54" s="12">
        <f>IF(Table2428[[#This Row],[Journal Description (Service Description)]]="","",1)</f>
        <v>1</v>
      </c>
      <c r="D54" s="67">
        <v>25</v>
      </c>
      <c r="E54" s="27" t="s">
        <v>50</v>
      </c>
      <c r="F54" s="27" t="s">
        <v>36</v>
      </c>
      <c r="G54" s="27" t="s">
        <v>280</v>
      </c>
    </row>
    <row r="55" spans="1:7" hidden="1" x14ac:dyDescent="0.35">
      <c r="A55" s="1" t="s">
        <v>6</v>
      </c>
      <c r="B55" t="s">
        <v>74</v>
      </c>
      <c r="C55" s="12">
        <f>IF(Table2428[[#This Row],[Journal Description (Service Description)]]="","",1)</f>
        <v>1</v>
      </c>
      <c r="D55" s="67">
        <v>14</v>
      </c>
      <c r="E55" s="27" t="s">
        <v>56</v>
      </c>
      <c r="F55" s="27" t="s">
        <v>35</v>
      </c>
      <c r="G55" s="27" t="s">
        <v>281</v>
      </c>
    </row>
    <row r="56" spans="1:7" x14ac:dyDescent="0.35">
      <c r="A56" s="1" t="s">
        <v>23</v>
      </c>
      <c r="B56" t="str">
        <f>IF(Table2428[[#This Row],[Branch Name]]="","",(_xlfn.XLOOKUP(Table2428[[#This Row],[Branch Name]],'[4]Lookup Values'!G:G,'[4]Lookup Values'!I:I,0)))</f>
        <v>100009-200-7B213</v>
      </c>
      <c r="C56" s="12">
        <f>IF(Table2428[[#This Row],[Journal Description (Service Description)]]="","",1)</f>
        <v>1</v>
      </c>
      <c r="D56" s="67">
        <v>25</v>
      </c>
      <c r="E56" s="27" t="s">
        <v>62</v>
      </c>
      <c r="F56" s="27" t="s">
        <v>36</v>
      </c>
      <c r="G56" s="27" t="s">
        <v>282</v>
      </c>
    </row>
    <row r="57" spans="1:7" x14ac:dyDescent="0.35">
      <c r="A57" s="1" t="s">
        <v>6</v>
      </c>
      <c r="B57" t="str">
        <f>IF(Table2428[[#This Row],[Branch Name]]="","",(_xlfn.XLOOKUP(Table2428[[#This Row],[Branch Name]],'[4]Lookup Values'!G:G,'[4]Lookup Values'!I:I,0)))</f>
        <v>1-14501-7B213</v>
      </c>
      <c r="C57" s="12">
        <f>IF(Table2428[[#This Row],[Journal Description (Service Description)]]="","",1)</f>
        <v>1</v>
      </c>
      <c r="D57" s="67">
        <v>14</v>
      </c>
      <c r="E57" s="27" t="s">
        <v>47</v>
      </c>
      <c r="F57" s="27" t="s">
        <v>35</v>
      </c>
      <c r="G57" s="27" t="s">
        <v>283</v>
      </c>
    </row>
    <row r="58" spans="1:7" x14ac:dyDescent="0.35">
      <c r="A58" s="1" t="s">
        <v>6</v>
      </c>
      <c r="B58" s="52" t="s">
        <v>153</v>
      </c>
      <c r="C58" s="12">
        <f>IF(Table2428[[#This Row],[Journal Description (Service Description)]]="","",1)</f>
        <v>1</v>
      </c>
      <c r="D58" s="67">
        <v>132</v>
      </c>
      <c r="E58" s="27" t="s">
        <v>50</v>
      </c>
      <c r="F58" s="27" t="s">
        <v>90</v>
      </c>
      <c r="G58" s="27" t="s">
        <v>284</v>
      </c>
    </row>
    <row r="59" spans="1:7" x14ac:dyDescent="0.35">
      <c r="A59" s="1" t="s">
        <v>6</v>
      </c>
      <c r="B59" s="52" t="s">
        <v>153</v>
      </c>
      <c r="C59" s="12">
        <f>IF(Table2428[[#This Row],[Journal Description (Service Description)]]="","",1)</f>
        <v>1</v>
      </c>
      <c r="D59" s="67">
        <v>166.1</v>
      </c>
      <c r="E59" s="27" t="s">
        <v>50</v>
      </c>
      <c r="F59" s="27" t="s">
        <v>91</v>
      </c>
      <c r="G59" s="27" t="s">
        <v>285</v>
      </c>
    </row>
    <row r="60" spans="1:7" x14ac:dyDescent="0.35">
      <c r="A60" s="1" t="s">
        <v>6</v>
      </c>
      <c r="B60" s="52" t="s">
        <v>153</v>
      </c>
      <c r="C60" s="12">
        <f>IF(Table2428[[#This Row],[Journal Description (Service Description)]]="","",1)</f>
        <v>1</v>
      </c>
      <c r="D60" s="67">
        <v>166.1</v>
      </c>
      <c r="E60" s="27" t="s">
        <v>50</v>
      </c>
      <c r="F60" s="27" t="s">
        <v>91</v>
      </c>
      <c r="G60" s="27" t="s">
        <v>286</v>
      </c>
    </row>
    <row r="61" spans="1:7" x14ac:dyDescent="0.35">
      <c r="B61" t="str">
        <f>IF(Table2428[[#This Row],[Branch Name]]="","",(_xlfn.XLOOKUP(Table2428[[#This Row],[Branch Name]],'[4]Lookup Values'!G:G,'[4]Lookup Values'!I:I,0)))</f>
        <v/>
      </c>
      <c r="C61" s="27"/>
      <c r="D61" s="67"/>
      <c r="E61" s="27"/>
      <c r="F61" s="27"/>
      <c r="G61" s="27"/>
    </row>
    <row r="62" spans="1:7" x14ac:dyDescent="0.35">
      <c r="B62" t="str">
        <f>IF(Table2428[[#This Row],[Branch Name]]="","",(_xlfn.XLOOKUP(Table2428[[#This Row],[Branch Name]],'[4]Lookup Values'!G:G,'[4]Lookup Values'!I:I,0)))</f>
        <v/>
      </c>
      <c r="C62" s="27"/>
      <c r="D62" s="67"/>
      <c r="E62" s="27"/>
      <c r="F62" s="27"/>
      <c r="G62" s="27"/>
    </row>
    <row r="63" spans="1:7" x14ac:dyDescent="0.35">
      <c r="B63" t="str">
        <f>IF(Table2428[[#This Row],[Branch Name]]="","",(_xlfn.XLOOKUP(Table2428[[#This Row],[Branch Name]],'[4]Lookup Values'!G:G,'[4]Lookup Values'!I:I,0)))</f>
        <v/>
      </c>
      <c r="C63" s="27"/>
      <c r="D63" s="67"/>
      <c r="E63" s="27"/>
      <c r="F63" s="27"/>
      <c r="G63" s="27"/>
    </row>
    <row r="64" spans="1:7" x14ac:dyDescent="0.35">
      <c r="B64" t="str">
        <f>IF(Table2428[[#This Row],[Branch Name]]="","",(_xlfn.XLOOKUP(Table2428[[#This Row],[Branch Name]],'[4]Lookup Values'!G:G,'[4]Lookup Values'!I:I,0)))</f>
        <v/>
      </c>
      <c r="C64" s="27"/>
      <c r="D64" s="67"/>
      <c r="E64" s="27"/>
      <c r="F64" s="27"/>
      <c r="G64" s="27"/>
    </row>
    <row r="65" spans="1:7" x14ac:dyDescent="0.35">
      <c r="B65" t="str">
        <f>IF(Table2428[[#This Row],[Branch Name]]="","",(_xlfn.XLOOKUP(Table2428[[#This Row],[Branch Name]],'[4]Lookup Values'!G:G,'[4]Lookup Values'!I:I,0)))</f>
        <v/>
      </c>
      <c r="C65" s="27"/>
      <c r="D65" s="67"/>
      <c r="E65" s="27"/>
      <c r="F65" s="27"/>
      <c r="G65" s="27"/>
    </row>
    <row r="66" spans="1:7" x14ac:dyDescent="0.35">
      <c r="B66" t="str">
        <f>IF(Table2428[[#This Row],[Branch Name]]="","",(_xlfn.XLOOKUP(Table2428[[#This Row],[Branch Name]],'[4]Lookup Values'!G:G,'[4]Lookup Values'!I:I,0)))</f>
        <v/>
      </c>
      <c r="C66" s="27"/>
      <c r="D66" s="67"/>
      <c r="E66" s="27"/>
      <c r="F66" s="27"/>
      <c r="G66" s="27"/>
    </row>
    <row r="67" spans="1:7" x14ac:dyDescent="0.35">
      <c r="B67" t="str">
        <f>IF(Table2428[[#This Row],[Branch Name]]="","",(_xlfn.XLOOKUP(Table2428[[#This Row],[Branch Name]],'[4]Lookup Values'!G:G,'[4]Lookup Values'!I:I,0)))</f>
        <v/>
      </c>
      <c r="C67" s="27"/>
      <c r="D67" s="67"/>
      <c r="E67" s="27"/>
      <c r="F67" s="27"/>
      <c r="G67" s="27"/>
    </row>
    <row r="68" spans="1:7" x14ac:dyDescent="0.35">
      <c r="B68" t="str">
        <f>IF(Table2428[[#This Row],[Branch Name]]="","",(_xlfn.XLOOKUP(Table2428[[#This Row],[Branch Name]],'[4]Lookup Values'!G:G,'[4]Lookup Values'!I:I,0)))</f>
        <v/>
      </c>
      <c r="C68" s="27"/>
      <c r="D68" s="67"/>
      <c r="E68" s="27"/>
      <c r="F68" s="27"/>
      <c r="G68" s="27"/>
    </row>
    <row r="69" spans="1:7" x14ac:dyDescent="0.35">
      <c r="B69" t="str">
        <f>IF(Table2428[[#This Row],[Branch Name]]="","",(_xlfn.XLOOKUP(Table2428[[#This Row],[Branch Name]],'[4]Lookup Values'!G:G,'[4]Lookup Values'!I:I,0)))</f>
        <v/>
      </c>
      <c r="C69" s="27"/>
      <c r="D69" s="67"/>
      <c r="E69" s="27"/>
      <c r="F69" s="27"/>
      <c r="G69" s="27"/>
    </row>
    <row r="70" spans="1:7" x14ac:dyDescent="0.35">
      <c r="B70" t="str">
        <f>IF(Table2428[[#This Row],[Branch Name]]="","",(_xlfn.XLOOKUP(Table2428[[#This Row],[Branch Name]],'[4]Lookup Values'!G:G,'[4]Lookup Values'!I:I,0)))</f>
        <v/>
      </c>
      <c r="C70" s="27"/>
      <c r="D70" s="67"/>
      <c r="E70" s="27"/>
      <c r="F70" s="27"/>
      <c r="G70" s="27"/>
    </row>
    <row r="71" spans="1:7" s="27" customFormat="1" x14ac:dyDescent="0.35">
      <c r="A71"/>
      <c r="B71" t="str">
        <f>IF(Table2428[[#This Row],[Branch Name]]="","",(_xlfn.XLOOKUP(Table2428[[#This Row],[Branch Name]],'[4]Lookup Values'!G:G,'[4]Lookup Values'!I:I,0)))</f>
        <v/>
      </c>
      <c r="D71" s="67"/>
    </row>
    <row r="72" spans="1:7" s="27" customFormat="1" x14ac:dyDescent="0.35">
      <c r="A72"/>
      <c r="B72" t="str">
        <f>IF(Table2428[[#This Row],[Branch Name]]="","",(_xlfn.XLOOKUP(Table2428[[#This Row],[Branch Name]],'[4]Lookup Values'!G:G,'[4]Lookup Values'!I:I,0)))</f>
        <v/>
      </c>
      <c r="D72" s="67"/>
    </row>
    <row r="73" spans="1:7" x14ac:dyDescent="0.35">
      <c r="B73" t="str">
        <f>IF(Table2428[[#This Row],[Branch Name]]="","",(_xlfn.XLOOKUP(Table2428[[#This Row],[Branch Name]],'[4]Lookup Values'!G:G,'[4]Lookup Values'!I:I,0)))</f>
        <v/>
      </c>
      <c r="C73" s="27"/>
      <c r="D73" s="67"/>
      <c r="E73" s="27"/>
      <c r="F73" s="27"/>
      <c r="G73" s="27"/>
    </row>
    <row r="74" spans="1:7" x14ac:dyDescent="0.35">
      <c r="B74" t="str">
        <f>IF(Table2428[[#This Row],[Branch Name]]="","",(_xlfn.XLOOKUP(Table2428[[#This Row],[Branch Name]],'[4]Lookup Values'!G:G,'[4]Lookup Values'!I:I,0)))</f>
        <v/>
      </c>
      <c r="C74" s="27"/>
      <c r="D74" s="67"/>
      <c r="E74" s="27"/>
      <c r="F74" s="27"/>
      <c r="G74" s="27"/>
    </row>
    <row r="75" spans="1:7" x14ac:dyDescent="0.35">
      <c r="B75" t="str">
        <f>IF(Table2428[[#This Row],[Branch Name]]="","",(_xlfn.XLOOKUP(Table2428[[#This Row],[Branch Name]],'[4]Lookup Values'!G:G,'[4]Lookup Values'!I:I,0)))</f>
        <v/>
      </c>
      <c r="C75" s="27"/>
      <c r="D75" s="67"/>
      <c r="E75" s="27"/>
      <c r="F75" s="27"/>
      <c r="G75" s="27"/>
    </row>
    <row r="76" spans="1:7" x14ac:dyDescent="0.35">
      <c r="B76" t="str">
        <f>IF(Table2428[[#This Row],[Branch Name]]="","",(_xlfn.XLOOKUP(Table2428[[#This Row],[Branch Name]],'[4]Lookup Values'!G:G,'[4]Lookup Values'!I:I,0)))</f>
        <v/>
      </c>
      <c r="C76" s="27"/>
      <c r="D76" s="67"/>
      <c r="E76" s="27"/>
      <c r="F76" s="27"/>
      <c r="G76" s="27"/>
    </row>
    <row r="77" spans="1:7" x14ac:dyDescent="0.35">
      <c r="B77" t="str">
        <f>IF(Table2428[[#This Row],[Branch Name]]="","",(_xlfn.XLOOKUP(Table2428[[#This Row],[Branch Name]],'[4]Lookup Values'!G:G,'[4]Lookup Values'!I:I,0)))</f>
        <v/>
      </c>
      <c r="C77" s="27"/>
      <c r="D77" s="67"/>
      <c r="E77" s="27"/>
      <c r="F77" s="27"/>
      <c r="G77" s="27"/>
    </row>
    <row r="78" spans="1:7" x14ac:dyDescent="0.35">
      <c r="B78" t="str">
        <f>IF(Table2428[[#This Row],[Branch Name]]="","",(_xlfn.XLOOKUP(Table2428[[#This Row],[Branch Name]],'[4]Lookup Values'!G:G,'[4]Lookup Values'!I:I,0)))</f>
        <v/>
      </c>
      <c r="C78" s="27"/>
      <c r="D78" s="67"/>
      <c r="E78" s="27"/>
      <c r="F78" s="27"/>
      <c r="G78" s="27"/>
    </row>
    <row r="79" spans="1:7" x14ac:dyDescent="0.35">
      <c r="B79" t="str">
        <f>IF(Table2428[[#This Row],[Branch Name]]="","",(_xlfn.XLOOKUP(Table2428[[#This Row],[Branch Name]],'[4]Lookup Values'!G:G,'[4]Lookup Values'!I:I,0)))</f>
        <v/>
      </c>
      <c r="C79" s="27"/>
      <c r="D79" s="67"/>
      <c r="E79" s="27"/>
      <c r="F79" s="27"/>
      <c r="G79" s="27"/>
    </row>
    <row r="80" spans="1:7" x14ac:dyDescent="0.35">
      <c r="A80" s="27"/>
      <c r="B80" t="str">
        <f>IF(Table2428[[#This Row],[Branch Name]]="","",(_xlfn.XLOOKUP(Table2428[[#This Row],[Branch Name]],'[4]Lookup Values'!G:G,'[4]Lookup Values'!I:I,0)))</f>
        <v/>
      </c>
      <c r="C80" s="27"/>
      <c r="D80" s="67"/>
      <c r="E80" s="27"/>
      <c r="F80" s="27"/>
      <c r="G80" s="27"/>
    </row>
    <row r="81" spans="1:7" x14ac:dyDescent="0.35">
      <c r="A81" s="27"/>
      <c r="B81" t="str">
        <f>IF(Table2428[[#This Row],[Branch Name]]="","",(_xlfn.XLOOKUP(Table2428[[#This Row],[Branch Name]],'[4]Lookup Values'!G:G,'[4]Lookup Values'!I:I,0)))</f>
        <v/>
      </c>
      <c r="C81" s="27"/>
      <c r="D81" s="67"/>
      <c r="E81" s="27"/>
      <c r="F81" s="27"/>
      <c r="G81" s="27"/>
    </row>
    <row r="82" spans="1:7" x14ac:dyDescent="0.35">
      <c r="A82" s="27"/>
      <c r="B82" t="str">
        <f>IF(Table2428[[#This Row],[Branch Name]]="","",(_xlfn.XLOOKUP(Table2428[[#This Row],[Branch Name]],'[4]Lookup Values'!G:G,'[4]Lookup Values'!I:I,0)))</f>
        <v/>
      </c>
      <c r="C82" s="27"/>
      <c r="D82" s="67"/>
      <c r="E82" s="27"/>
      <c r="F82" s="27"/>
      <c r="G82" s="27"/>
    </row>
    <row r="83" spans="1:7" x14ac:dyDescent="0.35">
      <c r="A83" s="27"/>
      <c r="B83" t="str">
        <f>IF(Table2428[[#This Row],[Branch Name]]="","",(_xlfn.XLOOKUP(Table2428[[#This Row],[Branch Name]],'[4]Lookup Values'!G:G,'[4]Lookup Values'!I:I,0)))</f>
        <v/>
      </c>
      <c r="C83" s="27"/>
      <c r="D83" s="67"/>
      <c r="E83" s="27"/>
      <c r="F83" s="27"/>
      <c r="G83" s="27"/>
    </row>
    <row r="84" spans="1:7" x14ac:dyDescent="0.35">
      <c r="A84" s="27"/>
      <c r="B84" t="str">
        <f>IF(Table2428[[#This Row],[Branch Name]]="","",(_xlfn.XLOOKUP(Table2428[[#This Row],[Branch Name]],'[4]Lookup Values'!G:G,'[4]Lookup Values'!I:I,0)))</f>
        <v/>
      </c>
      <c r="C84" s="27"/>
      <c r="D84" s="67"/>
      <c r="E84" s="27"/>
      <c r="F84" s="27"/>
      <c r="G84" s="27"/>
    </row>
    <row r="85" spans="1:7" x14ac:dyDescent="0.35">
      <c r="A85" s="27"/>
      <c r="B85" t="str">
        <f>IF(Table2428[[#This Row],[Branch Name]]="","",(_xlfn.XLOOKUP(Table2428[[#This Row],[Branch Name]],'[4]Lookup Values'!G:G,'[4]Lookup Values'!I:I,0)))</f>
        <v/>
      </c>
      <c r="C85" s="27"/>
      <c r="D85" s="67"/>
      <c r="E85" s="27"/>
      <c r="F85" s="27"/>
      <c r="G85" s="27"/>
    </row>
    <row r="86" spans="1:7" x14ac:dyDescent="0.35">
      <c r="A86" s="27"/>
      <c r="B86" t="str">
        <f>IF(Table2428[[#This Row],[Branch Name]]="","",(_xlfn.XLOOKUP(Table2428[[#This Row],[Branch Name]],'[4]Lookup Values'!G:G,'[4]Lookup Values'!I:I,0)))</f>
        <v/>
      </c>
      <c r="C86" s="27"/>
      <c r="D86" s="67"/>
      <c r="E86" s="27"/>
      <c r="F86" s="27"/>
      <c r="G86" s="29"/>
    </row>
    <row r="87" spans="1:7" x14ac:dyDescent="0.35">
      <c r="A87" s="27"/>
      <c r="B87" t="str">
        <f>IF(Table2428[[#This Row],[Branch Name]]="","",(_xlfn.XLOOKUP(Table2428[[#This Row],[Branch Name]],'[4]Lookup Values'!G:G,'[4]Lookup Values'!I:I,0)))</f>
        <v/>
      </c>
      <c r="C87" s="27"/>
      <c r="D87" s="67"/>
      <c r="E87" s="27"/>
      <c r="F87" s="27"/>
      <c r="G87" s="27"/>
    </row>
    <row r="88" spans="1:7" x14ac:dyDescent="0.35">
      <c r="A88" s="27"/>
      <c r="B88" t="str">
        <f>IF(Table2428[[#This Row],[Branch Name]]="","",(_xlfn.XLOOKUP(Table2428[[#This Row],[Branch Name]],'[4]Lookup Values'!G:G,'[4]Lookup Values'!I:I,0)))</f>
        <v/>
      </c>
      <c r="C88" s="27"/>
      <c r="D88" s="67"/>
      <c r="E88" s="27"/>
      <c r="F88" s="27"/>
      <c r="G88" s="27"/>
    </row>
    <row r="89" spans="1:7" x14ac:dyDescent="0.35">
      <c r="A89" s="27"/>
      <c r="B89" t="str">
        <f>IF(Table2428[[#This Row],[Branch Name]]="","",(_xlfn.XLOOKUP(Table2428[[#This Row],[Branch Name]],'[4]Lookup Values'!G:G,'[4]Lookup Values'!I:I,0)))</f>
        <v/>
      </c>
      <c r="C89" s="27"/>
      <c r="D89" s="67"/>
      <c r="E89" s="27"/>
      <c r="F89" s="27"/>
      <c r="G89" s="27"/>
    </row>
    <row r="90" spans="1:7" x14ac:dyDescent="0.35">
      <c r="A90" s="27"/>
      <c r="B90" t="str">
        <f>IF(Table2428[[#This Row],[Branch Name]]="","",(_xlfn.XLOOKUP(Table2428[[#This Row],[Branch Name]],'[4]Lookup Values'!G:G,'[4]Lookup Values'!I:I,0)))</f>
        <v/>
      </c>
      <c r="C90" s="27"/>
      <c r="D90" s="67"/>
      <c r="E90" s="27"/>
      <c r="F90" s="27"/>
      <c r="G90" s="27"/>
    </row>
    <row r="91" spans="1:7" x14ac:dyDescent="0.35">
      <c r="A91" s="27"/>
      <c r="B91" t="str">
        <f>IF(Table2428[[#This Row],[Branch Name]]="","",(_xlfn.XLOOKUP(Table2428[[#This Row],[Branch Name]],'[4]Lookup Values'!G:G,'[4]Lookup Values'!I:I,0)))</f>
        <v/>
      </c>
      <c r="C91" s="27"/>
      <c r="D91" s="67"/>
      <c r="E91" s="27"/>
      <c r="F91" s="27"/>
      <c r="G91" s="27"/>
    </row>
    <row r="92" spans="1:7" x14ac:dyDescent="0.35">
      <c r="A92" s="27"/>
      <c r="B92" t="str">
        <f>IF(Table2428[[#This Row],[Branch Name]]="","",(_xlfn.XLOOKUP(Table2428[[#This Row],[Branch Name]],'[4]Lookup Values'!G:G,'[4]Lookup Values'!I:I,0)))</f>
        <v/>
      </c>
      <c r="C92" s="27"/>
      <c r="D92" s="67"/>
      <c r="E92" s="27"/>
      <c r="F92" s="27"/>
      <c r="G92" s="27"/>
    </row>
    <row r="93" spans="1:7" x14ac:dyDescent="0.35">
      <c r="A93" s="27"/>
      <c r="B93" t="str">
        <f>IF(Table2428[[#This Row],[Branch Name]]="","",(_xlfn.XLOOKUP(Table2428[[#This Row],[Branch Name]],'[4]Lookup Values'!G:G,'[4]Lookup Values'!I:I,0)))</f>
        <v/>
      </c>
      <c r="C93" s="27"/>
      <c r="D93" s="67"/>
      <c r="E93" s="27"/>
      <c r="F93" s="27"/>
      <c r="G93" s="27"/>
    </row>
    <row r="94" spans="1:7" x14ac:dyDescent="0.35">
      <c r="B94" t="str">
        <f>IF(Table2428[[#This Row],[Branch Name]]="","",(_xlfn.XLOOKUP(Table2428[[#This Row],[Branch Name]],'[4]Lookup Values'!G:G,'[4]Lookup Values'!I:I,0)))</f>
        <v/>
      </c>
      <c r="C94" s="27"/>
      <c r="D94" s="67"/>
      <c r="E94" s="27"/>
      <c r="F94" s="27"/>
      <c r="G94" s="27"/>
    </row>
    <row r="95" spans="1:7" x14ac:dyDescent="0.35">
      <c r="B95" t="str">
        <f>IF(Table2428[[#This Row],[Branch Name]]="","",(_xlfn.XLOOKUP(Table2428[[#This Row],[Branch Name]],'[4]Lookup Values'!G:G,'[4]Lookup Values'!I:I,0)))</f>
        <v/>
      </c>
      <c r="C95" s="27"/>
      <c r="D95" s="67"/>
      <c r="E95" s="27"/>
      <c r="F95" s="27"/>
      <c r="G95" s="27"/>
    </row>
    <row r="96" spans="1:7" x14ac:dyDescent="0.35">
      <c r="B96" t="str">
        <f>IF(Table2428[[#This Row],[Branch Name]]="","",(_xlfn.XLOOKUP(Table2428[[#This Row],[Branch Name]],'[4]Lookup Values'!G:G,'[4]Lookup Values'!I:I,0)))</f>
        <v/>
      </c>
      <c r="C96" s="27"/>
      <c r="D96" s="67"/>
      <c r="E96" s="27"/>
      <c r="F96" s="27"/>
      <c r="G96" s="27"/>
    </row>
    <row r="97" spans="2:7" x14ac:dyDescent="0.35">
      <c r="B97" t="str">
        <f>IF(Table2428[[#This Row],[Branch Name]]="","",(_xlfn.XLOOKUP(Table2428[[#This Row],[Branch Name]],'[4]Lookup Values'!G:G,'[4]Lookup Values'!I:I,0)))</f>
        <v/>
      </c>
      <c r="C97" s="27"/>
      <c r="D97" s="67"/>
      <c r="E97" s="27"/>
      <c r="F97" s="27"/>
      <c r="G97" s="27"/>
    </row>
    <row r="98" spans="2:7" x14ac:dyDescent="0.35">
      <c r="B98" t="str">
        <f>IF(Table2428[[#This Row],[Branch Name]]="","",(_xlfn.XLOOKUP(Table2428[[#This Row],[Branch Name]],'[4]Lookup Values'!G:G,'[4]Lookup Values'!I:I,0)))</f>
        <v/>
      </c>
      <c r="C98" s="27"/>
      <c r="D98" s="67"/>
      <c r="E98" s="27"/>
      <c r="F98" s="27"/>
      <c r="G98" s="27"/>
    </row>
    <row r="99" spans="2:7" x14ac:dyDescent="0.35">
      <c r="B99" t="str">
        <f>IF(Table2428[[#This Row],[Branch Name]]="","",(_xlfn.XLOOKUP(Table2428[[#This Row],[Branch Name]],'[4]Lookup Values'!G:G,'[4]Lookup Values'!I:I,0)))</f>
        <v/>
      </c>
      <c r="C99" s="27"/>
      <c r="D99" s="67"/>
      <c r="E99" s="27"/>
      <c r="F99" s="27"/>
      <c r="G99" s="27"/>
    </row>
    <row r="100" spans="2:7" x14ac:dyDescent="0.35">
      <c r="B100" t="str">
        <f>IF(Table2428[[#This Row],[Branch Name]]="","",(_xlfn.XLOOKUP(Table2428[[#This Row],[Branch Name]],'[4]Lookup Values'!G:G,'[4]Lookup Values'!I:I,0)))</f>
        <v/>
      </c>
      <c r="C100" s="27"/>
      <c r="D100" s="67"/>
      <c r="E100" s="27"/>
      <c r="F100" s="27"/>
      <c r="G100" s="27"/>
    </row>
    <row r="101" spans="2:7" x14ac:dyDescent="0.35">
      <c r="B101" t="str">
        <f>IF(Table2428[[#This Row],[Branch Name]]="","",(_xlfn.XLOOKUP(Table2428[[#This Row],[Branch Name]],'[4]Lookup Values'!G:G,'[4]Lookup Values'!I:I,0)))</f>
        <v/>
      </c>
      <c r="C101" s="27"/>
      <c r="D101" s="67"/>
      <c r="E101" s="27"/>
      <c r="F101" s="27"/>
      <c r="G101" s="27"/>
    </row>
    <row r="102" spans="2:7" x14ac:dyDescent="0.35">
      <c r="B102" t="str">
        <f>IF(Table2428[[#This Row],[Branch Name]]="","",(_xlfn.XLOOKUP(Table2428[[#This Row],[Branch Name]],'[4]Lookup Values'!G:G,'[4]Lookup Values'!I:I,0)))</f>
        <v/>
      </c>
      <c r="C102" s="27"/>
      <c r="D102" s="67"/>
      <c r="E102" s="27"/>
      <c r="F102" s="27"/>
      <c r="G102" s="27"/>
    </row>
    <row r="103" spans="2:7" x14ac:dyDescent="0.35">
      <c r="B103" t="str">
        <f>IF(Table2428[[#This Row],[Branch Name]]="","",(_xlfn.XLOOKUP(Table2428[[#This Row],[Branch Name]],'[4]Lookup Values'!G:G,'[4]Lookup Values'!I:I,0)))</f>
        <v/>
      </c>
      <c r="C103" s="27"/>
      <c r="D103" s="67"/>
      <c r="E103" s="27"/>
      <c r="F103" s="27"/>
      <c r="G103" s="27"/>
    </row>
    <row r="104" spans="2:7" x14ac:dyDescent="0.35">
      <c r="B104" t="str">
        <f>IF(Table2428[[#This Row],[Branch Name]]="","",(_xlfn.XLOOKUP(Table2428[[#This Row],[Branch Name]],'[4]Lookup Values'!G:G,'[4]Lookup Values'!I:I,0)))</f>
        <v/>
      </c>
      <c r="C104" s="27"/>
      <c r="D104" s="67"/>
      <c r="E104" s="27"/>
      <c r="F104" s="27"/>
      <c r="G104" s="27"/>
    </row>
    <row r="105" spans="2:7" x14ac:dyDescent="0.35">
      <c r="B105" t="str">
        <f>IF(Table2428[[#This Row],[Branch Name]]="","",(_xlfn.XLOOKUP(Table2428[[#This Row],[Branch Name]],'[4]Lookup Values'!G:G,'[4]Lookup Values'!I:I,0)))</f>
        <v/>
      </c>
      <c r="C105" s="27"/>
      <c r="D105" s="67"/>
      <c r="E105" s="27"/>
      <c r="F105" s="27"/>
      <c r="G105" s="27"/>
    </row>
    <row r="106" spans="2:7" x14ac:dyDescent="0.35">
      <c r="B106" t="str">
        <f>IF(Table2428[[#This Row],[Branch Name]]="","",(_xlfn.XLOOKUP(Table2428[[#This Row],[Branch Name]],'[4]Lookup Values'!G:G,'[4]Lookup Values'!I:I,0)))</f>
        <v/>
      </c>
      <c r="C106" s="27"/>
      <c r="D106" s="67"/>
      <c r="E106" s="27"/>
      <c r="F106" s="27"/>
      <c r="G106" s="27"/>
    </row>
    <row r="107" spans="2:7" x14ac:dyDescent="0.35">
      <c r="B107" t="str">
        <f>IF(Table2428[[#This Row],[Branch Name]]="","",(_xlfn.XLOOKUP(Table2428[[#This Row],[Branch Name]],'[4]Lookup Values'!G:G,'[4]Lookup Values'!I:I,0)))</f>
        <v/>
      </c>
      <c r="C107" s="27"/>
      <c r="D107" s="67"/>
      <c r="E107" s="27"/>
      <c r="F107" s="27"/>
      <c r="G107" s="27"/>
    </row>
    <row r="108" spans="2:7" x14ac:dyDescent="0.35">
      <c r="B108" t="str">
        <f>IF(Table2428[[#This Row],[Branch Name]]="","",(_xlfn.XLOOKUP(Table2428[[#This Row],[Branch Name]],'[4]Lookup Values'!G:G,'[4]Lookup Values'!I:I,0)))</f>
        <v/>
      </c>
      <c r="C108" s="27"/>
      <c r="D108" s="67"/>
      <c r="E108" s="27"/>
      <c r="F108" s="27"/>
      <c r="G108" s="27"/>
    </row>
    <row r="109" spans="2:7" x14ac:dyDescent="0.35">
      <c r="B109" t="str">
        <f>IF(Table2428[[#This Row],[Branch Name]]="","",(_xlfn.XLOOKUP(Table2428[[#This Row],[Branch Name]],'[4]Lookup Values'!G:G,'[4]Lookup Values'!I:I,0)))</f>
        <v/>
      </c>
      <c r="C109" s="27"/>
      <c r="D109" s="67"/>
      <c r="E109" s="27"/>
      <c r="F109" s="27"/>
      <c r="G109" s="27"/>
    </row>
    <row r="110" spans="2:7" x14ac:dyDescent="0.35">
      <c r="B110" t="str">
        <f>IF(Table2428[[#This Row],[Branch Name]]="","",(_xlfn.XLOOKUP(Table2428[[#This Row],[Branch Name]],'[4]Lookup Values'!G:G,'[4]Lookup Values'!I:I,0)))</f>
        <v/>
      </c>
      <c r="C110" s="27"/>
      <c r="D110" s="67"/>
      <c r="E110" s="27"/>
      <c r="F110" s="27"/>
      <c r="G110" s="27"/>
    </row>
    <row r="111" spans="2:7" x14ac:dyDescent="0.35">
      <c r="B111" t="str">
        <f>IF(Table2428[[#This Row],[Branch Name]]="","",(_xlfn.XLOOKUP(Table2428[[#This Row],[Branch Name]],'[4]Lookup Values'!G:G,'[4]Lookup Values'!I:I,0)))</f>
        <v/>
      </c>
      <c r="C111" s="27"/>
      <c r="D111" s="67"/>
      <c r="E111" s="27"/>
      <c r="F111" s="27"/>
      <c r="G111" s="27"/>
    </row>
    <row r="112" spans="2:7" x14ac:dyDescent="0.35">
      <c r="B112" t="str">
        <f>IF(Table2428[[#This Row],[Branch Name]]="","",(_xlfn.XLOOKUP(Table2428[[#This Row],[Branch Name]],'[4]Lookup Values'!G:G,'[4]Lookup Values'!I:I,0)))</f>
        <v/>
      </c>
      <c r="C112" s="27"/>
      <c r="D112" s="67"/>
      <c r="E112" s="27"/>
      <c r="F112" s="27"/>
      <c r="G112" s="27"/>
    </row>
    <row r="113" spans="1:7" x14ac:dyDescent="0.35">
      <c r="B113" t="str">
        <f>IF(Table2428[[#This Row],[Branch Name]]="","",(_xlfn.XLOOKUP(Table2428[[#This Row],[Branch Name]],'[4]Lookup Values'!G:G,'[4]Lookup Values'!I:I,0)))</f>
        <v/>
      </c>
      <c r="C113" s="27"/>
      <c r="D113" s="67"/>
      <c r="E113" s="27"/>
      <c r="F113" s="27"/>
      <c r="G113" s="27"/>
    </row>
    <row r="114" spans="1:7" x14ac:dyDescent="0.35">
      <c r="B114" t="str">
        <f>IF(Table2428[[#This Row],[Branch Name]]="","",(_xlfn.XLOOKUP(Table2428[[#This Row],[Branch Name]],'[4]Lookup Values'!G:G,'[4]Lookup Values'!I:I,0)))</f>
        <v/>
      </c>
      <c r="C114" s="27"/>
      <c r="D114" s="67"/>
      <c r="E114" s="27"/>
      <c r="F114" s="27"/>
      <c r="G114" s="27"/>
    </row>
    <row r="115" spans="1:7" x14ac:dyDescent="0.35">
      <c r="B115" t="str">
        <f>IF(Table2428[[#This Row],[Branch Name]]="","",(_xlfn.XLOOKUP(Table2428[[#This Row],[Branch Name]],'[4]Lookup Values'!G:G,'[4]Lookup Values'!I:I,0)))</f>
        <v/>
      </c>
      <c r="C115" s="27"/>
      <c r="D115" s="67"/>
      <c r="E115" s="27"/>
      <c r="F115" s="27"/>
      <c r="G115" s="27"/>
    </row>
    <row r="116" spans="1:7" x14ac:dyDescent="0.35">
      <c r="A116" s="27"/>
      <c r="B116" t="str">
        <f>IF(Table2428[[#This Row],[Branch Name]]="","",(_xlfn.XLOOKUP(Table2428[[#This Row],[Branch Name]],'[4]Lookup Values'!G:G,'[4]Lookup Values'!I:I,0)))</f>
        <v/>
      </c>
      <c r="C116" s="27"/>
      <c r="D116" s="67"/>
      <c r="E116" s="27"/>
      <c r="F116" s="27"/>
      <c r="G116" s="27"/>
    </row>
    <row r="117" spans="1:7" x14ac:dyDescent="0.35">
      <c r="B117" t="str">
        <f>IF(Table2428[[#This Row],[Branch Name]]="","",(_xlfn.XLOOKUP(Table2428[[#This Row],[Branch Name]],'[4]Lookup Values'!G:G,'[4]Lookup Values'!I:I,0)))</f>
        <v/>
      </c>
      <c r="C117" s="27"/>
      <c r="D117" s="67"/>
      <c r="E117" s="27"/>
      <c r="F117" s="27"/>
      <c r="G117" s="27"/>
    </row>
    <row r="118" spans="1:7" x14ac:dyDescent="0.35">
      <c r="B118" t="str">
        <f>IF(Table2428[[#This Row],[Branch Name]]="","",(_xlfn.XLOOKUP(Table2428[[#This Row],[Branch Name]],'[4]Lookup Values'!G:G,'[4]Lookup Values'!I:I,0)))</f>
        <v/>
      </c>
      <c r="C118" s="27"/>
      <c r="D118" s="67"/>
      <c r="E118" s="27"/>
      <c r="F118" s="27"/>
      <c r="G118" s="27"/>
    </row>
    <row r="119" spans="1:7" x14ac:dyDescent="0.35">
      <c r="A119" s="27"/>
      <c r="B119" t="str">
        <f>IF(Table2428[[#This Row],[Branch Name]]="","",(_xlfn.XLOOKUP(Table2428[[#This Row],[Branch Name]],'[4]Lookup Values'!G:G,'[4]Lookup Values'!I:I,0)))</f>
        <v/>
      </c>
      <c r="C119" s="27"/>
      <c r="D119" s="67"/>
      <c r="E119" s="27"/>
      <c r="F119" s="27"/>
      <c r="G119" s="27"/>
    </row>
    <row r="120" spans="1:7" x14ac:dyDescent="0.35">
      <c r="A120" s="27"/>
      <c r="B120" t="str">
        <f>IF(Table2428[[#This Row],[Branch Name]]="","",(_xlfn.XLOOKUP(Table2428[[#This Row],[Branch Name]],'[4]Lookup Values'!G:G,'[4]Lookup Values'!I:I,0)))</f>
        <v/>
      </c>
      <c r="C120" s="27"/>
      <c r="D120" s="67"/>
      <c r="E120" s="27"/>
      <c r="F120" s="27"/>
      <c r="G120" s="27"/>
    </row>
    <row r="121" spans="1:7" x14ac:dyDescent="0.35">
      <c r="B121" t="str">
        <f>IF(Table2428[[#This Row],[Branch Name]]="","",(_xlfn.XLOOKUP(Table2428[[#This Row],[Branch Name]],'[4]Lookup Values'!G:G,'[4]Lookup Values'!I:I,0)))</f>
        <v/>
      </c>
      <c r="C121" s="27"/>
      <c r="D121" s="67"/>
      <c r="E121" s="27"/>
      <c r="F121" s="27"/>
      <c r="G121" s="27"/>
    </row>
    <row r="122" spans="1:7" x14ac:dyDescent="0.35">
      <c r="B122" t="str">
        <f>IF(Table2428[[#This Row],[Branch Name]]="","",(_xlfn.XLOOKUP(Table2428[[#This Row],[Branch Name]],'[4]Lookup Values'!G:G,'[4]Lookup Values'!I:I,0)))</f>
        <v/>
      </c>
      <c r="C122" s="27"/>
      <c r="D122" s="67"/>
      <c r="E122" s="27"/>
      <c r="F122" s="27"/>
      <c r="G122" s="27"/>
    </row>
    <row r="123" spans="1:7" x14ac:dyDescent="0.35">
      <c r="B123" t="str">
        <f>IF(Table2428[[#This Row],[Branch Name]]="","",(_xlfn.XLOOKUP(Table2428[[#This Row],[Branch Name]],'[4]Lookup Values'!G:G,'[4]Lookup Values'!I:I,0)))</f>
        <v/>
      </c>
      <c r="C123" s="27"/>
      <c r="D123" s="67"/>
      <c r="E123" s="27"/>
      <c r="F123" s="27"/>
      <c r="G123" s="27"/>
    </row>
    <row r="124" spans="1:7" x14ac:dyDescent="0.35">
      <c r="B124" t="str">
        <f>IF(Table2428[[#This Row],[Branch Name]]="","",(_xlfn.XLOOKUP(Table2428[[#This Row],[Branch Name]],'[4]Lookup Values'!G:G,'[4]Lookup Values'!I:I,0)))</f>
        <v/>
      </c>
      <c r="C124" s="27"/>
      <c r="D124" s="67"/>
      <c r="E124" s="27"/>
      <c r="F124" s="27"/>
      <c r="G124" s="27"/>
    </row>
    <row r="125" spans="1:7" x14ac:dyDescent="0.35">
      <c r="B125" t="str">
        <f>IF(Table2428[[#This Row],[Branch Name]]="","",(_xlfn.XLOOKUP(Table2428[[#This Row],[Branch Name]],'[4]Lookup Values'!G:G,'[4]Lookup Values'!I:I,0)))</f>
        <v/>
      </c>
      <c r="C125" s="27"/>
      <c r="D125" s="67"/>
      <c r="E125" s="27"/>
      <c r="F125" s="27"/>
      <c r="G125" s="27"/>
    </row>
    <row r="126" spans="1:7" x14ac:dyDescent="0.35">
      <c r="A126" s="27"/>
      <c r="B126" t="str">
        <f>IF(Table2428[[#This Row],[Branch Name]]="","",(_xlfn.XLOOKUP(Table2428[[#This Row],[Branch Name]],'[4]Lookup Values'!G:G,'[4]Lookup Values'!I:I,0)))</f>
        <v/>
      </c>
      <c r="C126" s="27"/>
      <c r="D126" s="67"/>
      <c r="E126" s="27"/>
      <c r="F126" s="27"/>
      <c r="G126" s="27"/>
    </row>
    <row r="127" spans="1:7" x14ac:dyDescent="0.35">
      <c r="A127" s="27"/>
      <c r="B127" t="str">
        <f>IF(Table2428[[#This Row],[Branch Name]]="","",(_xlfn.XLOOKUP(Table2428[[#This Row],[Branch Name]],'[4]Lookup Values'!G:G,'[4]Lookup Values'!I:I,0)))</f>
        <v/>
      </c>
      <c r="C127" s="27"/>
      <c r="D127" s="67"/>
      <c r="E127" s="27"/>
      <c r="F127" s="27"/>
      <c r="G127" s="27"/>
    </row>
    <row r="128" spans="1:7" x14ac:dyDescent="0.35">
      <c r="A128" s="27"/>
      <c r="B128" t="str">
        <f>IF(Table2428[[#This Row],[Branch Name]]="","",(_xlfn.XLOOKUP(Table2428[[#This Row],[Branch Name]],'[4]Lookup Values'!G:G,'[4]Lookup Values'!I:I,0)))</f>
        <v/>
      </c>
      <c r="C128" s="27"/>
      <c r="D128" s="67"/>
      <c r="E128" s="27"/>
      <c r="F128" s="27"/>
      <c r="G128" s="27"/>
    </row>
    <row r="129" spans="1:7" x14ac:dyDescent="0.35">
      <c r="B129" t="str">
        <f>IF(Table2428[[#This Row],[Branch Name]]="","",(_xlfn.XLOOKUP(Table2428[[#This Row],[Branch Name]],'[4]Lookup Values'!G:G,'[4]Lookup Values'!I:I,0)))</f>
        <v/>
      </c>
      <c r="G129" s="25"/>
    </row>
    <row r="130" spans="1:7" x14ac:dyDescent="0.35">
      <c r="B130" t="str">
        <f>IF(Table2428[[#This Row],[Branch Name]]="","",(_xlfn.XLOOKUP(Table2428[[#This Row],[Branch Name]],'[4]Lookup Values'!G:G,'[4]Lookup Values'!I:I,0)))</f>
        <v/>
      </c>
    </row>
    <row r="131" spans="1:7" x14ac:dyDescent="0.35">
      <c r="A131" s="27"/>
      <c r="B131" t="str">
        <f>IF(Table2428[[#This Row],[Branch Name]]="","",(_xlfn.XLOOKUP(Table2428[[#This Row],[Branch Name]],'[4]Lookup Values'!G:G,'[4]Lookup Values'!I:I,0)))</f>
        <v/>
      </c>
      <c r="C131" s="27"/>
      <c r="D131" s="67"/>
      <c r="E131" s="27"/>
      <c r="F131" s="27"/>
      <c r="G131" s="29"/>
    </row>
    <row r="132" spans="1:7" x14ac:dyDescent="0.35">
      <c r="A132" s="27"/>
      <c r="B132" t="str">
        <f>IF(Table2428[[#This Row],[Branch Name]]="","",(_xlfn.XLOOKUP(Table2428[[#This Row],[Branch Name]],'[4]Lookup Values'!G:G,'[4]Lookup Values'!I:I,0)))</f>
        <v/>
      </c>
      <c r="C132" s="27"/>
      <c r="D132" s="67"/>
      <c r="E132" s="27"/>
      <c r="F132" s="27"/>
      <c r="G132" s="27"/>
    </row>
    <row r="133" spans="1:7" x14ac:dyDescent="0.35">
      <c r="A133" s="27"/>
      <c r="B133" t="str">
        <f>IF(Table2428[[#This Row],[Branch Name]]="","",(_xlfn.XLOOKUP(Table2428[[#This Row],[Branch Name]],'[4]Lookup Values'!G:G,'[4]Lookup Values'!I:I,0)))</f>
        <v/>
      </c>
      <c r="C133" s="27"/>
      <c r="D133" s="67"/>
      <c r="E133" s="27"/>
      <c r="F133" s="27"/>
      <c r="G133" s="27"/>
    </row>
    <row r="134" spans="1:7" x14ac:dyDescent="0.35">
      <c r="B134" t="str">
        <f>IF(Table2428[[#This Row],[Branch Name]]="","",(_xlfn.XLOOKUP(Table2428[[#This Row],[Branch Name]],'[4]Lookup Values'!G:G,'[4]Lookup Values'!I:I,0)))</f>
        <v/>
      </c>
    </row>
    <row r="135" spans="1:7" x14ac:dyDescent="0.35">
      <c r="A135" s="27"/>
      <c r="B135" t="str">
        <f>IF(Table2428[[#This Row],[Branch Name]]="","",(_xlfn.XLOOKUP(Table2428[[#This Row],[Branch Name]],'[4]Lookup Values'!G:G,'[4]Lookup Values'!I:I,0)))</f>
        <v/>
      </c>
      <c r="C135" s="27"/>
      <c r="D135" s="67"/>
      <c r="E135" s="27"/>
      <c r="F135" s="27"/>
      <c r="G135" s="27"/>
    </row>
    <row r="136" spans="1:7" x14ac:dyDescent="0.35">
      <c r="B136" t="str">
        <f>IF(Table2428[[#This Row],[Branch Name]]="","",(_xlfn.XLOOKUP(Table2428[[#This Row],[Branch Name]],'[4]Lookup Values'!G:G,'[4]Lookup Values'!I:I,0)))</f>
        <v/>
      </c>
    </row>
    <row r="137" spans="1:7" x14ac:dyDescent="0.35">
      <c r="B137" t="str">
        <f>IF(Table2428[[#This Row],[Branch Name]]="","",(_xlfn.XLOOKUP(Table2428[[#This Row],[Branch Name]],'[4]Lookup Values'!G:G,'[4]Lookup Values'!I:I,0)))</f>
        <v/>
      </c>
    </row>
    <row r="138" spans="1:7" x14ac:dyDescent="0.35">
      <c r="B138" t="str">
        <f>IF(Table2428[[#This Row],[Branch Name]]="","",(_xlfn.XLOOKUP(Table2428[[#This Row],[Branch Name]],'[4]Lookup Values'!G:G,'[4]Lookup Values'!I:I,0)))</f>
        <v/>
      </c>
    </row>
    <row r="139" spans="1:7" x14ac:dyDescent="0.35">
      <c r="B139" t="str">
        <f>IF(Table2428[[#This Row],[Branch Name]]="","",(_xlfn.XLOOKUP(Table2428[[#This Row],[Branch Name]],'[4]Lookup Values'!G:G,'[4]Lookup Values'!I:I,0)))</f>
        <v/>
      </c>
    </row>
    <row r="140" spans="1:7" x14ac:dyDescent="0.35">
      <c r="B140" t="str">
        <f>IF(Table2428[[#This Row],[Branch Name]]="","",(_xlfn.XLOOKUP(Table2428[[#This Row],[Branch Name]],'[4]Lookup Values'!G:G,'[4]Lookup Values'!I:I,0)))</f>
        <v/>
      </c>
    </row>
    <row r="141" spans="1:7" x14ac:dyDescent="0.35">
      <c r="B141" t="str">
        <f>IF(Table2428[[#This Row],[Branch Name]]="","",(_xlfn.XLOOKUP(Table2428[[#This Row],[Branch Name]],'[4]Lookup Values'!G:G,'[4]Lookup Values'!I:I,0)))</f>
        <v/>
      </c>
    </row>
    <row r="142" spans="1:7" x14ac:dyDescent="0.35">
      <c r="B142" t="str">
        <f>IF(Table2428[[#This Row],[Branch Name]]="","",(_xlfn.XLOOKUP(Table2428[[#This Row],[Branch Name]],'[4]Lookup Values'!G:G,'[4]Lookup Values'!I:I,0)))</f>
        <v/>
      </c>
    </row>
    <row r="143" spans="1:7" x14ac:dyDescent="0.35">
      <c r="B143" t="str">
        <f>IF(Table2428[[#This Row],[Branch Name]]="","",(_xlfn.XLOOKUP(Table2428[[#This Row],[Branch Name]],'[4]Lookup Values'!G:G,'[4]Lookup Values'!I:I,0)))</f>
        <v/>
      </c>
    </row>
    <row r="144" spans="1:7" x14ac:dyDescent="0.35">
      <c r="B144" t="str">
        <f>IF(Table2428[[#This Row],[Branch Name]]="","",(_xlfn.XLOOKUP(Table2428[[#This Row],[Branch Name]],'[4]Lookup Values'!G:G,'[4]Lookup Values'!I:I,0)))</f>
        <v/>
      </c>
    </row>
    <row r="145" spans="2:2" x14ac:dyDescent="0.35">
      <c r="B145" t="str">
        <f>IF(Table2428[[#This Row],[Branch Name]]="","",(_xlfn.XLOOKUP(Table2428[[#This Row],[Branch Name]],'[4]Lookup Values'!G:G,'[4]Lookup Values'!I:I,0)))</f>
        <v/>
      </c>
    </row>
    <row r="146" spans="2:2" x14ac:dyDescent="0.35">
      <c r="B146" t="str">
        <f>IF(Table2428[[#This Row],[Branch Name]]="","",(_xlfn.XLOOKUP(Table2428[[#This Row],[Branch Name]],'[4]Lookup Values'!G:G,'[4]Lookup Values'!I:I,0)))</f>
        <v/>
      </c>
    </row>
    <row r="147" spans="2:2" x14ac:dyDescent="0.35">
      <c r="B147" t="str">
        <f>IF(Table2428[[#This Row],[Branch Name]]="","",(_xlfn.XLOOKUP(Table2428[[#This Row],[Branch Name]],'[4]Lookup Values'!G:G,'[4]Lookup Values'!I:I,0)))</f>
        <v/>
      </c>
    </row>
    <row r="148" spans="2:2" x14ac:dyDescent="0.35">
      <c r="B148" t="str">
        <f>IF(Table2428[[#This Row],[Branch Name]]="","",(_xlfn.XLOOKUP(Table2428[[#This Row],[Branch Name]],'[4]Lookup Values'!G:G,'[4]Lookup Values'!I:I,0)))</f>
        <v/>
      </c>
    </row>
    <row r="149" spans="2:2" x14ac:dyDescent="0.35">
      <c r="B149" t="str">
        <f>IF(Table2428[[#This Row],[Branch Name]]="","",(_xlfn.XLOOKUP(Table2428[[#This Row],[Branch Name]],'[4]Lookup Values'!G:G,'[4]Lookup Values'!I:I,0)))</f>
        <v/>
      </c>
    </row>
    <row r="150" spans="2:2" x14ac:dyDescent="0.35">
      <c r="B150" t="str">
        <f>IF(Table2428[[#This Row],[Branch Name]]="","",(_xlfn.XLOOKUP(Table2428[[#This Row],[Branch Name]],'[4]Lookup Values'!G:G,'[4]Lookup Values'!I:I,0)))</f>
        <v/>
      </c>
    </row>
    <row r="151" spans="2:2" x14ac:dyDescent="0.35">
      <c r="B151" t="str">
        <f>IF(Table2428[[#This Row],[Branch Name]]="","",(_xlfn.XLOOKUP(Table2428[[#This Row],[Branch Name]],'[4]Lookup Values'!G:G,'[4]Lookup Values'!I:I,0)))</f>
        <v/>
      </c>
    </row>
    <row r="152" spans="2:2" x14ac:dyDescent="0.35">
      <c r="B152" t="str">
        <f>IF(Table2428[[#This Row],[Branch Name]]="","",(_xlfn.XLOOKUP(Table2428[[#This Row],[Branch Name]],'[4]Lookup Values'!G:G,'[4]Lookup Values'!I:I,0)))</f>
        <v/>
      </c>
    </row>
    <row r="153" spans="2:2" x14ac:dyDescent="0.35">
      <c r="B153" t="str">
        <f>IF(Table2428[[#This Row],[Branch Name]]="","",(_xlfn.XLOOKUP(Table2428[[#This Row],[Branch Name]],'[4]Lookup Values'!G:G,'[4]Lookup Values'!I:I,0)))</f>
        <v/>
      </c>
    </row>
    <row r="154" spans="2:2" x14ac:dyDescent="0.35">
      <c r="B154" t="str">
        <f>IF(Table2428[[#This Row],[Branch Name]]="","",(_xlfn.XLOOKUP(Table2428[[#This Row],[Branch Name]],'[4]Lookup Values'!G:G,'[4]Lookup Values'!I:I,0)))</f>
        <v/>
      </c>
    </row>
    <row r="155" spans="2:2" x14ac:dyDescent="0.35">
      <c r="B155" t="str">
        <f>IF(Table2428[[#This Row],[Branch Name]]="","",(_xlfn.XLOOKUP(Table2428[[#This Row],[Branch Name]],'[4]Lookup Values'!G:G,'[4]Lookup Values'!I:I,0)))</f>
        <v/>
      </c>
    </row>
    <row r="156" spans="2:2" x14ac:dyDescent="0.35">
      <c r="B156" t="str">
        <f>IF(Table2428[[#This Row],[Branch Name]]="","",(_xlfn.XLOOKUP(Table2428[[#This Row],[Branch Name]],'[4]Lookup Values'!G:G,'[4]Lookup Values'!I:I,0)))</f>
        <v/>
      </c>
    </row>
    <row r="157" spans="2:2" x14ac:dyDescent="0.35">
      <c r="B157" t="str">
        <f>IF(Table2428[[#This Row],[Branch Name]]="","",(_xlfn.XLOOKUP(Table2428[[#This Row],[Branch Name]],'[4]Lookup Values'!G:G,'[4]Lookup Values'!I:I,0)))</f>
        <v/>
      </c>
    </row>
    <row r="158" spans="2:2" x14ac:dyDescent="0.35">
      <c r="B158" t="str">
        <f>IF(Table2428[[#This Row],[Branch Name]]="","",(_xlfn.XLOOKUP(Table2428[[#This Row],[Branch Name]],'[4]Lookup Values'!G:G,'[4]Lookup Values'!I:I,0)))</f>
        <v/>
      </c>
    </row>
    <row r="159" spans="2:2" x14ac:dyDescent="0.35">
      <c r="B159" t="str">
        <f>IF(Table2428[[#This Row],[Branch Name]]="","",(_xlfn.XLOOKUP(Table2428[[#This Row],[Branch Name]],'[4]Lookup Values'!G:G,'[4]Lookup Values'!I:I,0)))</f>
        <v/>
      </c>
    </row>
    <row r="160" spans="2:2" x14ac:dyDescent="0.35">
      <c r="B160" t="str">
        <f>IF(Table2428[[#This Row],[Branch Name]]="","",(_xlfn.XLOOKUP(Table2428[[#This Row],[Branch Name]],'[4]Lookup Values'!G:G,'[4]Lookup Values'!I:I,0)))</f>
        <v/>
      </c>
    </row>
    <row r="161" spans="2:2" x14ac:dyDescent="0.35">
      <c r="B161" t="str">
        <f>IF(Table2428[[#This Row],[Branch Name]]="","",(_xlfn.XLOOKUP(Table2428[[#This Row],[Branch Name]],'[4]Lookup Values'!G:G,'[4]Lookup Values'!I:I,0)))</f>
        <v/>
      </c>
    </row>
    <row r="162" spans="2:2" x14ac:dyDescent="0.35">
      <c r="B162" t="str">
        <f>IF(Table2428[[#This Row],[Branch Name]]="","",(_xlfn.XLOOKUP(Table2428[[#This Row],[Branch Name]],'[4]Lookup Values'!G:G,'[4]Lookup Values'!I:I,0)))</f>
        <v/>
      </c>
    </row>
    <row r="163" spans="2:2" x14ac:dyDescent="0.35">
      <c r="B163" t="str">
        <f>IF(Table2428[[#This Row],[Branch Name]]="","",(_xlfn.XLOOKUP(Table2428[[#This Row],[Branch Name]],'[4]Lookup Values'!G:G,'[4]Lookup Values'!I:I,0)))</f>
        <v/>
      </c>
    </row>
    <row r="164" spans="2:2" x14ac:dyDescent="0.35">
      <c r="B164" t="str">
        <f>IF(Table2428[[#This Row],[Branch Name]]="","",(_xlfn.XLOOKUP(Table2428[[#This Row],[Branch Name]],'[4]Lookup Values'!G:G,'[4]Lookup Values'!I:I,0)))</f>
        <v/>
      </c>
    </row>
    <row r="165" spans="2:2" x14ac:dyDescent="0.35">
      <c r="B165" t="str">
        <f>IF(Table2428[[#This Row],[Branch Name]]="","",(_xlfn.XLOOKUP(Table2428[[#This Row],[Branch Name]],'[4]Lookup Values'!G:G,'[4]Lookup Values'!I:I,0)))</f>
        <v/>
      </c>
    </row>
    <row r="166" spans="2:2" x14ac:dyDescent="0.35">
      <c r="B166" t="str">
        <f>IF(Table2428[[#This Row],[Branch Name]]="","",(_xlfn.XLOOKUP(Table2428[[#This Row],[Branch Name]],'[4]Lookup Values'!G:G,'[4]Lookup Values'!I:I,0)))</f>
        <v/>
      </c>
    </row>
    <row r="167" spans="2:2" x14ac:dyDescent="0.35">
      <c r="B167" t="str">
        <f>IF(Table2428[[#This Row],[Branch Name]]="","",(_xlfn.XLOOKUP(Table2428[[#This Row],[Branch Name]],'[4]Lookup Values'!G:G,'[4]Lookup Values'!I:I,0)))</f>
        <v/>
      </c>
    </row>
    <row r="168" spans="2:2" x14ac:dyDescent="0.35">
      <c r="B168" t="str">
        <f>IF(Table2428[[#This Row],[Branch Name]]="","",(_xlfn.XLOOKUP(Table2428[[#This Row],[Branch Name]],'[4]Lookup Values'!G:G,'[4]Lookup Values'!I:I,0)))</f>
        <v/>
      </c>
    </row>
    <row r="169" spans="2:2" x14ac:dyDescent="0.35">
      <c r="B169" t="str">
        <f>IF(Table2428[[#This Row],[Branch Name]]="","",(_xlfn.XLOOKUP(Table2428[[#This Row],[Branch Name]],'[4]Lookup Values'!G:G,'[4]Lookup Values'!I:I,0)))</f>
        <v/>
      </c>
    </row>
    <row r="170" spans="2:2" x14ac:dyDescent="0.35">
      <c r="B170" t="str">
        <f>IF(Table2428[[#This Row],[Branch Name]]="","",(_xlfn.XLOOKUP(Table2428[[#This Row],[Branch Name]],'[4]Lookup Values'!G:G,'[4]Lookup Values'!I:I,0)))</f>
        <v/>
      </c>
    </row>
    <row r="171" spans="2:2" x14ac:dyDescent="0.35">
      <c r="B171" t="str">
        <f>IF(Table2428[[#This Row],[Branch Name]]="","",(_xlfn.XLOOKUP(Table2428[[#This Row],[Branch Name]],'[4]Lookup Values'!G:G,'[4]Lookup Values'!I:I,0)))</f>
        <v/>
      </c>
    </row>
    <row r="172" spans="2:2" x14ac:dyDescent="0.35">
      <c r="B172" t="str">
        <f>IF(Table2428[[#This Row],[Branch Name]]="","",(_xlfn.XLOOKUP(Table2428[[#This Row],[Branch Name]],'[4]Lookup Values'!G:G,'[4]Lookup Values'!I:I,0)))</f>
        <v/>
      </c>
    </row>
    <row r="173" spans="2:2" x14ac:dyDescent="0.35">
      <c r="B173" t="str">
        <f>IF(Table2428[[#This Row],[Branch Name]]="","",(_xlfn.XLOOKUP(Table2428[[#This Row],[Branch Name]],'[4]Lookup Values'!G:G,'[4]Lookup Values'!I:I,0)))</f>
        <v/>
      </c>
    </row>
    <row r="174" spans="2:2" x14ac:dyDescent="0.35">
      <c r="B174" t="str">
        <f>IF(Table2428[[#This Row],[Branch Name]]="","",(_xlfn.XLOOKUP(Table2428[[#This Row],[Branch Name]],'[4]Lookup Values'!G:G,'[4]Lookup Values'!I:I,0)))</f>
        <v/>
      </c>
    </row>
    <row r="175" spans="2:2" x14ac:dyDescent="0.35">
      <c r="B175" t="str">
        <f>IF(Table2428[[#This Row],[Branch Name]]="","",(_xlfn.XLOOKUP(Table2428[[#This Row],[Branch Name]],'[4]Lookup Values'!G:G,'[4]Lookup Values'!I:I,0)))</f>
        <v/>
      </c>
    </row>
    <row r="176" spans="2:2" x14ac:dyDescent="0.35">
      <c r="B176" t="str">
        <f>IF(Table2428[[#This Row],[Branch Name]]="","",(_xlfn.XLOOKUP(Table2428[[#This Row],[Branch Name]],'[4]Lookup Values'!G:G,'[4]Lookup Values'!I:I,0)))</f>
        <v/>
      </c>
    </row>
    <row r="177" spans="2:2" x14ac:dyDescent="0.35">
      <c r="B177" t="str">
        <f>IF(Table2428[[#This Row],[Branch Name]]="","",(_xlfn.XLOOKUP(Table2428[[#This Row],[Branch Name]],'[4]Lookup Values'!G:G,'[4]Lookup Values'!I:I,0)))</f>
        <v/>
      </c>
    </row>
    <row r="178" spans="2:2" x14ac:dyDescent="0.35">
      <c r="B178" t="str">
        <f>IF(Table2428[[#This Row],[Branch Name]]="","",(_xlfn.XLOOKUP(Table2428[[#This Row],[Branch Name]],'[4]Lookup Values'!G:G,'[4]Lookup Values'!I:I,0)))</f>
        <v/>
      </c>
    </row>
    <row r="179" spans="2:2" x14ac:dyDescent="0.35">
      <c r="B179" t="str">
        <f>IF(Table2428[[#This Row],[Branch Name]]="","",(_xlfn.XLOOKUP(Table2428[[#This Row],[Branch Name]],'[4]Lookup Values'!G:G,'[4]Lookup Values'!I:I,0)))</f>
        <v/>
      </c>
    </row>
    <row r="180" spans="2:2" x14ac:dyDescent="0.35">
      <c r="B180" t="str">
        <f>IF(Table2428[[#This Row],[Branch Name]]="","",(_xlfn.XLOOKUP(Table2428[[#This Row],[Branch Name]],'[4]Lookup Values'!G:G,'[4]Lookup Values'!I:I,0)))</f>
        <v/>
      </c>
    </row>
    <row r="181" spans="2:2" x14ac:dyDescent="0.35">
      <c r="B181" t="str">
        <f>IF(Table2428[[#This Row],[Branch Name]]="","",(_xlfn.XLOOKUP(Table2428[[#This Row],[Branch Name]],'[4]Lookup Values'!G:G,'[4]Lookup Values'!I:I,0)))</f>
        <v/>
      </c>
    </row>
    <row r="182" spans="2:2" x14ac:dyDescent="0.35">
      <c r="B182" t="str">
        <f>IF(Table2428[[#This Row],[Branch Name]]="","",(_xlfn.XLOOKUP(Table2428[[#This Row],[Branch Name]],'[4]Lookup Values'!G:G,'[4]Lookup Values'!I:I,0)))</f>
        <v/>
      </c>
    </row>
    <row r="183" spans="2:2" x14ac:dyDescent="0.35">
      <c r="B183" t="str">
        <f>IF(Table2428[[#This Row],[Branch Name]]="","",(_xlfn.XLOOKUP(Table2428[[#This Row],[Branch Name]],'[4]Lookup Values'!G:G,'[4]Lookup Values'!I:I,0)))</f>
        <v/>
      </c>
    </row>
    <row r="184" spans="2:2" x14ac:dyDescent="0.35">
      <c r="B184" t="str">
        <f>IF(Table2428[[#This Row],[Branch Name]]="","",(_xlfn.XLOOKUP(Table2428[[#This Row],[Branch Name]],'[4]Lookup Values'!G:G,'[4]Lookup Values'!I:I,0)))</f>
        <v/>
      </c>
    </row>
    <row r="185" spans="2:2" x14ac:dyDescent="0.35">
      <c r="B185" t="str">
        <f>IF(Table2428[[#This Row],[Branch Name]]="","",(_xlfn.XLOOKUP(Table2428[[#This Row],[Branch Name]],'[4]Lookup Values'!G:G,'[4]Lookup Values'!I:I,0)))</f>
        <v/>
      </c>
    </row>
    <row r="186" spans="2:2" x14ac:dyDescent="0.35">
      <c r="B186" t="str">
        <f>IF(Table2428[[#This Row],[Branch Name]]="","",(_xlfn.XLOOKUP(Table2428[[#This Row],[Branch Name]],'[4]Lookup Values'!G:G,'[4]Lookup Values'!I:I,0)))</f>
        <v/>
      </c>
    </row>
    <row r="187" spans="2:2" x14ac:dyDescent="0.35">
      <c r="B187" t="str">
        <f>IF(Table2428[[#This Row],[Branch Name]]="","",(_xlfn.XLOOKUP(Table2428[[#This Row],[Branch Name]],'[4]Lookup Values'!G:G,'[4]Lookup Values'!I:I,0)))</f>
        <v/>
      </c>
    </row>
    <row r="188" spans="2:2" x14ac:dyDescent="0.35">
      <c r="B188" t="str">
        <f>IF(Table2428[[#This Row],[Branch Name]]="","",(_xlfn.XLOOKUP(Table2428[[#This Row],[Branch Name]],'[4]Lookup Values'!G:G,'[4]Lookup Values'!I:I,0)))</f>
        <v/>
      </c>
    </row>
    <row r="189" spans="2:2" x14ac:dyDescent="0.35">
      <c r="B189" t="str">
        <f>IF(Table2428[[#This Row],[Branch Name]]="","",(_xlfn.XLOOKUP(Table2428[[#This Row],[Branch Name]],'[4]Lookup Values'!G:G,'[4]Lookup Values'!I:I,0)))</f>
        <v/>
      </c>
    </row>
    <row r="190" spans="2:2" x14ac:dyDescent="0.35">
      <c r="B190" t="str">
        <f>IF(Table2428[[#This Row],[Branch Name]]="","",(_xlfn.XLOOKUP(Table2428[[#This Row],[Branch Name]],'[4]Lookup Values'!G:G,'[4]Lookup Values'!I:I,0)))</f>
        <v/>
      </c>
    </row>
    <row r="191" spans="2:2" x14ac:dyDescent="0.35">
      <c r="B191" t="str">
        <f>IF(Table2428[[#This Row],[Branch Name]]="","",(_xlfn.XLOOKUP(Table2428[[#This Row],[Branch Name]],'[4]Lookup Values'!G:G,'[4]Lookup Values'!I:I,0)))</f>
        <v/>
      </c>
    </row>
    <row r="192" spans="2:2" x14ac:dyDescent="0.35">
      <c r="B192" t="str">
        <f>IF(Table2428[[#This Row],[Branch Name]]="","",(_xlfn.XLOOKUP(Table2428[[#This Row],[Branch Name]],'[4]Lookup Values'!G:G,'[4]Lookup Values'!I:I,0)))</f>
        <v/>
      </c>
    </row>
    <row r="193" spans="2:2" x14ac:dyDescent="0.35">
      <c r="B193" t="str">
        <f>IF(Table2428[[#This Row],[Branch Name]]="","",(_xlfn.XLOOKUP(Table2428[[#This Row],[Branch Name]],'[4]Lookup Values'!G:G,'[4]Lookup Values'!I:I,0)))</f>
        <v/>
      </c>
    </row>
    <row r="194" spans="2:2" x14ac:dyDescent="0.35">
      <c r="B194" t="str">
        <f>IF(Table2428[[#This Row],[Branch Name]]="","",(_xlfn.XLOOKUP(Table2428[[#This Row],[Branch Name]],'[4]Lookup Values'!G:G,'[4]Lookup Values'!I:I,0)))</f>
        <v/>
      </c>
    </row>
    <row r="195" spans="2:2" x14ac:dyDescent="0.35">
      <c r="B195" t="str">
        <f>IF(Table2428[[#This Row],[Branch Name]]="","",(_xlfn.XLOOKUP(Table2428[[#This Row],[Branch Name]],'[4]Lookup Values'!G:G,'[4]Lookup Values'!I:I,0)))</f>
        <v/>
      </c>
    </row>
    <row r="196" spans="2:2" x14ac:dyDescent="0.35">
      <c r="B196" t="str">
        <f>IF(Table2428[[#This Row],[Branch Name]]="","",(_xlfn.XLOOKUP(Table2428[[#This Row],[Branch Name]],'[4]Lookup Values'!G:G,'[4]Lookup Values'!I:I,0)))</f>
        <v/>
      </c>
    </row>
    <row r="197" spans="2:2" x14ac:dyDescent="0.35">
      <c r="B197" t="str">
        <f>IF(Table2428[[#This Row],[Branch Name]]="","",(_xlfn.XLOOKUP(Table2428[[#This Row],[Branch Name]],'[4]Lookup Values'!G:G,'[4]Lookup Values'!I:I,0)))</f>
        <v/>
      </c>
    </row>
    <row r="198" spans="2:2" x14ac:dyDescent="0.35">
      <c r="B198" t="str">
        <f>IF(Table2428[[#This Row],[Branch Name]]="","",(_xlfn.XLOOKUP(Table2428[[#This Row],[Branch Name]],'[4]Lookup Values'!G:G,'[4]Lookup Values'!I:I,0)))</f>
        <v/>
      </c>
    </row>
    <row r="199" spans="2:2" x14ac:dyDescent="0.35">
      <c r="B199" t="str">
        <f>IF(Table2428[[#This Row],[Branch Name]]="","",(_xlfn.XLOOKUP(Table2428[[#This Row],[Branch Name]],'[4]Lookup Values'!G:G,'[4]Lookup Values'!I:I,0)))</f>
        <v/>
      </c>
    </row>
    <row r="200" spans="2:2" x14ac:dyDescent="0.35">
      <c r="B200" t="str">
        <f>IF(Table2428[[#This Row],[Branch Name]]="","",(_xlfn.XLOOKUP(Table2428[[#This Row],[Branch Name]],'[4]Lookup Values'!G:G,'[4]Lookup Values'!I:I,0)))</f>
        <v/>
      </c>
    </row>
    <row r="201" spans="2:2" x14ac:dyDescent="0.35">
      <c r="B201" t="str">
        <f>IF(Table2428[[#This Row],[Branch Name]]="","",(_xlfn.XLOOKUP(Table2428[[#This Row],[Branch Name]],'[4]Lookup Values'!G:G,'[4]Lookup Values'!I:I,0)))</f>
        <v/>
      </c>
    </row>
    <row r="202" spans="2:2" x14ac:dyDescent="0.35">
      <c r="B202" t="str">
        <f>IF(Table2428[[#This Row],[Branch Name]]="","",(_xlfn.XLOOKUP(Table2428[[#This Row],[Branch Name]],'[4]Lookup Values'!G:G,'[4]Lookup Values'!I:I,0)))</f>
        <v/>
      </c>
    </row>
    <row r="203" spans="2:2" x14ac:dyDescent="0.35">
      <c r="B203" t="str">
        <f>IF(Table2428[[#This Row],[Branch Name]]="","",(_xlfn.XLOOKUP(Table2428[[#This Row],[Branch Name]],'[4]Lookup Values'!G:G,'[4]Lookup Values'!I:I,0)))</f>
        <v/>
      </c>
    </row>
    <row r="204" spans="2:2" x14ac:dyDescent="0.35">
      <c r="B204" t="str">
        <f>IF(Table2428[[#This Row],[Branch Name]]="","",(_xlfn.XLOOKUP(Table2428[[#This Row],[Branch Name]],'[4]Lookup Values'!G:G,'[4]Lookup Values'!I:I,0)))</f>
        <v/>
      </c>
    </row>
    <row r="205" spans="2:2" x14ac:dyDescent="0.35">
      <c r="B205" t="str">
        <f>IF(Table2428[[#This Row],[Branch Name]]="","",(_xlfn.XLOOKUP(Table2428[[#This Row],[Branch Name]],'[4]Lookup Values'!G:G,'[4]Lookup Values'!I:I,0)))</f>
        <v/>
      </c>
    </row>
    <row r="206" spans="2:2" x14ac:dyDescent="0.35">
      <c r="B206" t="str">
        <f>IF(Table2428[[#This Row],[Branch Name]]="","",(_xlfn.XLOOKUP(Table2428[[#This Row],[Branch Name]],'[4]Lookup Values'!G:G,'[4]Lookup Values'!I:I,0)))</f>
        <v/>
      </c>
    </row>
    <row r="207" spans="2:2" x14ac:dyDescent="0.35">
      <c r="B207" t="str">
        <f>IF(Table2428[[#This Row],[Branch Name]]="","",(_xlfn.XLOOKUP(Table2428[[#This Row],[Branch Name]],'[4]Lookup Values'!G:G,'[4]Lookup Values'!I:I,0)))</f>
        <v/>
      </c>
    </row>
    <row r="208" spans="2:2" x14ac:dyDescent="0.35">
      <c r="B208" t="str">
        <f>IF(Table2428[[#This Row],[Branch Name]]="","",(_xlfn.XLOOKUP(Table2428[[#This Row],[Branch Name]],'[4]Lookup Values'!G:G,'[4]Lookup Values'!I:I,0)))</f>
        <v/>
      </c>
    </row>
    <row r="209" spans="2:2" x14ac:dyDescent="0.35">
      <c r="B209" t="str">
        <f>IF(Table2428[[#This Row],[Branch Name]]="","",(_xlfn.XLOOKUP(Table2428[[#This Row],[Branch Name]],'[4]Lookup Values'!G:G,'[4]Lookup Values'!I:I,0)))</f>
        <v/>
      </c>
    </row>
    <row r="210" spans="2:2" x14ac:dyDescent="0.35">
      <c r="B210" t="str">
        <f>IF(Table2428[[#This Row],[Branch Name]]="","",(_xlfn.XLOOKUP(Table2428[[#This Row],[Branch Name]],'[4]Lookup Values'!G:G,'[4]Lookup Values'!I:I,0)))</f>
        <v/>
      </c>
    </row>
    <row r="211" spans="2:2" x14ac:dyDescent="0.35">
      <c r="B211" t="str">
        <f>IF(Table2428[[#This Row],[Branch Name]]="","",(_xlfn.XLOOKUP(Table2428[[#This Row],[Branch Name]],'[4]Lookup Values'!G:G,'[4]Lookup Values'!I:I,0)))</f>
        <v/>
      </c>
    </row>
    <row r="212" spans="2:2" x14ac:dyDescent="0.35">
      <c r="B212" t="str">
        <f>IF(Table2428[[#This Row],[Branch Name]]="","",(_xlfn.XLOOKUP(Table2428[[#This Row],[Branch Name]],'[4]Lookup Values'!G:G,'[4]Lookup Values'!I:I,0)))</f>
        <v/>
      </c>
    </row>
    <row r="213" spans="2:2" x14ac:dyDescent="0.35">
      <c r="B213" t="str">
        <f>IF(Table2428[[#This Row],[Branch Name]]="","",(_xlfn.XLOOKUP(Table2428[[#This Row],[Branch Name]],'[4]Lookup Values'!G:G,'[4]Lookup Values'!I:I,0)))</f>
        <v/>
      </c>
    </row>
    <row r="214" spans="2:2" x14ac:dyDescent="0.35">
      <c r="B214" t="str">
        <f>IF(Table2428[[#This Row],[Branch Name]]="","",(_xlfn.XLOOKUP(Table2428[[#This Row],[Branch Name]],'[4]Lookup Values'!G:G,'[4]Lookup Values'!I:I,0)))</f>
        <v/>
      </c>
    </row>
    <row r="215" spans="2:2" x14ac:dyDescent="0.35">
      <c r="B215" t="str">
        <f>IF(Table2428[[#This Row],[Branch Name]]="","",(_xlfn.XLOOKUP(Table2428[[#This Row],[Branch Name]],'[4]Lookup Values'!G:G,'[4]Lookup Values'!I:I,0)))</f>
        <v/>
      </c>
    </row>
    <row r="216" spans="2:2" x14ac:dyDescent="0.35">
      <c r="B216" t="str">
        <f>IF(Table2428[[#This Row],[Branch Name]]="","",(_xlfn.XLOOKUP(Table2428[[#This Row],[Branch Name]],'[4]Lookup Values'!G:G,'[4]Lookup Values'!I:I,0)))</f>
        <v/>
      </c>
    </row>
    <row r="217" spans="2:2" x14ac:dyDescent="0.35">
      <c r="B217" t="str">
        <f>IF(Table2428[[#This Row],[Branch Name]]="","",(_xlfn.XLOOKUP(Table2428[[#This Row],[Branch Name]],'[4]Lookup Values'!G:G,'[4]Lookup Values'!I:I,0)))</f>
        <v/>
      </c>
    </row>
    <row r="218" spans="2:2" x14ac:dyDescent="0.35">
      <c r="B218" t="str">
        <f>IF(Table2428[[#This Row],[Branch Name]]="","",(_xlfn.XLOOKUP(Table2428[[#This Row],[Branch Name]],'[4]Lookup Values'!G:G,'[4]Lookup Values'!I:I,0)))</f>
        <v/>
      </c>
    </row>
    <row r="219" spans="2:2" x14ac:dyDescent="0.35">
      <c r="B219" t="str">
        <f>IF(Table2428[[#This Row],[Branch Name]]="","",(_xlfn.XLOOKUP(Table2428[[#This Row],[Branch Name]],'[4]Lookup Values'!G:G,'[4]Lookup Values'!I:I,0)))</f>
        <v/>
      </c>
    </row>
    <row r="220" spans="2:2" x14ac:dyDescent="0.35">
      <c r="B220" t="str">
        <f>IF(Table2428[[#This Row],[Branch Name]]="","",(_xlfn.XLOOKUP(Table2428[[#This Row],[Branch Name]],'[4]Lookup Values'!G:G,'[4]Lookup Values'!I:I,0)))</f>
        <v/>
      </c>
    </row>
    <row r="221" spans="2:2" x14ac:dyDescent="0.35">
      <c r="B221" t="str">
        <f>IF(Table2428[[#This Row],[Branch Name]]="","",(_xlfn.XLOOKUP(Table2428[[#This Row],[Branch Name]],'[4]Lookup Values'!G:G,'[4]Lookup Values'!I:I,0)))</f>
        <v/>
      </c>
    </row>
    <row r="222" spans="2:2" x14ac:dyDescent="0.35">
      <c r="B222" t="str">
        <f>IF(Table2428[[#This Row],[Branch Name]]="","",(_xlfn.XLOOKUP(Table2428[[#This Row],[Branch Name]],'[4]Lookup Values'!G:G,'[4]Lookup Values'!I:I,0)))</f>
        <v/>
      </c>
    </row>
    <row r="223" spans="2:2" x14ac:dyDescent="0.35">
      <c r="B223" t="str">
        <f>IF(Table2428[[#This Row],[Branch Name]]="","",(_xlfn.XLOOKUP(Table2428[[#This Row],[Branch Name]],'[4]Lookup Values'!G:G,'[4]Lookup Values'!I:I,0)))</f>
        <v/>
      </c>
    </row>
    <row r="224" spans="2:2" x14ac:dyDescent="0.35">
      <c r="B224" t="str">
        <f>IF(Table2428[[#This Row],[Branch Name]]="","",(_xlfn.XLOOKUP(Table2428[[#This Row],[Branch Name]],'[4]Lookup Values'!G:G,'[4]Lookup Values'!I:I,0)))</f>
        <v/>
      </c>
    </row>
    <row r="225" spans="2:2" x14ac:dyDescent="0.35">
      <c r="B225" t="str">
        <f>IF(Table2428[[#This Row],[Branch Name]]="","",(_xlfn.XLOOKUP(Table2428[[#This Row],[Branch Name]],'[4]Lookup Values'!G:G,'[4]Lookup Values'!I:I,0)))</f>
        <v/>
      </c>
    </row>
    <row r="226" spans="2:2" x14ac:dyDescent="0.35">
      <c r="B226" t="str">
        <f>IF(Table2428[[#This Row],[Branch Name]]="","",(_xlfn.XLOOKUP(Table2428[[#This Row],[Branch Name]],'[4]Lookup Values'!G:G,'[4]Lookup Values'!I:I,0)))</f>
        <v/>
      </c>
    </row>
    <row r="227" spans="2:2" x14ac:dyDescent="0.35">
      <c r="B227" t="str">
        <f>IF(Table2428[[#This Row],[Branch Name]]="","",(_xlfn.XLOOKUP(Table2428[[#This Row],[Branch Name]],'[4]Lookup Values'!G:G,'[4]Lookup Values'!I:I,0)))</f>
        <v/>
      </c>
    </row>
    <row r="228" spans="2:2" x14ac:dyDescent="0.35">
      <c r="B228" t="str">
        <f>IF(Table2428[[#This Row],[Branch Name]]="","",(_xlfn.XLOOKUP(Table2428[[#This Row],[Branch Name]],'[4]Lookup Values'!G:G,'[4]Lookup Values'!I:I,0)))</f>
        <v/>
      </c>
    </row>
    <row r="229" spans="2:2" x14ac:dyDescent="0.35">
      <c r="B229" t="str">
        <f>IF(Table2428[[#This Row],[Branch Name]]="","",(_xlfn.XLOOKUP(Table2428[[#This Row],[Branch Name]],'[4]Lookup Values'!G:G,'[4]Lookup Values'!I:I,0)))</f>
        <v/>
      </c>
    </row>
    <row r="230" spans="2:2" x14ac:dyDescent="0.35">
      <c r="B230" t="str">
        <f>IF(Table2428[[#This Row],[Branch Name]]="","",(_xlfn.XLOOKUP(Table2428[[#This Row],[Branch Name]],'[4]Lookup Values'!G:G,'[4]Lookup Values'!I:I,0)))</f>
        <v/>
      </c>
    </row>
    <row r="231" spans="2:2" x14ac:dyDescent="0.35">
      <c r="B231" t="str">
        <f>IF(Table2428[[#This Row],[Branch Name]]="","",(_xlfn.XLOOKUP(Table2428[[#This Row],[Branch Name]],'[4]Lookup Values'!G:G,'[4]Lookup Values'!I:I,0)))</f>
        <v/>
      </c>
    </row>
    <row r="232" spans="2:2" x14ac:dyDescent="0.35">
      <c r="B232" t="str">
        <f>IF(Table2428[[#This Row],[Branch Name]]="","",(_xlfn.XLOOKUP(Table2428[[#This Row],[Branch Name]],'[4]Lookup Values'!G:G,'[4]Lookup Values'!I:I,0)))</f>
        <v/>
      </c>
    </row>
    <row r="233" spans="2:2" x14ac:dyDescent="0.35">
      <c r="B233" t="str">
        <f>IF(Table2428[[#This Row],[Branch Name]]="","",(_xlfn.XLOOKUP(Table2428[[#This Row],[Branch Name]],'[4]Lookup Values'!G:G,'[4]Lookup Values'!I:I,0)))</f>
        <v/>
      </c>
    </row>
    <row r="234" spans="2:2" x14ac:dyDescent="0.35">
      <c r="B234" t="str">
        <f>IF(Table2428[[#This Row],[Branch Name]]="","",(_xlfn.XLOOKUP(Table2428[[#This Row],[Branch Name]],'[4]Lookup Values'!G:G,'[4]Lookup Values'!I:I,0)))</f>
        <v/>
      </c>
    </row>
    <row r="235" spans="2:2" x14ac:dyDescent="0.35">
      <c r="B235" t="str">
        <f>IF(Table2428[[#This Row],[Branch Name]]="","",(_xlfn.XLOOKUP(Table2428[[#This Row],[Branch Name]],'[4]Lookup Values'!G:G,'[4]Lookup Values'!I:I,0)))</f>
        <v/>
      </c>
    </row>
    <row r="236" spans="2:2" x14ac:dyDescent="0.35">
      <c r="B236" t="str">
        <f>IF(Table2428[[#This Row],[Branch Name]]="","",(_xlfn.XLOOKUP(Table2428[[#This Row],[Branch Name]],'[4]Lookup Values'!G:G,'[4]Lookup Values'!I:I,0)))</f>
        <v/>
      </c>
    </row>
    <row r="237" spans="2:2" x14ac:dyDescent="0.35">
      <c r="B237" t="str">
        <f>IF(Table2428[[#This Row],[Branch Name]]="","",(_xlfn.XLOOKUP(Table2428[[#This Row],[Branch Name]],'[4]Lookup Values'!G:G,'[4]Lookup Values'!I:I,0)))</f>
        <v/>
      </c>
    </row>
    <row r="238" spans="2:2" x14ac:dyDescent="0.35">
      <c r="B238" t="str">
        <f>IF(Table2428[[#This Row],[Branch Name]]="","",(_xlfn.XLOOKUP(Table2428[[#This Row],[Branch Name]],'[4]Lookup Values'!G:G,'[4]Lookup Values'!I:I,0)))</f>
        <v/>
      </c>
    </row>
    <row r="239" spans="2:2" x14ac:dyDescent="0.35">
      <c r="B239" t="str">
        <f>IF(Table2428[[#This Row],[Branch Name]]="","",(_xlfn.XLOOKUP(Table2428[[#This Row],[Branch Name]],'[4]Lookup Values'!G:G,'[4]Lookup Values'!I:I,0)))</f>
        <v/>
      </c>
    </row>
    <row r="240" spans="2:2" x14ac:dyDescent="0.35">
      <c r="B240" t="str">
        <f>IF(Table2428[[#This Row],[Branch Name]]="","",(_xlfn.XLOOKUP(Table2428[[#This Row],[Branch Name]],'[4]Lookup Values'!G:G,'[4]Lookup Values'!I:I,0)))</f>
        <v/>
      </c>
    </row>
    <row r="241" spans="2:2" x14ac:dyDescent="0.35">
      <c r="B241" t="str">
        <f>IF(Table2428[[#This Row],[Branch Name]]="","",(_xlfn.XLOOKUP(Table2428[[#This Row],[Branch Name]],'[4]Lookup Values'!G:G,'[4]Lookup Values'!I:I,0)))</f>
        <v/>
      </c>
    </row>
    <row r="242" spans="2:2" x14ac:dyDescent="0.35">
      <c r="B242" t="str">
        <f>IF(Table2428[[#This Row],[Branch Name]]="","",(_xlfn.XLOOKUP(Table2428[[#This Row],[Branch Name]],'[4]Lookup Values'!G:G,'[4]Lookup Values'!I:I,0)))</f>
        <v/>
      </c>
    </row>
    <row r="243" spans="2:2" x14ac:dyDescent="0.35">
      <c r="B243" t="str">
        <f>IF(Table2428[[#This Row],[Branch Name]]="","",(_xlfn.XLOOKUP(Table2428[[#This Row],[Branch Name]],'[4]Lookup Values'!G:G,'[4]Lookup Values'!I:I,0)))</f>
        <v/>
      </c>
    </row>
    <row r="244" spans="2:2" x14ac:dyDescent="0.35">
      <c r="B244" t="str">
        <f>IF(Table2428[[#This Row],[Branch Name]]="","",(_xlfn.XLOOKUP(Table2428[[#This Row],[Branch Name]],'[4]Lookup Values'!G:G,'[4]Lookup Values'!I:I,0)))</f>
        <v/>
      </c>
    </row>
    <row r="245" spans="2:2" x14ac:dyDescent="0.35">
      <c r="B245" t="str">
        <f>IF(Table2428[[#This Row],[Branch Name]]="","",(_xlfn.XLOOKUP(Table2428[[#This Row],[Branch Name]],'[4]Lookup Values'!G:G,'[4]Lookup Values'!I:I,0)))</f>
        <v/>
      </c>
    </row>
    <row r="246" spans="2:2" x14ac:dyDescent="0.35">
      <c r="B246" t="str">
        <f>IF(Table2428[[#This Row],[Branch Name]]="","",(_xlfn.XLOOKUP(Table2428[[#This Row],[Branch Name]],'[4]Lookup Values'!G:G,'[4]Lookup Values'!I:I,0)))</f>
        <v/>
      </c>
    </row>
    <row r="247" spans="2:2" x14ac:dyDescent="0.35">
      <c r="B247" t="str">
        <f>IF(Table2428[[#This Row],[Branch Name]]="","",(_xlfn.XLOOKUP(Table2428[[#This Row],[Branch Name]],'[4]Lookup Values'!G:G,'[4]Lookup Values'!I:I,0)))</f>
        <v/>
      </c>
    </row>
    <row r="248" spans="2:2" x14ac:dyDescent="0.35">
      <c r="B248" t="str">
        <f>IF(Table2428[[#This Row],[Branch Name]]="","",(_xlfn.XLOOKUP(Table2428[[#This Row],[Branch Name]],'[4]Lookup Values'!G:G,'[4]Lookup Values'!I:I,0)))</f>
        <v/>
      </c>
    </row>
    <row r="249" spans="2:2" x14ac:dyDescent="0.35">
      <c r="B249" t="str">
        <f>IF(Table2428[[#This Row],[Branch Name]]="","",(_xlfn.XLOOKUP(Table2428[[#This Row],[Branch Name]],'[4]Lookup Values'!G:G,'[4]Lookup Values'!I:I,0)))</f>
        <v/>
      </c>
    </row>
    <row r="250" spans="2:2" x14ac:dyDescent="0.35">
      <c r="B250" t="str">
        <f>IF(Table2428[[#This Row],[Branch Name]]="","",(_xlfn.XLOOKUP(Table2428[[#This Row],[Branch Name]],'[4]Lookup Values'!G:G,'[4]Lookup Values'!I:I,0)))</f>
        <v/>
      </c>
    </row>
    <row r="251" spans="2:2" x14ac:dyDescent="0.35">
      <c r="B251" t="str">
        <f>IF(Table2428[[#This Row],[Branch Name]]="","",(_xlfn.XLOOKUP(Table2428[[#This Row],[Branch Name]],'[4]Lookup Values'!G:G,'[4]Lookup Values'!I:I,0)))</f>
        <v/>
      </c>
    </row>
    <row r="252" spans="2:2" x14ac:dyDescent="0.35">
      <c r="B252" t="str">
        <f>IF(Table2428[[#This Row],[Branch Name]]="","",(_xlfn.XLOOKUP(Table2428[[#This Row],[Branch Name]],'[4]Lookup Values'!G:G,'[4]Lookup Values'!I:I,0)))</f>
        <v/>
      </c>
    </row>
    <row r="253" spans="2:2" x14ac:dyDescent="0.35">
      <c r="B253" t="str">
        <f>IF(Table2428[[#This Row],[Branch Name]]="","",(_xlfn.XLOOKUP(Table2428[[#This Row],[Branch Name]],'[4]Lookup Values'!G:G,'[4]Lookup Values'!I:I,0)))</f>
        <v/>
      </c>
    </row>
    <row r="254" spans="2:2" x14ac:dyDescent="0.35">
      <c r="B254" t="str">
        <f>IF(Table2428[[#This Row],[Branch Name]]="","",(_xlfn.XLOOKUP(Table2428[[#This Row],[Branch Name]],'[4]Lookup Values'!G:G,'[4]Lookup Values'!I:I,0)))</f>
        <v/>
      </c>
    </row>
    <row r="255" spans="2:2" x14ac:dyDescent="0.35">
      <c r="B255" t="str">
        <f>IF(Table2428[[#This Row],[Branch Name]]="","",(_xlfn.XLOOKUP(Table2428[[#This Row],[Branch Name]],'[4]Lookup Values'!G:G,'[4]Lookup Values'!I:I,0)))</f>
        <v/>
      </c>
    </row>
    <row r="256" spans="2:2" x14ac:dyDescent="0.35">
      <c r="B256" t="str">
        <f>IF(Table2428[[#This Row],[Branch Name]]="","",(_xlfn.XLOOKUP(Table2428[[#This Row],[Branch Name]],'[4]Lookup Values'!G:G,'[4]Lookup Values'!I:I,0)))</f>
        <v/>
      </c>
    </row>
    <row r="257" spans="2:2" x14ac:dyDescent="0.35">
      <c r="B257" t="str">
        <f>IF(Table2428[[#This Row],[Branch Name]]="","",(_xlfn.XLOOKUP(Table2428[[#This Row],[Branch Name]],'[4]Lookup Values'!G:G,'[4]Lookup Values'!I:I,0)))</f>
        <v/>
      </c>
    </row>
    <row r="258" spans="2:2" x14ac:dyDescent="0.35">
      <c r="B258" t="str">
        <f>IF(Table2428[[#This Row],[Branch Name]]="","",(_xlfn.XLOOKUP(Table2428[[#This Row],[Branch Name]],'[4]Lookup Values'!G:G,'[4]Lookup Values'!I:I,0)))</f>
        <v/>
      </c>
    </row>
    <row r="259" spans="2:2" x14ac:dyDescent="0.35">
      <c r="B259" t="str">
        <f>IF(Table2428[[#This Row],[Branch Name]]="","",(_xlfn.XLOOKUP(Table2428[[#This Row],[Branch Name]],'[4]Lookup Values'!G:G,'[4]Lookup Values'!I:I,0)))</f>
        <v/>
      </c>
    </row>
    <row r="260" spans="2:2" x14ac:dyDescent="0.35">
      <c r="B260" t="str">
        <f>IF(Table2428[[#This Row],[Branch Name]]="","",(_xlfn.XLOOKUP(Table2428[[#This Row],[Branch Name]],'[4]Lookup Values'!G:G,'[4]Lookup Values'!I:I,0)))</f>
        <v/>
      </c>
    </row>
    <row r="261" spans="2:2" x14ac:dyDescent="0.35">
      <c r="B261" t="str">
        <f>IF(Table2428[[#This Row],[Branch Name]]="","",(_xlfn.XLOOKUP(Table2428[[#This Row],[Branch Name]],'[4]Lookup Values'!G:G,'[4]Lookup Values'!I:I,0)))</f>
        <v/>
      </c>
    </row>
    <row r="262" spans="2:2" x14ac:dyDescent="0.35">
      <c r="B262" t="str">
        <f>IF(Table2428[[#This Row],[Branch Name]]="","",(_xlfn.XLOOKUP(Table2428[[#This Row],[Branch Name]],'[4]Lookup Values'!G:G,'[4]Lookup Values'!I:I,0)))</f>
        <v/>
      </c>
    </row>
    <row r="263" spans="2:2" x14ac:dyDescent="0.35">
      <c r="B263" t="str">
        <f>IF(Table2428[[#This Row],[Branch Name]]="","",(_xlfn.XLOOKUP(Table2428[[#This Row],[Branch Name]],'[4]Lookup Values'!G:G,'[4]Lookup Values'!I:I,0)))</f>
        <v/>
      </c>
    </row>
    <row r="264" spans="2:2" x14ac:dyDescent="0.35">
      <c r="B264" t="str">
        <f>IF(Table2428[[#This Row],[Branch Name]]="","",(_xlfn.XLOOKUP(Table2428[[#This Row],[Branch Name]],'[4]Lookup Values'!G:G,'[4]Lookup Values'!I:I,0)))</f>
        <v/>
      </c>
    </row>
    <row r="265" spans="2:2" x14ac:dyDescent="0.35">
      <c r="B265" t="str">
        <f>IF(Table2428[[#This Row],[Branch Name]]="","",(_xlfn.XLOOKUP(Table2428[[#This Row],[Branch Name]],'[4]Lookup Values'!G:G,'[4]Lookup Values'!I:I,0)))</f>
        <v/>
      </c>
    </row>
    <row r="266" spans="2:2" x14ac:dyDescent="0.35">
      <c r="B266" t="str">
        <f>IF(Table2428[[#This Row],[Branch Name]]="","",(_xlfn.XLOOKUP(Table2428[[#This Row],[Branch Name]],'[4]Lookup Values'!G:G,'[4]Lookup Values'!I:I,0)))</f>
        <v/>
      </c>
    </row>
    <row r="267" spans="2:2" x14ac:dyDescent="0.35">
      <c r="B267" t="str">
        <f>IF(Table2428[[#This Row],[Branch Name]]="","",(_xlfn.XLOOKUP(Table2428[[#This Row],[Branch Name]],'[4]Lookup Values'!G:G,'[4]Lookup Values'!I:I,0)))</f>
        <v/>
      </c>
    </row>
    <row r="268" spans="2:2" x14ac:dyDescent="0.35">
      <c r="B268" t="str">
        <f>IF(Table2428[[#This Row],[Branch Name]]="","",(_xlfn.XLOOKUP(Table2428[[#This Row],[Branch Name]],'[4]Lookup Values'!G:G,'[4]Lookup Values'!I:I,0)))</f>
        <v/>
      </c>
    </row>
    <row r="269" spans="2:2" x14ac:dyDescent="0.35">
      <c r="B269" t="str">
        <f>IF(Table2428[[#This Row],[Branch Name]]="","",(_xlfn.XLOOKUP(Table2428[[#This Row],[Branch Name]],'[4]Lookup Values'!G:G,'[4]Lookup Values'!I:I,0)))</f>
        <v/>
      </c>
    </row>
    <row r="270" spans="2:2" x14ac:dyDescent="0.35">
      <c r="B270" t="str">
        <f>IF(Table2428[[#This Row],[Branch Name]]="","",(_xlfn.XLOOKUP(Table2428[[#This Row],[Branch Name]],'[4]Lookup Values'!G:G,'[4]Lookup Values'!I:I,0)))</f>
        <v/>
      </c>
    </row>
    <row r="271" spans="2:2" x14ac:dyDescent="0.35">
      <c r="B271" t="str">
        <f>IF(Table2428[[#This Row],[Branch Name]]="","",(_xlfn.XLOOKUP(Table2428[[#This Row],[Branch Name]],'[4]Lookup Values'!G:G,'[4]Lookup Values'!I:I,0)))</f>
        <v/>
      </c>
    </row>
    <row r="272" spans="2:2" x14ac:dyDescent="0.35">
      <c r="B272" t="str">
        <f>IF(Table2428[[#This Row],[Branch Name]]="","",(_xlfn.XLOOKUP(Table2428[[#This Row],[Branch Name]],'[4]Lookup Values'!G:G,'[4]Lookup Values'!I:I,0)))</f>
        <v/>
      </c>
    </row>
    <row r="273" spans="1:4" x14ac:dyDescent="0.35">
      <c r="B273" t="str">
        <f>IF(Table2428[[#This Row],[Branch Name]]="","",(_xlfn.XLOOKUP(Table2428[[#This Row],[Branch Name]],'[4]Lookup Values'!G:G,'[4]Lookup Values'!I:I,0)))</f>
        <v/>
      </c>
    </row>
    <row r="274" spans="1:4" x14ac:dyDescent="0.35">
      <c r="B274" t="str">
        <f>IF(Table2428[[#This Row],[Branch Name]]="","",(_xlfn.XLOOKUP(Table2428[[#This Row],[Branch Name]],'[4]Lookup Values'!G:G,'[4]Lookup Values'!I:I,0)))</f>
        <v/>
      </c>
    </row>
    <row r="275" spans="1:4" x14ac:dyDescent="0.35">
      <c r="B275" t="str">
        <f>IF(Table2428[[#This Row],[Branch Name]]="","",(_xlfn.XLOOKUP(Table2428[[#This Row],[Branch Name]],'[4]Lookup Values'!G:G,'[4]Lookup Values'!I:I,0)))</f>
        <v/>
      </c>
    </row>
    <row r="276" spans="1:4" x14ac:dyDescent="0.35">
      <c r="B276" t="str">
        <f>IF(Table2428[[#This Row],[Branch Name]]="","",(_xlfn.XLOOKUP(Table2428[[#This Row],[Branch Name]],'[4]Lookup Values'!G:G,'[4]Lookup Values'!I:I,0)))</f>
        <v/>
      </c>
    </row>
    <row r="277" spans="1:4" x14ac:dyDescent="0.35">
      <c r="B277" t="str">
        <f>IF(Table2428[[#This Row],[Branch Name]]="","",(_xlfn.XLOOKUP(Table2428[[#This Row],[Branch Name]],'[4]Lookup Values'!G:G,'[4]Lookup Values'!I:I,0)))</f>
        <v/>
      </c>
    </row>
    <row r="278" spans="1:4" x14ac:dyDescent="0.35">
      <c r="B278" t="str">
        <f>IF(Table2428[[#This Row],[Branch Name]]="","",(_xlfn.XLOOKUP(Table2428[[#This Row],[Branch Name]],'[4]Lookup Values'!G:G,'[4]Lookup Values'!I:I,0)))</f>
        <v/>
      </c>
    </row>
    <row r="279" spans="1:4" x14ac:dyDescent="0.35">
      <c r="A279" t="str">
        <f>IF(Table2428[[#This Row],[Branch Name]]="","",(_xlfn.XLOOKUP(Table2428[[#This Row],[Branch Name]],'[4]Lookup Values'!G:G,'[4]Lookup Values'!H:H,0)))</f>
        <v/>
      </c>
      <c r="B279" t="str">
        <f>IF(Table2428[[#This Row],[Branch Name]]="","",(_xlfn.XLOOKUP(Table2428[[#This Row],[Branch Name]],'[4]Lookup Values'!G:G,'[4]Lookup Values'!I:I,0)))</f>
        <v/>
      </c>
      <c r="C279" t="str">
        <f>IF(Table2428[[#This Row],[Journal Description (Service Description)]]="","",1)</f>
        <v/>
      </c>
      <c r="D279" s="65" t="str">
        <f>IF(Table2428[[#This Row],[Journal Description (Service Description)]]="","",VLOOKUP(Table2428[[#This Row],[Journal Description (Service Description)]],'[4]Lookup Values'!$A:$B,2,FALSE))</f>
        <v/>
      </c>
    </row>
    <row r="280" spans="1:4" x14ac:dyDescent="0.35">
      <c r="A280" t="str">
        <f>IF(Table2428[[#This Row],[Branch Name]]="","",(_xlfn.XLOOKUP(Table2428[[#This Row],[Branch Name]],'[4]Lookup Values'!G:G,'[4]Lookup Values'!H:H,0)))</f>
        <v/>
      </c>
      <c r="B280" t="str">
        <f>IF(Table2428[[#This Row],[Branch Name]]="","",(_xlfn.XLOOKUP(Table2428[[#This Row],[Branch Name]],'[4]Lookup Values'!G:G,'[4]Lookup Values'!I:I,0)))</f>
        <v/>
      </c>
      <c r="C280" t="str">
        <f>IF(Table2428[[#This Row],[Journal Description (Service Description)]]="","",1)</f>
        <v/>
      </c>
      <c r="D280" s="65" t="str">
        <f>IF(Table2428[[#This Row],[Journal Description (Service Description)]]="","",VLOOKUP(Table2428[[#This Row],[Journal Description (Service Description)]],'[4]Lookup Values'!$A:$B,2,FALSE))</f>
        <v/>
      </c>
    </row>
    <row r="281" spans="1:4" x14ac:dyDescent="0.35">
      <c r="A281" t="str">
        <f>IF(Table2428[[#This Row],[Branch Name]]="","",(_xlfn.XLOOKUP(Table2428[[#This Row],[Branch Name]],'[4]Lookup Values'!G:G,'[4]Lookup Values'!H:H,0)))</f>
        <v/>
      </c>
      <c r="B281" t="str">
        <f>IF(Table2428[[#This Row],[Branch Name]]="","",(_xlfn.XLOOKUP(Table2428[[#This Row],[Branch Name]],'[4]Lookup Values'!G:G,'[4]Lookup Values'!I:I,0)))</f>
        <v/>
      </c>
      <c r="C281" t="str">
        <f>IF(Table2428[[#This Row],[Journal Description (Service Description)]]="","",1)</f>
        <v/>
      </c>
      <c r="D281" s="65" t="str">
        <f>IF(Table2428[[#This Row],[Journal Description (Service Description)]]="","",VLOOKUP(Table2428[[#This Row],[Journal Description (Service Description)]],'[4]Lookup Values'!$A:$B,2,FALSE))</f>
        <v/>
      </c>
    </row>
    <row r="282" spans="1:4" x14ac:dyDescent="0.35">
      <c r="A282" t="str">
        <f>IF(Table2428[[#This Row],[Branch Name]]="","",(_xlfn.XLOOKUP(Table2428[[#This Row],[Branch Name]],'[4]Lookup Values'!G:G,'[4]Lookup Values'!H:H,0)))</f>
        <v/>
      </c>
      <c r="B282" t="str">
        <f>IF(Table2428[[#This Row],[Branch Name]]="","",(_xlfn.XLOOKUP(Table2428[[#This Row],[Branch Name]],'[4]Lookup Values'!G:G,'[4]Lookup Values'!I:I,0)))</f>
        <v/>
      </c>
      <c r="C282" t="str">
        <f>IF(Table2428[[#This Row],[Journal Description (Service Description)]]="","",1)</f>
        <v/>
      </c>
      <c r="D282" s="65" t="str">
        <f>IF(Table2428[[#This Row],[Journal Description (Service Description)]]="","",VLOOKUP(Table2428[[#This Row],[Journal Description (Service Description)]],'[4]Lookup Values'!$A:$B,2,FALSE))</f>
        <v/>
      </c>
    </row>
    <row r="283" spans="1:4" x14ac:dyDescent="0.35">
      <c r="A283" t="str">
        <f>IF(Table2428[[#This Row],[Branch Name]]="","",(_xlfn.XLOOKUP(Table2428[[#This Row],[Branch Name]],'[4]Lookup Values'!G:G,'[4]Lookup Values'!H:H,0)))</f>
        <v/>
      </c>
      <c r="B283" t="str">
        <f>IF(Table2428[[#This Row],[Branch Name]]="","",(_xlfn.XLOOKUP(Table2428[[#This Row],[Branch Name]],'[4]Lookup Values'!G:G,'[4]Lookup Values'!I:I,0)))</f>
        <v/>
      </c>
      <c r="C283" t="str">
        <f>IF(Table2428[[#This Row],[Journal Description (Service Description)]]="","",1)</f>
        <v/>
      </c>
      <c r="D283" s="65" t="str">
        <f>IF(Table2428[[#This Row],[Journal Description (Service Description)]]="","",VLOOKUP(Table2428[[#This Row],[Journal Description (Service Description)]],'[4]Lookup Values'!$A:$B,2,FALSE))</f>
        <v/>
      </c>
    </row>
    <row r="284" spans="1:4" x14ac:dyDescent="0.35">
      <c r="A284" t="str">
        <f>IF(Table2428[[#This Row],[Branch Name]]="","",(_xlfn.XLOOKUP(Table2428[[#This Row],[Branch Name]],'[4]Lookup Values'!G:G,'[4]Lookup Values'!H:H,0)))</f>
        <v/>
      </c>
      <c r="B284" t="str">
        <f>IF(Table2428[[#This Row],[Branch Name]]="","",(_xlfn.XLOOKUP(Table2428[[#This Row],[Branch Name]],'[4]Lookup Values'!G:G,'[4]Lookup Values'!I:I,0)))</f>
        <v/>
      </c>
      <c r="C284" t="str">
        <f>IF(Table2428[[#This Row],[Journal Description (Service Description)]]="","",1)</f>
        <v/>
      </c>
      <c r="D284" s="65" t="str">
        <f>IF(Table2428[[#This Row],[Journal Description (Service Description)]]="","",VLOOKUP(Table2428[[#This Row],[Journal Description (Service Description)]],'[4]Lookup Values'!$A:$B,2,FALSE))</f>
        <v/>
      </c>
    </row>
    <row r="285" spans="1:4" x14ac:dyDescent="0.35">
      <c r="A285" t="str">
        <f>IF(Table2428[[#This Row],[Branch Name]]="","",(_xlfn.XLOOKUP(Table2428[[#This Row],[Branch Name]],'[4]Lookup Values'!G:G,'[4]Lookup Values'!H:H,0)))</f>
        <v/>
      </c>
      <c r="B285" t="str">
        <f>IF(Table2428[[#This Row],[Branch Name]]="","",(_xlfn.XLOOKUP(Table2428[[#This Row],[Branch Name]],'[4]Lookup Values'!G:G,'[4]Lookup Values'!I:I,0)))</f>
        <v/>
      </c>
      <c r="C285" t="str">
        <f>IF(Table2428[[#This Row],[Journal Description (Service Description)]]="","",1)</f>
        <v/>
      </c>
      <c r="D285" s="65" t="str">
        <f>IF(Table2428[[#This Row],[Journal Description (Service Description)]]="","",VLOOKUP(Table2428[[#This Row],[Journal Description (Service Description)]],'[4]Lookup Values'!$A:$B,2,FALSE))</f>
        <v/>
      </c>
    </row>
    <row r="286" spans="1:4" x14ac:dyDescent="0.35">
      <c r="A286" t="str">
        <f>IF(Table2428[[#This Row],[Branch Name]]="","",(_xlfn.XLOOKUP(Table2428[[#This Row],[Branch Name]],'[4]Lookup Values'!G:G,'[4]Lookup Values'!H:H,0)))</f>
        <v/>
      </c>
      <c r="B286" t="str">
        <f>IF(Table2428[[#This Row],[Branch Name]]="","",(_xlfn.XLOOKUP(Table2428[[#This Row],[Branch Name]],'[4]Lookup Values'!G:G,'[4]Lookup Values'!I:I,0)))</f>
        <v/>
      </c>
      <c r="C286" t="str">
        <f>IF(Table2428[[#This Row],[Journal Description (Service Description)]]="","",1)</f>
        <v/>
      </c>
      <c r="D286" s="65" t="str">
        <f>IF(Table2428[[#This Row],[Journal Description (Service Description)]]="","",VLOOKUP(Table2428[[#This Row],[Journal Description (Service Description)]],'[4]Lookup Values'!$A:$B,2,FALSE))</f>
        <v/>
      </c>
    </row>
    <row r="287" spans="1:4" x14ac:dyDescent="0.35">
      <c r="A287" t="str">
        <f>IF(Table2428[[#This Row],[Branch Name]]="","",(_xlfn.XLOOKUP(Table2428[[#This Row],[Branch Name]],'[4]Lookup Values'!G:G,'[4]Lookup Values'!H:H,0)))</f>
        <v/>
      </c>
      <c r="B287" t="str">
        <f>IF(Table2428[[#This Row],[Branch Name]]="","",(_xlfn.XLOOKUP(Table2428[[#This Row],[Branch Name]],'[4]Lookup Values'!G:G,'[4]Lookup Values'!I:I,0)))</f>
        <v/>
      </c>
      <c r="C287" t="str">
        <f>IF(Table2428[[#This Row],[Journal Description (Service Description)]]="","",1)</f>
        <v/>
      </c>
      <c r="D287" s="65" t="str">
        <f>IF(Table2428[[#This Row],[Journal Description (Service Description)]]="","",VLOOKUP(Table2428[[#This Row],[Journal Description (Service Description)]],'[4]Lookup Values'!$A:$B,2,FALSE))</f>
        <v/>
      </c>
    </row>
    <row r="288" spans="1:4" x14ac:dyDescent="0.35">
      <c r="A288" t="str">
        <f>IF(Table2428[[#This Row],[Branch Name]]="","",(_xlfn.XLOOKUP(Table2428[[#This Row],[Branch Name]],'[4]Lookup Values'!G:G,'[4]Lookup Values'!H:H,0)))</f>
        <v/>
      </c>
      <c r="B288" t="str">
        <f>IF(Table2428[[#This Row],[Branch Name]]="","",(_xlfn.XLOOKUP(Table2428[[#This Row],[Branch Name]],'[4]Lookup Values'!G:G,'[4]Lookup Values'!I:I,0)))</f>
        <v/>
      </c>
      <c r="C288" t="str">
        <f>IF(Table2428[[#This Row],[Journal Description (Service Description)]]="","",1)</f>
        <v/>
      </c>
      <c r="D288" s="65" t="str">
        <f>IF(Table2428[[#This Row],[Journal Description (Service Description)]]="","",VLOOKUP(Table2428[[#This Row],[Journal Description (Service Description)]],'[4]Lookup Values'!$A:$B,2,FALSE))</f>
        <v/>
      </c>
    </row>
    <row r="289" spans="1:4" x14ac:dyDescent="0.35">
      <c r="A289" t="str">
        <f>IF(Table2428[[#This Row],[Branch Name]]="","",(_xlfn.XLOOKUP(Table2428[[#This Row],[Branch Name]],'[4]Lookup Values'!G:G,'[4]Lookup Values'!H:H,0)))</f>
        <v/>
      </c>
      <c r="B289" t="str">
        <f>IF(Table2428[[#This Row],[Branch Name]]="","",(_xlfn.XLOOKUP(Table2428[[#This Row],[Branch Name]],'[4]Lookup Values'!G:G,'[4]Lookup Values'!I:I,0)))</f>
        <v/>
      </c>
      <c r="C289" t="str">
        <f>IF(Table2428[[#This Row],[Journal Description (Service Description)]]="","",1)</f>
        <v/>
      </c>
      <c r="D289" s="65" t="str">
        <f>IF(Table2428[[#This Row],[Journal Description (Service Description)]]="","",VLOOKUP(Table2428[[#This Row],[Journal Description (Service Description)]],'[4]Lookup Values'!$A:$B,2,FALSE))</f>
        <v/>
      </c>
    </row>
    <row r="290" spans="1:4" x14ac:dyDescent="0.35">
      <c r="A290" t="str">
        <f>IF(Table2428[[#This Row],[Branch Name]]="","",(_xlfn.XLOOKUP(Table2428[[#This Row],[Branch Name]],'[4]Lookup Values'!G:G,'[4]Lookup Values'!H:H,0)))</f>
        <v/>
      </c>
      <c r="B290" t="str">
        <f>IF(Table2428[[#This Row],[Branch Name]]="","",(_xlfn.XLOOKUP(Table2428[[#This Row],[Branch Name]],'[4]Lookup Values'!G:G,'[4]Lookup Values'!I:I,0)))</f>
        <v/>
      </c>
      <c r="C290" t="str">
        <f>IF(Table2428[[#This Row],[Journal Description (Service Description)]]="","",1)</f>
        <v/>
      </c>
      <c r="D290" s="65" t="str">
        <f>IF(Table2428[[#This Row],[Journal Description (Service Description)]]="","",VLOOKUP(Table2428[[#This Row],[Journal Description (Service Description)]],'[4]Lookup Values'!$A:$B,2,FALSE))</f>
        <v/>
      </c>
    </row>
    <row r="291" spans="1:4" x14ac:dyDescent="0.35">
      <c r="A291" t="str">
        <f>IF(Table2428[[#This Row],[Branch Name]]="","",(_xlfn.XLOOKUP(Table2428[[#This Row],[Branch Name]],'[4]Lookup Values'!G:G,'[4]Lookup Values'!H:H,0)))</f>
        <v/>
      </c>
      <c r="B291" t="str">
        <f>IF(Table2428[[#This Row],[Branch Name]]="","",(_xlfn.XLOOKUP(Table2428[[#This Row],[Branch Name]],'[4]Lookup Values'!G:G,'[4]Lookup Values'!I:I,0)))</f>
        <v/>
      </c>
      <c r="C291" t="str">
        <f>IF(Table2428[[#This Row],[Journal Description (Service Description)]]="","",1)</f>
        <v/>
      </c>
      <c r="D291" s="65" t="str">
        <f>IF(Table2428[[#This Row],[Journal Description (Service Description)]]="","",VLOOKUP(Table2428[[#This Row],[Journal Description (Service Description)]],'[4]Lookup Values'!$A:$B,2,FALSE))</f>
        <v/>
      </c>
    </row>
    <row r="292" spans="1:4" x14ac:dyDescent="0.35">
      <c r="A292" t="str">
        <f>IF(Table2428[[#This Row],[Branch Name]]="","",(_xlfn.XLOOKUP(Table2428[[#This Row],[Branch Name]],'[4]Lookup Values'!G:G,'[4]Lookup Values'!H:H,0)))</f>
        <v/>
      </c>
      <c r="B292" t="str">
        <f>IF(Table2428[[#This Row],[Branch Name]]="","",(_xlfn.XLOOKUP(Table2428[[#This Row],[Branch Name]],'[4]Lookup Values'!G:G,'[4]Lookup Values'!I:I,0)))</f>
        <v/>
      </c>
      <c r="C292" t="str">
        <f>IF(Table2428[[#This Row],[Journal Description (Service Description)]]="","",1)</f>
        <v/>
      </c>
      <c r="D292" s="65" t="str">
        <f>IF(Table2428[[#This Row],[Journal Description (Service Description)]]="","",VLOOKUP(Table2428[[#This Row],[Journal Description (Service Description)]],'[4]Lookup Values'!$A:$B,2,FALSE))</f>
        <v/>
      </c>
    </row>
    <row r="293" spans="1:4" x14ac:dyDescent="0.35">
      <c r="A293" t="str">
        <f>IF(Table2428[[#This Row],[Branch Name]]="","",(_xlfn.XLOOKUP(Table2428[[#This Row],[Branch Name]],'[4]Lookup Values'!G:G,'[4]Lookup Values'!H:H,0)))</f>
        <v/>
      </c>
      <c r="B293" t="str">
        <f>IF(Table2428[[#This Row],[Branch Name]]="","",(_xlfn.XLOOKUP(Table2428[[#This Row],[Branch Name]],'[4]Lookup Values'!G:G,'[4]Lookup Values'!I:I,0)))</f>
        <v/>
      </c>
      <c r="C293" t="str">
        <f>IF(Table2428[[#This Row],[Journal Description (Service Description)]]="","",1)</f>
        <v/>
      </c>
      <c r="D293" s="65" t="str">
        <f>IF(Table2428[[#This Row],[Journal Description (Service Description)]]="","",VLOOKUP(Table2428[[#This Row],[Journal Description (Service Description)]],'[4]Lookup Values'!$A:$B,2,FALSE))</f>
        <v/>
      </c>
    </row>
    <row r="294" spans="1:4" x14ac:dyDescent="0.35">
      <c r="A294" t="str">
        <f>IF(Table2428[[#This Row],[Branch Name]]="","",(_xlfn.XLOOKUP(Table2428[[#This Row],[Branch Name]],'[4]Lookup Values'!G:G,'[4]Lookup Values'!H:H,0)))</f>
        <v/>
      </c>
      <c r="B294" t="str">
        <f>IF(Table2428[[#This Row],[Branch Name]]="","",(_xlfn.XLOOKUP(Table2428[[#This Row],[Branch Name]],'[4]Lookup Values'!G:G,'[4]Lookup Values'!I:I,0)))</f>
        <v/>
      </c>
      <c r="C294" t="str">
        <f>IF(Table2428[[#This Row],[Journal Description (Service Description)]]="","",1)</f>
        <v/>
      </c>
      <c r="D294" s="65" t="str">
        <f>IF(Table2428[[#This Row],[Journal Description (Service Description)]]="","",VLOOKUP(Table2428[[#This Row],[Journal Description (Service Description)]],'[4]Lookup Values'!$A:$B,2,FALSE))</f>
        <v/>
      </c>
    </row>
    <row r="295" spans="1:4" x14ac:dyDescent="0.35">
      <c r="A295" t="str">
        <f>IF(Table2428[[#This Row],[Branch Name]]="","",(_xlfn.XLOOKUP(Table2428[[#This Row],[Branch Name]],'[4]Lookup Values'!G:G,'[4]Lookup Values'!H:H,0)))</f>
        <v/>
      </c>
      <c r="B295" t="str">
        <f>IF(Table2428[[#This Row],[Branch Name]]="","",(_xlfn.XLOOKUP(Table2428[[#This Row],[Branch Name]],'[4]Lookup Values'!G:G,'[4]Lookup Values'!I:I,0)))</f>
        <v/>
      </c>
      <c r="C295" t="str">
        <f>IF(Table2428[[#This Row],[Journal Description (Service Description)]]="","",1)</f>
        <v/>
      </c>
      <c r="D295" s="65" t="str">
        <f>IF(Table2428[[#This Row],[Journal Description (Service Description)]]="","",VLOOKUP(Table2428[[#This Row],[Journal Description (Service Description)]],'[4]Lookup Values'!$A:$B,2,FALSE))</f>
        <v/>
      </c>
    </row>
    <row r="296" spans="1:4" x14ac:dyDescent="0.35">
      <c r="A296" t="str">
        <f>IF(Table2428[[#This Row],[Branch Name]]="","",(_xlfn.XLOOKUP(Table2428[[#This Row],[Branch Name]],'[4]Lookup Values'!G:G,'[4]Lookup Values'!H:H,0)))</f>
        <v/>
      </c>
      <c r="B296" t="str">
        <f>IF(Table2428[[#This Row],[Branch Name]]="","",(_xlfn.XLOOKUP(Table2428[[#This Row],[Branch Name]],'[4]Lookup Values'!G:G,'[4]Lookup Values'!I:I,0)))</f>
        <v/>
      </c>
      <c r="C296" t="str">
        <f>IF(Table2428[[#This Row],[Journal Description (Service Description)]]="","",1)</f>
        <v/>
      </c>
      <c r="D296" s="65" t="str">
        <f>IF(Table2428[[#This Row],[Journal Description (Service Description)]]="","",VLOOKUP(Table2428[[#This Row],[Journal Description (Service Description)]],'[4]Lookup Values'!$A:$B,2,FALSE))</f>
        <v/>
      </c>
    </row>
    <row r="297" spans="1:4" x14ac:dyDescent="0.35">
      <c r="A297" t="str">
        <f>IF(Table2428[[#This Row],[Branch Name]]="","",(_xlfn.XLOOKUP(Table2428[[#This Row],[Branch Name]],'[4]Lookup Values'!G:G,'[4]Lookup Values'!H:H,0)))</f>
        <v/>
      </c>
      <c r="B297" t="str">
        <f>IF(Table2428[[#This Row],[Branch Name]]="","",(_xlfn.XLOOKUP(Table2428[[#This Row],[Branch Name]],'[4]Lookup Values'!G:G,'[4]Lookup Values'!I:I,0)))</f>
        <v/>
      </c>
      <c r="C297" t="str">
        <f>IF(Table2428[[#This Row],[Journal Description (Service Description)]]="","",1)</f>
        <v/>
      </c>
      <c r="D297" s="65" t="str">
        <f>IF(Table2428[[#This Row],[Journal Description (Service Description)]]="","",VLOOKUP(Table2428[[#This Row],[Journal Description (Service Description)]],'[4]Lookup Values'!$A:$B,2,FALSE))</f>
        <v/>
      </c>
    </row>
    <row r="298" spans="1:4" x14ac:dyDescent="0.35">
      <c r="A298" t="str">
        <f>IF(Table2428[[#This Row],[Branch Name]]="","",(_xlfn.XLOOKUP(Table2428[[#This Row],[Branch Name]],'[4]Lookup Values'!G:G,'[4]Lookup Values'!H:H,0)))</f>
        <v/>
      </c>
      <c r="B298" t="str">
        <f>IF(Table2428[[#This Row],[Branch Name]]="","",(_xlfn.XLOOKUP(Table2428[[#This Row],[Branch Name]],'[4]Lookup Values'!G:G,'[4]Lookup Values'!I:I,0)))</f>
        <v/>
      </c>
      <c r="C298" t="str">
        <f>IF(Table2428[[#This Row],[Journal Description (Service Description)]]="","",1)</f>
        <v/>
      </c>
      <c r="D298" s="65" t="str">
        <f>IF(Table2428[[#This Row],[Journal Description (Service Description)]]="","",VLOOKUP(Table2428[[#This Row],[Journal Description (Service Description)]],'[4]Lookup Values'!$A:$B,2,FALSE))</f>
        <v/>
      </c>
    </row>
    <row r="299" spans="1:4" x14ac:dyDescent="0.35">
      <c r="A299" t="str">
        <f>IF(Table2428[[#This Row],[Branch Name]]="","",(_xlfn.XLOOKUP(Table2428[[#This Row],[Branch Name]],'[4]Lookup Values'!G:G,'[4]Lookup Values'!H:H,0)))</f>
        <v/>
      </c>
      <c r="B299" t="str">
        <f>IF(Table2428[[#This Row],[Branch Name]]="","",(_xlfn.XLOOKUP(Table2428[[#This Row],[Branch Name]],'[4]Lookup Values'!G:G,'[4]Lookup Values'!I:I,0)))</f>
        <v/>
      </c>
      <c r="C299" t="str">
        <f>IF(Table2428[[#This Row],[Journal Description (Service Description)]]="","",1)</f>
        <v/>
      </c>
      <c r="D299" s="65" t="str">
        <f>IF(Table2428[[#This Row],[Journal Description (Service Description)]]="","",VLOOKUP(Table2428[[#This Row],[Journal Description (Service Description)]],'[4]Lookup Values'!$A:$B,2,FALSE))</f>
        <v/>
      </c>
    </row>
    <row r="300" spans="1:4" x14ac:dyDescent="0.35">
      <c r="A300" t="str">
        <f>IF(Table2428[[#This Row],[Branch Name]]="","",(_xlfn.XLOOKUP(Table2428[[#This Row],[Branch Name]],'[4]Lookup Values'!G:G,'[4]Lookup Values'!H:H,0)))</f>
        <v/>
      </c>
      <c r="B300" t="str">
        <f>IF(Table2428[[#This Row],[Branch Name]]="","",(_xlfn.XLOOKUP(Table2428[[#This Row],[Branch Name]],'[4]Lookup Values'!G:G,'[4]Lookup Values'!I:I,0)))</f>
        <v/>
      </c>
      <c r="C300" t="str">
        <f>IF(Table2428[[#This Row],[Journal Description (Service Description)]]="","",1)</f>
        <v/>
      </c>
      <c r="D300" s="65" t="str">
        <f>IF(Table2428[[#This Row],[Journal Description (Service Description)]]="","",VLOOKUP(Table2428[[#This Row],[Journal Description (Service Description)]],'[4]Lookup Values'!$A:$B,2,FALSE))</f>
        <v/>
      </c>
    </row>
    <row r="301" spans="1:4" x14ac:dyDescent="0.35">
      <c r="A301" t="str">
        <f>IF(Table2428[[#This Row],[Branch Name]]="","",(_xlfn.XLOOKUP(Table2428[[#This Row],[Branch Name]],'[4]Lookup Values'!G:G,'[4]Lookup Values'!H:H,0)))</f>
        <v/>
      </c>
      <c r="B301" t="str">
        <f>IF(Table2428[[#This Row],[Branch Name]]="","",(_xlfn.XLOOKUP(Table2428[[#This Row],[Branch Name]],'[4]Lookup Values'!G:G,'[4]Lookup Values'!I:I,0)))</f>
        <v/>
      </c>
      <c r="C301" t="str">
        <f>IF(Table2428[[#This Row],[Journal Description (Service Description)]]="","",1)</f>
        <v/>
      </c>
      <c r="D301" s="65" t="str">
        <f>IF(Table2428[[#This Row],[Journal Description (Service Description)]]="","",VLOOKUP(Table2428[[#This Row],[Journal Description (Service Description)]],'[4]Lookup Values'!$A:$B,2,FALSE))</f>
        <v/>
      </c>
    </row>
    <row r="302" spans="1:4" x14ac:dyDescent="0.35">
      <c r="A302" t="str">
        <f>IF(Table2428[[#This Row],[Branch Name]]="","",(_xlfn.XLOOKUP(Table2428[[#This Row],[Branch Name]],'[4]Lookup Values'!G:G,'[4]Lookup Values'!H:H,0)))</f>
        <v/>
      </c>
      <c r="B302" t="str">
        <f>IF(Table2428[[#This Row],[Branch Name]]="","",(_xlfn.XLOOKUP(Table2428[[#This Row],[Branch Name]],'[4]Lookup Values'!G:G,'[4]Lookup Values'!I:I,0)))</f>
        <v/>
      </c>
      <c r="C302" t="str">
        <f>IF(Table2428[[#This Row],[Journal Description (Service Description)]]="","",1)</f>
        <v/>
      </c>
      <c r="D302" s="65" t="str">
        <f>IF(Table2428[[#This Row],[Journal Description (Service Description)]]="","",VLOOKUP(Table2428[[#This Row],[Journal Description (Service Description)]],'[4]Lookup Values'!$A:$B,2,FALSE))</f>
        <v/>
      </c>
    </row>
    <row r="303" spans="1:4" x14ac:dyDescent="0.35">
      <c r="A303" t="str">
        <f>IF(Table2428[[#This Row],[Branch Name]]="","",(_xlfn.XLOOKUP(Table2428[[#This Row],[Branch Name]],'[4]Lookup Values'!G:G,'[4]Lookup Values'!H:H,0)))</f>
        <v/>
      </c>
      <c r="B303" t="str">
        <f>IF(Table2428[[#This Row],[Branch Name]]="","",(_xlfn.XLOOKUP(Table2428[[#This Row],[Branch Name]],'[4]Lookup Values'!G:G,'[4]Lookup Values'!I:I,0)))</f>
        <v/>
      </c>
      <c r="C303" t="str">
        <f>IF(Table2428[[#This Row],[Journal Description (Service Description)]]="","",1)</f>
        <v/>
      </c>
      <c r="D303" s="65" t="str">
        <f>IF(Table2428[[#This Row],[Journal Description (Service Description)]]="","",VLOOKUP(Table2428[[#This Row],[Journal Description (Service Description)]],'[4]Lookup Values'!$A:$B,2,FALSE))</f>
        <v/>
      </c>
    </row>
    <row r="304" spans="1:4" x14ac:dyDescent="0.35">
      <c r="A304" t="str">
        <f>IF(Table2428[[#This Row],[Branch Name]]="","",(_xlfn.XLOOKUP(Table2428[[#This Row],[Branch Name]],'[4]Lookup Values'!G:G,'[4]Lookup Values'!H:H,0)))</f>
        <v/>
      </c>
      <c r="B304" t="str">
        <f>IF(Table2428[[#This Row],[Branch Name]]="","",(_xlfn.XLOOKUP(Table2428[[#This Row],[Branch Name]],'[4]Lookup Values'!G:G,'[4]Lookup Values'!I:I,0)))</f>
        <v/>
      </c>
      <c r="C304" t="str">
        <f>IF(Table2428[[#This Row],[Journal Description (Service Description)]]="","",1)</f>
        <v/>
      </c>
      <c r="D304" s="65" t="str">
        <f>IF(Table2428[[#This Row],[Journal Description (Service Description)]]="","",VLOOKUP(Table2428[[#This Row],[Journal Description (Service Description)]],'[4]Lookup Values'!$A:$B,2,FALSE))</f>
        <v/>
      </c>
    </row>
    <row r="305" spans="1:4" x14ac:dyDescent="0.35">
      <c r="A305" t="str">
        <f>IF(Table2428[[#This Row],[Branch Name]]="","",(_xlfn.XLOOKUP(Table2428[[#This Row],[Branch Name]],'[4]Lookup Values'!G:G,'[4]Lookup Values'!H:H,0)))</f>
        <v/>
      </c>
      <c r="B305" t="str">
        <f>IF(Table2428[[#This Row],[Branch Name]]="","",(_xlfn.XLOOKUP(Table2428[[#This Row],[Branch Name]],'[4]Lookup Values'!G:G,'[4]Lookup Values'!I:I,0)))</f>
        <v/>
      </c>
      <c r="C305" t="str">
        <f>IF(Table2428[[#This Row],[Journal Description (Service Description)]]="","",1)</f>
        <v/>
      </c>
      <c r="D305" s="65" t="str">
        <f>IF(Table2428[[#This Row],[Journal Description (Service Description)]]="","",VLOOKUP(Table2428[[#This Row],[Journal Description (Service Description)]],'[4]Lookup Values'!$A:$B,2,FALSE))</f>
        <v/>
      </c>
    </row>
    <row r="306" spans="1:4" x14ac:dyDescent="0.35">
      <c r="A306" t="str">
        <f>IF(Table2428[[#This Row],[Branch Name]]="","",(_xlfn.XLOOKUP(Table2428[[#This Row],[Branch Name]],'[4]Lookup Values'!G:G,'[4]Lookup Values'!H:H,0)))</f>
        <v/>
      </c>
      <c r="B306" t="str">
        <f>IF(Table2428[[#This Row],[Branch Name]]="","",(_xlfn.XLOOKUP(Table2428[[#This Row],[Branch Name]],'[4]Lookup Values'!G:G,'[4]Lookup Values'!I:I,0)))</f>
        <v/>
      </c>
      <c r="C306" t="str">
        <f>IF(Table2428[[#This Row],[Journal Description (Service Description)]]="","",1)</f>
        <v/>
      </c>
      <c r="D306" s="65" t="str">
        <f>IF(Table2428[[#This Row],[Journal Description (Service Description)]]="","",VLOOKUP(Table2428[[#This Row],[Journal Description (Service Description)]],'[4]Lookup Values'!$A:$B,2,FALSE))</f>
        <v/>
      </c>
    </row>
    <row r="307" spans="1:4" x14ac:dyDescent="0.35">
      <c r="A307" t="str">
        <f>IF(Table2428[[#This Row],[Branch Name]]="","",(_xlfn.XLOOKUP(Table2428[[#This Row],[Branch Name]],'[4]Lookup Values'!G:G,'[4]Lookup Values'!H:H,0)))</f>
        <v/>
      </c>
      <c r="B307" t="str">
        <f>IF(Table2428[[#This Row],[Branch Name]]="","",(_xlfn.XLOOKUP(Table2428[[#This Row],[Branch Name]],'[4]Lookup Values'!G:G,'[4]Lookup Values'!I:I,0)))</f>
        <v/>
      </c>
      <c r="C307" t="str">
        <f>IF(Table2428[[#This Row],[Journal Description (Service Description)]]="","",1)</f>
        <v/>
      </c>
      <c r="D307" s="65" t="str">
        <f>IF(Table2428[[#This Row],[Journal Description (Service Description)]]="","",VLOOKUP(Table2428[[#This Row],[Journal Description (Service Description)]],'[4]Lookup Values'!$A:$B,2,FALSE))</f>
        <v/>
      </c>
    </row>
    <row r="308" spans="1:4" x14ac:dyDescent="0.35">
      <c r="A308" t="str">
        <f>IF(Table2428[[#This Row],[Branch Name]]="","",(_xlfn.XLOOKUP(Table2428[[#This Row],[Branch Name]],'[4]Lookup Values'!G:G,'[4]Lookup Values'!H:H,0)))</f>
        <v/>
      </c>
      <c r="B308" t="str">
        <f>IF(Table2428[[#This Row],[Branch Name]]="","",(_xlfn.XLOOKUP(Table2428[[#This Row],[Branch Name]],'[4]Lookup Values'!G:G,'[4]Lookup Values'!I:I,0)))</f>
        <v/>
      </c>
      <c r="C308" t="str">
        <f>IF(Table2428[[#This Row],[Journal Description (Service Description)]]="","",1)</f>
        <v/>
      </c>
      <c r="D308" s="65" t="str">
        <f>IF(Table2428[[#This Row],[Journal Description (Service Description)]]="","",VLOOKUP(Table2428[[#This Row],[Journal Description (Service Description)]],'[4]Lookup Values'!$A:$B,2,FALSE))</f>
        <v/>
      </c>
    </row>
    <row r="309" spans="1:4" x14ac:dyDescent="0.35">
      <c r="A309" t="str">
        <f>IF(Table2428[[#This Row],[Branch Name]]="","",(_xlfn.XLOOKUP(Table2428[[#This Row],[Branch Name]],'[4]Lookup Values'!G:G,'[4]Lookup Values'!H:H,0)))</f>
        <v/>
      </c>
      <c r="B309" t="str">
        <f>IF(Table2428[[#This Row],[Branch Name]]="","",(_xlfn.XLOOKUP(Table2428[[#This Row],[Branch Name]],'[4]Lookup Values'!G:G,'[4]Lookup Values'!I:I,0)))</f>
        <v/>
      </c>
      <c r="C309" t="str">
        <f>IF(Table2428[[#This Row],[Journal Description (Service Description)]]="","",1)</f>
        <v/>
      </c>
      <c r="D309" s="65" t="str">
        <f>IF(Table2428[[#This Row],[Journal Description (Service Description)]]="","",VLOOKUP(Table2428[[#This Row],[Journal Description (Service Description)]],'[4]Lookup Values'!$A:$B,2,FALSE))</f>
        <v/>
      </c>
    </row>
    <row r="310" spans="1:4" x14ac:dyDescent="0.35">
      <c r="A310" t="str">
        <f>IF(Table2428[[#This Row],[Branch Name]]="","",(_xlfn.XLOOKUP(Table2428[[#This Row],[Branch Name]],'[4]Lookup Values'!G:G,'[4]Lookup Values'!H:H,0)))</f>
        <v/>
      </c>
      <c r="B310" t="str">
        <f>IF(Table2428[[#This Row],[Branch Name]]="","",(_xlfn.XLOOKUP(Table2428[[#This Row],[Branch Name]],'[4]Lookup Values'!G:G,'[4]Lookup Values'!I:I,0)))</f>
        <v/>
      </c>
      <c r="C310" t="str">
        <f>IF(Table2428[[#This Row],[Journal Description (Service Description)]]="","",1)</f>
        <v/>
      </c>
      <c r="D310" s="65" t="str">
        <f>IF(Table2428[[#This Row],[Journal Description (Service Description)]]="","",VLOOKUP(Table2428[[#This Row],[Journal Description (Service Description)]],'[4]Lookup Values'!$A:$B,2,FALSE))</f>
        <v/>
      </c>
    </row>
    <row r="311" spans="1:4" x14ac:dyDescent="0.35">
      <c r="A311" t="str">
        <f>IF(Table2428[[#This Row],[Branch Name]]="","",(_xlfn.XLOOKUP(Table2428[[#This Row],[Branch Name]],'[4]Lookup Values'!G:G,'[4]Lookup Values'!H:H,0)))</f>
        <v/>
      </c>
      <c r="B311" t="str">
        <f>IF(Table2428[[#This Row],[Branch Name]]="","",(_xlfn.XLOOKUP(Table2428[[#This Row],[Branch Name]],'[4]Lookup Values'!G:G,'[4]Lookup Values'!I:I,0)))</f>
        <v/>
      </c>
      <c r="C311" t="str">
        <f>IF(Table2428[[#This Row],[Journal Description (Service Description)]]="","",1)</f>
        <v/>
      </c>
      <c r="D311" s="65" t="str">
        <f>IF(Table2428[[#This Row],[Journal Description (Service Description)]]="","",VLOOKUP(Table2428[[#This Row],[Journal Description (Service Description)]],'[4]Lookup Values'!$A:$B,2,FALSE))</f>
        <v/>
      </c>
    </row>
    <row r="312" spans="1:4" x14ac:dyDescent="0.35">
      <c r="A312" t="str">
        <f>IF(Table2428[[#This Row],[Branch Name]]="","",(_xlfn.XLOOKUP(Table2428[[#This Row],[Branch Name]],'[4]Lookup Values'!G:G,'[4]Lookup Values'!H:H,0)))</f>
        <v/>
      </c>
      <c r="B312" t="str">
        <f>IF(Table2428[[#This Row],[Branch Name]]="","",(_xlfn.XLOOKUP(Table2428[[#This Row],[Branch Name]],'[4]Lookup Values'!G:G,'[4]Lookup Values'!I:I,0)))</f>
        <v/>
      </c>
      <c r="C312" t="str">
        <f>IF(Table2428[[#This Row],[Journal Description (Service Description)]]="","",1)</f>
        <v/>
      </c>
      <c r="D312" s="65" t="str">
        <f>IF(Table2428[[#This Row],[Journal Description (Service Description)]]="","",VLOOKUP(Table2428[[#This Row],[Journal Description (Service Description)]],'[4]Lookup Values'!$A:$B,2,FALSE))</f>
        <v/>
      </c>
    </row>
    <row r="313" spans="1:4" x14ac:dyDescent="0.35">
      <c r="A313" t="str">
        <f>IF(Table2428[[#This Row],[Branch Name]]="","",(_xlfn.XLOOKUP(Table2428[[#This Row],[Branch Name]],'[4]Lookup Values'!G:G,'[4]Lookup Values'!H:H,0)))</f>
        <v/>
      </c>
      <c r="B313" t="str">
        <f>IF(Table2428[[#This Row],[Branch Name]]="","",(_xlfn.XLOOKUP(Table2428[[#This Row],[Branch Name]],'[4]Lookup Values'!G:G,'[4]Lookup Values'!I:I,0)))</f>
        <v/>
      </c>
      <c r="C313" t="str">
        <f>IF(Table2428[[#This Row],[Journal Description (Service Description)]]="","",1)</f>
        <v/>
      </c>
      <c r="D313" s="65" t="str">
        <f>IF(Table2428[[#This Row],[Journal Description (Service Description)]]="","",VLOOKUP(Table2428[[#This Row],[Journal Description (Service Description)]],'[4]Lookup Values'!$A:$B,2,FALSE))</f>
        <v/>
      </c>
    </row>
    <row r="314" spans="1:4" x14ac:dyDescent="0.35">
      <c r="A314" t="str">
        <f>IF(Table2428[[#This Row],[Branch Name]]="","",(_xlfn.XLOOKUP(Table2428[[#This Row],[Branch Name]],'[4]Lookup Values'!G:G,'[4]Lookup Values'!H:H,0)))</f>
        <v/>
      </c>
      <c r="B314" t="str">
        <f>IF(Table2428[[#This Row],[Branch Name]]="","",(_xlfn.XLOOKUP(Table2428[[#This Row],[Branch Name]],'[4]Lookup Values'!G:G,'[4]Lookup Values'!I:I,0)))</f>
        <v/>
      </c>
      <c r="C314" t="str">
        <f>IF(Table2428[[#This Row],[Journal Description (Service Description)]]="","",1)</f>
        <v/>
      </c>
      <c r="D314" s="65" t="str">
        <f>IF(Table2428[[#This Row],[Journal Description (Service Description)]]="","",VLOOKUP(Table2428[[#This Row],[Journal Description (Service Description)]],'[4]Lookup Values'!$A:$B,2,FALSE))</f>
        <v/>
      </c>
    </row>
    <row r="315" spans="1:4" x14ac:dyDescent="0.35">
      <c r="A315" t="str">
        <f>IF(Table2428[[#This Row],[Branch Name]]="","",(_xlfn.XLOOKUP(Table2428[[#This Row],[Branch Name]],'[4]Lookup Values'!G:G,'[4]Lookup Values'!H:H,0)))</f>
        <v/>
      </c>
      <c r="B315" t="str">
        <f>IF(Table2428[[#This Row],[Branch Name]]="","",(_xlfn.XLOOKUP(Table2428[[#This Row],[Branch Name]],'[4]Lookup Values'!G:G,'[4]Lookup Values'!I:I,0)))</f>
        <v/>
      </c>
      <c r="C315" t="str">
        <f>IF(Table2428[[#This Row],[Journal Description (Service Description)]]="","",1)</f>
        <v/>
      </c>
      <c r="D315" s="65" t="str">
        <f>IF(Table2428[[#This Row],[Journal Description (Service Description)]]="","",VLOOKUP(Table2428[[#This Row],[Journal Description (Service Description)]],'[4]Lookup Values'!$A:$B,2,FALSE))</f>
        <v/>
      </c>
    </row>
    <row r="316" spans="1:4" x14ac:dyDescent="0.35">
      <c r="A316" t="str">
        <f>IF(Table2428[[#This Row],[Branch Name]]="","",(_xlfn.XLOOKUP(Table2428[[#This Row],[Branch Name]],'[4]Lookup Values'!G:G,'[4]Lookup Values'!H:H,0)))</f>
        <v/>
      </c>
      <c r="B316" t="str">
        <f>IF(Table2428[[#This Row],[Branch Name]]="","",(_xlfn.XLOOKUP(Table2428[[#This Row],[Branch Name]],'[4]Lookup Values'!G:G,'[4]Lookup Values'!I:I,0)))</f>
        <v/>
      </c>
      <c r="C316" t="str">
        <f>IF(Table2428[[#This Row],[Journal Description (Service Description)]]="","",1)</f>
        <v/>
      </c>
      <c r="D316" s="65" t="str">
        <f>IF(Table2428[[#This Row],[Journal Description (Service Description)]]="","",VLOOKUP(Table2428[[#This Row],[Journal Description (Service Description)]],'[4]Lookup Values'!$A:$B,2,FALSE))</f>
        <v/>
      </c>
    </row>
    <row r="317" spans="1:4" x14ac:dyDescent="0.35">
      <c r="A317" t="str">
        <f>IF(Table2428[[#This Row],[Branch Name]]="","",(_xlfn.XLOOKUP(Table2428[[#This Row],[Branch Name]],'[4]Lookup Values'!G:G,'[4]Lookup Values'!H:H,0)))</f>
        <v/>
      </c>
      <c r="B317" t="str">
        <f>IF(Table2428[[#This Row],[Branch Name]]="","",(_xlfn.XLOOKUP(Table2428[[#This Row],[Branch Name]],'[4]Lookup Values'!G:G,'[4]Lookup Values'!I:I,0)))</f>
        <v/>
      </c>
      <c r="C317" t="str">
        <f>IF(Table2428[[#This Row],[Journal Description (Service Description)]]="","",1)</f>
        <v/>
      </c>
      <c r="D317" s="65" t="str">
        <f>IF(Table2428[[#This Row],[Journal Description (Service Description)]]="","",VLOOKUP(Table2428[[#This Row],[Journal Description (Service Description)]],'[4]Lookup Values'!$A:$B,2,FALSE))</f>
        <v/>
      </c>
    </row>
    <row r="318" spans="1:4" x14ac:dyDescent="0.35">
      <c r="A318" t="str">
        <f>IF(Table2428[[#This Row],[Branch Name]]="","",(_xlfn.XLOOKUP(Table2428[[#This Row],[Branch Name]],'[4]Lookup Values'!G:G,'[4]Lookup Values'!H:H,0)))</f>
        <v/>
      </c>
      <c r="B318" t="str">
        <f>IF(Table2428[[#This Row],[Branch Name]]="","",(_xlfn.XLOOKUP(Table2428[[#This Row],[Branch Name]],'[4]Lookup Values'!G:G,'[4]Lookup Values'!I:I,0)))</f>
        <v/>
      </c>
      <c r="C318" t="str">
        <f>IF(Table2428[[#This Row],[Journal Description (Service Description)]]="","",1)</f>
        <v/>
      </c>
      <c r="D318" s="65" t="str">
        <f>IF(Table2428[[#This Row],[Journal Description (Service Description)]]="","",VLOOKUP(Table2428[[#This Row],[Journal Description (Service Description)]],'[4]Lookup Values'!$A:$B,2,FALSE))</f>
        <v/>
      </c>
    </row>
    <row r="319" spans="1:4" x14ac:dyDescent="0.35">
      <c r="A319" t="str">
        <f>IF(Table2428[[#This Row],[Branch Name]]="","",(_xlfn.XLOOKUP(Table2428[[#This Row],[Branch Name]],'[4]Lookup Values'!G:G,'[4]Lookup Values'!H:H,0)))</f>
        <v/>
      </c>
      <c r="B319" t="str">
        <f>IF(Table2428[[#This Row],[Branch Name]]="","",(_xlfn.XLOOKUP(Table2428[[#This Row],[Branch Name]],'[4]Lookup Values'!G:G,'[4]Lookup Values'!I:I,0)))</f>
        <v/>
      </c>
      <c r="C319" t="str">
        <f>IF(Table2428[[#This Row],[Journal Description (Service Description)]]="","",1)</f>
        <v/>
      </c>
      <c r="D319" s="65" t="str">
        <f>IF(Table2428[[#This Row],[Journal Description (Service Description)]]="","",VLOOKUP(Table2428[[#This Row],[Journal Description (Service Description)]],'[4]Lookup Values'!$A:$B,2,FALSE))</f>
        <v/>
      </c>
    </row>
    <row r="320" spans="1:4" x14ac:dyDescent="0.35">
      <c r="A320" t="str">
        <f>IF(Table2428[[#This Row],[Branch Name]]="","",(_xlfn.XLOOKUP(Table2428[[#This Row],[Branch Name]],'[4]Lookup Values'!G:G,'[4]Lookup Values'!H:H,0)))</f>
        <v/>
      </c>
      <c r="B320" t="str">
        <f>IF(Table2428[[#This Row],[Branch Name]]="","",(_xlfn.XLOOKUP(Table2428[[#This Row],[Branch Name]],'[4]Lookup Values'!G:G,'[4]Lookup Values'!I:I,0)))</f>
        <v/>
      </c>
      <c r="C320" t="str">
        <f>IF(Table2428[[#This Row],[Journal Description (Service Description)]]="","",1)</f>
        <v/>
      </c>
      <c r="D320" s="65" t="str">
        <f>IF(Table2428[[#This Row],[Journal Description (Service Description)]]="","",VLOOKUP(Table2428[[#This Row],[Journal Description (Service Description)]],'[4]Lookup Values'!$A:$B,2,FALSE))</f>
        <v/>
      </c>
    </row>
    <row r="321" spans="1:4" x14ac:dyDescent="0.35">
      <c r="A321" t="str">
        <f>IF(Table2428[[#This Row],[Branch Name]]="","",(_xlfn.XLOOKUP(Table2428[[#This Row],[Branch Name]],'[4]Lookup Values'!G:G,'[4]Lookup Values'!H:H,0)))</f>
        <v/>
      </c>
      <c r="B321" t="str">
        <f>IF(Table2428[[#This Row],[Branch Name]]="","",(_xlfn.XLOOKUP(Table2428[[#This Row],[Branch Name]],'[4]Lookup Values'!G:G,'[4]Lookup Values'!I:I,0)))</f>
        <v/>
      </c>
      <c r="C321" t="str">
        <f>IF(Table2428[[#This Row],[Journal Description (Service Description)]]="","",1)</f>
        <v/>
      </c>
      <c r="D321" s="65" t="str">
        <f>IF(Table2428[[#This Row],[Journal Description (Service Description)]]="","",VLOOKUP(Table2428[[#This Row],[Journal Description (Service Description)]],'[4]Lookup Values'!$A:$B,2,FALSE))</f>
        <v/>
      </c>
    </row>
    <row r="322" spans="1:4" x14ac:dyDescent="0.35">
      <c r="A322" t="str">
        <f>IF(Table2428[[#This Row],[Branch Name]]="","",(_xlfn.XLOOKUP(Table2428[[#This Row],[Branch Name]],'[4]Lookup Values'!G:G,'[4]Lookup Values'!H:H,0)))</f>
        <v/>
      </c>
      <c r="B322" t="str">
        <f>IF(Table2428[[#This Row],[Branch Name]]="","",(_xlfn.XLOOKUP(Table2428[[#This Row],[Branch Name]],'[4]Lookup Values'!G:G,'[4]Lookup Values'!I:I,0)))</f>
        <v/>
      </c>
      <c r="C322" t="str">
        <f>IF(Table2428[[#This Row],[Journal Description (Service Description)]]="","",1)</f>
        <v/>
      </c>
      <c r="D322" s="65" t="str">
        <f>IF(Table2428[[#This Row],[Journal Description (Service Description)]]="","",VLOOKUP(Table2428[[#This Row],[Journal Description (Service Description)]],'[4]Lookup Values'!$A:$B,2,FALSE))</f>
        <v/>
      </c>
    </row>
    <row r="323" spans="1:4" x14ac:dyDescent="0.35">
      <c r="A323" t="str">
        <f>IF(Table2428[[#This Row],[Branch Name]]="","",(_xlfn.XLOOKUP(Table2428[[#This Row],[Branch Name]],'[4]Lookup Values'!G:G,'[4]Lookup Values'!H:H,0)))</f>
        <v/>
      </c>
      <c r="B323" t="str">
        <f>IF(Table2428[[#This Row],[Branch Name]]="","",(_xlfn.XLOOKUP(Table2428[[#This Row],[Branch Name]],'[4]Lookup Values'!G:G,'[4]Lookup Values'!I:I,0)))</f>
        <v/>
      </c>
      <c r="C323" t="str">
        <f>IF(Table2428[[#This Row],[Journal Description (Service Description)]]="","",1)</f>
        <v/>
      </c>
      <c r="D323" s="65" t="str">
        <f>IF(Table2428[[#This Row],[Journal Description (Service Description)]]="","",VLOOKUP(Table2428[[#This Row],[Journal Description (Service Description)]],'[4]Lookup Values'!$A:$B,2,FALSE))</f>
        <v/>
      </c>
    </row>
    <row r="324" spans="1:4" x14ac:dyDescent="0.35">
      <c r="A324" t="str">
        <f>IF(Table2428[[#This Row],[Branch Name]]="","",(_xlfn.XLOOKUP(Table2428[[#This Row],[Branch Name]],'[4]Lookup Values'!G:G,'[4]Lookup Values'!H:H,0)))</f>
        <v/>
      </c>
      <c r="B324" t="str">
        <f>IF(Table2428[[#This Row],[Branch Name]]="","",(_xlfn.XLOOKUP(Table2428[[#This Row],[Branch Name]],'[4]Lookup Values'!G:G,'[4]Lookup Values'!I:I,0)))</f>
        <v/>
      </c>
      <c r="C324" t="str">
        <f>IF(Table2428[[#This Row],[Journal Description (Service Description)]]="","",1)</f>
        <v/>
      </c>
      <c r="D324" s="65" t="str">
        <f>IF(Table2428[[#This Row],[Journal Description (Service Description)]]="","",VLOOKUP(Table2428[[#This Row],[Journal Description (Service Description)]],'[4]Lookup Values'!$A:$B,2,FALSE))</f>
        <v/>
      </c>
    </row>
    <row r="325" spans="1:4" x14ac:dyDescent="0.35">
      <c r="A325" t="str">
        <f>IF(Table2428[[#This Row],[Branch Name]]="","",(_xlfn.XLOOKUP(Table2428[[#This Row],[Branch Name]],'[4]Lookup Values'!G:G,'[4]Lookup Values'!H:H,0)))</f>
        <v/>
      </c>
      <c r="B325" t="str">
        <f>IF(Table2428[[#This Row],[Branch Name]]="","",(_xlfn.XLOOKUP(Table2428[[#This Row],[Branch Name]],'[4]Lookup Values'!G:G,'[4]Lookup Values'!I:I,0)))</f>
        <v/>
      </c>
      <c r="C325" t="str">
        <f>IF(Table2428[[#This Row],[Journal Description (Service Description)]]="","",1)</f>
        <v/>
      </c>
      <c r="D325" s="65" t="str">
        <f>IF(Table2428[[#This Row],[Journal Description (Service Description)]]="","",VLOOKUP(Table2428[[#This Row],[Journal Description (Service Description)]],'[4]Lookup Values'!$A:$B,2,FALSE))</f>
        <v/>
      </c>
    </row>
    <row r="326" spans="1:4" x14ac:dyDescent="0.35">
      <c r="A326" t="str">
        <f>IF(Table2428[[#This Row],[Branch Name]]="","",(_xlfn.XLOOKUP(Table2428[[#This Row],[Branch Name]],'[4]Lookup Values'!G:G,'[4]Lookup Values'!H:H,0)))</f>
        <v/>
      </c>
      <c r="B326" t="str">
        <f>IF(Table2428[[#This Row],[Branch Name]]="","",(_xlfn.XLOOKUP(Table2428[[#This Row],[Branch Name]],'[4]Lookup Values'!G:G,'[4]Lookup Values'!I:I,0)))</f>
        <v/>
      </c>
      <c r="C326" t="str">
        <f>IF(Table2428[[#This Row],[Journal Description (Service Description)]]="","",1)</f>
        <v/>
      </c>
      <c r="D326" s="65" t="str">
        <f>IF(Table2428[[#This Row],[Journal Description (Service Description)]]="","",VLOOKUP(Table2428[[#This Row],[Journal Description (Service Description)]],'[4]Lookup Values'!$A:$B,2,FALSE))</f>
        <v/>
      </c>
    </row>
    <row r="327" spans="1:4" x14ac:dyDescent="0.35">
      <c r="A327" t="str">
        <f>IF(Table2428[[#This Row],[Branch Name]]="","",(_xlfn.XLOOKUP(Table2428[[#This Row],[Branch Name]],'[4]Lookup Values'!G:G,'[4]Lookup Values'!H:H,0)))</f>
        <v/>
      </c>
      <c r="B327" t="str">
        <f>IF(Table2428[[#This Row],[Branch Name]]="","",(_xlfn.XLOOKUP(Table2428[[#This Row],[Branch Name]],'[4]Lookup Values'!G:G,'[4]Lookup Values'!I:I,0)))</f>
        <v/>
      </c>
      <c r="C327" t="str">
        <f>IF(Table2428[[#This Row],[Journal Description (Service Description)]]="","",1)</f>
        <v/>
      </c>
      <c r="D327" s="65" t="str">
        <f>IF(Table2428[[#This Row],[Journal Description (Service Description)]]="","",VLOOKUP(Table2428[[#This Row],[Journal Description (Service Description)]],'[4]Lookup Values'!$A:$B,2,FALSE))</f>
        <v/>
      </c>
    </row>
    <row r="328" spans="1:4" x14ac:dyDescent="0.35">
      <c r="A328" t="str">
        <f>IF(Table2428[[#This Row],[Branch Name]]="","",(_xlfn.XLOOKUP(Table2428[[#This Row],[Branch Name]],'[4]Lookup Values'!G:G,'[4]Lookup Values'!H:H,0)))</f>
        <v/>
      </c>
      <c r="B328" t="str">
        <f>IF(Table2428[[#This Row],[Branch Name]]="","",(_xlfn.XLOOKUP(Table2428[[#This Row],[Branch Name]],'[4]Lookup Values'!G:G,'[4]Lookup Values'!I:I,0)))</f>
        <v/>
      </c>
      <c r="C328" t="str">
        <f>IF(Table2428[[#This Row],[Journal Description (Service Description)]]="","",1)</f>
        <v/>
      </c>
      <c r="D328" s="65" t="str">
        <f>IF(Table2428[[#This Row],[Journal Description (Service Description)]]="","",VLOOKUP(Table2428[[#This Row],[Journal Description (Service Description)]],'[4]Lookup Values'!$A:$B,2,FALSE))</f>
        <v/>
      </c>
    </row>
    <row r="329" spans="1:4" x14ac:dyDescent="0.35">
      <c r="A329" t="str">
        <f>IF(Table2428[[#This Row],[Branch Name]]="","",(_xlfn.XLOOKUP(Table2428[[#This Row],[Branch Name]],'[4]Lookup Values'!G:G,'[4]Lookup Values'!H:H,0)))</f>
        <v/>
      </c>
      <c r="B329" t="str">
        <f>IF(Table2428[[#This Row],[Branch Name]]="","",(_xlfn.XLOOKUP(Table2428[[#This Row],[Branch Name]],'[4]Lookup Values'!G:G,'[4]Lookup Values'!I:I,0)))</f>
        <v/>
      </c>
      <c r="C329" t="str">
        <f>IF(Table2428[[#This Row],[Journal Description (Service Description)]]="","",1)</f>
        <v/>
      </c>
      <c r="D329" s="65" t="str">
        <f>IF(Table2428[[#This Row],[Journal Description (Service Description)]]="","",VLOOKUP(Table2428[[#This Row],[Journal Description (Service Description)]],'[4]Lookup Values'!$A:$B,2,FALSE))</f>
        <v/>
      </c>
    </row>
    <row r="330" spans="1:4" x14ac:dyDescent="0.35">
      <c r="A330" t="str">
        <f>IF(Table2428[[#This Row],[Branch Name]]="","",(_xlfn.XLOOKUP(Table2428[[#This Row],[Branch Name]],'[4]Lookup Values'!G:G,'[4]Lookup Values'!H:H,0)))</f>
        <v/>
      </c>
      <c r="B330" t="str">
        <f>IF(Table2428[[#This Row],[Branch Name]]="","",(_xlfn.XLOOKUP(Table2428[[#This Row],[Branch Name]],'[4]Lookup Values'!G:G,'[4]Lookup Values'!I:I,0)))</f>
        <v/>
      </c>
      <c r="C330" t="str">
        <f>IF(Table2428[[#This Row],[Journal Description (Service Description)]]="","",1)</f>
        <v/>
      </c>
      <c r="D330" s="65" t="str">
        <f>IF(Table2428[[#This Row],[Journal Description (Service Description)]]="","",VLOOKUP(Table2428[[#This Row],[Journal Description (Service Description)]],'[4]Lookup Values'!$A:$B,2,FALSE))</f>
        <v/>
      </c>
    </row>
    <row r="331" spans="1:4" x14ac:dyDescent="0.35">
      <c r="A331" t="str">
        <f>IF(Table2428[[#This Row],[Branch Name]]="","",(_xlfn.XLOOKUP(Table2428[[#This Row],[Branch Name]],'[4]Lookup Values'!G:G,'[4]Lookup Values'!H:H,0)))</f>
        <v/>
      </c>
      <c r="B331" t="str">
        <f>IF(Table2428[[#This Row],[Branch Name]]="","",(_xlfn.XLOOKUP(Table2428[[#This Row],[Branch Name]],'[4]Lookup Values'!G:G,'[4]Lookup Values'!I:I,0)))</f>
        <v/>
      </c>
      <c r="C331" t="str">
        <f>IF(Table2428[[#This Row],[Journal Description (Service Description)]]="","",1)</f>
        <v/>
      </c>
      <c r="D331" s="65" t="str">
        <f>IF(Table2428[[#This Row],[Journal Description (Service Description)]]="","",VLOOKUP(Table2428[[#This Row],[Journal Description (Service Description)]],'[4]Lookup Values'!$A:$B,2,FALSE))</f>
        <v/>
      </c>
    </row>
    <row r="332" spans="1:4" x14ac:dyDescent="0.35">
      <c r="A332" t="str">
        <f>IF(Table2428[[#This Row],[Branch Name]]="","",(_xlfn.XLOOKUP(Table2428[[#This Row],[Branch Name]],'[4]Lookup Values'!G:G,'[4]Lookup Values'!H:H,0)))</f>
        <v/>
      </c>
      <c r="B332" t="str">
        <f>IF(Table2428[[#This Row],[Branch Name]]="","",(_xlfn.XLOOKUP(Table2428[[#This Row],[Branch Name]],'[4]Lookup Values'!G:G,'[4]Lookup Values'!I:I,0)))</f>
        <v/>
      </c>
      <c r="C332" t="str">
        <f>IF(Table2428[[#This Row],[Journal Description (Service Description)]]="","",1)</f>
        <v/>
      </c>
      <c r="D332" s="65" t="str">
        <f>IF(Table2428[[#This Row],[Journal Description (Service Description)]]="","",VLOOKUP(Table2428[[#This Row],[Journal Description (Service Description)]],'[4]Lookup Values'!$A:$B,2,FALSE))</f>
        <v/>
      </c>
    </row>
    <row r="333" spans="1:4" x14ac:dyDescent="0.35">
      <c r="A333" t="str">
        <f>IF(Table2428[[#This Row],[Branch Name]]="","",(_xlfn.XLOOKUP(Table2428[[#This Row],[Branch Name]],'[4]Lookup Values'!G:G,'[4]Lookup Values'!H:H,0)))</f>
        <v/>
      </c>
      <c r="B333" t="str">
        <f>IF(Table2428[[#This Row],[Branch Name]]="","",(_xlfn.XLOOKUP(Table2428[[#This Row],[Branch Name]],'[4]Lookup Values'!G:G,'[4]Lookup Values'!I:I,0)))</f>
        <v/>
      </c>
      <c r="C333" t="str">
        <f>IF(Table2428[[#This Row],[Journal Description (Service Description)]]="","",1)</f>
        <v/>
      </c>
      <c r="D333" s="65" t="str">
        <f>IF(Table2428[[#This Row],[Journal Description (Service Description)]]="","",VLOOKUP(Table2428[[#This Row],[Journal Description (Service Description)]],'[4]Lookup Values'!$A:$B,2,FALSE))</f>
        <v/>
      </c>
    </row>
    <row r="334" spans="1:4" x14ac:dyDescent="0.35">
      <c r="A334" t="str">
        <f>IF(Table2428[[#This Row],[Branch Name]]="","",(_xlfn.XLOOKUP(Table2428[[#This Row],[Branch Name]],'[4]Lookup Values'!G:G,'[4]Lookup Values'!H:H,0)))</f>
        <v/>
      </c>
      <c r="B334" t="str">
        <f>IF(Table2428[[#This Row],[Branch Name]]="","",(_xlfn.XLOOKUP(Table2428[[#This Row],[Branch Name]],'[4]Lookup Values'!G:G,'[4]Lookup Values'!I:I,0)))</f>
        <v/>
      </c>
      <c r="C334" t="str">
        <f>IF(Table2428[[#This Row],[Journal Description (Service Description)]]="","",1)</f>
        <v/>
      </c>
      <c r="D334" s="65" t="str">
        <f>IF(Table2428[[#This Row],[Journal Description (Service Description)]]="","",VLOOKUP(Table2428[[#This Row],[Journal Description (Service Description)]],'[4]Lookup Values'!$A:$B,2,FALSE))</f>
        <v/>
      </c>
    </row>
    <row r="335" spans="1:4" x14ac:dyDescent="0.35">
      <c r="A335" t="str">
        <f>IF(Table2428[[#This Row],[Branch Name]]="","",(_xlfn.XLOOKUP(Table2428[[#This Row],[Branch Name]],'[4]Lookup Values'!G:G,'[4]Lookup Values'!H:H,0)))</f>
        <v/>
      </c>
      <c r="B335" t="str">
        <f>IF(Table2428[[#This Row],[Branch Name]]="","",(_xlfn.XLOOKUP(Table2428[[#This Row],[Branch Name]],'[4]Lookup Values'!G:G,'[4]Lookup Values'!I:I,0)))</f>
        <v/>
      </c>
      <c r="C335" t="str">
        <f>IF(Table2428[[#This Row],[Journal Description (Service Description)]]="","",1)</f>
        <v/>
      </c>
      <c r="D335" s="65" t="str">
        <f>IF(Table2428[[#This Row],[Journal Description (Service Description)]]="","",VLOOKUP(Table2428[[#This Row],[Journal Description (Service Description)]],'[4]Lookup Values'!$A:$B,2,FALSE))</f>
        <v/>
      </c>
    </row>
    <row r="336" spans="1:4" x14ac:dyDescent="0.35">
      <c r="A336" t="str">
        <f>IF(Table2428[[#This Row],[Branch Name]]="","",(_xlfn.XLOOKUP(Table2428[[#This Row],[Branch Name]],'[4]Lookup Values'!G:G,'[4]Lookup Values'!H:H,0)))</f>
        <v/>
      </c>
      <c r="B336" t="str">
        <f>IF(Table2428[[#This Row],[Branch Name]]="","",(_xlfn.XLOOKUP(Table2428[[#This Row],[Branch Name]],'[4]Lookup Values'!G:G,'[4]Lookup Values'!I:I,0)))</f>
        <v/>
      </c>
      <c r="C336" t="str">
        <f>IF(Table2428[[#This Row],[Journal Description (Service Description)]]="","",1)</f>
        <v/>
      </c>
      <c r="D336" s="65" t="str">
        <f>IF(Table2428[[#This Row],[Journal Description (Service Description)]]="","",VLOOKUP(Table2428[[#This Row],[Journal Description (Service Description)]],'[4]Lookup Values'!$A:$B,2,FALSE))</f>
        <v/>
      </c>
    </row>
    <row r="337" spans="1:4" x14ac:dyDescent="0.35">
      <c r="A337" t="str">
        <f>IF(Table2428[[#This Row],[Branch Name]]="","",(_xlfn.XLOOKUP(Table2428[[#This Row],[Branch Name]],'[4]Lookup Values'!G:G,'[4]Lookup Values'!H:H,0)))</f>
        <v/>
      </c>
      <c r="B337" t="str">
        <f>IF(Table2428[[#This Row],[Branch Name]]="","",(_xlfn.XLOOKUP(Table2428[[#This Row],[Branch Name]],'[4]Lookup Values'!G:G,'[4]Lookup Values'!I:I,0)))</f>
        <v/>
      </c>
      <c r="C337" t="str">
        <f>IF(Table2428[[#This Row],[Journal Description (Service Description)]]="","",1)</f>
        <v/>
      </c>
      <c r="D337" s="65" t="str">
        <f>IF(Table2428[[#This Row],[Journal Description (Service Description)]]="","",VLOOKUP(Table2428[[#This Row],[Journal Description (Service Description)]],'[4]Lookup Values'!$A:$B,2,FALSE))</f>
        <v/>
      </c>
    </row>
    <row r="338" spans="1:4" x14ac:dyDescent="0.35">
      <c r="A338" t="str">
        <f>IF(Table2428[[#This Row],[Branch Name]]="","",(_xlfn.XLOOKUP(Table2428[[#This Row],[Branch Name]],'[4]Lookup Values'!G:G,'[4]Lookup Values'!H:H,0)))</f>
        <v/>
      </c>
      <c r="B338" t="str">
        <f>IF(Table2428[[#This Row],[Branch Name]]="","",(_xlfn.XLOOKUP(Table2428[[#This Row],[Branch Name]],'[4]Lookup Values'!G:G,'[4]Lookup Values'!I:I,0)))</f>
        <v/>
      </c>
      <c r="C338" t="str">
        <f>IF(Table2428[[#This Row],[Journal Description (Service Description)]]="","",1)</f>
        <v/>
      </c>
      <c r="D338" s="65" t="str">
        <f>IF(Table2428[[#This Row],[Journal Description (Service Description)]]="","",VLOOKUP(Table2428[[#This Row],[Journal Description (Service Description)]],'[4]Lookup Values'!$A:$B,2,FALSE))</f>
        <v/>
      </c>
    </row>
    <row r="339" spans="1:4" x14ac:dyDescent="0.35">
      <c r="A339" t="str">
        <f>IF(Table2428[[#This Row],[Branch Name]]="","",(_xlfn.XLOOKUP(Table2428[[#This Row],[Branch Name]],'[4]Lookup Values'!G:G,'[4]Lookup Values'!H:H,0)))</f>
        <v/>
      </c>
      <c r="B339" t="str">
        <f>IF(Table2428[[#This Row],[Branch Name]]="","",(_xlfn.XLOOKUP(Table2428[[#This Row],[Branch Name]],'[4]Lookup Values'!G:G,'[4]Lookup Values'!I:I,0)))</f>
        <v/>
      </c>
      <c r="C339" t="str">
        <f>IF(Table2428[[#This Row],[Journal Description (Service Description)]]="","",1)</f>
        <v/>
      </c>
      <c r="D339" s="65" t="str">
        <f>IF(Table2428[[#This Row],[Journal Description (Service Description)]]="","",VLOOKUP(Table2428[[#This Row],[Journal Description (Service Description)]],'[4]Lookup Values'!$A:$B,2,FALSE))</f>
        <v/>
      </c>
    </row>
    <row r="340" spans="1:4" x14ac:dyDescent="0.35">
      <c r="A340" t="str">
        <f>IF(Table2428[[#This Row],[Branch Name]]="","",(_xlfn.XLOOKUP(Table2428[[#This Row],[Branch Name]],'[4]Lookup Values'!G:G,'[4]Lookup Values'!H:H,0)))</f>
        <v/>
      </c>
      <c r="B340" t="str">
        <f>IF(Table2428[[#This Row],[Branch Name]]="","",(_xlfn.XLOOKUP(Table2428[[#This Row],[Branch Name]],'[4]Lookup Values'!G:G,'[4]Lookup Values'!I:I,0)))</f>
        <v/>
      </c>
      <c r="C340" t="str">
        <f>IF(Table2428[[#This Row],[Journal Description (Service Description)]]="","",1)</f>
        <v/>
      </c>
      <c r="D340" s="65" t="str">
        <f>IF(Table2428[[#This Row],[Journal Description (Service Description)]]="","",VLOOKUP(Table2428[[#This Row],[Journal Description (Service Description)]],'[4]Lookup Values'!$A:$B,2,FALSE))</f>
        <v/>
      </c>
    </row>
    <row r="341" spans="1:4" x14ac:dyDescent="0.35">
      <c r="A341" t="str">
        <f>IF(Table2428[[#This Row],[Branch Name]]="","",(_xlfn.XLOOKUP(Table2428[[#This Row],[Branch Name]],'[4]Lookup Values'!G:G,'[4]Lookup Values'!H:H,0)))</f>
        <v/>
      </c>
      <c r="B341" t="str">
        <f>IF(Table2428[[#This Row],[Branch Name]]="","",(_xlfn.XLOOKUP(Table2428[[#This Row],[Branch Name]],'[4]Lookup Values'!G:G,'[4]Lookup Values'!I:I,0)))</f>
        <v/>
      </c>
      <c r="C341" t="str">
        <f>IF(Table2428[[#This Row],[Journal Description (Service Description)]]="","",1)</f>
        <v/>
      </c>
      <c r="D341" s="65" t="str">
        <f>IF(Table2428[[#This Row],[Journal Description (Service Description)]]="","",VLOOKUP(Table2428[[#This Row],[Journal Description (Service Description)]],'[4]Lookup Values'!$A:$B,2,FALSE))</f>
        <v/>
      </c>
    </row>
    <row r="342" spans="1:4" x14ac:dyDescent="0.35">
      <c r="A342" t="str">
        <f>IF(Table2428[[#This Row],[Branch Name]]="","",(_xlfn.XLOOKUP(Table2428[[#This Row],[Branch Name]],'[4]Lookup Values'!G:G,'[4]Lookup Values'!H:H,0)))</f>
        <v/>
      </c>
      <c r="B342" t="str">
        <f>IF(Table2428[[#This Row],[Branch Name]]="","",(_xlfn.XLOOKUP(Table2428[[#This Row],[Branch Name]],'[4]Lookup Values'!G:G,'[4]Lookup Values'!I:I,0)))</f>
        <v/>
      </c>
      <c r="C342" t="str">
        <f>IF(Table2428[[#This Row],[Journal Description (Service Description)]]="","",1)</f>
        <v/>
      </c>
      <c r="D342" s="65" t="str">
        <f>IF(Table2428[[#This Row],[Journal Description (Service Description)]]="","",VLOOKUP(Table2428[[#This Row],[Journal Description (Service Description)]],'[4]Lookup Values'!$A:$B,2,FALSE))</f>
        <v/>
      </c>
    </row>
    <row r="343" spans="1:4" x14ac:dyDescent="0.35">
      <c r="A343" t="str">
        <f>IF(Table2428[[#This Row],[Branch Name]]="","",(_xlfn.XLOOKUP(Table2428[[#This Row],[Branch Name]],'[4]Lookup Values'!G:G,'[4]Lookup Values'!H:H,0)))</f>
        <v/>
      </c>
      <c r="B343" t="str">
        <f>IF(Table2428[[#This Row],[Branch Name]]="","",(_xlfn.XLOOKUP(Table2428[[#This Row],[Branch Name]],'[4]Lookup Values'!G:G,'[4]Lookup Values'!I:I,0)))</f>
        <v/>
      </c>
      <c r="C343" t="str">
        <f>IF(Table2428[[#This Row],[Journal Description (Service Description)]]="","",1)</f>
        <v/>
      </c>
      <c r="D343" s="65" t="str">
        <f>IF(Table2428[[#This Row],[Journal Description (Service Description)]]="","",VLOOKUP(Table2428[[#This Row],[Journal Description (Service Description)]],'[4]Lookup Values'!$A:$B,2,FALSE))</f>
        <v/>
      </c>
    </row>
    <row r="344" spans="1:4" x14ac:dyDescent="0.35">
      <c r="A344" t="str">
        <f>IF(Table2428[[#This Row],[Branch Name]]="","",(_xlfn.XLOOKUP(Table2428[[#This Row],[Branch Name]],'[4]Lookup Values'!G:G,'[4]Lookup Values'!H:H,0)))</f>
        <v/>
      </c>
      <c r="B344" t="str">
        <f>IF(Table2428[[#This Row],[Branch Name]]="","",(_xlfn.XLOOKUP(Table2428[[#This Row],[Branch Name]],'[4]Lookup Values'!G:G,'[4]Lookup Values'!I:I,0)))</f>
        <v/>
      </c>
      <c r="C344" t="str">
        <f>IF(Table2428[[#This Row],[Journal Description (Service Description)]]="","",1)</f>
        <v/>
      </c>
      <c r="D344" s="65" t="str">
        <f>IF(Table2428[[#This Row],[Journal Description (Service Description)]]="","",VLOOKUP(Table2428[[#This Row],[Journal Description (Service Description)]],'[4]Lookup Values'!$A:$B,2,FALSE))</f>
        <v/>
      </c>
    </row>
    <row r="345" spans="1:4" x14ac:dyDescent="0.35">
      <c r="A345" t="str">
        <f>IF(Table2428[[#This Row],[Branch Name]]="","",(_xlfn.XLOOKUP(Table2428[[#This Row],[Branch Name]],'[4]Lookup Values'!G:G,'[4]Lookup Values'!H:H,0)))</f>
        <v/>
      </c>
      <c r="B345" t="str">
        <f>IF(Table2428[[#This Row],[Branch Name]]="","",(_xlfn.XLOOKUP(Table2428[[#This Row],[Branch Name]],'[4]Lookup Values'!G:G,'[4]Lookup Values'!I:I,0)))</f>
        <v/>
      </c>
      <c r="C345" t="str">
        <f>IF(Table2428[[#This Row],[Journal Description (Service Description)]]="","",1)</f>
        <v/>
      </c>
      <c r="D345" s="65" t="str">
        <f>IF(Table2428[[#This Row],[Journal Description (Service Description)]]="","",VLOOKUP(Table2428[[#This Row],[Journal Description (Service Description)]],'[4]Lookup Values'!$A:$B,2,FALSE))</f>
        <v/>
      </c>
    </row>
    <row r="346" spans="1:4" x14ac:dyDescent="0.35">
      <c r="A346" t="str">
        <f>IF(Table2428[[#This Row],[Branch Name]]="","",(_xlfn.XLOOKUP(Table2428[[#This Row],[Branch Name]],'[4]Lookup Values'!G:G,'[4]Lookup Values'!H:H,0)))</f>
        <v/>
      </c>
      <c r="B346" t="str">
        <f>IF(Table2428[[#This Row],[Branch Name]]="","",(_xlfn.XLOOKUP(Table2428[[#This Row],[Branch Name]],'[4]Lookup Values'!G:G,'[4]Lookup Values'!I:I,0)))</f>
        <v/>
      </c>
      <c r="C346" t="str">
        <f>IF(Table2428[[#This Row],[Journal Description (Service Description)]]="","",1)</f>
        <v/>
      </c>
      <c r="D346" s="65" t="str">
        <f>IF(Table2428[[#This Row],[Journal Description (Service Description)]]="","",VLOOKUP(Table2428[[#This Row],[Journal Description (Service Description)]],'[4]Lookup Values'!$A:$B,2,FALSE))</f>
        <v/>
      </c>
    </row>
    <row r="347" spans="1:4" x14ac:dyDescent="0.35">
      <c r="A347" t="str">
        <f>IF(Table2428[[#This Row],[Branch Name]]="","",(_xlfn.XLOOKUP(Table2428[[#This Row],[Branch Name]],'[4]Lookup Values'!G:G,'[4]Lookup Values'!H:H,0)))</f>
        <v/>
      </c>
      <c r="B347" t="str">
        <f>IF(Table2428[[#This Row],[Branch Name]]="","",(_xlfn.XLOOKUP(Table2428[[#This Row],[Branch Name]],'[4]Lookup Values'!G:G,'[4]Lookup Values'!I:I,0)))</f>
        <v/>
      </c>
      <c r="C347" t="str">
        <f>IF(Table2428[[#This Row],[Journal Description (Service Description)]]="","",1)</f>
        <v/>
      </c>
      <c r="D347" s="65" t="str">
        <f>IF(Table2428[[#This Row],[Journal Description (Service Description)]]="","",VLOOKUP(Table2428[[#This Row],[Journal Description (Service Description)]],'[4]Lookup Values'!$A:$B,2,FALSE))</f>
        <v/>
      </c>
    </row>
    <row r="348" spans="1:4" x14ac:dyDescent="0.35">
      <c r="A348" t="str">
        <f>IF(Table2428[[#This Row],[Branch Name]]="","",(_xlfn.XLOOKUP(Table2428[[#This Row],[Branch Name]],'[4]Lookup Values'!G:G,'[4]Lookup Values'!H:H,0)))</f>
        <v/>
      </c>
      <c r="B348" t="str">
        <f>IF(Table2428[[#This Row],[Branch Name]]="","",(_xlfn.XLOOKUP(Table2428[[#This Row],[Branch Name]],'[4]Lookup Values'!G:G,'[4]Lookup Values'!I:I,0)))</f>
        <v/>
      </c>
      <c r="C348" t="str">
        <f>IF(Table2428[[#This Row],[Journal Description (Service Description)]]="","",1)</f>
        <v/>
      </c>
      <c r="D348" s="65" t="str">
        <f>IF(Table2428[[#This Row],[Journal Description (Service Description)]]="","",VLOOKUP(Table2428[[#This Row],[Journal Description (Service Description)]],'[4]Lookup Values'!$A:$B,2,FALSE))</f>
        <v/>
      </c>
    </row>
    <row r="349" spans="1:4" x14ac:dyDescent="0.35">
      <c r="A349" t="str">
        <f>IF(Table2428[[#This Row],[Branch Name]]="","",(_xlfn.XLOOKUP(Table2428[[#This Row],[Branch Name]],'[4]Lookup Values'!G:G,'[4]Lookup Values'!H:H,0)))</f>
        <v/>
      </c>
      <c r="B349" t="str">
        <f>IF(Table2428[[#This Row],[Branch Name]]="","",(_xlfn.XLOOKUP(Table2428[[#This Row],[Branch Name]],'[4]Lookup Values'!G:G,'[4]Lookup Values'!I:I,0)))</f>
        <v/>
      </c>
      <c r="C349" t="str">
        <f>IF(Table2428[[#This Row],[Journal Description (Service Description)]]="","",1)</f>
        <v/>
      </c>
      <c r="D349" s="65" t="str">
        <f>IF(Table2428[[#This Row],[Journal Description (Service Description)]]="","",VLOOKUP(Table2428[[#This Row],[Journal Description (Service Description)]],'[4]Lookup Values'!$A:$B,2,FALSE))</f>
        <v/>
      </c>
    </row>
    <row r="350" spans="1:4" x14ac:dyDescent="0.35">
      <c r="A350" t="str">
        <f>IF(Table2428[[#This Row],[Branch Name]]="","",(_xlfn.XLOOKUP(Table2428[[#This Row],[Branch Name]],'[4]Lookup Values'!G:G,'[4]Lookup Values'!H:H,0)))</f>
        <v/>
      </c>
      <c r="B350" t="str">
        <f>IF(Table2428[[#This Row],[Branch Name]]="","",(_xlfn.XLOOKUP(Table2428[[#This Row],[Branch Name]],'[4]Lookup Values'!G:G,'[4]Lookup Values'!I:I,0)))</f>
        <v/>
      </c>
      <c r="C350" t="str">
        <f>IF(Table2428[[#This Row],[Journal Description (Service Description)]]="","",1)</f>
        <v/>
      </c>
      <c r="D350" s="65" t="str">
        <f>IF(Table2428[[#This Row],[Journal Description (Service Description)]]="","",VLOOKUP(Table2428[[#This Row],[Journal Description (Service Description)]],'[4]Lookup Values'!$A:$B,2,FALSE))</f>
        <v/>
      </c>
    </row>
    <row r="351" spans="1:4" x14ac:dyDescent="0.35">
      <c r="A351" t="str">
        <f>IF(Table2428[[#This Row],[Branch Name]]="","",(_xlfn.XLOOKUP(Table2428[[#This Row],[Branch Name]],'[4]Lookup Values'!G:G,'[4]Lookup Values'!H:H,0)))</f>
        <v/>
      </c>
      <c r="B351" t="str">
        <f>IF(Table2428[[#This Row],[Branch Name]]="","",(_xlfn.XLOOKUP(Table2428[[#This Row],[Branch Name]],'[4]Lookup Values'!G:G,'[4]Lookup Values'!I:I,0)))</f>
        <v/>
      </c>
      <c r="C351" t="str">
        <f>IF(Table2428[[#This Row],[Journal Description (Service Description)]]="","",1)</f>
        <v/>
      </c>
      <c r="D351" s="65" t="str">
        <f>IF(Table2428[[#This Row],[Journal Description (Service Description)]]="","",VLOOKUP(Table2428[[#This Row],[Journal Description (Service Description)]],'[4]Lookup Values'!$A:$B,2,FALSE))</f>
        <v/>
      </c>
    </row>
    <row r="352" spans="1:4" x14ac:dyDescent="0.35">
      <c r="A352" t="str">
        <f>IF(Table2428[[#This Row],[Branch Name]]="","",(_xlfn.XLOOKUP(Table2428[[#This Row],[Branch Name]],'[4]Lookup Values'!G:G,'[4]Lookup Values'!H:H,0)))</f>
        <v/>
      </c>
      <c r="B352" t="str">
        <f>IF(Table2428[[#This Row],[Branch Name]]="","",(_xlfn.XLOOKUP(Table2428[[#This Row],[Branch Name]],'[4]Lookup Values'!G:G,'[4]Lookup Values'!I:I,0)))</f>
        <v/>
      </c>
      <c r="C352" t="str">
        <f>IF(Table2428[[#This Row],[Journal Description (Service Description)]]="","",1)</f>
        <v/>
      </c>
      <c r="D352" s="65" t="str">
        <f>IF(Table2428[[#This Row],[Journal Description (Service Description)]]="","",VLOOKUP(Table2428[[#This Row],[Journal Description (Service Description)]],'[4]Lookup Values'!$A:$B,2,FALSE))</f>
        <v/>
      </c>
    </row>
    <row r="353" spans="1:4" x14ac:dyDescent="0.35">
      <c r="A353" t="str">
        <f>IF(Table2428[[#This Row],[Branch Name]]="","",(_xlfn.XLOOKUP(Table2428[[#This Row],[Branch Name]],'[4]Lookup Values'!G:G,'[4]Lookup Values'!H:H,0)))</f>
        <v/>
      </c>
      <c r="B353" t="str">
        <f>IF(Table2428[[#This Row],[Branch Name]]="","",(_xlfn.XLOOKUP(Table2428[[#This Row],[Branch Name]],'[4]Lookup Values'!G:G,'[4]Lookup Values'!I:I,0)))</f>
        <v/>
      </c>
      <c r="C353" t="str">
        <f>IF(Table2428[[#This Row],[Journal Description (Service Description)]]="","",1)</f>
        <v/>
      </c>
      <c r="D353" s="65" t="str">
        <f>IF(Table2428[[#This Row],[Journal Description (Service Description)]]="","",VLOOKUP(Table2428[[#This Row],[Journal Description (Service Description)]],'[4]Lookup Values'!$A:$B,2,FALSE))</f>
        <v/>
      </c>
    </row>
    <row r="354" spans="1:4" x14ac:dyDescent="0.35">
      <c r="A354" t="str">
        <f>IF(Table2428[[#This Row],[Branch Name]]="","",(_xlfn.XLOOKUP(Table2428[[#This Row],[Branch Name]],'[4]Lookup Values'!G:G,'[4]Lookup Values'!H:H,0)))</f>
        <v/>
      </c>
      <c r="B354" t="str">
        <f>IF(Table2428[[#This Row],[Branch Name]]="","",(_xlfn.XLOOKUP(Table2428[[#This Row],[Branch Name]],'[4]Lookup Values'!G:G,'[4]Lookup Values'!I:I,0)))</f>
        <v/>
      </c>
      <c r="C354" t="str">
        <f>IF(Table2428[[#This Row],[Journal Description (Service Description)]]="","",1)</f>
        <v/>
      </c>
      <c r="D354" s="65" t="str">
        <f>IF(Table2428[[#This Row],[Journal Description (Service Description)]]="","",VLOOKUP(Table2428[[#This Row],[Journal Description (Service Description)]],'[4]Lookup Values'!$A:$B,2,FALSE))</f>
        <v/>
      </c>
    </row>
    <row r="355" spans="1:4" x14ac:dyDescent="0.35">
      <c r="A355" t="str">
        <f>IF(Table2428[[#This Row],[Branch Name]]="","",(_xlfn.XLOOKUP(Table2428[[#This Row],[Branch Name]],'[4]Lookup Values'!G:G,'[4]Lookup Values'!H:H,0)))</f>
        <v/>
      </c>
      <c r="B355" t="str">
        <f>IF(Table2428[[#This Row],[Branch Name]]="","",(_xlfn.XLOOKUP(Table2428[[#This Row],[Branch Name]],'[4]Lookup Values'!G:G,'[4]Lookup Values'!I:I,0)))</f>
        <v/>
      </c>
      <c r="C355" t="str">
        <f>IF(Table2428[[#This Row],[Journal Description (Service Description)]]="","",1)</f>
        <v/>
      </c>
      <c r="D355" s="65" t="str">
        <f>IF(Table2428[[#This Row],[Journal Description (Service Description)]]="","",VLOOKUP(Table2428[[#This Row],[Journal Description (Service Description)]],'[4]Lookup Values'!$A:$B,2,FALSE))</f>
        <v/>
      </c>
    </row>
    <row r="356" spans="1:4" x14ac:dyDescent="0.35">
      <c r="A356" t="str">
        <f>IF(Table2428[[#This Row],[Branch Name]]="","",(_xlfn.XLOOKUP(Table2428[[#This Row],[Branch Name]],'[4]Lookup Values'!G:G,'[4]Lookup Values'!H:H,0)))</f>
        <v/>
      </c>
      <c r="B356" t="str">
        <f>IF(Table2428[[#This Row],[Branch Name]]="","",(_xlfn.XLOOKUP(Table2428[[#This Row],[Branch Name]],'[4]Lookup Values'!G:G,'[4]Lookup Values'!I:I,0)))</f>
        <v/>
      </c>
      <c r="C356" t="str">
        <f>IF(Table2428[[#This Row],[Journal Description (Service Description)]]="","",1)</f>
        <v/>
      </c>
      <c r="D356" s="65" t="str">
        <f>IF(Table2428[[#This Row],[Journal Description (Service Description)]]="","",VLOOKUP(Table2428[[#This Row],[Journal Description (Service Description)]],'[4]Lookup Values'!$A:$B,2,FALSE))</f>
        <v/>
      </c>
    </row>
    <row r="357" spans="1:4" x14ac:dyDescent="0.35">
      <c r="A357" t="str">
        <f>IF(Table2428[[#This Row],[Branch Name]]="","",(_xlfn.XLOOKUP(Table2428[[#This Row],[Branch Name]],'[4]Lookup Values'!G:G,'[4]Lookup Values'!H:H,0)))</f>
        <v/>
      </c>
      <c r="B357" t="str">
        <f>IF(Table2428[[#This Row],[Branch Name]]="","",(_xlfn.XLOOKUP(Table2428[[#This Row],[Branch Name]],'[4]Lookup Values'!G:G,'[4]Lookup Values'!I:I,0)))</f>
        <v/>
      </c>
      <c r="C357" t="str">
        <f>IF(Table2428[[#This Row],[Journal Description (Service Description)]]="","",1)</f>
        <v/>
      </c>
      <c r="D357" s="65" t="str">
        <f>IF(Table2428[[#This Row],[Journal Description (Service Description)]]="","",VLOOKUP(Table2428[[#This Row],[Journal Description (Service Description)]],'[4]Lookup Values'!$A:$B,2,FALSE))</f>
        <v/>
      </c>
    </row>
    <row r="358" spans="1:4" x14ac:dyDescent="0.35">
      <c r="A358" t="str">
        <f>IF(Table2428[[#This Row],[Branch Name]]="","",(_xlfn.XLOOKUP(Table2428[[#This Row],[Branch Name]],'[4]Lookup Values'!G:G,'[4]Lookup Values'!H:H,0)))</f>
        <v/>
      </c>
      <c r="B358" t="str">
        <f>IF(Table2428[[#This Row],[Branch Name]]="","",(_xlfn.XLOOKUP(Table2428[[#This Row],[Branch Name]],'[4]Lookup Values'!G:G,'[4]Lookup Values'!I:I,0)))</f>
        <v/>
      </c>
      <c r="C358" t="str">
        <f>IF(Table2428[[#This Row],[Journal Description (Service Description)]]="","",1)</f>
        <v/>
      </c>
      <c r="D358" s="65" t="str">
        <f>IF(Table2428[[#This Row],[Journal Description (Service Description)]]="","",VLOOKUP(Table2428[[#This Row],[Journal Description (Service Description)]],'[4]Lookup Values'!$A:$B,2,FALSE))</f>
        <v/>
      </c>
    </row>
    <row r="359" spans="1:4" x14ac:dyDescent="0.35">
      <c r="A359" t="str">
        <f>IF(Table2428[[#This Row],[Branch Name]]="","",(_xlfn.XLOOKUP(Table2428[[#This Row],[Branch Name]],'[4]Lookup Values'!G:G,'[4]Lookup Values'!H:H,0)))</f>
        <v/>
      </c>
      <c r="B359" t="str">
        <f>IF(Table2428[[#This Row],[Branch Name]]="","",(_xlfn.XLOOKUP(Table2428[[#This Row],[Branch Name]],'[4]Lookup Values'!G:G,'[4]Lookup Values'!I:I,0)))</f>
        <v/>
      </c>
      <c r="C359" t="str">
        <f>IF(Table2428[[#This Row],[Journal Description (Service Description)]]="","",1)</f>
        <v/>
      </c>
      <c r="D359" s="65" t="str">
        <f>IF(Table2428[[#This Row],[Journal Description (Service Description)]]="","",VLOOKUP(Table2428[[#This Row],[Journal Description (Service Description)]],'[4]Lookup Values'!$A:$B,2,FALSE))</f>
        <v/>
      </c>
    </row>
    <row r="360" spans="1:4" x14ac:dyDescent="0.35">
      <c r="A360" t="str">
        <f>IF(Table2428[[#This Row],[Branch Name]]="","",(_xlfn.XLOOKUP(Table2428[[#This Row],[Branch Name]],'[4]Lookup Values'!G:G,'[4]Lookup Values'!H:H,0)))</f>
        <v/>
      </c>
      <c r="B360" t="str">
        <f>IF(Table2428[[#This Row],[Branch Name]]="","",(_xlfn.XLOOKUP(Table2428[[#This Row],[Branch Name]],'[4]Lookup Values'!G:G,'[4]Lookup Values'!I:I,0)))</f>
        <v/>
      </c>
      <c r="C360" t="str">
        <f>IF(Table2428[[#This Row],[Journal Description (Service Description)]]="","",1)</f>
        <v/>
      </c>
      <c r="D360" s="65" t="str">
        <f>IF(Table2428[[#This Row],[Journal Description (Service Description)]]="","",VLOOKUP(Table2428[[#This Row],[Journal Description (Service Description)]],'[4]Lookup Values'!$A:$B,2,FALSE))</f>
        <v/>
      </c>
    </row>
    <row r="361" spans="1:4" x14ac:dyDescent="0.35">
      <c r="A361" t="str">
        <f>IF(Table2428[[#This Row],[Branch Name]]="","",(_xlfn.XLOOKUP(Table2428[[#This Row],[Branch Name]],'[4]Lookup Values'!G:G,'[4]Lookup Values'!H:H,0)))</f>
        <v/>
      </c>
      <c r="B361" t="str">
        <f>IF(Table2428[[#This Row],[Branch Name]]="","",(_xlfn.XLOOKUP(Table2428[[#This Row],[Branch Name]],'[4]Lookup Values'!G:G,'[4]Lookup Values'!I:I,0)))</f>
        <v/>
      </c>
      <c r="C361" t="str">
        <f>IF(Table2428[[#This Row],[Journal Description (Service Description)]]="","",1)</f>
        <v/>
      </c>
      <c r="D361" s="65" t="str">
        <f>IF(Table2428[[#This Row],[Journal Description (Service Description)]]="","",VLOOKUP(Table2428[[#This Row],[Journal Description (Service Description)]],'[4]Lookup Values'!$A:$B,2,FALSE))</f>
        <v/>
      </c>
    </row>
    <row r="362" spans="1:4" x14ac:dyDescent="0.35">
      <c r="A362" t="str">
        <f>IF(Table2428[[#This Row],[Branch Name]]="","",(_xlfn.XLOOKUP(Table2428[[#This Row],[Branch Name]],'[4]Lookup Values'!G:G,'[4]Lookup Values'!H:H,0)))</f>
        <v/>
      </c>
      <c r="B362" t="str">
        <f>IF(Table2428[[#This Row],[Branch Name]]="","",(_xlfn.XLOOKUP(Table2428[[#This Row],[Branch Name]],'[4]Lookup Values'!G:G,'[4]Lookup Values'!I:I,0)))</f>
        <v/>
      </c>
      <c r="C362" t="str">
        <f>IF(Table2428[[#This Row],[Journal Description (Service Description)]]="","",1)</f>
        <v/>
      </c>
      <c r="D362" s="65" t="str">
        <f>IF(Table2428[[#This Row],[Journal Description (Service Description)]]="","",VLOOKUP(Table2428[[#This Row],[Journal Description (Service Description)]],'[4]Lookup Values'!$A:$B,2,FALSE))</f>
        <v/>
      </c>
    </row>
    <row r="363" spans="1:4" x14ac:dyDescent="0.35">
      <c r="A363" t="str">
        <f>IF(Table2428[[#This Row],[Branch Name]]="","",(_xlfn.XLOOKUP(Table2428[[#This Row],[Branch Name]],'[4]Lookup Values'!G:G,'[4]Lookup Values'!H:H,0)))</f>
        <v/>
      </c>
      <c r="B363" t="str">
        <f>IF(Table2428[[#This Row],[Branch Name]]="","",(_xlfn.XLOOKUP(Table2428[[#This Row],[Branch Name]],'[4]Lookup Values'!G:G,'[4]Lookup Values'!I:I,0)))</f>
        <v/>
      </c>
      <c r="C363" t="str">
        <f>IF(Table2428[[#This Row],[Journal Description (Service Description)]]="","",1)</f>
        <v/>
      </c>
      <c r="D363" s="65" t="str">
        <f>IF(Table2428[[#This Row],[Journal Description (Service Description)]]="","",VLOOKUP(Table2428[[#This Row],[Journal Description (Service Description)]],'[4]Lookup Values'!$A:$B,2,FALSE))</f>
        <v/>
      </c>
    </row>
    <row r="364" spans="1:4" x14ac:dyDescent="0.35">
      <c r="A364" t="str">
        <f>IF(Table2428[[#This Row],[Branch Name]]="","",(_xlfn.XLOOKUP(Table2428[[#This Row],[Branch Name]],'[4]Lookup Values'!G:G,'[4]Lookup Values'!H:H,0)))</f>
        <v/>
      </c>
      <c r="B364" t="str">
        <f>IF(Table2428[[#This Row],[Branch Name]]="","",(_xlfn.XLOOKUP(Table2428[[#This Row],[Branch Name]],'[4]Lookup Values'!G:G,'[4]Lookup Values'!I:I,0)))</f>
        <v/>
      </c>
      <c r="C364" t="str">
        <f>IF(Table2428[[#This Row],[Journal Description (Service Description)]]="","",1)</f>
        <v/>
      </c>
      <c r="D364" s="65" t="str">
        <f>IF(Table2428[[#This Row],[Journal Description (Service Description)]]="","",VLOOKUP(Table2428[[#This Row],[Journal Description (Service Description)]],'[4]Lookup Values'!$A:$B,2,FALSE))</f>
        <v/>
      </c>
    </row>
    <row r="365" spans="1:4" x14ac:dyDescent="0.35">
      <c r="A365" t="str">
        <f>IF(Table2428[[#This Row],[Branch Name]]="","",(_xlfn.XLOOKUP(Table2428[[#This Row],[Branch Name]],'[4]Lookup Values'!G:G,'[4]Lookup Values'!H:H,0)))</f>
        <v/>
      </c>
      <c r="B365" t="str">
        <f>IF(Table2428[[#This Row],[Branch Name]]="","",(_xlfn.XLOOKUP(Table2428[[#This Row],[Branch Name]],'[4]Lookup Values'!G:G,'[4]Lookup Values'!I:I,0)))</f>
        <v/>
      </c>
      <c r="C365" t="str">
        <f>IF(Table2428[[#This Row],[Journal Description (Service Description)]]="","",1)</f>
        <v/>
      </c>
      <c r="D365" s="65" t="str">
        <f>IF(Table2428[[#This Row],[Journal Description (Service Description)]]="","",VLOOKUP(Table2428[[#This Row],[Journal Description (Service Description)]],'[4]Lookup Values'!$A:$B,2,FALSE))</f>
        <v/>
      </c>
    </row>
    <row r="366" spans="1:4" x14ac:dyDescent="0.35">
      <c r="A366" t="str">
        <f>IF(Table2428[[#This Row],[Branch Name]]="","",(_xlfn.XLOOKUP(Table2428[[#This Row],[Branch Name]],'[4]Lookup Values'!G:G,'[4]Lookup Values'!H:H,0)))</f>
        <v/>
      </c>
      <c r="B366" t="str">
        <f>IF(Table2428[[#This Row],[Branch Name]]="","",(_xlfn.XLOOKUP(Table2428[[#This Row],[Branch Name]],'[4]Lookup Values'!G:G,'[4]Lookup Values'!I:I,0)))</f>
        <v/>
      </c>
      <c r="C366" t="str">
        <f>IF(Table2428[[#This Row],[Journal Description (Service Description)]]="","",1)</f>
        <v/>
      </c>
      <c r="D366" s="65" t="str">
        <f>IF(Table2428[[#This Row],[Journal Description (Service Description)]]="","",VLOOKUP(Table2428[[#This Row],[Journal Description (Service Description)]],'[4]Lookup Values'!$A:$B,2,FALSE))</f>
        <v/>
      </c>
    </row>
    <row r="367" spans="1:4" x14ac:dyDescent="0.35">
      <c r="A367" t="str">
        <f>IF(Table2428[[#This Row],[Branch Name]]="","",(_xlfn.XLOOKUP(Table2428[[#This Row],[Branch Name]],'[4]Lookup Values'!G:G,'[4]Lookup Values'!H:H,0)))</f>
        <v/>
      </c>
      <c r="B367" t="str">
        <f>IF(Table2428[[#This Row],[Branch Name]]="","",(_xlfn.XLOOKUP(Table2428[[#This Row],[Branch Name]],'[4]Lookup Values'!G:G,'[4]Lookup Values'!I:I,0)))</f>
        <v/>
      </c>
      <c r="C367" t="str">
        <f>IF(Table2428[[#This Row],[Journal Description (Service Description)]]="","",1)</f>
        <v/>
      </c>
      <c r="D367" s="65" t="str">
        <f>IF(Table2428[[#This Row],[Journal Description (Service Description)]]="","",VLOOKUP(Table2428[[#This Row],[Journal Description (Service Description)]],'[4]Lookup Values'!$A:$B,2,FALSE))</f>
        <v/>
      </c>
    </row>
    <row r="368" spans="1:4" x14ac:dyDescent="0.35">
      <c r="A368" t="str">
        <f>IF(Table2428[[#This Row],[Branch Name]]="","",(_xlfn.XLOOKUP(Table2428[[#This Row],[Branch Name]],'[4]Lookup Values'!G:G,'[4]Lookup Values'!H:H,0)))</f>
        <v/>
      </c>
      <c r="B368" t="str">
        <f>IF(Table2428[[#This Row],[Branch Name]]="","",(_xlfn.XLOOKUP(Table2428[[#This Row],[Branch Name]],'[4]Lookup Values'!G:G,'[4]Lookup Values'!I:I,0)))</f>
        <v/>
      </c>
      <c r="C368" t="str">
        <f>IF(Table2428[[#This Row],[Journal Description (Service Description)]]="","",1)</f>
        <v/>
      </c>
      <c r="D368" s="65" t="str">
        <f>IF(Table2428[[#This Row],[Journal Description (Service Description)]]="","",VLOOKUP(Table2428[[#This Row],[Journal Description (Service Description)]],'[4]Lookup Values'!$A:$B,2,FALSE))</f>
        <v/>
      </c>
    </row>
    <row r="369" spans="1:4" x14ac:dyDescent="0.35">
      <c r="A369" t="str">
        <f>IF(Table2428[[#This Row],[Branch Name]]="","",(_xlfn.XLOOKUP(Table2428[[#This Row],[Branch Name]],'[4]Lookup Values'!G:G,'[4]Lookup Values'!H:H,0)))</f>
        <v/>
      </c>
      <c r="B369" t="str">
        <f>IF(Table2428[[#This Row],[Branch Name]]="","",(_xlfn.XLOOKUP(Table2428[[#This Row],[Branch Name]],'[4]Lookup Values'!G:G,'[4]Lookup Values'!I:I,0)))</f>
        <v/>
      </c>
      <c r="C369" t="str">
        <f>IF(Table2428[[#This Row],[Journal Description (Service Description)]]="","",1)</f>
        <v/>
      </c>
      <c r="D369" s="65" t="str">
        <f>IF(Table2428[[#This Row],[Journal Description (Service Description)]]="","",VLOOKUP(Table2428[[#This Row],[Journal Description (Service Description)]],'[4]Lookup Values'!$A:$B,2,FALSE))</f>
        <v/>
      </c>
    </row>
    <row r="370" spans="1:4" x14ac:dyDescent="0.35">
      <c r="A370" t="str">
        <f>IF(Table2428[[#This Row],[Branch Name]]="","",(_xlfn.XLOOKUP(Table2428[[#This Row],[Branch Name]],'[4]Lookup Values'!G:G,'[4]Lookup Values'!H:H,0)))</f>
        <v/>
      </c>
      <c r="B370" t="str">
        <f>IF(Table2428[[#This Row],[Branch Name]]="","",(_xlfn.XLOOKUP(Table2428[[#This Row],[Branch Name]],'[4]Lookup Values'!G:G,'[4]Lookup Values'!I:I,0)))</f>
        <v/>
      </c>
      <c r="C370" t="str">
        <f>IF(Table2428[[#This Row],[Journal Description (Service Description)]]="","",1)</f>
        <v/>
      </c>
      <c r="D370" s="65" t="str">
        <f>IF(Table2428[[#This Row],[Journal Description (Service Description)]]="","",VLOOKUP(Table2428[[#This Row],[Journal Description (Service Description)]],'[4]Lookup Values'!$A:$B,2,FALSE))</f>
        <v/>
      </c>
    </row>
    <row r="371" spans="1:4" x14ac:dyDescent="0.35">
      <c r="A371" t="str">
        <f>IF(Table2428[[#This Row],[Branch Name]]="","",(_xlfn.XLOOKUP(Table2428[[#This Row],[Branch Name]],'[4]Lookup Values'!G:G,'[4]Lookup Values'!H:H,0)))</f>
        <v/>
      </c>
      <c r="B371" t="str">
        <f>IF(Table2428[[#This Row],[Branch Name]]="","",(_xlfn.XLOOKUP(Table2428[[#This Row],[Branch Name]],'[4]Lookup Values'!G:G,'[4]Lookup Values'!I:I,0)))</f>
        <v/>
      </c>
      <c r="C371" t="str">
        <f>IF(Table2428[[#This Row],[Journal Description (Service Description)]]="","",1)</f>
        <v/>
      </c>
      <c r="D371" s="65" t="str">
        <f>IF(Table2428[[#This Row],[Journal Description (Service Description)]]="","",VLOOKUP(Table2428[[#This Row],[Journal Description (Service Description)]],'[4]Lookup Values'!$A:$B,2,FALSE))</f>
        <v/>
      </c>
    </row>
    <row r="372" spans="1:4" x14ac:dyDescent="0.35">
      <c r="A372" t="str">
        <f>IF(Table2428[[#This Row],[Branch Name]]="","",(_xlfn.XLOOKUP(Table2428[[#This Row],[Branch Name]],'[4]Lookup Values'!G:G,'[4]Lookup Values'!H:H,0)))</f>
        <v/>
      </c>
      <c r="B372" t="str">
        <f>IF(Table2428[[#This Row],[Branch Name]]="","",(_xlfn.XLOOKUP(Table2428[[#This Row],[Branch Name]],'[4]Lookup Values'!G:G,'[4]Lookup Values'!I:I,0)))</f>
        <v/>
      </c>
      <c r="C372" t="str">
        <f>IF(Table2428[[#This Row],[Journal Description (Service Description)]]="","",1)</f>
        <v/>
      </c>
      <c r="D372" s="65" t="str">
        <f>IF(Table2428[[#This Row],[Journal Description (Service Description)]]="","",VLOOKUP(Table2428[[#This Row],[Journal Description (Service Description)]],'[4]Lookup Values'!$A:$B,2,FALSE))</f>
        <v/>
      </c>
    </row>
    <row r="373" spans="1:4" x14ac:dyDescent="0.35">
      <c r="A373" t="str">
        <f>IF(Table2428[[#This Row],[Branch Name]]="","",(_xlfn.XLOOKUP(Table2428[[#This Row],[Branch Name]],'[4]Lookup Values'!G:G,'[4]Lookup Values'!H:H,0)))</f>
        <v/>
      </c>
      <c r="B373" t="str">
        <f>IF(Table2428[[#This Row],[Branch Name]]="","",(_xlfn.XLOOKUP(Table2428[[#This Row],[Branch Name]],'[4]Lookup Values'!G:G,'[4]Lookup Values'!I:I,0)))</f>
        <v/>
      </c>
      <c r="C373" t="str">
        <f>IF(Table2428[[#This Row],[Journal Description (Service Description)]]="","",1)</f>
        <v/>
      </c>
      <c r="D373" s="65" t="str">
        <f>IF(Table2428[[#This Row],[Journal Description (Service Description)]]="","",VLOOKUP(Table2428[[#This Row],[Journal Description (Service Description)]],'[4]Lookup Values'!$A:$B,2,FALSE))</f>
        <v/>
      </c>
    </row>
    <row r="374" spans="1:4" x14ac:dyDescent="0.35">
      <c r="A374" t="str">
        <f>IF(Table2428[[#This Row],[Branch Name]]="","",(_xlfn.XLOOKUP(Table2428[[#This Row],[Branch Name]],'[4]Lookup Values'!G:G,'[4]Lookup Values'!H:H,0)))</f>
        <v/>
      </c>
      <c r="B374" t="str">
        <f>IF(Table2428[[#This Row],[Branch Name]]="","",(_xlfn.XLOOKUP(Table2428[[#This Row],[Branch Name]],'[4]Lookup Values'!G:G,'[4]Lookup Values'!I:I,0)))</f>
        <v/>
      </c>
      <c r="C374" t="str">
        <f>IF(Table2428[[#This Row],[Journal Description (Service Description)]]="","",1)</f>
        <v/>
      </c>
      <c r="D374" s="65" t="str">
        <f>IF(Table2428[[#This Row],[Journal Description (Service Description)]]="","",VLOOKUP(Table2428[[#This Row],[Journal Description (Service Description)]],'[4]Lookup Values'!$A:$B,2,FALSE))</f>
        <v/>
      </c>
    </row>
    <row r="375" spans="1:4" x14ac:dyDescent="0.35">
      <c r="A375" t="str">
        <f>IF(Table2428[[#This Row],[Branch Name]]="","",(_xlfn.XLOOKUP(Table2428[[#This Row],[Branch Name]],'[4]Lookup Values'!G:G,'[4]Lookup Values'!H:H,0)))</f>
        <v/>
      </c>
      <c r="B375" t="str">
        <f>IF(Table2428[[#This Row],[Branch Name]]="","",(_xlfn.XLOOKUP(Table2428[[#This Row],[Branch Name]],'[4]Lookup Values'!G:G,'[4]Lookup Values'!I:I,0)))</f>
        <v/>
      </c>
      <c r="C375" t="str">
        <f>IF(Table2428[[#This Row],[Journal Description (Service Description)]]="","",1)</f>
        <v/>
      </c>
      <c r="D375" s="65" t="str">
        <f>IF(Table2428[[#This Row],[Journal Description (Service Description)]]="","",VLOOKUP(Table2428[[#This Row],[Journal Description (Service Description)]],'[4]Lookup Values'!$A:$B,2,FALSE))</f>
        <v/>
      </c>
    </row>
    <row r="376" spans="1:4" x14ac:dyDescent="0.35">
      <c r="A376" t="str">
        <f>IF(Table2428[[#This Row],[Branch Name]]="","",(_xlfn.XLOOKUP(Table2428[[#This Row],[Branch Name]],'[4]Lookup Values'!G:G,'[4]Lookup Values'!H:H,0)))</f>
        <v/>
      </c>
      <c r="B376" t="str">
        <f>IF(Table2428[[#This Row],[Branch Name]]="","",(_xlfn.XLOOKUP(Table2428[[#This Row],[Branch Name]],'[4]Lookup Values'!G:G,'[4]Lookup Values'!I:I,0)))</f>
        <v/>
      </c>
      <c r="C376" t="str">
        <f>IF(Table2428[[#This Row],[Journal Description (Service Description)]]="","",1)</f>
        <v/>
      </c>
      <c r="D376" s="65" t="str">
        <f>IF(Table2428[[#This Row],[Journal Description (Service Description)]]="","",VLOOKUP(Table2428[[#This Row],[Journal Description (Service Description)]],'[4]Lookup Values'!$A:$B,2,FALSE))</f>
        <v/>
      </c>
    </row>
    <row r="377" spans="1:4" x14ac:dyDescent="0.35">
      <c r="A377" t="str">
        <f>IF(Table2428[[#This Row],[Branch Name]]="","",(_xlfn.XLOOKUP(Table2428[[#This Row],[Branch Name]],'[4]Lookup Values'!G:G,'[4]Lookup Values'!H:H,0)))</f>
        <v/>
      </c>
      <c r="B377" t="str">
        <f>IF(Table2428[[#This Row],[Branch Name]]="","",(_xlfn.XLOOKUP(Table2428[[#This Row],[Branch Name]],'[4]Lookup Values'!G:G,'[4]Lookup Values'!I:I,0)))</f>
        <v/>
      </c>
      <c r="C377" t="str">
        <f>IF(Table2428[[#This Row],[Journal Description (Service Description)]]="","",1)</f>
        <v/>
      </c>
      <c r="D377" s="65" t="str">
        <f>IF(Table2428[[#This Row],[Journal Description (Service Description)]]="","",VLOOKUP(Table2428[[#This Row],[Journal Description (Service Description)]],'[4]Lookup Values'!$A:$B,2,FALSE))</f>
        <v/>
      </c>
    </row>
    <row r="378" spans="1:4" x14ac:dyDescent="0.35">
      <c r="A378" t="str">
        <f>IF(Table2428[[#This Row],[Branch Name]]="","",(_xlfn.XLOOKUP(Table2428[[#This Row],[Branch Name]],'[4]Lookup Values'!G:G,'[4]Lookup Values'!H:H,0)))</f>
        <v/>
      </c>
      <c r="B378" t="str">
        <f>IF(Table2428[[#This Row],[Branch Name]]="","",(_xlfn.XLOOKUP(Table2428[[#This Row],[Branch Name]],'[4]Lookup Values'!G:G,'[4]Lookup Values'!I:I,0)))</f>
        <v/>
      </c>
      <c r="C378" t="str">
        <f>IF(Table2428[[#This Row],[Journal Description (Service Description)]]="","",1)</f>
        <v/>
      </c>
      <c r="D378" s="65" t="str">
        <f>IF(Table2428[[#This Row],[Journal Description (Service Description)]]="","",VLOOKUP(Table2428[[#This Row],[Journal Description (Service Description)]],'[4]Lookup Values'!$A:$B,2,FALSE))</f>
        <v/>
      </c>
    </row>
    <row r="379" spans="1:4" x14ac:dyDescent="0.35">
      <c r="A379" t="str">
        <f>IF(Table2428[[#This Row],[Branch Name]]="","",(_xlfn.XLOOKUP(Table2428[[#This Row],[Branch Name]],'[4]Lookup Values'!G:G,'[4]Lookup Values'!H:H,0)))</f>
        <v/>
      </c>
      <c r="B379" t="str">
        <f>IF(Table2428[[#This Row],[Branch Name]]="","",(_xlfn.XLOOKUP(Table2428[[#This Row],[Branch Name]],'[4]Lookup Values'!G:G,'[4]Lookup Values'!I:I,0)))</f>
        <v/>
      </c>
      <c r="C379" t="str">
        <f>IF(Table2428[[#This Row],[Journal Description (Service Description)]]="","",1)</f>
        <v/>
      </c>
      <c r="D379" s="65" t="str">
        <f>IF(Table2428[[#This Row],[Journal Description (Service Description)]]="","",VLOOKUP(Table2428[[#This Row],[Journal Description (Service Description)]],'[4]Lookup Values'!$A:$B,2,FALSE))</f>
        <v/>
      </c>
    </row>
    <row r="380" spans="1:4" x14ac:dyDescent="0.35">
      <c r="A380" t="str">
        <f>IF(Table2428[[#This Row],[Branch Name]]="","",(_xlfn.XLOOKUP(Table2428[[#This Row],[Branch Name]],'[4]Lookup Values'!G:G,'[4]Lookup Values'!H:H,0)))</f>
        <v/>
      </c>
      <c r="B380" t="str">
        <f>IF(Table2428[[#This Row],[Branch Name]]="","",(_xlfn.XLOOKUP(Table2428[[#This Row],[Branch Name]],'[4]Lookup Values'!G:G,'[4]Lookup Values'!I:I,0)))</f>
        <v/>
      </c>
      <c r="C380" t="str">
        <f>IF(Table2428[[#This Row],[Journal Description (Service Description)]]="","",1)</f>
        <v/>
      </c>
      <c r="D380" s="65" t="str">
        <f>IF(Table2428[[#This Row],[Journal Description (Service Description)]]="","",VLOOKUP(Table2428[[#This Row],[Journal Description (Service Description)]],'[4]Lookup Values'!$A:$B,2,FALSE))</f>
        <v/>
      </c>
    </row>
    <row r="381" spans="1:4" x14ac:dyDescent="0.35">
      <c r="A381" t="str">
        <f>IF(Table2428[[#This Row],[Branch Name]]="","",(_xlfn.XLOOKUP(Table2428[[#This Row],[Branch Name]],'[4]Lookup Values'!G:G,'[4]Lookup Values'!H:H,0)))</f>
        <v/>
      </c>
      <c r="B381" t="str">
        <f>IF(Table2428[[#This Row],[Branch Name]]="","",(_xlfn.XLOOKUP(Table2428[[#This Row],[Branch Name]],'[4]Lookup Values'!G:G,'[4]Lookup Values'!I:I,0)))</f>
        <v/>
      </c>
      <c r="C381" t="str">
        <f>IF(Table2428[[#This Row],[Journal Description (Service Description)]]="","",1)</f>
        <v/>
      </c>
      <c r="D381" s="65" t="str">
        <f>IF(Table2428[[#This Row],[Journal Description (Service Description)]]="","",VLOOKUP(Table2428[[#This Row],[Journal Description (Service Description)]],'[4]Lookup Values'!$A:$B,2,FALSE))</f>
        <v/>
      </c>
    </row>
    <row r="382" spans="1:4" x14ac:dyDescent="0.35">
      <c r="A382" t="str">
        <f>IF(Table2428[[#This Row],[Branch Name]]="","",(_xlfn.XLOOKUP(Table2428[[#This Row],[Branch Name]],'[4]Lookup Values'!G:G,'[4]Lookup Values'!H:H,0)))</f>
        <v/>
      </c>
      <c r="B382" t="str">
        <f>IF(Table2428[[#This Row],[Branch Name]]="","",(_xlfn.XLOOKUP(Table2428[[#This Row],[Branch Name]],'[4]Lookup Values'!G:G,'[4]Lookup Values'!I:I,0)))</f>
        <v/>
      </c>
      <c r="C382" t="str">
        <f>IF(Table2428[[#This Row],[Journal Description (Service Description)]]="","",1)</f>
        <v/>
      </c>
      <c r="D382" s="65" t="str">
        <f>IF(Table2428[[#This Row],[Journal Description (Service Description)]]="","",VLOOKUP(Table2428[[#This Row],[Journal Description (Service Description)]],'[4]Lookup Values'!$A:$B,2,FALSE))</f>
        <v/>
      </c>
    </row>
    <row r="383" spans="1:4" x14ac:dyDescent="0.35">
      <c r="A383" t="str">
        <f>IF(Table2428[[#This Row],[Branch Name]]="","",(_xlfn.XLOOKUP(Table2428[[#This Row],[Branch Name]],'[4]Lookup Values'!G:G,'[4]Lookup Values'!H:H,0)))</f>
        <v/>
      </c>
      <c r="B383" t="str">
        <f>IF(Table2428[[#This Row],[Branch Name]]="","",(_xlfn.XLOOKUP(Table2428[[#This Row],[Branch Name]],'[4]Lookup Values'!G:G,'[4]Lookup Values'!I:I,0)))</f>
        <v/>
      </c>
      <c r="C383" t="str">
        <f>IF(Table2428[[#This Row],[Journal Description (Service Description)]]="","",1)</f>
        <v/>
      </c>
      <c r="D383" s="65" t="str">
        <f>IF(Table2428[[#This Row],[Journal Description (Service Description)]]="","",VLOOKUP(Table2428[[#This Row],[Journal Description (Service Description)]],'[4]Lookup Values'!$A:$B,2,FALSE))</f>
        <v/>
      </c>
    </row>
    <row r="384" spans="1:4" x14ac:dyDescent="0.35">
      <c r="A384" t="str">
        <f>IF(Table2428[[#This Row],[Branch Name]]="","",(_xlfn.XLOOKUP(Table2428[[#This Row],[Branch Name]],'[4]Lookup Values'!G:G,'[4]Lookup Values'!H:H,0)))</f>
        <v/>
      </c>
      <c r="B384" t="str">
        <f>IF(Table2428[[#This Row],[Branch Name]]="","",(_xlfn.XLOOKUP(Table2428[[#This Row],[Branch Name]],'[4]Lookup Values'!G:G,'[4]Lookup Values'!I:I,0)))</f>
        <v/>
      </c>
      <c r="C384" t="str">
        <f>IF(Table2428[[#This Row],[Journal Description (Service Description)]]="","",1)</f>
        <v/>
      </c>
      <c r="D384" s="65" t="str">
        <f>IF(Table2428[[#This Row],[Journal Description (Service Description)]]="","",VLOOKUP(Table2428[[#This Row],[Journal Description (Service Description)]],'[4]Lookup Values'!$A:$B,2,FALSE))</f>
        <v/>
      </c>
    </row>
    <row r="385" spans="1:4" x14ac:dyDescent="0.35">
      <c r="A385" t="str">
        <f>IF(Table2428[[#This Row],[Branch Name]]="","",(_xlfn.XLOOKUP(Table2428[[#This Row],[Branch Name]],'[4]Lookup Values'!G:G,'[4]Lookup Values'!H:H,0)))</f>
        <v/>
      </c>
      <c r="B385" t="str">
        <f>IF(Table2428[[#This Row],[Branch Name]]="","",(_xlfn.XLOOKUP(Table2428[[#This Row],[Branch Name]],'[4]Lookup Values'!G:G,'[4]Lookup Values'!I:I,0)))</f>
        <v/>
      </c>
      <c r="C385" t="str">
        <f>IF(Table2428[[#This Row],[Journal Description (Service Description)]]="","",1)</f>
        <v/>
      </c>
      <c r="D385" s="65" t="str">
        <f>IF(Table2428[[#This Row],[Journal Description (Service Description)]]="","",VLOOKUP(Table2428[[#This Row],[Journal Description (Service Description)]],'[4]Lookup Values'!$A:$B,2,FALSE))</f>
        <v/>
      </c>
    </row>
    <row r="386" spans="1:4" x14ac:dyDescent="0.35">
      <c r="A386" t="str">
        <f>IF(Table2428[[#This Row],[Branch Name]]="","",(_xlfn.XLOOKUP(Table2428[[#This Row],[Branch Name]],'[4]Lookup Values'!G:G,'[4]Lookup Values'!H:H,0)))</f>
        <v/>
      </c>
      <c r="B386" t="str">
        <f>IF(Table2428[[#This Row],[Branch Name]]="","",(_xlfn.XLOOKUP(Table2428[[#This Row],[Branch Name]],'[4]Lookup Values'!G:G,'[4]Lookup Values'!I:I,0)))</f>
        <v/>
      </c>
      <c r="C386" t="str">
        <f>IF(Table2428[[#This Row],[Journal Description (Service Description)]]="","",1)</f>
        <v/>
      </c>
      <c r="D386" s="65" t="str">
        <f>IF(Table2428[[#This Row],[Journal Description (Service Description)]]="","",VLOOKUP(Table2428[[#This Row],[Journal Description (Service Description)]],'[4]Lookup Values'!$A:$B,2,FALSE))</f>
        <v/>
      </c>
    </row>
    <row r="387" spans="1:4" x14ac:dyDescent="0.35">
      <c r="A387" t="str">
        <f>IF(Table2428[[#This Row],[Branch Name]]="","",(_xlfn.XLOOKUP(Table2428[[#This Row],[Branch Name]],'[4]Lookup Values'!G:G,'[4]Lookup Values'!H:H,0)))</f>
        <v/>
      </c>
      <c r="B387" t="str">
        <f>IF(Table2428[[#This Row],[Branch Name]]="","",(_xlfn.XLOOKUP(Table2428[[#This Row],[Branch Name]],'[4]Lookup Values'!G:G,'[4]Lookup Values'!I:I,0)))</f>
        <v/>
      </c>
      <c r="C387" t="str">
        <f>IF(Table2428[[#This Row],[Journal Description (Service Description)]]="","",1)</f>
        <v/>
      </c>
      <c r="D387" s="65" t="str">
        <f>IF(Table2428[[#This Row],[Journal Description (Service Description)]]="","",VLOOKUP(Table2428[[#This Row],[Journal Description (Service Description)]],'[4]Lookup Values'!$A:$B,2,FALSE))</f>
        <v/>
      </c>
    </row>
    <row r="388" spans="1:4" x14ac:dyDescent="0.35">
      <c r="A388" t="str">
        <f>IF(Table2428[[#This Row],[Branch Name]]="","",(_xlfn.XLOOKUP(Table2428[[#This Row],[Branch Name]],'[4]Lookup Values'!G:G,'[4]Lookup Values'!H:H,0)))</f>
        <v/>
      </c>
      <c r="B388" t="str">
        <f>IF(Table2428[[#This Row],[Branch Name]]="","",(_xlfn.XLOOKUP(Table2428[[#This Row],[Branch Name]],'[4]Lookup Values'!G:G,'[4]Lookup Values'!I:I,0)))</f>
        <v/>
      </c>
      <c r="C388" t="str">
        <f>IF(Table2428[[#This Row],[Journal Description (Service Description)]]="","",1)</f>
        <v/>
      </c>
      <c r="D388" s="65" t="str">
        <f>IF(Table2428[[#This Row],[Journal Description (Service Description)]]="","",VLOOKUP(Table2428[[#This Row],[Journal Description (Service Description)]],'[4]Lookup Values'!$A:$B,2,FALSE))</f>
        <v/>
      </c>
    </row>
    <row r="389" spans="1:4" x14ac:dyDescent="0.35">
      <c r="A389" t="str">
        <f>IF(Table2428[[#This Row],[Branch Name]]="","",(_xlfn.XLOOKUP(Table2428[[#This Row],[Branch Name]],'[4]Lookup Values'!G:G,'[4]Lookup Values'!H:H,0)))</f>
        <v/>
      </c>
      <c r="B389" t="str">
        <f>IF(Table2428[[#This Row],[Branch Name]]="","",(_xlfn.XLOOKUP(Table2428[[#This Row],[Branch Name]],'[4]Lookup Values'!G:G,'[4]Lookup Values'!I:I,0)))</f>
        <v/>
      </c>
      <c r="C389" t="str">
        <f>IF(Table2428[[#This Row],[Journal Description (Service Description)]]="","",1)</f>
        <v/>
      </c>
      <c r="D389" s="65" t="str">
        <f>IF(Table2428[[#This Row],[Journal Description (Service Description)]]="","",VLOOKUP(Table2428[[#This Row],[Journal Description (Service Description)]],'[4]Lookup Values'!$A:$B,2,FALSE))</f>
        <v/>
      </c>
    </row>
    <row r="390" spans="1:4" x14ac:dyDescent="0.35">
      <c r="A390" t="str">
        <f>IF(Table2428[[#This Row],[Branch Name]]="","",(_xlfn.XLOOKUP(Table2428[[#This Row],[Branch Name]],'[4]Lookup Values'!G:G,'[4]Lookup Values'!H:H,0)))</f>
        <v/>
      </c>
      <c r="B390" t="str">
        <f>IF(Table2428[[#This Row],[Branch Name]]="","",(_xlfn.XLOOKUP(Table2428[[#This Row],[Branch Name]],'[4]Lookup Values'!G:G,'[4]Lookup Values'!I:I,0)))</f>
        <v/>
      </c>
      <c r="C390" t="str">
        <f>IF(Table2428[[#This Row],[Journal Description (Service Description)]]="","",1)</f>
        <v/>
      </c>
      <c r="D390" s="65" t="str">
        <f>IF(Table2428[[#This Row],[Journal Description (Service Description)]]="","",VLOOKUP(Table2428[[#This Row],[Journal Description (Service Description)]],'[4]Lookup Values'!$A:$B,2,FALSE))</f>
        <v/>
      </c>
    </row>
    <row r="391" spans="1:4" x14ac:dyDescent="0.35">
      <c r="A391" t="str">
        <f>IF(Table2428[[#This Row],[Branch Name]]="","",(_xlfn.XLOOKUP(Table2428[[#This Row],[Branch Name]],'[4]Lookup Values'!G:G,'[4]Lookup Values'!H:H,0)))</f>
        <v/>
      </c>
      <c r="B391" t="str">
        <f>IF(Table2428[[#This Row],[Branch Name]]="","",(_xlfn.XLOOKUP(Table2428[[#This Row],[Branch Name]],'[4]Lookup Values'!G:G,'[4]Lookup Values'!I:I,0)))</f>
        <v/>
      </c>
      <c r="C391" t="str">
        <f>IF(Table2428[[#This Row],[Journal Description (Service Description)]]="","",1)</f>
        <v/>
      </c>
      <c r="D391" s="65" t="str">
        <f>IF(Table2428[[#This Row],[Journal Description (Service Description)]]="","",VLOOKUP(Table2428[[#This Row],[Journal Description (Service Description)]],'[4]Lookup Values'!$A:$B,2,FALSE))</f>
        <v/>
      </c>
    </row>
    <row r="392" spans="1:4" x14ac:dyDescent="0.35">
      <c r="A392" t="str">
        <f>IF(Table2428[[#This Row],[Branch Name]]="","",(_xlfn.XLOOKUP(Table2428[[#This Row],[Branch Name]],'[4]Lookup Values'!G:G,'[4]Lookup Values'!H:H,0)))</f>
        <v/>
      </c>
      <c r="B392" t="str">
        <f>IF(Table2428[[#This Row],[Branch Name]]="","",(_xlfn.XLOOKUP(Table2428[[#This Row],[Branch Name]],'[4]Lookup Values'!G:G,'[4]Lookup Values'!I:I,0)))</f>
        <v/>
      </c>
      <c r="C392" t="str">
        <f>IF(Table2428[[#This Row],[Journal Description (Service Description)]]="","",1)</f>
        <v/>
      </c>
      <c r="D392" s="65" t="str">
        <f>IF(Table2428[[#This Row],[Journal Description (Service Description)]]="","",VLOOKUP(Table2428[[#This Row],[Journal Description (Service Description)]],'[4]Lookup Values'!$A:$B,2,FALSE))</f>
        <v/>
      </c>
    </row>
    <row r="393" spans="1:4" x14ac:dyDescent="0.35">
      <c r="A393" t="str">
        <f>IF(Table2428[[#This Row],[Branch Name]]="","",(_xlfn.XLOOKUP(Table2428[[#This Row],[Branch Name]],'[4]Lookup Values'!G:G,'[4]Lookup Values'!H:H,0)))</f>
        <v/>
      </c>
      <c r="B393" t="str">
        <f>IF(Table2428[[#This Row],[Branch Name]]="","",(_xlfn.XLOOKUP(Table2428[[#This Row],[Branch Name]],'[4]Lookup Values'!G:G,'[4]Lookup Values'!I:I,0)))</f>
        <v/>
      </c>
      <c r="C393" t="str">
        <f>IF(Table2428[[#This Row],[Journal Description (Service Description)]]="","",1)</f>
        <v/>
      </c>
      <c r="D393" s="65" t="str">
        <f>IF(Table2428[[#This Row],[Journal Description (Service Description)]]="","",VLOOKUP(Table2428[[#This Row],[Journal Description (Service Description)]],'[4]Lookup Values'!$A:$B,2,FALSE))</f>
        <v/>
      </c>
    </row>
    <row r="394" spans="1:4" x14ac:dyDescent="0.35">
      <c r="A394" t="str">
        <f>IF(Table2428[[#This Row],[Branch Name]]="","",(_xlfn.XLOOKUP(Table2428[[#This Row],[Branch Name]],'[4]Lookup Values'!G:G,'[4]Lookup Values'!H:H,0)))</f>
        <v/>
      </c>
      <c r="B394" t="str">
        <f>IF(Table2428[[#This Row],[Branch Name]]="","",(_xlfn.XLOOKUP(Table2428[[#This Row],[Branch Name]],'[4]Lookup Values'!G:G,'[4]Lookup Values'!I:I,0)))</f>
        <v/>
      </c>
      <c r="C394" t="str">
        <f>IF(Table2428[[#This Row],[Journal Description (Service Description)]]="","",1)</f>
        <v/>
      </c>
      <c r="D394" s="65" t="str">
        <f>IF(Table2428[[#This Row],[Journal Description (Service Description)]]="","",VLOOKUP(Table2428[[#This Row],[Journal Description (Service Description)]],'[4]Lookup Values'!$A:$B,2,FALSE))</f>
        <v/>
      </c>
    </row>
    <row r="395" spans="1:4" x14ac:dyDescent="0.35">
      <c r="A395" t="str">
        <f>IF(Table2428[[#This Row],[Branch Name]]="","",(_xlfn.XLOOKUP(Table2428[[#This Row],[Branch Name]],'[4]Lookup Values'!G:G,'[4]Lookup Values'!H:H,0)))</f>
        <v/>
      </c>
      <c r="B395" t="str">
        <f>IF(Table2428[[#This Row],[Branch Name]]="","",(_xlfn.XLOOKUP(Table2428[[#This Row],[Branch Name]],'[4]Lookup Values'!G:G,'[4]Lookup Values'!I:I,0)))</f>
        <v/>
      </c>
      <c r="C395" t="str">
        <f>IF(Table2428[[#This Row],[Journal Description (Service Description)]]="","",1)</f>
        <v/>
      </c>
      <c r="D395" s="65" t="str">
        <f>IF(Table2428[[#This Row],[Journal Description (Service Description)]]="","",VLOOKUP(Table2428[[#This Row],[Journal Description (Service Description)]],'[4]Lookup Values'!$A:$B,2,FALSE))</f>
        <v/>
      </c>
    </row>
    <row r="396" spans="1:4" x14ac:dyDescent="0.35">
      <c r="A396" t="str">
        <f>IF(Table2428[[#This Row],[Branch Name]]="","",(_xlfn.XLOOKUP(Table2428[[#This Row],[Branch Name]],'[4]Lookup Values'!G:G,'[4]Lookup Values'!H:H,0)))</f>
        <v/>
      </c>
      <c r="B396" t="str">
        <f>IF(Table2428[[#This Row],[Branch Name]]="","",(_xlfn.XLOOKUP(Table2428[[#This Row],[Branch Name]],'[4]Lookup Values'!G:G,'[4]Lookup Values'!I:I,0)))</f>
        <v/>
      </c>
      <c r="C396" t="str">
        <f>IF(Table2428[[#This Row],[Journal Description (Service Description)]]="","",1)</f>
        <v/>
      </c>
      <c r="D396" s="65" t="str">
        <f>IF(Table2428[[#This Row],[Journal Description (Service Description)]]="","",VLOOKUP(Table2428[[#This Row],[Journal Description (Service Description)]],'[4]Lookup Values'!$A:$B,2,FALSE))</f>
        <v/>
      </c>
    </row>
    <row r="397" spans="1:4" x14ac:dyDescent="0.35">
      <c r="A397" t="str">
        <f>IF(Table2428[[#This Row],[Branch Name]]="","",(_xlfn.XLOOKUP(Table2428[[#This Row],[Branch Name]],'[4]Lookup Values'!G:G,'[4]Lookup Values'!H:H,0)))</f>
        <v/>
      </c>
      <c r="B397" t="str">
        <f>IF(Table2428[[#This Row],[Branch Name]]="","",(_xlfn.XLOOKUP(Table2428[[#This Row],[Branch Name]],'[4]Lookup Values'!G:G,'[4]Lookup Values'!I:I,0)))</f>
        <v/>
      </c>
      <c r="C397" t="str">
        <f>IF(Table2428[[#This Row],[Journal Description (Service Description)]]="","",1)</f>
        <v/>
      </c>
      <c r="D397" s="65" t="str">
        <f>IF(Table2428[[#This Row],[Journal Description (Service Description)]]="","",VLOOKUP(Table2428[[#This Row],[Journal Description (Service Description)]],'[4]Lookup Values'!$A:$B,2,FALSE))</f>
        <v/>
      </c>
    </row>
    <row r="398" spans="1:4" x14ac:dyDescent="0.35">
      <c r="A398" t="str">
        <f>IF(Table2428[[#This Row],[Branch Name]]="","",(_xlfn.XLOOKUP(Table2428[[#This Row],[Branch Name]],'[4]Lookup Values'!G:G,'[4]Lookup Values'!H:H,0)))</f>
        <v/>
      </c>
      <c r="B398" t="str">
        <f>IF(Table2428[[#This Row],[Branch Name]]="","",(_xlfn.XLOOKUP(Table2428[[#This Row],[Branch Name]],'[4]Lookup Values'!G:G,'[4]Lookup Values'!I:I,0)))</f>
        <v/>
      </c>
      <c r="C398" t="str">
        <f>IF(Table2428[[#This Row],[Journal Description (Service Description)]]="","",1)</f>
        <v/>
      </c>
      <c r="D398" s="65" t="str">
        <f>IF(Table2428[[#This Row],[Journal Description (Service Description)]]="","",VLOOKUP(Table2428[[#This Row],[Journal Description (Service Description)]],'[4]Lookup Values'!$A:$B,2,FALSE))</f>
        <v/>
      </c>
    </row>
    <row r="399" spans="1:4" x14ac:dyDescent="0.35">
      <c r="A399" t="str">
        <f>IF(Table2428[[#This Row],[Branch Name]]="","",(_xlfn.XLOOKUP(Table2428[[#This Row],[Branch Name]],'[4]Lookup Values'!G:G,'[4]Lookup Values'!H:H,0)))</f>
        <v/>
      </c>
      <c r="B399" t="str">
        <f>IF(Table2428[[#This Row],[Branch Name]]="","",(_xlfn.XLOOKUP(Table2428[[#This Row],[Branch Name]],'[4]Lookup Values'!G:G,'[4]Lookup Values'!I:I,0)))</f>
        <v/>
      </c>
      <c r="C399" t="str">
        <f>IF(Table2428[[#This Row],[Journal Description (Service Description)]]="","",1)</f>
        <v/>
      </c>
      <c r="D399" s="65" t="str">
        <f>IF(Table2428[[#This Row],[Journal Description (Service Description)]]="","",VLOOKUP(Table2428[[#This Row],[Journal Description (Service Description)]],'[4]Lookup Values'!$A:$B,2,FALSE))</f>
        <v/>
      </c>
    </row>
    <row r="400" spans="1:4" x14ac:dyDescent="0.35">
      <c r="A400" t="str">
        <f>IF(Table2428[[#This Row],[Branch Name]]="","",(_xlfn.XLOOKUP(Table2428[[#This Row],[Branch Name]],'[4]Lookup Values'!G:G,'[4]Lookup Values'!H:H,0)))</f>
        <v/>
      </c>
      <c r="B400" t="str">
        <f>IF(Table2428[[#This Row],[Branch Name]]="","",(_xlfn.XLOOKUP(Table2428[[#This Row],[Branch Name]],'[4]Lookup Values'!G:G,'[4]Lookup Values'!I:I,0)))</f>
        <v/>
      </c>
      <c r="C400" t="str">
        <f>IF(Table2428[[#This Row],[Journal Description (Service Description)]]="","",1)</f>
        <v/>
      </c>
      <c r="D400" s="65" t="str">
        <f>IF(Table2428[[#This Row],[Journal Description (Service Description)]]="","",VLOOKUP(Table2428[[#This Row],[Journal Description (Service Description)]],'[4]Lookup Values'!$A:$B,2,FALSE))</f>
        <v/>
      </c>
    </row>
    <row r="401" spans="1:4" x14ac:dyDescent="0.35">
      <c r="A401" t="str">
        <f>IF(Table2428[[#This Row],[Branch Name]]="","",(_xlfn.XLOOKUP(Table2428[[#This Row],[Branch Name]],'[4]Lookup Values'!G:G,'[4]Lookup Values'!H:H,0)))</f>
        <v/>
      </c>
      <c r="B401" t="str">
        <f>IF(Table2428[[#This Row],[Branch Name]]="","",(_xlfn.XLOOKUP(Table2428[[#This Row],[Branch Name]],'[4]Lookup Values'!G:G,'[4]Lookup Values'!I:I,0)))</f>
        <v/>
      </c>
      <c r="C401" t="str">
        <f>IF(Table2428[[#This Row],[Journal Description (Service Description)]]="","",1)</f>
        <v/>
      </c>
      <c r="D401" s="65" t="str">
        <f>IF(Table2428[[#This Row],[Journal Description (Service Description)]]="","",VLOOKUP(Table2428[[#This Row],[Journal Description (Service Description)]],'[4]Lookup Values'!$A:$B,2,FALSE))</f>
        <v/>
      </c>
    </row>
    <row r="402" spans="1:4" x14ac:dyDescent="0.35">
      <c r="A402" t="str">
        <f>IF(Table2428[[#This Row],[Branch Name]]="","",(_xlfn.XLOOKUP(Table2428[[#This Row],[Branch Name]],'[4]Lookup Values'!G:G,'[4]Lookup Values'!H:H,0)))</f>
        <v/>
      </c>
      <c r="B402" t="str">
        <f>IF(Table2428[[#This Row],[Branch Name]]="","",(_xlfn.XLOOKUP(Table2428[[#This Row],[Branch Name]],'[4]Lookup Values'!G:G,'[4]Lookup Values'!I:I,0)))</f>
        <v/>
      </c>
      <c r="C402" t="str">
        <f>IF(Table2428[[#This Row],[Journal Description (Service Description)]]="","",1)</f>
        <v/>
      </c>
      <c r="D402" s="65" t="str">
        <f>IF(Table2428[[#This Row],[Journal Description (Service Description)]]="","",VLOOKUP(Table2428[[#This Row],[Journal Description (Service Description)]],'[4]Lookup Values'!$A:$B,2,FALSE))</f>
        <v/>
      </c>
    </row>
    <row r="403" spans="1:4" x14ac:dyDescent="0.35">
      <c r="A403" t="str">
        <f>IF(Table2428[[#This Row],[Branch Name]]="","",(_xlfn.XLOOKUP(Table2428[[#This Row],[Branch Name]],'[4]Lookup Values'!G:G,'[4]Lookup Values'!H:H,0)))</f>
        <v/>
      </c>
      <c r="B403" t="str">
        <f>IF(Table2428[[#This Row],[Branch Name]]="","",(_xlfn.XLOOKUP(Table2428[[#This Row],[Branch Name]],'[4]Lookup Values'!G:G,'[4]Lookup Values'!I:I,0)))</f>
        <v/>
      </c>
      <c r="C403" t="str">
        <f>IF(Table2428[[#This Row],[Journal Description (Service Description)]]="","",1)</f>
        <v/>
      </c>
      <c r="D403" s="65" t="str">
        <f>IF(Table2428[[#This Row],[Journal Description (Service Description)]]="","",VLOOKUP(Table2428[[#This Row],[Journal Description (Service Description)]],'[4]Lookup Values'!$A:$B,2,FALSE))</f>
        <v/>
      </c>
    </row>
    <row r="404" spans="1:4" x14ac:dyDescent="0.35">
      <c r="A404" t="str">
        <f>IF(Table2428[[#This Row],[Branch Name]]="","",(_xlfn.XLOOKUP(Table2428[[#This Row],[Branch Name]],'[4]Lookup Values'!G:G,'[4]Lookup Values'!H:H,0)))</f>
        <v/>
      </c>
      <c r="B404" t="str">
        <f>IF(Table2428[[#This Row],[Branch Name]]="","",(_xlfn.XLOOKUP(Table2428[[#This Row],[Branch Name]],'[4]Lookup Values'!G:G,'[4]Lookup Values'!I:I,0)))</f>
        <v/>
      </c>
      <c r="C404" t="str">
        <f>IF(Table2428[[#This Row],[Journal Description (Service Description)]]="","",1)</f>
        <v/>
      </c>
      <c r="D404" s="65" t="str">
        <f>IF(Table2428[[#This Row],[Journal Description (Service Description)]]="","",VLOOKUP(Table2428[[#This Row],[Journal Description (Service Description)]],'[4]Lookup Values'!$A:$B,2,FALSE))</f>
        <v/>
      </c>
    </row>
    <row r="405" spans="1:4" x14ac:dyDescent="0.35">
      <c r="A405" t="str">
        <f>IF(Table2428[[#This Row],[Branch Name]]="","",(_xlfn.XLOOKUP(Table2428[[#This Row],[Branch Name]],'[4]Lookup Values'!G:G,'[4]Lookup Values'!H:H,0)))</f>
        <v/>
      </c>
      <c r="B405" t="str">
        <f>IF(Table2428[[#This Row],[Branch Name]]="","",(_xlfn.XLOOKUP(Table2428[[#This Row],[Branch Name]],'[4]Lookup Values'!G:G,'[4]Lookup Values'!I:I,0)))</f>
        <v/>
      </c>
      <c r="C405" t="str">
        <f>IF(Table2428[[#This Row],[Journal Description (Service Description)]]="","",1)</f>
        <v/>
      </c>
      <c r="D405" s="65" t="str">
        <f>IF(Table2428[[#This Row],[Journal Description (Service Description)]]="","",VLOOKUP(Table2428[[#This Row],[Journal Description (Service Description)]],'[4]Lookup Values'!$A:$B,2,FALSE))</f>
        <v/>
      </c>
    </row>
    <row r="406" spans="1:4" x14ac:dyDescent="0.35">
      <c r="A406" t="str">
        <f>IF(Table2428[[#This Row],[Branch Name]]="","",(_xlfn.XLOOKUP(Table2428[[#This Row],[Branch Name]],'[4]Lookup Values'!G:G,'[4]Lookup Values'!H:H,0)))</f>
        <v/>
      </c>
      <c r="B406" t="str">
        <f>IF(Table2428[[#This Row],[Branch Name]]="","",(_xlfn.XLOOKUP(Table2428[[#This Row],[Branch Name]],'[4]Lookup Values'!G:G,'[4]Lookup Values'!I:I,0)))</f>
        <v/>
      </c>
      <c r="C406" t="str">
        <f>IF(Table2428[[#This Row],[Journal Description (Service Description)]]="","",1)</f>
        <v/>
      </c>
      <c r="D406" s="65" t="str">
        <f>IF(Table2428[[#This Row],[Journal Description (Service Description)]]="","",VLOOKUP(Table2428[[#This Row],[Journal Description (Service Description)]],'[4]Lookup Values'!$A:$B,2,FALSE))</f>
        <v/>
      </c>
    </row>
    <row r="407" spans="1:4" x14ac:dyDescent="0.35">
      <c r="A407" t="str">
        <f>IF(Table2428[[#This Row],[Branch Name]]="","",(_xlfn.XLOOKUP(Table2428[[#This Row],[Branch Name]],'[4]Lookup Values'!G:G,'[4]Lookup Values'!H:H,0)))</f>
        <v/>
      </c>
      <c r="B407" t="str">
        <f>IF(Table2428[[#This Row],[Branch Name]]="","",(_xlfn.XLOOKUP(Table2428[[#This Row],[Branch Name]],'[4]Lookup Values'!G:G,'[4]Lookup Values'!I:I,0)))</f>
        <v/>
      </c>
      <c r="C407" t="str">
        <f>IF(Table2428[[#This Row],[Journal Description (Service Description)]]="","",1)</f>
        <v/>
      </c>
      <c r="D407" s="65" t="str">
        <f>IF(Table2428[[#This Row],[Journal Description (Service Description)]]="","",VLOOKUP(Table2428[[#This Row],[Journal Description (Service Description)]],'[4]Lookup Values'!$A:$B,2,FALSE))</f>
        <v/>
      </c>
    </row>
    <row r="408" spans="1:4" x14ac:dyDescent="0.35">
      <c r="A408" t="str">
        <f>IF(Table2428[[#This Row],[Branch Name]]="","",(_xlfn.XLOOKUP(Table2428[[#This Row],[Branch Name]],'[4]Lookup Values'!G:G,'[4]Lookup Values'!H:H,0)))</f>
        <v/>
      </c>
      <c r="B408" t="str">
        <f>IF(Table2428[[#This Row],[Branch Name]]="","",(_xlfn.XLOOKUP(Table2428[[#This Row],[Branch Name]],'[4]Lookup Values'!G:G,'[4]Lookup Values'!I:I,0)))</f>
        <v/>
      </c>
      <c r="C408" t="str">
        <f>IF(Table2428[[#This Row],[Journal Description (Service Description)]]="","",1)</f>
        <v/>
      </c>
      <c r="D408" s="65" t="str">
        <f>IF(Table2428[[#This Row],[Journal Description (Service Description)]]="","",VLOOKUP(Table2428[[#This Row],[Journal Description (Service Description)]],'[4]Lookup Values'!$A:$B,2,FALSE))</f>
        <v/>
      </c>
    </row>
    <row r="409" spans="1:4" x14ac:dyDescent="0.35">
      <c r="A409" t="str">
        <f>IF(Table2428[[#This Row],[Branch Name]]="","",(_xlfn.XLOOKUP(Table2428[[#This Row],[Branch Name]],'[4]Lookup Values'!G:G,'[4]Lookup Values'!H:H,0)))</f>
        <v/>
      </c>
      <c r="B409" t="str">
        <f>IF(Table2428[[#This Row],[Branch Name]]="","",(_xlfn.XLOOKUP(Table2428[[#This Row],[Branch Name]],'[4]Lookup Values'!G:G,'[4]Lookup Values'!I:I,0)))</f>
        <v/>
      </c>
      <c r="C409" t="str">
        <f>IF(Table2428[[#This Row],[Journal Description (Service Description)]]="","",1)</f>
        <v/>
      </c>
      <c r="D409" s="65" t="str">
        <f>IF(Table2428[[#This Row],[Journal Description (Service Description)]]="","",VLOOKUP(Table2428[[#This Row],[Journal Description (Service Description)]],'[4]Lookup Values'!$A:$B,2,FALSE))</f>
        <v/>
      </c>
    </row>
    <row r="410" spans="1:4" x14ac:dyDescent="0.35">
      <c r="A410" t="str">
        <f>IF(Table2428[[#This Row],[Branch Name]]="","",(_xlfn.XLOOKUP(Table2428[[#This Row],[Branch Name]],'[4]Lookup Values'!G:G,'[4]Lookup Values'!H:H,0)))</f>
        <v/>
      </c>
      <c r="B410" t="str">
        <f>IF(Table2428[[#This Row],[Branch Name]]="","",(_xlfn.XLOOKUP(Table2428[[#This Row],[Branch Name]],'[4]Lookup Values'!G:G,'[4]Lookup Values'!I:I,0)))</f>
        <v/>
      </c>
      <c r="C410" t="str">
        <f>IF(Table2428[[#This Row],[Journal Description (Service Description)]]="","",1)</f>
        <v/>
      </c>
      <c r="D410" s="65" t="str">
        <f>IF(Table2428[[#This Row],[Journal Description (Service Description)]]="","",VLOOKUP(Table2428[[#This Row],[Journal Description (Service Description)]],'[4]Lookup Values'!$A:$B,2,FALSE))</f>
        <v/>
      </c>
    </row>
    <row r="411" spans="1:4" x14ac:dyDescent="0.35">
      <c r="A411" t="str">
        <f>IF(Table2428[[#This Row],[Branch Name]]="","",(_xlfn.XLOOKUP(Table2428[[#This Row],[Branch Name]],'[4]Lookup Values'!G:G,'[4]Lookup Values'!H:H,0)))</f>
        <v/>
      </c>
      <c r="B411" t="str">
        <f>IF(Table2428[[#This Row],[Branch Name]]="","",(_xlfn.XLOOKUP(Table2428[[#This Row],[Branch Name]],'[4]Lookup Values'!G:G,'[4]Lookup Values'!I:I,0)))</f>
        <v/>
      </c>
      <c r="C411" t="str">
        <f>IF(Table2428[[#This Row],[Journal Description (Service Description)]]="","",1)</f>
        <v/>
      </c>
      <c r="D411" s="65" t="str">
        <f>IF(Table2428[[#This Row],[Journal Description (Service Description)]]="","",VLOOKUP(Table2428[[#This Row],[Journal Description (Service Description)]],'[4]Lookup Values'!$A:$B,2,FALSE))</f>
        <v/>
      </c>
    </row>
    <row r="412" spans="1:4" x14ac:dyDescent="0.35">
      <c r="A412" t="str">
        <f>IF(Table2428[[#This Row],[Branch Name]]="","",(_xlfn.XLOOKUP(Table2428[[#This Row],[Branch Name]],'[4]Lookup Values'!G:G,'[4]Lookup Values'!H:H,0)))</f>
        <v/>
      </c>
      <c r="B412" t="str">
        <f>IF(Table2428[[#This Row],[Branch Name]]="","",(_xlfn.XLOOKUP(Table2428[[#This Row],[Branch Name]],'[4]Lookup Values'!G:G,'[4]Lookup Values'!I:I,0)))</f>
        <v/>
      </c>
      <c r="C412" t="str">
        <f>IF(Table2428[[#This Row],[Journal Description (Service Description)]]="","",1)</f>
        <v/>
      </c>
      <c r="D412" s="65" t="str">
        <f>IF(Table2428[[#This Row],[Journal Description (Service Description)]]="","",VLOOKUP(Table2428[[#This Row],[Journal Description (Service Description)]],'[4]Lookup Values'!$A:$B,2,FALSE))</f>
        <v/>
      </c>
    </row>
    <row r="413" spans="1:4" x14ac:dyDescent="0.35">
      <c r="A413" t="str">
        <f>IF(Table2428[[#This Row],[Branch Name]]="","",(_xlfn.XLOOKUP(Table2428[[#This Row],[Branch Name]],'[4]Lookup Values'!G:G,'[4]Lookup Values'!H:H,0)))</f>
        <v/>
      </c>
      <c r="B413" t="str">
        <f>IF(Table2428[[#This Row],[Branch Name]]="","",(_xlfn.XLOOKUP(Table2428[[#This Row],[Branch Name]],'[4]Lookup Values'!G:G,'[4]Lookup Values'!I:I,0)))</f>
        <v/>
      </c>
      <c r="C413" t="str">
        <f>IF(Table2428[[#This Row],[Journal Description (Service Description)]]="","",1)</f>
        <v/>
      </c>
      <c r="D413" s="65" t="str">
        <f>IF(Table2428[[#This Row],[Journal Description (Service Description)]]="","",VLOOKUP(Table2428[[#This Row],[Journal Description (Service Description)]],'[4]Lookup Values'!$A:$B,2,FALSE))</f>
        <v/>
      </c>
    </row>
    <row r="414" spans="1:4" x14ac:dyDescent="0.35">
      <c r="A414" t="str">
        <f>IF(Table2428[[#This Row],[Branch Name]]="","",(_xlfn.XLOOKUP(Table2428[[#This Row],[Branch Name]],'[4]Lookup Values'!G:G,'[4]Lookup Values'!H:H,0)))</f>
        <v/>
      </c>
      <c r="B414" t="str">
        <f>IF(Table2428[[#This Row],[Branch Name]]="","",(_xlfn.XLOOKUP(Table2428[[#This Row],[Branch Name]],'[4]Lookup Values'!G:G,'[4]Lookup Values'!I:I,0)))</f>
        <v/>
      </c>
      <c r="C414" t="str">
        <f>IF(Table2428[[#This Row],[Journal Description (Service Description)]]="","",1)</f>
        <v/>
      </c>
      <c r="D414" s="65" t="str">
        <f>IF(Table2428[[#This Row],[Journal Description (Service Description)]]="","",VLOOKUP(Table2428[[#This Row],[Journal Description (Service Description)]],'[4]Lookup Values'!$A:$B,2,FALSE))</f>
        <v/>
      </c>
    </row>
    <row r="415" spans="1:4" x14ac:dyDescent="0.35">
      <c r="A415" t="str">
        <f>IF(Table2428[[#This Row],[Branch Name]]="","",(_xlfn.XLOOKUP(Table2428[[#This Row],[Branch Name]],'[4]Lookup Values'!G:G,'[4]Lookup Values'!H:H,0)))</f>
        <v/>
      </c>
      <c r="B415" t="str">
        <f>IF(Table2428[[#This Row],[Branch Name]]="","",(_xlfn.XLOOKUP(Table2428[[#This Row],[Branch Name]],'[4]Lookup Values'!G:G,'[4]Lookup Values'!I:I,0)))</f>
        <v/>
      </c>
      <c r="C415" t="str">
        <f>IF(Table2428[[#This Row],[Journal Description (Service Description)]]="","",1)</f>
        <v/>
      </c>
      <c r="D415" s="65" t="str">
        <f>IF(Table2428[[#This Row],[Journal Description (Service Description)]]="","",VLOOKUP(Table2428[[#This Row],[Journal Description (Service Description)]],'[4]Lookup Values'!$A:$B,2,FALSE))</f>
        <v/>
      </c>
    </row>
    <row r="416" spans="1:4" x14ac:dyDescent="0.35">
      <c r="A416" t="str">
        <f>IF(Table2428[[#This Row],[Branch Name]]="","",(_xlfn.XLOOKUP(Table2428[[#This Row],[Branch Name]],'[4]Lookup Values'!G:G,'[4]Lookup Values'!H:H,0)))</f>
        <v/>
      </c>
      <c r="B416" t="str">
        <f>IF(Table2428[[#This Row],[Branch Name]]="","",(_xlfn.XLOOKUP(Table2428[[#This Row],[Branch Name]],'[4]Lookup Values'!G:G,'[4]Lookup Values'!I:I,0)))</f>
        <v/>
      </c>
      <c r="C416" t="str">
        <f>IF(Table2428[[#This Row],[Journal Description (Service Description)]]="","",1)</f>
        <v/>
      </c>
      <c r="D416" s="65" t="str">
        <f>IF(Table2428[[#This Row],[Journal Description (Service Description)]]="","",VLOOKUP(Table2428[[#This Row],[Journal Description (Service Description)]],'[4]Lookup Values'!$A:$B,2,FALSE))</f>
        <v/>
      </c>
    </row>
    <row r="417" spans="1:4" x14ac:dyDescent="0.35">
      <c r="A417" t="str">
        <f>IF(Table2428[[#This Row],[Branch Name]]="","",(_xlfn.XLOOKUP(Table2428[[#This Row],[Branch Name]],'[4]Lookup Values'!G:G,'[4]Lookup Values'!H:H,0)))</f>
        <v/>
      </c>
      <c r="B417" t="str">
        <f>IF(Table2428[[#This Row],[Branch Name]]="","",(_xlfn.XLOOKUP(Table2428[[#This Row],[Branch Name]],'[4]Lookup Values'!G:G,'[4]Lookup Values'!I:I,0)))</f>
        <v/>
      </c>
      <c r="C417" t="str">
        <f>IF(Table2428[[#This Row],[Journal Description (Service Description)]]="","",1)</f>
        <v/>
      </c>
      <c r="D417" s="65" t="str">
        <f>IF(Table2428[[#This Row],[Journal Description (Service Description)]]="","",VLOOKUP(Table2428[[#This Row],[Journal Description (Service Description)]],'[4]Lookup Values'!$A:$B,2,FALSE))</f>
        <v/>
      </c>
    </row>
    <row r="418" spans="1:4" x14ac:dyDescent="0.35">
      <c r="A418" t="str">
        <f>IF(Table2428[[#This Row],[Branch Name]]="","",(_xlfn.XLOOKUP(Table2428[[#This Row],[Branch Name]],'[4]Lookup Values'!G:G,'[4]Lookup Values'!H:H,0)))</f>
        <v/>
      </c>
      <c r="B418" t="str">
        <f>IF(Table2428[[#This Row],[Branch Name]]="","",(_xlfn.XLOOKUP(Table2428[[#This Row],[Branch Name]],'[4]Lookup Values'!G:G,'[4]Lookup Values'!I:I,0)))</f>
        <v/>
      </c>
      <c r="C418" t="str">
        <f>IF(Table2428[[#This Row],[Journal Description (Service Description)]]="","",1)</f>
        <v/>
      </c>
      <c r="D418" s="65" t="str">
        <f>IF(Table2428[[#This Row],[Journal Description (Service Description)]]="","",VLOOKUP(Table2428[[#This Row],[Journal Description (Service Description)]],'[4]Lookup Values'!$A:$B,2,FALSE))</f>
        <v/>
      </c>
    </row>
    <row r="419" spans="1:4" x14ac:dyDescent="0.35">
      <c r="A419" t="str">
        <f>IF(Table2428[[#This Row],[Branch Name]]="","",(_xlfn.XLOOKUP(Table2428[[#This Row],[Branch Name]],'[4]Lookup Values'!G:G,'[4]Lookup Values'!H:H,0)))</f>
        <v/>
      </c>
      <c r="B419" t="str">
        <f>IF(Table2428[[#This Row],[Branch Name]]="","",(_xlfn.XLOOKUP(Table2428[[#This Row],[Branch Name]],'[4]Lookup Values'!G:G,'[4]Lookup Values'!I:I,0)))</f>
        <v/>
      </c>
      <c r="C419" t="str">
        <f>IF(Table2428[[#This Row],[Journal Description (Service Description)]]="","",1)</f>
        <v/>
      </c>
      <c r="D419" s="65" t="str">
        <f>IF(Table2428[[#This Row],[Journal Description (Service Description)]]="","",VLOOKUP(Table2428[[#This Row],[Journal Description (Service Description)]],'[4]Lookup Values'!$A:$B,2,FALSE))</f>
        <v/>
      </c>
    </row>
    <row r="420" spans="1:4" x14ac:dyDescent="0.35">
      <c r="A420" t="str">
        <f>IF(Table2428[[#This Row],[Branch Name]]="","",(_xlfn.XLOOKUP(Table2428[[#This Row],[Branch Name]],'[4]Lookup Values'!G:G,'[4]Lookup Values'!H:H,0)))</f>
        <v/>
      </c>
      <c r="B420" t="str">
        <f>IF(Table2428[[#This Row],[Branch Name]]="","",(_xlfn.XLOOKUP(Table2428[[#This Row],[Branch Name]],'[4]Lookup Values'!G:G,'[4]Lookup Values'!I:I,0)))</f>
        <v/>
      </c>
      <c r="C420" t="str">
        <f>IF(Table2428[[#This Row],[Journal Description (Service Description)]]="","",1)</f>
        <v/>
      </c>
      <c r="D420" s="65" t="str">
        <f>IF(Table2428[[#This Row],[Journal Description (Service Description)]]="","",VLOOKUP(Table2428[[#This Row],[Journal Description (Service Description)]],'[4]Lookup Values'!$A:$B,2,FALSE))</f>
        <v/>
      </c>
    </row>
    <row r="421" spans="1:4" x14ac:dyDescent="0.35">
      <c r="A421" t="str">
        <f>IF(Table2428[[#This Row],[Branch Name]]="","",(_xlfn.XLOOKUP(Table2428[[#This Row],[Branch Name]],'[4]Lookup Values'!G:G,'[4]Lookup Values'!H:H,0)))</f>
        <v/>
      </c>
      <c r="B421" t="str">
        <f>IF(Table2428[[#This Row],[Branch Name]]="","",(_xlfn.XLOOKUP(Table2428[[#This Row],[Branch Name]],'[4]Lookup Values'!G:G,'[4]Lookup Values'!I:I,0)))</f>
        <v/>
      </c>
      <c r="C421" t="str">
        <f>IF(Table2428[[#This Row],[Journal Description (Service Description)]]="","",1)</f>
        <v/>
      </c>
      <c r="D421" s="65" t="str">
        <f>IF(Table2428[[#This Row],[Journal Description (Service Description)]]="","",VLOOKUP(Table2428[[#This Row],[Journal Description (Service Description)]],'[4]Lookup Values'!$A:$B,2,FALSE))</f>
        <v/>
      </c>
    </row>
    <row r="422" spans="1:4" x14ac:dyDescent="0.35">
      <c r="A422" t="str">
        <f>IF(Table2428[[#This Row],[Branch Name]]="","",(_xlfn.XLOOKUP(Table2428[[#This Row],[Branch Name]],'[4]Lookup Values'!G:G,'[4]Lookup Values'!H:H,0)))</f>
        <v/>
      </c>
      <c r="B422" t="str">
        <f>IF(Table2428[[#This Row],[Branch Name]]="","",(_xlfn.XLOOKUP(Table2428[[#This Row],[Branch Name]],'[4]Lookup Values'!G:G,'[4]Lookup Values'!I:I,0)))</f>
        <v/>
      </c>
      <c r="C422" t="str">
        <f>IF(Table2428[[#This Row],[Journal Description (Service Description)]]="","",1)</f>
        <v/>
      </c>
      <c r="D422" s="65" t="str">
        <f>IF(Table2428[[#This Row],[Journal Description (Service Description)]]="","",VLOOKUP(Table2428[[#This Row],[Journal Description (Service Description)]],'[4]Lookup Values'!$A:$B,2,FALSE))</f>
        <v/>
      </c>
    </row>
    <row r="423" spans="1:4" x14ac:dyDescent="0.35">
      <c r="A423" t="str">
        <f>IF(Table2428[[#This Row],[Branch Name]]="","",(_xlfn.XLOOKUP(Table2428[[#This Row],[Branch Name]],'[4]Lookup Values'!G:G,'[4]Lookup Values'!H:H,0)))</f>
        <v/>
      </c>
      <c r="B423" t="str">
        <f>IF(Table2428[[#This Row],[Branch Name]]="","",(_xlfn.XLOOKUP(Table2428[[#This Row],[Branch Name]],'[4]Lookup Values'!G:G,'[4]Lookup Values'!I:I,0)))</f>
        <v/>
      </c>
      <c r="C423" t="str">
        <f>IF(Table2428[[#This Row],[Journal Description (Service Description)]]="","",1)</f>
        <v/>
      </c>
      <c r="D423" s="65" t="str">
        <f>IF(Table2428[[#This Row],[Journal Description (Service Description)]]="","",VLOOKUP(Table2428[[#This Row],[Journal Description (Service Description)]],'[4]Lookup Values'!$A:$B,2,FALSE))</f>
        <v/>
      </c>
    </row>
    <row r="424" spans="1:4" x14ac:dyDescent="0.35">
      <c r="A424" t="str">
        <f>IF(Table2428[[#This Row],[Branch Name]]="","",(_xlfn.XLOOKUP(Table2428[[#This Row],[Branch Name]],'[4]Lookup Values'!G:G,'[4]Lookup Values'!H:H,0)))</f>
        <v/>
      </c>
      <c r="B424" t="str">
        <f>IF(Table2428[[#This Row],[Branch Name]]="","",(_xlfn.XLOOKUP(Table2428[[#This Row],[Branch Name]],'[4]Lookup Values'!G:G,'[4]Lookup Values'!I:I,0)))</f>
        <v/>
      </c>
      <c r="C424" t="str">
        <f>IF(Table2428[[#This Row],[Journal Description (Service Description)]]="","",1)</f>
        <v/>
      </c>
      <c r="D424" s="65" t="str">
        <f>IF(Table2428[[#This Row],[Journal Description (Service Description)]]="","",VLOOKUP(Table2428[[#This Row],[Journal Description (Service Description)]],'[4]Lookup Values'!$A:$B,2,FALSE))</f>
        <v/>
      </c>
    </row>
    <row r="425" spans="1:4" x14ac:dyDescent="0.35">
      <c r="A425" t="str">
        <f>IF(Table2428[[#This Row],[Branch Name]]="","",(_xlfn.XLOOKUP(Table2428[[#This Row],[Branch Name]],'[4]Lookup Values'!G:G,'[4]Lookup Values'!H:H,0)))</f>
        <v/>
      </c>
      <c r="B425" t="str">
        <f>IF(Table2428[[#This Row],[Branch Name]]="","",(_xlfn.XLOOKUP(Table2428[[#This Row],[Branch Name]],'[4]Lookup Values'!G:G,'[4]Lookup Values'!I:I,0)))</f>
        <v/>
      </c>
      <c r="C425" t="str">
        <f>IF(Table2428[[#This Row],[Journal Description (Service Description)]]="","",1)</f>
        <v/>
      </c>
      <c r="D425" s="65" t="str">
        <f>IF(Table2428[[#This Row],[Journal Description (Service Description)]]="","",VLOOKUP(Table2428[[#This Row],[Journal Description (Service Description)]],'[4]Lookup Values'!$A:$B,2,FALSE))</f>
        <v/>
      </c>
    </row>
    <row r="426" spans="1:4" x14ac:dyDescent="0.35">
      <c r="A426" t="str">
        <f>IF(Table2428[[#This Row],[Branch Name]]="","",(_xlfn.XLOOKUP(Table2428[[#This Row],[Branch Name]],'[4]Lookup Values'!G:G,'[4]Lookup Values'!H:H,0)))</f>
        <v/>
      </c>
      <c r="B426" t="str">
        <f>IF(Table2428[[#This Row],[Branch Name]]="","",(_xlfn.XLOOKUP(Table2428[[#This Row],[Branch Name]],'[4]Lookup Values'!G:G,'[4]Lookup Values'!I:I,0)))</f>
        <v/>
      </c>
      <c r="C426" t="str">
        <f>IF(Table2428[[#This Row],[Journal Description (Service Description)]]="","",1)</f>
        <v/>
      </c>
      <c r="D426" s="65" t="str">
        <f>IF(Table2428[[#This Row],[Journal Description (Service Description)]]="","",VLOOKUP(Table2428[[#This Row],[Journal Description (Service Description)]],'[4]Lookup Values'!$A:$B,2,FALSE))</f>
        <v/>
      </c>
    </row>
    <row r="427" spans="1:4" x14ac:dyDescent="0.35">
      <c r="A427" t="str">
        <f>IF(Table2428[[#This Row],[Branch Name]]="","",(_xlfn.XLOOKUP(Table2428[[#This Row],[Branch Name]],'[4]Lookup Values'!G:G,'[4]Lookup Values'!H:H,0)))</f>
        <v/>
      </c>
      <c r="B427" t="str">
        <f>IF(Table2428[[#This Row],[Branch Name]]="","",(_xlfn.XLOOKUP(Table2428[[#This Row],[Branch Name]],'[4]Lookup Values'!G:G,'[4]Lookup Values'!I:I,0)))</f>
        <v/>
      </c>
      <c r="C427" t="str">
        <f>IF(Table2428[[#This Row],[Journal Description (Service Description)]]="","",1)</f>
        <v/>
      </c>
      <c r="D427" s="65" t="str">
        <f>IF(Table2428[[#This Row],[Journal Description (Service Description)]]="","",VLOOKUP(Table2428[[#This Row],[Journal Description (Service Description)]],'[4]Lookup Values'!$A:$B,2,FALSE))</f>
        <v/>
      </c>
    </row>
    <row r="428" spans="1:4" x14ac:dyDescent="0.35">
      <c r="A428" t="str">
        <f>IF(Table2428[[#This Row],[Branch Name]]="","",(_xlfn.XLOOKUP(Table2428[[#This Row],[Branch Name]],'[4]Lookup Values'!G:G,'[4]Lookup Values'!H:H,0)))</f>
        <v/>
      </c>
      <c r="B428" t="str">
        <f>IF(Table2428[[#This Row],[Branch Name]]="","",(_xlfn.XLOOKUP(Table2428[[#This Row],[Branch Name]],'[4]Lookup Values'!G:G,'[4]Lookup Values'!I:I,0)))</f>
        <v/>
      </c>
      <c r="C428" t="str">
        <f>IF(Table2428[[#This Row],[Journal Description (Service Description)]]="","",1)</f>
        <v/>
      </c>
      <c r="D428" s="65" t="str">
        <f>IF(Table2428[[#This Row],[Journal Description (Service Description)]]="","",VLOOKUP(Table2428[[#This Row],[Journal Description (Service Description)]],'[4]Lookup Values'!$A:$B,2,FALSE))</f>
        <v/>
      </c>
    </row>
    <row r="429" spans="1:4" x14ac:dyDescent="0.35">
      <c r="A429" t="str">
        <f>IF(Table2428[[#This Row],[Branch Name]]="","",(_xlfn.XLOOKUP(Table2428[[#This Row],[Branch Name]],'[4]Lookup Values'!G:G,'[4]Lookup Values'!H:H,0)))</f>
        <v/>
      </c>
      <c r="B429" t="str">
        <f>IF(Table2428[[#This Row],[Branch Name]]="","",(_xlfn.XLOOKUP(Table2428[[#This Row],[Branch Name]],'[4]Lookup Values'!G:G,'[4]Lookup Values'!I:I,0)))</f>
        <v/>
      </c>
      <c r="C429" t="str">
        <f>IF(Table2428[[#This Row],[Journal Description (Service Description)]]="","",1)</f>
        <v/>
      </c>
      <c r="D429" s="65" t="str">
        <f>IF(Table2428[[#This Row],[Journal Description (Service Description)]]="","",VLOOKUP(Table2428[[#This Row],[Journal Description (Service Description)]],'[4]Lookup Values'!$A:$B,2,FALSE))</f>
        <v/>
      </c>
    </row>
    <row r="430" spans="1:4" x14ac:dyDescent="0.35">
      <c r="A430" t="str">
        <f>IF(Table2428[[#This Row],[Branch Name]]="","",(_xlfn.XLOOKUP(Table2428[[#This Row],[Branch Name]],'[4]Lookup Values'!G:G,'[4]Lookup Values'!H:H,0)))</f>
        <v/>
      </c>
      <c r="B430" t="str">
        <f>IF(Table2428[[#This Row],[Branch Name]]="","",(_xlfn.XLOOKUP(Table2428[[#This Row],[Branch Name]],'[4]Lookup Values'!G:G,'[4]Lookup Values'!I:I,0)))</f>
        <v/>
      </c>
      <c r="C430" t="str">
        <f>IF(Table2428[[#This Row],[Journal Description (Service Description)]]="","",1)</f>
        <v/>
      </c>
      <c r="D430" s="65" t="str">
        <f>IF(Table2428[[#This Row],[Journal Description (Service Description)]]="","",VLOOKUP(Table2428[[#This Row],[Journal Description (Service Description)]],'[4]Lookup Values'!$A:$B,2,FALSE))</f>
        <v/>
      </c>
    </row>
    <row r="431" spans="1:4" x14ac:dyDescent="0.35">
      <c r="A431" t="str">
        <f>IF(Table2428[[#This Row],[Branch Name]]="","",(_xlfn.XLOOKUP(Table2428[[#This Row],[Branch Name]],'[4]Lookup Values'!G:G,'[4]Lookup Values'!H:H,0)))</f>
        <v/>
      </c>
      <c r="B431" t="str">
        <f>IF(Table2428[[#This Row],[Branch Name]]="","",(_xlfn.XLOOKUP(Table2428[[#This Row],[Branch Name]],'[4]Lookup Values'!G:G,'[4]Lookup Values'!I:I,0)))</f>
        <v/>
      </c>
      <c r="C431" t="str">
        <f>IF(Table2428[[#This Row],[Journal Description (Service Description)]]="","",1)</f>
        <v/>
      </c>
      <c r="D431" s="65" t="str">
        <f>IF(Table2428[[#This Row],[Journal Description (Service Description)]]="","",VLOOKUP(Table2428[[#This Row],[Journal Description (Service Description)]],'[4]Lookup Values'!$A:$B,2,FALSE))</f>
        <v/>
      </c>
    </row>
    <row r="432" spans="1:4" x14ac:dyDescent="0.35">
      <c r="A432" t="str">
        <f>IF(Table2428[[#This Row],[Branch Name]]="","",(_xlfn.XLOOKUP(Table2428[[#This Row],[Branch Name]],'[4]Lookup Values'!G:G,'[4]Lookup Values'!H:H,0)))</f>
        <v/>
      </c>
      <c r="B432" t="str">
        <f>IF(Table2428[[#This Row],[Branch Name]]="","",(_xlfn.XLOOKUP(Table2428[[#This Row],[Branch Name]],'[4]Lookup Values'!G:G,'[4]Lookup Values'!I:I,0)))</f>
        <v/>
      </c>
      <c r="C432" t="str">
        <f>IF(Table2428[[#This Row],[Journal Description (Service Description)]]="","",1)</f>
        <v/>
      </c>
      <c r="D432" s="65" t="str">
        <f>IF(Table2428[[#This Row],[Journal Description (Service Description)]]="","",VLOOKUP(Table2428[[#This Row],[Journal Description (Service Description)]],'[4]Lookup Values'!$A:$B,2,FALSE))</f>
        <v/>
      </c>
    </row>
    <row r="433" spans="1:4" x14ac:dyDescent="0.35">
      <c r="A433" t="str">
        <f>IF(Table2428[[#This Row],[Branch Name]]="","",(_xlfn.XLOOKUP(Table2428[[#This Row],[Branch Name]],'[4]Lookup Values'!G:G,'[4]Lookup Values'!H:H,0)))</f>
        <v/>
      </c>
      <c r="B433" t="str">
        <f>IF(Table2428[[#This Row],[Branch Name]]="","",(_xlfn.XLOOKUP(Table2428[[#This Row],[Branch Name]],'[4]Lookup Values'!G:G,'[4]Lookup Values'!I:I,0)))</f>
        <v/>
      </c>
      <c r="C433" t="str">
        <f>IF(Table2428[[#This Row],[Journal Description (Service Description)]]="","",1)</f>
        <v/>
      </c>
      <c r="D433" s="65" t="str">
        <f>IF(Table2428[[#This Row],[Journal Description (Service Description)]]="","",VLOOKUP(Table2428[[#This Row],[Journal Description (Service Description)]],'[4]Lookup Values'!$A:$B,2,FALSE))</f>
        <v/>
      </c>
    </row>
    <row r="434" spans="1:4" x14ac:dyDescent="0.35">
      <c r="A434" t="str">
        <f>IF(Table2428[[#This Row],[Branch Name]]="","",(_xlfn.XLOOKUP(Table2428[[#This Row],[Branch Name]],'[4]Lookup Values'!G:G,'[4]Lookup Values'!H:H,0)))</f>
        <v/>
      </c>
      <c r="B434" t="str">
        <f>IF(Table2428[[#This Row],[Branch Name]]="","",(_xlfn.XLOOKUP(Table2428[[#This Row],[Branch Name]],'[4]Lookup Values'!G:G,'[4]Lookup Values'!I:I,0)))</f>
        <v/>
      </c>
      <c r="C434" t="str">
        <f>IF(Table2428[[#This Row],[Journal Description (Service Description)]]="","",1)</f>
        <v/>
      </c>
      <c r="D434" s="65" t="str">
        <f>IF(Table2428[[#This Row],[Journal Description (Service Description)]]="","",VLOOKUP(Table2428[[#This Row],[Journal Description (Service Description)]],'[4]Lookup Values'!$A:$B,2,FALSE))</f>
        <v/>
      </c>
    </row>
    <row r="435" spans="1:4" x14ac:dyDescent="0.35">
      <c r="A435" t="str">
        <f>IF(Table2428[[#This Row],[Branch Name]]="","",(_xlfn.XLOOKUP(Table2428[[#This Row],[Branch Name]],'[4]Lookup Values'!G:G,'[4]Lookup Values'!H:H,0)))</f>
        <v/>
      </c>
      <c r="B435" t="str">
        <f>IF(Table2428[[#This Row],[Branch Name]]="","",(_xlfn.XLOOKUP(Table2428[[#This Row],[Branch Name]],'[4]Lookup Values'!G:G,'[4]Lookup Values'!I:I,0)))</f>
        <v/>
      </c>
      <c r="C435" t="str">
        <f>IF(Table2428[[#This Row],[Journal Description (Service Description)]]="","",1)</f>
        <v/>
      </c>
      <c r="D435" s="65" t="str">
        <f>IF(Table2428[[#This Row],[Journal Description (Service Description)]]="","",VLOOKUP(Table2428[[#This Row],[Journal Description (Service Description)]],'[4]Lookup Values'!$A:$B,2,FALSE))</f>
        <v/>
      </c>
    </row>
    <row r="436" spans="1:4" x14ac:dyDescent="0.35">
      <c r="A436" t="str">
        <f>IF(Table2428[[#This Row],[Branch Name]]="","",(_xlfn.XLOOKUP(Table2428[[#This Row],[Branch Name]],'[4]Lookup Values'!G:G,'[4]Lookup Values'!H:H,0)))</f>
        <v/>
      </c>
      <c r="B436" t="str">
        <f>IF(Table2428[[#This Row],[Branch Name]]="","",(_xlfn.XLOOKUP(Table2428[[#This Row],[Branch Name]],'[4]Lookup Values'!G:G,'[4]Lookup Values'!I:I,0)))</f>
        <v/>
      </c>
      <c r="C436" t="str">
        <f>IF(Table2428[[#This Row],[Journal Description (Service Description)]]="","",1)</f>
        <v/>
      </c>
      <c r="D436" s="65" t="str">
        <f>IF(Table2428[[#This Row],[Journal Description (Service Description)]]="","",VLOOKUP(Table2428[[#This Row],[Journal Description (Service Description)]],'[4]Lookup Values'!$A:$B,2,FALSE))</f>
        <v/>
      </c>
    </row>
    <row r="437" spans="1:4" x14ac:dyDescent="0.35">
      <c r="A437" t="str">
        <f>IF(Table2428[[#This Row],[Branch Name]]="","",(_xlfn.XLOOKUP(Table2428[[#This Row],[Branch Name]],'[4]Lookup Values'!G:G,'[4]Lookup Values'!H:H,0)))</f>
        <v/>
      </c>
      <c r="B437" t="str">
        <f>IF(Table2428[[#This Row],[Branch Name]]="","",(_xlfn.XLOOKUP(Table2428[[#This Row],[Branch Name]],'[4]Lookup Values'!G:G,'[4]Lookup Values'!I:I,0)))</f>
        <v/>
      </c>
      <c r="C437" t="str">
        <f>IF(Table2428[[#This Row],[Journal Description (Service Description)]]="","",1)</f>
        <v/>
      </c>
      <c r="D437" s="65" t="str">
        <f>IF(Table2428[[#This Row],[Journal Description (Service Description)]]="","",VLOOKUP(Table2428[[#This Row],[Journal Description (Service Description)]],'[4]Lookup Values'!$A:$B,2,FALSE))</f>
        <v/>
      </c>
    </row>
    <row r="438" spans="1:4" x14ac:dyDescent="0.35">
      <c r="A438" t="str">
        <f>IF(Table2428[[#This Row],[Branch Name]]="","",(_xlfn.XLOOKUP(Table2428[[#This Row],[Branch Name]],'[4]Lookup Values'!G:G,'[4]Lookup Values'!H:H,0)))</f>
        <v/>
      </c>
      <c r="B438" t="str">
        <f>IF(Table2428[[#This Row],[Branch Name]]="","",(_xlfn.XLOOKUP(Table2428[[#This Row],[Branch Name]],'[4]Lookup Values'!G:G,'[4]Lookup Values'!I:I,0)))</f>
        <v/>
      </c>
      <c r="C438" t="str">
        <f>IF(Table2428[[#This Row],[Journal Description (Service Description)]]="","",1)</f>
        <v/>
      </c>
      <c r="D438" s="65" t="str">
        <f>IF(Table2428[[#This Row],[Journal Description (Service Description)]]="","",VLOOKUP(Table2428[[#This Row],[Journal Description (Service Description)]],'[4]Lookup Values'!$A:$B,2,FALSE))</f>
        <v/>
      </c>
    </row>
    <row r="439" spans="1:4" x14ac:dyDescent="0.35">
      <c r="A439" t="str">
        <f>IF(Table2428[[#This Row],[Branch Name]]="","",(_xlfn.XLOOKUP(Table2428[[#This Row],[Branch Name]],'[4]Lookup Values'!G:G,'[4]Lookup Values'!H:H,0)))</f>
        <v/>
      </c>
      <c r="B439" t="str">
        <f>IF(Table2428[[#This Row],[Branch Name]]="","",(_xlfn.XLOOKUP(Table2428[[#This Row],[Branch Name]],'[4]Lookup Values'!G:G,'[4]Lookup Values'!I:I,0)))</f>
        <v/>
      </c>
      <c r="C439" t="str">
        <f>IF(Table2428[[#This Row],[Journal Description (Service Description)]]="","",1)</f>
        <v/>
      </c>
      <c r="D439" s="65" t="str">
        <f>IF(Table2428[[#This Row],[Journal Description (Service Description)]]="","",VLOOKUP(Table2428[[#This Row],[Journal Description (Service Description)]],'[4]Lookup Values'!$A:$B,2,FALSE))</f>
        <v/>
      </c>
    </row>
    <row r="440" spans="1:4" x14ac:dyDescent="0.35">
      <c r="A440" t="str">
        <f>IF(Table2428[[#This Row],[Branch Name]]="","",(_xlfn.XLOOKUP(Table2428[[#This Row],[Branch Name]],'[4]Lookup Values'!G:G,'[4]Lookup Values'!H:H,0)))</f>
        <v/>
      </c>
      <c r="B440" t="str">
        <f>IF(Table2428[[#This Row],[Branch Name]]="","",(_xlfn.XLOOKUP(Table2428[[#This Row],[Branch Name]],'[4]Lookup Values'!G:G,'[4]Lookup Values'!I:I,0)))</f>
        <v/>
      </c>
      <c r="C440" t="str">
        <f>IF(Table2428[[#This Row],[Journal Description (Service Description)]]="","",1)</f>
        <v/>
      </c>
      <c r="D440" s="65" t="str">
        <f>IF(Table2428[[#This Row],[Journal Description (Service Description)]]="","",VLOOKUP(Table2428[[#This Row],[Journal Description (Service Description)]],'[4]Lookup Values'!$A:$B,2,FALSE))</f>
        <v/>
      </c>
    </row>
    <row r="441" spans="1:4" x14ac:dyDescent="0.35">
      <c r="A441" t="str">
        <f>IF(Table2428[[#This Row],[Branch Name]]="","",(_xlfn.XLOOKUP(Table2428[[#This Row],[Branch Name]],'[4]Lookup Values'!G:G,'[4]Lookup Values'!H:H,0)))</f>
        <v/>
      </c>
      <c r="B441" t="str">
        <f>IF(Table2428[[#This Row],[Branch Name]]="","",(_xlfn.XLOOKUP(Table2428[[#This Row],[Branch Name]],'[4]Lookup Values'!G:G,'[4]Lookup Values'!I:I,0)))</f>
        <v/>
      </c>
      <c r="C441" t="str">
        <f>IF(Table2428[[#This Row],[Journal Description (Service Description)]]="","",1)</f>
        <v/>
      </c>
      <c r="D441" s="65" t="str">
        <f>IF(Table2428[[#This Row],[Journal Description (Service Description)]]="","",VLOOKUP(Table2428[[#This Row],[Journal Description (Service Description)]],'[4]Lookup Values'!$A:$B,2,FALSE))</f>
        <v/>
      </c>
    </row>
    <row r="442" spans="1:4" x14ac:dyDescent="0.35">
      <c r="A442" t="str">
        <f>IF(Table2428[[#This Row],[Branch Name]]="","",(_xlfn.XLOOKUP(Table2428[[#This Row],[Branch Name]],'[4]Lookup Values'!G:G,'[4]Lookup Values'!H:H,0)))</f>
        <v/>
      </c>
      <c r="B442" t="str">
        <f>IF(Table2428[[#This Row],[Branch Name]]="","",(_xlfn.XLOOKUP(Table2428[[#This Row],[Branch Name]],'[4]Lookup Values'!G:G,'[4]Lookup Values'!I:I,0)))</f>
        <v/>
      </c>
      <c r="C442" t="str">
        <f>IF(Table2428[[#This Row],[Journal Description (Service Description)]]="","",1)</f>
        <v/>
      </c>
      <c r="D442" s="65" t="str">
        <f>IF(Table2428[[#This Row],[Journal Description (Service Description)]]="","",VLOOKUP(Table2428[[#This Row],[Journal Description (Service Description)]],'[4]Lookup Values'!$A:$B,2,FALSE))</f>
        <v/>
      </c>
    </row>
    <row r="443" spans="1:4" x14ac:dyDescent="0.35">
      <c r="A443" t="str">
        <f>IF(Table2428[[#This Row],[Branch Name]]="","",(_xlfn.XLOOKUP(Table2428[[#This Row],[Branch Name]],'[4]Lookup Values'!G:G,'[4]Lookup Values'!H:H,0)))</f>
        <v/>
      </c>
      <c r="B443" t="str">
        <f>IF(Table2428[[#This Row],[Branch Name]]="","",(_xlfn.XLOOKUP(Table2428[[#This Row],[Branch Name]],'[4]Lookup Values'!G:G,'[4]Lookup Values'!I:I,0)))</f>
        <v/>
      </c>
      <c r="C443" t="str">
        <f>IF(Table2428[[#This Row],[Journal Description (Service Description)]]="","",1)</f>
        <v/>
      </c>
      <c r="D443" s="65" t="str">
        <f>IF(Table2428[[#This Row],[Journal Description (Service Description)]]="","",VLOOKUP(Table2428[[#This Row],[Journal Description (Service Description)]],'[4]Lookup Values'!$A:$B,2,FALSE))</f>
        <v/>
      </c>
    </row>
    <row r="444" spans="1:4" x14ac:dyDescent="0.35">
      <c r="A444" t="str">
        <f>IF(Table2428[[#This Row],[Branch Name]]="","",(_xlfn.XLOOKUP(Table2428[[#This Row],[Branch Name]],'[4]Lookup Values'!G:G,'[4]Lookup Values'!H:H,0)))</f>
        <v/>
      </c>
      <c r="B444" t="str">
        <f>IF(Table2428[[#This Row],[Branch Name]]="","",(_xlfn.XLOOKUP(Table2428[[#This Row],[Branch Name]],'[4]Lookup Values'!G:G,'[4]Lookup Values'!I:I,0)))</f>
        <v/>
      </c>
      <c r="C444" t="str">
        <f>IF(Table2428[[#This Row],[Journal Description (Service Description)]]="","",1)</f>
        <v/>
      </c>
      <c r="D444" s="65" t="str">
        <f>IF(Table2428[[#This Row],[Journal Description (Service Description)]]="","",VLOOKUP(Table2428[[#This Row],[Journal Description (Service Description)]],'[4]Lookup Values'!$A:$B,2,FALSE))</f>
        <v/>
      </c>
    </row>
    <row r="445" spans="1:4" x14ac:dyDescent="0.35">
      <c r="A445" t="str">
        <f>IF(Table2428[[#This Row],[Branch Name]]="","",(_xlfn.XLOOKUP(Table2428[[#This Row],[Branch Name]],'[4]Lookup Values'!G:G,'[4]Lookup Values'!H:H,0)))</f>
        <v/>
      </c>
      <c r="B445" t="str">
        <f>IF(Table2428[[#This Row],[Branch Name]]="","",(_xlfn.XLOOKUP(Table2428[[#This Row],[Branch Name]],'[4]Lookup Values'!G:G,'[4]Lookup Values'!I:I,0)))</f>
        <v/>
      </c>
      <c r="C445" t="str">
        <f>IF(Table2428[[#This Row],[Journal Description (Service Description)]]="","",1)</f>
        <v/>
      </c>
      <c r="D445" s="65" t="str">
        <f>IF(Table2428[[#This Row],[Journal Description (Service Description)]]="","",VLOOKUP(Table2428[[#This Row],[Journal Description (Service Description)]],'[4]Lookup Values'!$A:$B,2,FALSE))</f>
        <v/>
      </c>
    </row>
    <row r="446" spans="1:4" x14ac:dyDescent="0.35">
      <c r="A446" t="str">
        <f>IF(Table2428[[#This Row],[Branch Name]]="","",(_xlfn.XLOOKUP(Table2428[[#This Row],[Branch Name]],'[4]Lookup Values'!G:G,'[4]Lookup Values'!H:H,0)))</f>
        <v/>
      </c>
      <c r="B446" t="str">
        <f>IF(Table2428[[#This Row],[Branch Name]]="","",(_xlfn.XLOOKUP(Table2428[[#This Row],[Branch Name]],'[4]Lookup Values'!G:G,'[4]Lookup Values'!I:I,0)))</f>
        <v/>
      </c>
      <c r="C446" t="str">
        <f>IF(Table2428[[#This Row],[Journal Description (Service Description)]]="","",1)</f>
        <v/>
      </c>
      <c r="D446" s="65" t="str">
        <f>IF(Table2428[[#This Row],[Journal Description (Service Description)]]="","",VLOOKUP(Table2428[[#This Row],[Journal Description (Service Description)]],'[4]Lookup Values'!$A:$B,2,FALSE))</f>
        <v/>
      </c>
    </row>
    <row r="447" spans="1:4" x14ac:dyDescent="0.35">
      <c r="A447" t="str">
        <f>IF(Table2428[[#This Row],[Branch Name]]="","",(_xlfn.XLOOKUP(Table2428[[#This Row],[Branch Name]],'[4]Lookup Values'!G:G,'[4]Lookup Values'!H:H,0)))</f>
        <v/>
      </c>
      <c r="B447" t="str">
        <f>IF(Table2428[[#This Row],[Branch Name]]="","",(_xlfn.XLOOKUP(Table2428[[#This Row],[Branch Name]],'[4]Lookup Values'!G:G,'[4]Lookup Values'!I:I,0)))</f>
        <v/>
      </c>
      <c r="C447" t="str">
        <f>IF(Table2428[[#This Row],[Journal Description (Service Description)]]="","",1)</f>
        <v/>
      </c>
      <c r="D447" s="65" t="str">
        <f>IF(Table2428[[#This Row],[Journal Description (Service Description)]]="","",VLOOKUP(Table2428[[#This Row],[Journal Description (Service Description)]],'[4]Lookup Values'!$A:$B,2,FALSE))</f>
        <v/>
      </c>
    </row>
    <row r="448" spans="1:4" x14ac:dyDescent="0.35">
      <c r="A448" t="str">
        <f>IF(Table2428[[#This Row],[Branch Name]]="","",(_xlfn.XLOOKUP(Table2428[[#This Row],[Branch Name]],'[4]Lookup Values'!G:G,'[4]Lookup Values'!H:H,0)))</f>
        <v/>
      </c>
      <c r="B448" t="str">
        <f>IF(Table2428[[#This Row],[Branch Name]]="","",(_xlfn.XLOOKUP(Table2428[[#This Row],[Branch Name]],'[4]Lookup Values'!G:G,'[4]Lookup Values'!I:I,0)))</f>
        <v/>
      </c>
      <c r="C448" t="str">
        <f>IF(Table2428[[#This Row],[Journal Description (Service Description)]]="","",1)</f>
        <v/>
      </c>
      <c r="D448" s="65" t="str">
        <f>IF(Table2428[[#This Row],[Journal Description (Service Description)]]="","",VLOOKUP(Table2428[[#This Row],[Journal Description (Service Description)]],'[4]Lookup Values'!$A:$B,2,FALSE))</f>
        <v/>
      </c>
    </row>
    <row r="449" spans="1:4" x14ac:dyDescent="0.35">
      <c r="A449" t="str">
        <f>IF(Table2428[[#This Row],[Branch Name]]="","",(_xlfn.XLOOKUP(Table2428[[#This Row],[Branch Name]],'[4]Lookup Values'!G:G,'[4]Lookup Values'!H:H,0)))</f>
        <v/>
      </c>
      <c r="B449" t="str">
        <f>IF(Table2428[[#This Row],[Branch Name]]="","",(_xlfn.XLOOKUP(Table2428[[#This Row],[Branch Name]],'[4]Lookup Values'!G:G,'[4]Lookup Values'!I:I,0)))</f>
        <v/>
      </c>
      <c r="C449" t="str">
        <f>IF(Table2428[[#This Row],[Journal Description (Service Description)]]="","",1)</f>
        <v/>
      </c>
      <c r="D449" s="65" t="str">
        <f>IF(Table2428[[#This Row],[Journal Description (Service Description)]]="","",VLOOKUP(Table2428[[#This Row],[Journal Description (Service Description)]],'[4]Lookup Values'!$A:$B,2,FALSE))</f>
        <v/>
      </c>
    </row>
    <row r="450" spans="1:4" x14ac:dyDescent="0.35">
      <c r="A450" t="str">
        <f>IF(Table2428[[#This Row],[Branch Name]]="","",(_xlfn.XLOOKUP(Table2428[[#This Row],[Branch Name]],'[4]Lookup Values'!G:G,'[4]Lookup Values'!H:H,0)))</f>
        <v/>
      </c>
      <c r="B450" t="str">
        <f>IF(Table2428[[#This Row],[Branch Name]]="","",(_xlfn.XLOOKUP(Table2428[[#This Row],[Branch Name]],'[4]Lookup Values'!G:G,'[4]Lookup Values'!I:I,0)))</f>
        <v/>
      </c>
      <c r="C450" t="str">
        <f>IF(Table2428[[#This Row],[Journal Description (Service Description)]]="","",1)</f>
        <v/>
      </c>
      <c r="D450" s="65" t="str">
        <f>IF(Table2428[[#This Row],[Journal Description (Service Description)]]="","",VLOOKUP(Table2428[[#This Row],[Journal Description (Service Description)]],'[4]Lookup Values'!$A:$B,2,FALSE))</f>
        <v/>
      </c>
    </row>
    <row r="451" spans="1:4" x14ac:dyDescent="0.35">
      <c r="A451" t="str">
        <f>IF(Table2428[[#This Row],[Branch Name]]="","",(_xlfn.XLOOKUP(Table2428[[#This Row],[Branch Name]],'[4]Lookup Values'!G:G,'[4]Lookup Values'!H:H,0)))</f>
        <v/>
      </c>
      <c r="B451" t="str">
        <f>IF(Table2428[[#This Row],[Branch Name]]="","",(_xlfn.XLOOKUP(Table2428[[#This Row],[Branch Name]],'[4]Lookup Values'!G:G,'[4]Lookup Values'!I:I,0)))</f>
        <v/>
      </c>
      <c r="C451" t="str">
        <f>IF(Table2428[[#This Row],[Journal Description (Service Description)]]="","",1)</f>
        <v/>
      </c>
      <c r="D451" s="65" t="str">
        <f>IF(Table2428[[#This Row],[Journal Description (Service Description)]]="","",VLOOKUP(Table2428[[#This Row],[Journal Description (Service Description)]],'[4]Lookup Values'!$A:$B,2,FALSE))</f>
        <v/>
      </c>
    </row>
    <row r="452" spans="1:4" x14ac:dyDescent="0.35">
      <c r="A452" t="str">
        <f>IF(Table2428[[#This Row],[Branch Name]]="","",(_xlfn.XLOOKUP(Table2428[[#This Row],[Branch Name]],'[4]Lookup Values'!G:G,'[4]Lookup Values'!H:H,0)))</f>
        <v/>
      </c>
      <c r="B452" t="str">
        <f>IF(Table2428[[#This Row],[Branch Name]]="","",(_xlfn.XLOOKUP(Table2428[[#This Row],[Branch Name]],'[4]Lookup Values'!G:G,'[4]Lookup Values'!I:I,0)))</f>
        <v/>
      </c>
      <c r="C452" t="str">
        <f>IF(Table2428[[#This Row],[Journal Description (Service Description)]]="","",1)</f>
        <v/>
      </c>
      <c r="D452" s="65" t="str">
        <f>IF(Table2428[[#This Row],[Journal Description (Service Description)]]="","",VLOOKUP(Table2428[[#This Row],[Journal Description (Service Description)]],'[4]Lookup Values'!$A:$B,2,FALSE))</f>
        <v/>
      </c>
    </row>
    <row r="453" spans="1:4" x14ac:dyDescent="0.35">
      <c r="A453" t="str">
        <f>IF(Table2428[[#This Row],[Branch Name]]="","",(_xlfn.XLOOKUP(Table2428[[#This Row],[Branch Name]],'[4]Lookup Values'!G:G,'[4]Lookup Values'!H:H,0)))</f>
        <v/>
      </c>
      <c r="B453" t="str">
        <f>IF(Table2428[[#This Row],[Branch Name]]="","",(_xlfn.XLOOKUP(Table2428[[#This Row],[Branch Name]],'[4]Lookup Values'!G:G,'[4]Lookup Values'!I:I,0)))</f>
        <v/>
      </c>
      <c r="C453" t="str">
        <f>IF(Table2428[[#This Row],[Journal Description (Service Description)]]="","",1)</f>
        <v/>
      </c>
      <c r="D453" s="65" t="str">
        <f>IF(Table2428[[#This Row],[Journal Description (Service Description)]]="","",VLOOKUP(Table2428[[#This Row],[Journal Description (Service Description)]],'[4]Lookup Values'!$A:$B,2,FALSE))</f>
        <v/>
      </c>
    </row>
    <row r="454" spans="1:4" x14ac:dyDescent="0.35">
      <c r="A454" t="str">
        <f>IF(Table2428[[#This Row],[Branch Name]]="","",(_xlfn.XLOOKUP(Table2428[[#This Row],[Branch Name]],'[4]Lookup Values'!G:G,'[4]Lookup Values'!H:H,0)))</f>
        <v/>
      </c>
      <c r="B454" t="str">
        <f>IF(Table2428[[#This Row],[Branch Name]]="","",(_xlfn.XLOOKUP(Table2428[[#This Row],[Branch Name]],'[4]Lookup Values'!G:G,'[4]Lookup Values'!I:I,0)))</f>
        <v/>
      </c>
      <c r="C454" t="str">
        <f>IF(Table2428[[#This Row],[Journal Description (Service Description)]]="","",1)</f>
        <v/>
      </c>
      <c r="D454" s="65" t="str">
        <f>IF(Table2428[[#This Row],[Journal Description (Service Description)]]="","",VLOOKUP(Table2428[[#This Row],[Journal Description (Service Description)]],'[4]Lookup Values'!$A:$B,2,FALSE))</f>
        <v/>
      </c>
    </row>
    <row r="455" spans="1:4" x14ac:dyDescent="0.35">
      <c r="A455" t="str">
        <f>IF(Table2428[[#This Row],[Branch Name]]="","",(_xlfn.XLOOKUP(Table2428[[#This Row],[Branch Name]],'[4]Lookup Values'!G:G,'[4]Lookup Values'!H:H,0)))</f>
        <v/>
      </c>
      <c r="B455" t="str">
        <f>IF(Table2428[[#This Row],[Branch Name]]="","",(_xlfn.XLOOKUP(Table2428[[#This Row],[Branch Name]],'[4]Lookup Values'!G:G,'[4]Lookup Values'!I:I,0)))</f>
        <v/>
      </c>
      <c r="C455" t="str">
        <f>IF(Table2428[[#This Row],[Journal Description (Service Description)]]="","",1)</f>
        <v/>
      </c>
      <c r="D455" s="65" t="str">
        <f>IF(Table2428[[#This Row],[Journal Description (Service Description)]]="","",VLOOKUP(Table2428[[#This Row],[Journal Description (Service Description)]],'[4]Lookup Values'!$A:$B,2,FALSE))</f>
        <v/>
      </c>
    </row>
    <row r="456" spans="1:4" x14ac:dyDescent="0.35">
      <c r="A456" t="str">
        <f>IF(Table2428[[#This Row],[Branch Name]]="","",(_xlfn.XLOOKUP(Table2428[[#This Row],[Branch Name]],'[4]Lookup Values'!G:G,'[4]Lookup Values'!H:H,0)))</f>
        <v/>
      </c>
      <c r="B456" t="str">
        <f>IF(Table2428[[#This Row],[Branch Name]]="","",(_xlfn.XLOOKUP(Table2428[[#This Row],[Branch Name]],'[4]Lookup Values'!G:G,'[4]Lookup Values'!I:I,0)))</f>
        <v/>
      </c>
      <c r="C456" t="str">
        <f>IF(Table2428[[#This Row],[Journal Description (Service Description)]]="","",1)</f>
        <v/>
      </c>
      <c r="D456" s="65" t="str">
        <f>IF(Table2428[[#This Row],[Journal Description (Service Description)]]="","",VLOOKUP(Table2428[[#This Row],[Journal Description (Service Description)]],'[4]Lookup Values'!$A:$B,2,FALSE))</f>
        <v/>
      </c>
    </row>
    <row r="457" spans="1:4" x14ac:dyDescent="0.35">
      <c r="A457" t="str">
        <f>IF(Table2428[[#This Row],[Branch Name]]="","",(_xlfn.XLOOKUP(Table2428[[#This Row],[Branch Name]],'[4]Lookup Values'!G:G,'[4]Lookup Values'!H:H,0)))</f>
        <v/>
      </c>
      <c r="B457" t="str">
        <f>IF(Table2428[[#This Row],[Branch Name]]="","",(_xlfn.XLOOKUP(Table2428[[#This Row],[Branch Name]],'[4]Lookup Values'!G:G,'[4]Lookup Values'!I:I,0)))</f>
        <v/>
      </c>
      <c r="C457" t="str">
        <f>IF(Table2428[[#This Row],[Journal Description (Service Description)]]="","",1)</f>
        <v/>
      </c>
      <c r="D457" s="65" t="str">
        <f>IF(Table2428[[#This Row],[Journal Description (Service Description)]]="","",VLOOKUP(Table2428[[#This Row],[Journal Description (Service Description)]],'[4]Lookup Values'!$A:$B,2,FALSE))</f>
        <v/>
      </c>
    </row>
    <row r="458" spans="1:4" x14ac:dyDescent="0.35">
      <c r="A458" t="str">
        <f>IF(Table2428[[#This Row],[Branch Name]]="","",(_xlfn.XLOOKUP(Table2428[[#This Row],[Branch Name]],'[4]Lookup Values'!G:G,'[4]Lookup Values'!H:H,0)))</f>
        <v/>
      </c>
      <c r="B458" t="str">
        <f>IF(Table2428[[#This Row],[Branch Name]]="","",(_xlfn.XLOOKUP(Table2428[[#This Row],[Branch Name]],'[4]Lookup Values'!G:G,'[4]Lookup Values'!I:I,0)))</f>
        <v/>
      </c>
      <c r="C458" t="str">
        <f>IF(Table2428[[#This Row],[Journal Description (Service Description)]]="","",1)</f>
        <v/>
      </c>
      <c r="D458" s="65" t="str">
        <f>IF(Table2428[[#This Row],[Journal Description (Service Description)]]="","",VLOOKUP(Table2428[[#This Row],[Journal Description (Service Description)]],'[4]Lookup Values'!$A:$B,2,FALSE))</f>
        <v/>
      </c>
    </row>
    <row r="459" spans="1:4" x14ac:dyDescent="0.35">
      <c r="A459" t="str">
        <f>IF(Table2428[[#This Row],[Branch Name]]="","",(_xlfn.XLOOKUP(Table2428[[#This Row],[Branch Name]],'[4]Lookup Values'!G:G,'[4]Lookup Values'!H:H,0)))</f>
        <v/>
      </c>
      <c r="B459" t="str">
        <f>IF(Table2428[[#This Row],[Branch Name]]="","",(_xlfn.XLOOKUP(Table2428[[#This Row],[Branch Name]],'[4]Lookup Values'!G:G,'[4]Lookup Values'!I:I,0)))</f>
        <v/>
      </c>
      <c r="C459" t="str">
        <f>IF(Table2428[[#This Row],[Journal Description (Service Description)]]="","",1)</f>
        <v/>
      </c>
      <c r="D459" s="65" t="str">
        <f>IF(Table2428[[#This Row],[Journal Description (Service Description)]]="","",VLOOKUP(Table2428[[#This Row],[Journal Description (Service Description)]],'[4]Lookup Values'!$A:$B,2,FALSE))</f>
        <v/>
      </c>
    </row>
    <row r="460" spans="1:4" x14ac:dyDescent="0.35">
      <c r="A460" t="str">
        <f>IF(Table2428[[#This Row],[Branch Name]]="","",(_xlfn.XLOOKUP(Table2428[[#This Row],[Branch Name]],'[4]Lookup Values'!G:G,'[4]Lookup Values'!H:H,0)))</f>
        <v/>
      </c>
      <c r="B460" t="str">
        <f>IF(Table2428[[#This Row],[Branch Name]]="","",(_xlfn.XLOOKUP(Table2428[[#This Row],[Branch Name]],'[4]Lookup Values'!G:G,'[4]Lookup Values'!I:I,0)))</f>
        <v/>
      </c>
      <c r="C460" t="str">
        <f>IF(Table2428[[#This Row],[Journal Description (Service Description)]]="","",1)</f>
        <v/>
      </c>
      <c r="D460" s="65" t="str">
        <f>IF(Table2428[[#This Row],[Journal Description (Service Description)]]="","",VLOOKUP(Table2428[[#This Row],[Journal Description (Service Description)]],'[4]Lookup Values'!$A:$B,2,FALSE))</f>
        <v/>
      </c>
    </row>
    <row r="461" spans="1:4" x14ac:dyDescent="0.35">
      <c r="A461" t="str">
        <f>IF(Table2428[[#This Row],[Branch Name]]="","",(_xlfn.XLOOKUP(Table2428[[#This Row],[Branch Name]],'[4]Lookup Values'!G:G,'[4]Lookup Values'!H:H,0)))</f>
        <v/>
      </c>
      <c r="B461" t="str">
        <f>IF(Table2428[[#This Row],[Branch Name]]="","",(_xlfn.XLOOKUP(Table2428[[#This Row],[Branch Name]],'[4]Lookup Values'!G:G,'[4]Lookup Values'!I:I,0)))</f>
        <v/>
      </c>
      <c r="C461" t="str">
        <f>IF(Table2428[[#This Row],[Journal Description (Service Description)]]="","",1)</f>
        <v/>
      </c>
      <c r="D461" s="65" t="str">
        <f>IF(Table2428[[#This Row],[Journal Description (Service Description)]]="","",VLOOKUP(Table2428[[#This Row],[Journal Description (Service Description)]],'[4]Lookup Values'!$A:$B,2,FALSE))</f>
        <v/>
      </c>
    </row>
    <row r="462" spans="1:4" x14ac:dyDescent="0.35">
      <c r="A462" t="str">
        <f>IF(Table2428[[#This Row],[Branch Name]]="","",(_xlfn.XLOOKUP(Table2428[[#This Row],[Branch Name]],'[4]Lookup Values'!G:G,'[4]Lookup Values'!H:H,0)))</f>
        <v/>
      </c>
      <c r="B462" t="str">
        <f>IF(Table2428[[#This Row],[Branch Name]]="","",(_xlfn.XLOOKUP(Table2428[[#This Row],[Branch Name]],'[4]Lookup Values'!G:G,'[4]Lookup Values'!I:I,0)))</f>
        <v/>
      </c>
      <c r="C462" t="str">
        <f>IF(Table2428[[#This Row],[Journal Description (Service Description)]]="","",1)</f>
        <v/>
      </c>
      <c r="D462" s="65" t="str">
        <f>IF(Table2428[[#This Row],[Journal Description (Service Description)]]="","",VLOOKUP(Table2428[[#This Row],[Journal Description (Service Description)]],'[4]Lookup Values'!$A:$B,2,FALSE))</f>
        <v/>
      </c>
    </row>
    <row r="463" spans="1:4" x14ac:dyDescent="0.35">
      <c r="A463" t="str">
        <f>IF(Table2428[[#This Row],[Branch Name]]="","",(_xlfn.XLOOKUP(Table2428[[#This Row],[Branch Name]],'[4]Lookup Values'!G:G,'[4]Lookup Values'!H:H,0)))</f>
        <v/>
      </c>
      <c r="B463" t="str">
        <f>IF(Table2428[[#This Row],[Branch Name]]="","",(_xlfn.XLOOKUP(Table2428[[#This Row],[Branch Name]],'[4]Lookup Values'!G:G,'[4]Lookup Values'!I:I,0)))</f>
        <v/>
      </c>
      <c r="C463" t="str">
        <f>IF(Table2428[[#This Row],[Journal Description (Service Description)]]="","",1)</f>
        <v/>
      </c>
      <c r="D463" s="65" t="str">
        <f>IF(Table2428[[#This Row],[Journal Description (Service Description)]]="","",VLOOKUP(Table2428[[#This Row],[Journal Description (Service Description)]],'[4]Lookup Values'!$A:$B,2,FALSE))</f>
        <v/>
      </c>
    </row>
    <row r="464" spans="1:4" x14ac:dyDescent="0.35">
      <c r="A464" t="str">
        <f>IF(Table2428[[#This Row],[Branch Name]]="","",(_xlfn.XLOOKUP(Table2428[[#This Row],[Branch Name]],'[4]Lookup Values'!G:G,'[4]Lookup Values'!H:H,0)))</f>
        <v/>
      </c>
      <c r="B464" t="str">
        <f>IF(Table2428[[#This Row],[Branch Name]]="","",(_xlfn.XLOOKUP(Table2428[[#This Row],[Branch Name]],'[4]Lookup Values'!G:G,'[4]Lookup Values'!I:I,0)))</f>
        <v/>
      </c>
      <c r="C464" t="str">
        <f>IF(Table2428[[#This Row],[Journal Description (Service Description)]]="","",1)</f>
        <v/>
      </c>
      <c r="D464" s="65" t="str">
        <f>IF(Table2428[[#This Row],[Journal Description (Service Description)]]="","",VLOOKUP(Table2428[[#This Row],[Journal Description (Service Description)]],'[4]Lookup Values'!$A:$B,2,FALSE))</f>
        <v/>
      </c>
    </row>
    <row r="465" spans="1:4" x14ac:dyDescent="0.35">
      <c r="A465" t="str">
        <f>IF(Table2428[[#This Row],[Branch Name]]="","",(_xlfn.XLOOKUP(Table2428[[#This Row],[Branch Name]],'[4]Lookup Values'!G:G,'[4]Lookup Values'!H:H,0)))</f>
        <v/>
      </c>
      <c r="B465" t="str">
        <f>IF(Table2428[[#This Row],[Branch Name]]="","",(_xlfn.XLOOKUP(Table2428[[#This Row],[Branch Name]],'[4]Lookup Values'!G:G,'[4]Lookup Values'!I:I,0)))</f>
        <v/>
      </c>
      <c r="C465" t="str">
        <f>IF(Table2428[[#This Row],[Journal Description (Service Description)]]="","",1)</f>
        <v/>
      </c>
      <c r="D465" s="65" t="str">
        <f>IF(Table2428[[#This Row],[Journal Description (Service Description)]]="","",VLOOKUP(Table2428[[#This Row],[Journal Description (Service Description)]],'[4]Lookup Values'!$A:$B,2,FALSE))</f>
        <v/>
      </c>
    </row>
    <row r="466" spans="1:4" x14ac:dyDescent="0.35">
      <c r="A466" t="str">
        <f>IF(Table2428[[#This Row],[Branch Name]]="","",(_xlfn.XLOOKUP(Table2428[[#This Row],[Branch Name]],'[4]Lookup Values'!G:G,'[4]Lookup Values'!H:H,0)))</f>
        <v/>
      </c>
      <c r="B466" t="str">
        <f>IF(Table2428[[#This Row],[Branch Name]]="","",(_xlfn.XLOOKUP(Table2428[[#This Row],[Branch Name]],'[4]Lookup Values'!G:G,'[4]Lookup Values'!I:I,0)))</f>
        <v/>
      </c>
      <c r="C466" t="str">
        <f>IF(Table2428[[#This Row],[Journal Description (Service Description)]]="","",1)</f>
        <v/>
      </c>
      <c r="D466" s="65" t="str">
        <f>IF(Table2428[[#This Row],[Journal Description (Service Description)]]="","",VLOOKUP(Table2428[[#This Row],[Journal Description (Service Description)]],'[4]Lookup Values'!$A:$B,2,FALSE))</f>
        <v/>
      </c>
    </row>
    <row r="467" spans="1:4" x14ac:dyDescent="0.35">
      <c r="A467" t="str">
        <f>IF(Table2428[[#This Row],[Branch Name]]="","",(_xlfn.XLOOKUP(Table2428[[#This Row],[Branch Name]],'[4]Lookup Values'!G:G,'[4]Lookup Values'!H:H,0)))</f>
        <v/>
      </c>
      <c r="B467" t="str">
        <f>IF(Table2428[[#This Row],[Branch Name]]="","",(_xlfn.XLOOKUP(Table2428[[#This Row],[Branch Name]],'[4]Lookup Values'!G:G,'[4]Lookup Values'!I:I,0)))</f>
        <v/>
      </c>
      <c r="C467" t="str">
        <f>IF(Table2428[[#This Row],[Journal Description (Service Description)]]="","",1)</f>
        <v/>
      </c>
      <c r="D467" s="65" t="str">
        <f>IF(Table2428[[#This Row],[Journal Description (Service Description)]]="","",VLOOKUP(Table2428[[#This Row],[Journal Description (Service Description)]],'[4]Lookup Values'!$A:$B,2,FALSE))</f>
        <v/>
      </c>
    </row>
    <row r="468" spans="1:4" x14ac:dyDescent="0.35">
      <c r="A468" t="str">
        <f>IF(Table2428[[#This Row],[Branch Name]]="","",(_xlfn.XLOOKUP(Table2428[[#This Row],[Branch Name]],'[4]Lookup Values'!G:G,'[4]Lookup Values'!H:H,0)))</f>
        <v/>
      </c>
      <c r="B468" t="str">
        <f>IF(Table2428[[#This Row],[Branch Name]]="","",(_xlfn.XLOOKUP(Table2428[[#This Row],[Branch Name]],'[4]Lookup Values'!G:G,'[4]Lookup Values'!I:I,0)))</f>
        <v/>
      </c>
      <c r="C468" t="str">
        <f>IF(Table2428[[#This Row],[Journal Description (Service Description)]]="","",1)</f>
        <v/>
      </c>
      <c r="D468" s="65" t="str">
        <f>IF(Table2428[[#This Row],[Journal Description (Service Description)]]="","",VLOOKUP(Table2428[[#This Row],[Journal Description (Service Description)]],'[4]Lookup Values'!$A:$B,2,FALSE))</f>
        <v/>
      </c>
    </row>
    <row r="469" spans="1:4" x14ac:dyDescent="0.35">
      <c r="A469" t="str">
        <f>IF(Table2428[[#This Row],[Branch Name]]="","",(_xlfn.XLOOKUP(Table2428[[#This Row],[Branch Name]],'[4]Lookup Values'!G:G,'[4]Lookup Values'!H:H,0)))</f>
        <v/>
      </c>
      <c r="B469" t="str">
        <f>IF(Table2428[[#This Row],[Branch Name]]="","",(_xlfn.XLOOKUP(Table2428[[#This Row],[Branch Name]],'[4]Lookup Values'!G:G,'[4]Lookup Values'!I:I,0)))</f>
        <v/>
      </c>
      <c r="C469" t="str">
        <f>IF(Table2428[[#This Row],[Journal Description (Service Description)]]="","",1)</f>
        <v/>
      </c>
      <c r="D469" s="65" t="str">
        <f>IF(Table2428[[#This Row],[Journal Description (Service Description)]]="","",VLOOKUP(Table2428[[#This Row],[Journal Description (Service Description)]],'[4]Lookup Values'!$A:$B,2,FALSE))</f>
        <v/>
      </c>
    </row>
    <row r="470" spans="1:4" x14ac:dyDescent="0.35">
      <c r="A470" t="str">
        <f>IF(Table2428[[#This Row],[Branch Name]]="","",(_xlfn.XLOOKUP(Table2428[[#This Row],[Branch Name]],'[4]Lookup Values'!G:G,'[4]Lookup Values'!H:H,0)))</f>
        <v/>
      </c>
      <c r="B470" t="str">
        <f>IF(Table2428[[#This Row],[Branch Name]]="","",(_xlfn.XLOOKUP(Table2428[[#This Row],[Branch Name]],'[4]Lookup Values'!G:G,'[4]Lookup Values'!I:I,0)))</f>
        <v/>
      </c>
      <c r="C470" t="str">
        <f>IF(Table2428[[#This Row],[Journal Description (Service Description)]]="","",1)</f>
        <v/>
      </c>
      <c r="D470" s="65" t="str">
        <f>IF(Table2428[[#This Row],[Journal Description (Service Description)]]="","",VLOOKUP(Table2428[[#This Row],[Journal Description (Service Description)]],'[4]Lookup Values'!$A:$B,2,FALSE))</f>
        <v/>
      </c>
    </row>
    <row r="471" spans="1:4" x14ac:dyDescent="0.35">
      <c r="A471" t="str">
        <f>IF(Table2428[[#This Row],[Branch Name]]="","",(_xlfn.XLOOKUP(Table2428[[#This Row],[Branch Name]],'[4]Lookup Values'!G:G,'[4]Lookup Values'!H:H,0)))</f>
        <v/>
      </c>
      <c r="B471" t="str">
        <f>IF(Table2428[[#This Row],[Branch Name]]="","",(_xlfn.XLOOKUP(Table2428[[#This Row],[Branch Name]],'[4]Lookup Values'!G:G,'[4]Lookup Values'!I:I,0)))</f>
        <v/>
      </c>
      <c r="C471" t="str">
        <f>IF(Table2428[[#This Row],[Journal Description (Service Description)]]="","",1)</f>
        <v/>
      </c>
      <c r="D471" s="65" t="str">
        <f>IF(Table2428[[#This Row],[Journal Description (Service Description)]]="","",VLOOKUP(Table2428[[#This Row],[Journal Description (Service Description)]],'[4]Lookup Values'!$A:$B,2,FALSE))</f>
        <v/>
      </c>
    </row>
    <row r="472" spans="1:4" x14ac:dyDescent="0.35">
      <c r="A472" t="str">
        <f>IF(Table2428[[#This Row],[Branch Name]]="","",(_xlfn.XLOOKUP(Table2428[[#This Row],[Branch Name]],'[4]Lookup Values'!G:G,'[4]Lookup Values'!H:H,0)))</f>
        <v/>
      </c>
      <c r="B472" t="str">
        <f>IF(Table2428[[#This Row],[Branch Name]]="","",(_xlfn.XLOOKUP(Table2428[[#This Row],[Branch Name]],'[4]Lookup Values'!G:G,'[4]Lookup Values'!I:I,0)))</f>
        <v/>
      </c>
      <c r="C472" t="str">
        <f>IF(Table2428[[#This Row],[Journal Description (Service Description)]]="","",1)</f>
        <v/>
      </c>
      <c r="D472" s="65" t="str">
        <f>IF(Table2428[[#This Row],[Journal Description (Service Description)]]="","",VLOOKUP(Table2428[[#This Row],[Journal Description (Service Description)]],'[4]Lookup Values'!$A:$B,2,FALSE))</f>
        <v/>
      </c>
    </row>
    <row r="473" spans="1:4" x14ac:dyDescent="0.35">
      <c r="A473" t="str">
        <f>IF(Table2428[[#This Row],[Branch Name]]="","",(_xlfn.XLOOKUP(Table2428[[#This Row],[Branch Name]],'[4]Lookup Values'!G:G,'[4]Lookup Values'!H:H,0)))</f>
        <v/>
      </c>
      <c r="B473" t="str">
        <f>IF(Table2428[[#This Row],[Branch Name]]="","",(_xlfn.XLOOKUP(Table2428[[#This Row],[Branch Name]],'[4]Lookup Values'!G:G,'[4]Lookup Values'!I:I,0)))</f>
        <v/>
      </c>
      <c r="C473" t="str">
        <f>IF(Table2428[[#This Row],[Journal Description (Service Description)]]="","",1)</f>
        <v/>
      </c>
      <c r="D473" s="65" t="str">
        <f>IF(Table2428[[#This Row],[Journal Description (Service Description)]]="","",VLOOKUP(Table2428[[#This Row],[Journal Description (Service Description)]],'[4]Lookup Values'!$A:$B,2,FALSE))</f>
        <v/>
      </c>
    </row>
    <row r="474" spans="1:4" x14ac:dyDescent="0.35">
      <c r="A474" t="str">
        <f>IF(Table2428[[#This Row],[Branch Name]]="","",(_xlfn.XLOOKUP(Table2428[[#This Row],[Branch Name]],'[4]Lookup Values'!G:G,'[4]Lookup Values'!H:H,0)))</f>
        <v/>
      </c>
      <c r="B474" t="str">
        <f>IF(Table2428[[#This Row],[Branch Name]]="","",(_xlfn.XLOOKUP(Table2428[[#This Row],[Branch Name]],'[4]Lookup Values'!G:G,'[4]Lookup Values'!I:I,0)))</f>
        <v/>
      </c>
      <c r="C474" t="str">
        <f>IF(Table2428[[#This Row],[Journal Description (Service Description)]]="","",1)</f>
        <v/>
      </c>
      <c r="D474" s="65" t="str">
        <f>IF(Table2428[[#This Row],[Journal Description (Service Description)]]="","",VLOOKUP(Table2428[[#This Row],[Journal Description (Service Description)]],'[4]Lookup Values'!$A:$B,2,FALSE))</f>
        <v/>
      </c>
    </row>
    <row r="475" spans="1:4" x14ac:dyDescent="0.35">
      <c r="A475" t="str">
        <f>IF(Table2428[[#This Row],[Branch Name]]="","",(_xlfn.XLOOKUP(Table2428[[#This Row],[Branch Name]],'[4]Lookup Values'!G:G,'[4]Lookup Values'!H:H,0)))</f>
        <v/>
      </c>
      <c r="B475" t="str">
        <f>IF(Table2428[[#This Row],[Branch Name]]="","",(_xlfn.XLOOKUP(Table2428[[#This Row],[Branch Name]],'[4]Lookup Values'!G:G,'[4]Lookup Values'!I:I,0)))</f>
        <v/>
      </c>
      <c r="C475" t="str">
        <f>IF(Table2428[[#This Row],[Journal Description (Service Description)]]="","",1)</f>
        <v/>
      </c>
      <c r="D475" s="65" t="str">
        <f>IF(Table2428[[#This Row],[Journal Description (Service Description)]]="","",VLOOKUP(Table2428[[#This Row],[Journal Description (Service Description)]],'[4]Lookup Values'!$A:$B,2,FALSE))</f>
        <v/>
      </c>
    </row>
    <row r="476" spans="1:4" x14ac:dyDescent="0.35">
      <c r="A476" t="str">
        <f>IF(Table2428[[#This Row],[Branch Name]]="","",(_xlfn.XLOOKUP(Table2428[[#This Row],[Branch Name]],'[4]Lookup Values'!G:G,'[4]Lookup Values'!H:H,0)))</f>
        <v/>
      </c>
      <c r="B476" t="str">
        <f>IF(Table2428[[#This Row],[Branch Name]]="","",(_xlfn.XLOOKUP(Table2428[[#This Row],[Branch Name]],'[4]Lookup Values'!G:G,'[4]Lookup Values'!I:I,0)))</f>
        <v/>
      </c>
      <c r="C476" t="str">
        <f>IF(Table2428[[#This Row],[Journal Description (Service Description)]]="","",1)</f>
        <v/>
      </c>
      <c r="D476" s="65" t="str">
        <f>IF(Table2428[[#This Row],[Journal Description (Service Description)]]="","",VLOOKUP(Table2428[[#This Row],[Journal Description (Service Description)]],'[4]Lookup Values'!$A:$B,2,FALSE))</f>
        <v/>
      </c>
    </row>
    <row r="477" spans="1:4" x14ac:dyDescent="0.35">
      <c r="A477" t="str">
        <f>IF(Table2428[[#This Row],[Branch Name]]="","",(_xlfn.XLOOKUP(Table2428[[#This Row],[Branch Name]],'[4]Lookup Values'!G:G,'[4]Lookup Values'!H:H,0)))</f>
        <v/>
      </c>
      <c r="B477" t="str">
        <f>IF(Table2428[[#This Row],[Branch Name]]="","",(_xlfn.XLOOKUP(Table2428[[#This Row],[Branch Name]],'[4]Lookup Values'!G:G,'[4]Lookup Values'!I:I,0)))</f>
        <v/>
      </c>
      <c r="C477" t="str">
        <f>IF(Table2428[[#This Row],[Journal Description (Service Description)]]="","",1)</f>
        <v/>
      </c>
      <c r="D477" s="65" t="str">
        <f>IF(Table2428[[#This Row],[Journal Description (Service Description)]]="","",VLOOKUP(Table2428[[#This Row],[Journal Description (Service Description)]],'[4]Lookup Values'!$A:$B,2,FALSE))</f>
        <v/>
      </c>
    </row>
    <row r="478" spans="1:4" x14ac:dyDescent="0.35">
      <c r="A478" t="str">
        <f>IF(Table2428[[#This Row],[Branch Name]]="","",(_xlfn.XLOOKUP(Table2428[[#This Row],[Branch Name]],'[4]Lookup Values'!G:G,'[4]Lookup Values'!H:H,0)))</f>
        <v/>
      </c>
      <c r="B478" t="str">
        <f>IF(Table2428[[#This Row],[Branch Name]]="","",(_xlfn.XLOOKUP(Table2428[[#This Row],[Branch Name]],'[4]Lookup Values'!G:G,'[4]Lookup Values'!I:I,0)))</f>
        <v/>
      </c>
      <c r="C478" t="str">
        <f>IF(Table2428[[#This Row],[Journal Description (Service Description)]]="","",1)</f>
        <v/>
      </c>
      <c r="D478" s="65" t="str">
        <f>IF(Table2428[[#This Row],[Journal Description (Service Description)]]="","",VLOOKUP(Table2428[[#This Row],[Journal Description (Service Description)]],'[4]Lookup Values'!$A:$B,2,FALSE))</f>
        <v/>
      </c>
    </row>
    <row r="479" spans="1:4" x14ac:dyDescent="0.35">
      <c r="A479" t="str">
        <f>IF(Table2428[[#This Row],[Branch Name]]="","",(_xlfn.XLOOKUP(Table2428[[#This Row],[Branch Name]],'[4]Lookup Values'!G:G,'[4]Lookup Values'!H:H,0)))</f>
        <v/>
      </c>
      <c r="B479" t="str">
        <f>IF(Table2428[[#This Row],[Branch Name]]="","",(_xlfn.XLOOKUP(Table2428[[#This Row],[Branch Name]],'[4]Lookup Values'!G:G,'[4]Lookup Values'!I:I,0)))</f>
        <v/>
      </c>
      <c r="C479" t="str">
        <f>IF(Table2428[[#This Row],[Journal Description (Service Description)]]="","",1)</f>
        <v/>
      </c>
      <c r="D479" s="65" t="str">
        <f>IF(Table2428[[#This Row],[Journal Description (Service Description)]]="","",VLOOKUP(Table2428[[#This Row],[Journal Description (Service Description)]],'[4]Lookup Values'!$A:$B,2,FALSE))</f>
        <v/>
      </c>
    </row>
    <row r="480" spans="1:4" x14ac:dyDescent="0.35">
      <c r="A480" t="str">
        <f>IF(Table2428[[#This Row],[Branch Name]]="","",(_xlfn.XLOOKUP(Table2428[[#This Row],[Branch Name]],'[4]Lookup Values'!G:G,'[4]Lookup Values'!H:H,0)))</f>
        <v/>
      </c>
      <c r="B480" t="str">
        <f>IF(Table2428[[#This Row],[Branch Name]]="","",(_xlfn.XLOOKUP(Table2428[[#This Row],[Branch Name]],'[4]Lookup Values'!G:G,'[4]Lookup Values'!I:I,0)))</f>
        <v/>
      </c>
      <c r="C480" t="str">
        <f>IF(Table2428[[#This Row],[Journal Description (Service Description)]]="","",1)</f>
        <v/>
      </c>
      <c r="D480" s="65" t="str">
        <f>IF(Table2428[[#This Row],[Journal Description (Service Description)]]="","",VLOOKUP(Table2428[[#This Row],[Journal Description (Service Description)]],'[4]Lookup Values'!$A:$B,2,FALSE))</f>
        <v/>
      </c>
    </row>
    <row r="481" spans="1:4" x14ac:dyDescent="0.35">
      <c r="A481" t="str">
        <f>IF(Table2428[[#This Row],[Branch Name]]="","",(_xlfn.XLOOKUP(Table2428[[#This Row],[Branch Name]],'[4]Lookup Values'!G:G,'[4]Lookup Values'!H:H,0)))</f>
        <v/>
      </c>
      <c r="B481" t="str">
        <f>IF(Table2428[[#This Row],[Branch Name]]="","",(_xlfn.XLOOKUP(Table2428[[#This Row],[Branch Name]],'[4]Lookup Values'!G:G,'[4]Lookup Values'!I:I,0)))</f>
        <v/>
      </c>
      <c r="C481" t="str">
        <f>IF(Table2428[[#This Row],[Journal Description (Service Description)]]="","",1)</f>
        <v/>
      </c>
      <c r="D481" s="65" t="str">
        <f>IF(Table2428[[#This Row],[Journal Description (Service Description)]]="","",VLOOKUP(Table2428[[#This Row],[Journal Description (Service Description)]],'[4]Lookup Values'!$A:$B,2,FALSE))</f>
        <v/>
      </c>
    </row>
    <row r="482" spans="1:4" x14ac:dyDescent="0.35">
      <c r="A482" t="str">
        <f>IF(Table2428[[#This Row],[Branch Name]]="","",(_xlfn.XLOOKUP(Table2428[[#This Row],[Branch Name]],'[4]Lookup Values'!G:G,'[4]Lookup Values'!H:H,0)))</f>
        <v/>
      </c>
      <c r="B482" t="str">
        <f>IF(Table2428[[#This Row],[Branch Name]]="","",(_xlfn.XLOOKUP(Table2428[[#This Row],[Branch Name]],'[4]Lookup Values'!G:G,'[4]Lookup Values'!I:I,0)))</f>
        <v/>
      </c>
      <c r="C482" t="str">
        <f>IF(Table2428[[#This Row],[Journal Description (Service Description)]]="","",1)</f>
        <v/>
      </c>
      <c r="D482" s="65" t="str">
        <f>IF(Table2428[[#This Row],[Journal Description (Service Description)]]="","",VLOOKUP(Table2428[[#This Row],[Journal Description (Service Description)]],'[4]Lookup Values'!$A:$B,2,FALSE))</f>
        <v/>
      </c>
    </row>
    <row r="483" spans="1:4" x14ac:dyDescent="0.35">
      <c r="A483" t="str">
        <f>IF(Table2428[[#This Row],[Branch Name]]="","",(_xlfn.XLOOKUP(Table2428[[#This Row],[Branch Name]],'[4]Lookup Values'!G:G,'[4]Lookup Values'!H:H,0)))</f>
        <v/>
      </c>
      <c r="B483" t="str">
        <f>IF(Table2428[[#This Row],[Branch Name]]="","",(_xlfn.XLOOKUP(Table2428[[#This Row],[Branch Name]],'[4]Lookup Values'!G:G,'[4]Lookup Values'!I:I,0)))</f>
        <v/>
      </c>
      <c r="C483" t="str">
        <f>IF(Table2428[[#This Row],[Journal Description (Service Description)]]="","",1)</f>
        <v/>
      </c>
      <c r="D483" s="65" t="str">
        <f>IF(Table2428[[#This Row],[Journal Description (Service Description)]]="","",VLOOKUP(Table2428[[#This Row],[Journal Description (Service Description)]],'[4]Lookup Values'!$A:$B,2,FALSE))</f>
        <v/>
      </c>
    </row>
    <row r="484" spans="1:4" x14ac:dyDescent="0.35">
      <c r="A484" t="str">
        <f>IF(Table2428[[#This Row],[Branch Name]]="","",(_xlfn.XLOOKUP(Table2428[[#This Row],[Branch Name]],'[4]Lookup Values'!G:G,'[4]Lookup Values'!H:H,0)))</f>
        <v/>
      </c>
      <c r="B484" t="str">
        <f>IF(Table2428[[#This Row],[Branch Name]]="","",(_xlfn.XLOOKUP(Table2428[[#This Row],[Branch Name]],'[4]Lookup Values'!G:G,'[4]Lookup Values'!I:I,0)))</f>
        <v/>
      </c>
      <c r="C484" t="str">
        <f>IF(Table2428[[#This Row],[Journal Description (Service Description)]]="","",1)</f>
        <v/>
      </c>
      <c r="D484" s="65" t="str">
        <f>IF(Table2428[[#This Row],[Journal Description (Service Description)]]="","",VLOOKUP(Table2428[[#This Row],[Journal Description (Service Description)]],'[4]Lookup Values'!$A:$B,2,FALSE))</f>
        <v/>
      </c>
    </row>
    <row r="485" spans="1:4" x14ac:dyDescent="0.35">
      <c r="A485" t="str">
        <f>IF(Table2428[[#This Row],[Branch Name]]="","",(_xlfn.XLOOKUP(Table2428[[#This Row],[Branch Name]],'[4]Lookup Values'!G:G,'[4]Lookup Values'!H:H,0)))</f>
        <v/>
      </c>
      <c r="B485" t="str">
        <f>IF(Table2428[[#This Row],[Branch Name]]="","",(_xlfn.XLOOKUP(Table2428[[#This Row],[Branch Name]],'[4]Lookup Values'!G:G,'[4]Lookup Values'!I:I,0)))</f>
        <v/>
      </c>
      <c r="C485" t="str">
        <f>IF(Table2428[[#This Row],[Journal Description (Service Description)]]="","",1)</f>
        <v/>
      </c>
      <c r="D485" s="65" t="str">
        <f>IF(Table2428[[#This Row],[Journal Description (Service Description)]]="","",VLOOKUP(Table2428[[#This Row],[Journal Description (Service Description)]],'[4]Lookup Values'!$A:$B,2,FALSE))</f>
        <v/>
      </c>
    </row>
    <row r="486" spans="1:4" x14ac:dyDescent="0.35">
      <c r="A486" t="str">
        <f>IF(Table2428[[#This Row],[Branch Name]]="","",(_xlfn.XLOOKUP(Table2428[[#This Row],[Branch Name]],'[4]Lookup Values'!G:G,'[4]Lookup Values'!H:H,0)))</f>
        <v/>
      </c>
      <c r="B486" t="str">
        <f>IF(Table2428[[#This Row],[Branch Name]]="","",(_xlfn.XLOOKUP(Table2428[[#This Row],[Branch Name]],'[4]Lookup Values'!G:G,'[4]Lookup Values'!I:I,0)))</f>
        <v/>
      </c>
      <c r="C486" t="str">
        <f>IF(Table2428[[#This Row],[Journal Description (Service Description)]]="","",1)</f>
        <v/>
      </c>
      <c r="D486" s="65" t="str">
        <f>IF(Table2428[[#This Row],[Journal Description (Service Description)]]="","",VLOOKUP(Table2428[[#This Row],[Journal Description (Service Description)]],'[4]Lookup Values'!$A:$B,2,FALSE))</f>
        <v/>
      </c>
    </row>
    <row r="487" spans="1:4" x14ac:dyDescent="0.35">
      <c r="A487" t="str">
        <f>IF(Table2428[[#This Row],[Branch Name]]="","",(_xlfn.XLOOKUP(Table2428[[#This Row],[Branch Name]],'[4]Lookup Values'!G:G,'[4]Lookup Values'!H:H,0)))</f>
        <v/>
      </c>
      <c r="B487" t="str">
        <f>IF(Table2428[[#This Row],[Branch Name]]="","",(_xlfn.XLOOKUP(Table2428[[#This Row],[Branch Name]],'[4]Lookup Values'!G:G,'[4]Lookup Values'!I:I,0)))</f>
        <v/>
      </c>
      <c r="C487" t="str">
        <f>IF(Table2428[[#This Row],[Journal Description (Service Description)]]="","",1)</f>
        <v/>
      </c>
      <c r="D487" s="65" t="str">
        <f>IF(Table2428[[#This Row],[Journal Description (Service Description)]]="","",VLOOKUP(Table2428[[#This Row],[Journal Description (Service Description)]],'[4]Lookup Values'!$A:$B,2,FALSE))</f>
        <v/>
      </c>
    </row>
    <row r="488" spans="1:4" x14ac:dyDescent="0.35">
      <c r="A488" t="str">
        <f>IF(Table2428[[#This Row],[Branch Name]]="","",(_xlfn.XLOOKUP(Table2428[[#This Row],[Branch Name]],'[4]Lookup Values'!G:G,'[4]Lookup Values'!H:H,0)))</f>
        <v/>
      </c>
      <c r="B488" t="str">
        <f>IF(Table2428[[#This Row],[Branch Name]]="","",(_xlfn.XLOOKUP(Table2428[[#This Row],[Branch Name]],'[4]Lookup Values'!G:G,'[4]Lookup Values'!I:I,0)))</f>
        <v/>
      </c>
      <c r="C488" t="str">
        <f>IF(Table2428[[#This Row],[Journal Description (Service Description)]]="","",1)</f>
        <v/>
      </c>
      <c r="D488" s="65" t="str">
        <f>IF(Table2428[[#This Row],[Journal Description (Service Description)]]="","",VLOOKUP(Table2428[[#This Row],[Journal Description (Service Description)]],'[4]Lookup Values'!$A:$B,2,FALSE))</f>
        <v/>
      </c>
    </row>
    <row r="489" spans="1:4" x14ac:dyDescent="0.35">
      <c r="A489" t="str">
        <f>IF(Table2428[[#This Row],[Branch Name]]="","",(_xlfn.XLOOKUP(Table2428[[#This Row],[Branch Name]],'[4]Lookup Values'!G:G,'[4]Lookup Values'!H:H,0)))</f>
        <v/>
      </c>
      <c r="B489" t="str">
        <f>IF(Table2428[[#This Row],[Branch Name]]="","",(_xlfn.XLOOKUP(Table2428[[#This Row],[Branch Name]],'[4]Lookup Values'!G:G,'[4]Lookup Values'!I:I,0)))</f>
        <v/>
      </c>
      <c r="C489" t="str">
        <f>IF(Table2428[[#This Row],[Journal Description (Service Description)]]="","",1)</f>
        <v/>
      </c>
      <c r="D489" s="65" t="str">
        <f>IF(Table2428[[#This Row],[Journal Description (Service Description)]]="","",VLOOKUP(Table2428[[#This Row],[Journal Description (Service Description)]],'[4]Lookup Values'!$A:$B,2,FALSE))</f>
        <v/>
      </c>
    </row>
    <row r="490" spans="1:4" x14ac:dyDescent="0.35">
      <c r="A490" t="str">
        <f>IF(Table2428[[#This Row],[Branch Name]]="","",(_xlfn.XLOOKUP(Table2428[[#This Row],[Branch Name]],'[4]Lookup Values'!G:G,'[4]Lookup Values'!H:H,0)))</f>
        <v/>
      </c>
      <c r="B490" t="str">
        <f>IF(Table2428[[#This Row],[Branch Name]]="","",(_xlfn.XLOOKUP(Table2428[[#This Row],[Branch Name]],'[4]Lookup Values'!G:G,'[4]Lookup Values'!I:I,0)))</f>
        <v/>
      </c>
      <c r="C490" t="str">
        <f>IF(Table2428[[#This Row],[Journal Description (Service Description)]]="","",1)</f>
        <v/>
      </c>
      <c r="D490" s="65" t="str">
        <f>IF(Table2428[[#This Row],[Journal Description (Service Description)]]="","",VLOOKUP(Table2428[[#This Row],[Journal Description (Service Description)]],'[4]Lookup Values'!$A:$B,2,FALSE))</f>
        <v/>
      </c>
    </row>
    <row r="491" spans="1:4" x14ac:dyDescent="0.35">
      <c r="A491" t="str">
        <f>IF(Table2428[[#This Row],[Branch Name]]="","",(_xlfn.XLOOKUP(Table2428[[#This Row],[Branch Name]],'[4]Lookup Values'!G:G,'[4]Lookup Values'!H:H,0)))</f>
        <v/>
      </c>
      <c r="B491" t="str">
        <f>IF(Table2428[[#This Row],[Branch Name]]="","",(_xlfn.XLOOKUP(Table2428[[#This Row],[Branch Name]],'[4]Lookup Values'!G:G,'[4]Lookup Values'!I:I,0)))</f>
        <v/>
      </c>
      <c r="C491" t="str">
        <f>IF(Table2428[[#This Row],[Journal Description (Service Description)]]="","",1)</f>
        <v/>
      </c>
      <c r="D491" s="65" t="str">
        <f>IF(Table2428[[#This Row],[Journal Description (Service Description)]]="","",VLOOKUP(Table2428[[#This Row],[Journal Description (Service Description)]],'[4]Lookup Values'!$A:$B,2,FALSE))</f>
        <v/>
      </c>
    </row>
    <row r="492" spans="1:4" x14ac:dyDescent="0.35">
      <c r="A492" t="str">
        <f>IF(Table2428[[#This Row],[Branch Name]]="","",(_xlfn.XLOOKUP(Table2428[[#This Row],[Branch Name]],'[4]Lookup Values'!G:G,'[4]Lookup Values'!H:H,0)))</f>
        <v/>
      </c>
      <c r="B492" t="str">
        <f>IF(Table2428[[#This Row],[Branch Name]]="","",(_xlfn.XLOOKUP(Table2428[[#This Row],[Branch Name]],'[4]Lookup Values'!G:G,'[4]Lookup Values'!I:I,0)))</f>
        <v/>
      </c>
      <c r="C492" t="str">
        <f>IF(Table2428[[#This Row],[Journal Description (Service Description)]]="","",1)</f>
        <v/>
      </c>
      <c r="D492" s="65" t="str">
        <f>IF(Table2428[[#This Row],[Journal Description (Service Description)]]="","",VLOOKUP(Table2428[[#This Row],[Journal Description (Service Description)]],'[4]Lookup Values'!$A:$B,2,FALSE))</f>
        <v/>
      </c>
    </row>
    <row r="493" spans="1:4" x14ac:dyDescent="0.35">
      <c r="A493" t="str">
        <f>IF(Table2428[[#This Row],[Branch Name]]="","",(_xlfn.XLOOKUP(Table2428[[#This Row],[Branch Name]],'[4]Lookup Values'!G:G,'[4]Lookup Values'!H:H,0)))</f>
        <v/>
      </c>
      <c r="B493" t="str">
        <f>IF(Table2428[[#This Row],[Branch Name]]="","",(_xlfn.XLOOKUP(Table2428[[#This Row],[Branch Name]],'[4]Lookup Values'!G:G,'[4]Lookup Values'!I:I,0)))</f>
        <v/>
      </c>
      <c r="C493" t="str">
        <f>IF(Table2428[[#This Row],[Journal Description (Service Description)]]="","",1)</f>
        <v/>
      </c>
      <c r="D493" s="65" t="str">
        <f>IF(Table2428[[#This Row],[Journal Description (Service Description)]]="","",VLOOKUP(Table2428[[#This Row],[Journal Description (Service Description)]],'[4]Lookup Values'!$A:$B,2,FALSE))</f>
        <v/>
      </c>
    </row>
    <row r="494" spans="1:4" x14ac:dyDescent="0.35">
      <c r="A494" t="str">
        <f>IF(Table2428[[#This Row],[Branch Name]]="","",(_xlfn.XLOOKUP(Table2428[[#This Row],[Branch Name]],'[4]Lookup Values'!G:G,'[4]Lookup Values'!H:H,0)))</f>
        <v/>
      </c>
      <c r="B494" t="str">
        <f>IF(Table2428[[#This Row],[Branch Name]]="","",(_xlfn.XLOOKUP(Table2428[[#This Row],[Branch Name]],'[4]Lookup Values'!G:G,'[4]Lookup Values'!I:I,0)))</f>
        <v/>
      </c>
      <c r="C494" t="str">
        <f>IF(Table2428[[#This Row],[Journal Description (Service Description)]]="","",1)</f>
        <v/>
      </c>
      <c r="D494" s="65" t="str">
        <f>IF(Table2428[[#This Row],[Journal Description (Service Description)]]="","",VLOOKUP(Table2428[[#This Row],[Journal Description (Service Description)]],'[4]Lookup Values'!$A:$B,2,FALSE))</f>
        <v/>
      </c>
    </row>
    <row r="495" spans="1:4" x14ac:dyDescent="0.35">
      <c r="A495" t="str">
        <f>IF(Table2428[[#This Row],[Branch Name]]="","",(_xlfn.XLOOKUP(Table2428[[#This Row],[Branch Name]],'[4]Lookup Values'!G:G,'[4]Lookup Values'!H:H,0)))</f>
        <v/>
      </c>
      <c r="B495" t="str">
        <f>IF(Table2428[[#This Row],[Branch Name]]="","",(_xlfn.XLOOKUP(Table2428[[#This Row],[Branch Name]],'[4]Lookup Values'!G:G,'[4]Lookup Values'!I:I,0)))</f>
        <v/>
      </c>
      <c r="C495" t="str">
        <f>IF(Table2428[[#This Row],[Journal Description (Service Description)]]="","",1)</f>
        <v/>
      </c>
      <c r="D495" s="65" t="str">
        <f>IF(Table2428[[#This Row],[Journal Description (Service Description)]]="","",VLOOKUP(Table2428[[#This Row],[Journal Description (Service Description)]],'[4]Lookup Values'!$A:$B,2,FALSE))</f>
        <v/>
      </c>
    </row>
    <row r="496" spans="1:4" x14ac:dyDescent="0.35">
      <c r="A496" t="str">
        <f>IF(Table2428[[#This Row],[Branch Name]]="","",(_xlfn.XLOOKUP(Table2428[[#This Row],[Branch Name]],'[4]Lookup Values'!G:G,'[4]Lookup Values'!H:H,0)))</f>
        <v/>
      </c>
      <c r="B496" t="str">
        <f>IF(Table2428[[#This Row],[Branch Name]]="","",(_xlfn.XLOOKUP(Table2428[[#This Row],[Branch Name]],'[4]Lookup Values'!G:G,'[4]Lookup Values'!I:I,0)))</f>
        <v/>
      </c>
      <c r="C496" t="str">
        <f>IF(Table2428[[#This Row],[Journal Description (Service Description)]]="","",1)</f>
        <v/>
      </c>
      <c r="D496" s="65" t="str">
        <f>IF(Table2428[[#This Row],[Journal Description (Service Description)]]="","",VLOOKUP(Table2428[[#This Row],[Journal Description (Service Description)]],'[4]Lookup Values'!$A:$B,2,FALSE))</f>
        <v/>
      </c>
    </row>
    <row r="497" spans="1:4" x14ac:dyDescent="0.35">
      <c r="A497" t="str">
        <f>IF(Table2428[[#This Row],[Branch Name]]="","",(_xlfn.XLOOKUP(Table2428[[#This Row],[Branch Name]],'[4]Lookup Values'!G:G,'[4]Lookup Values'!H:H,0)))</f>
        <v/>
      </c>
      <c r="B497" t="str">
        <f>IF(Table2428[[#This Row],[Branch Name]]="","",(_xlfn.XLOOKUP(Table2428[[#This Row],[Branch Name]],'[4]Lookup Values'!G:G,'[4]Lookup Values'!I:I,0)))</f>
        <v/>
      </c>
      <c r="C497" t="str">
        <f>IF(Table2428[[#This Row],[Journal Description (Service Description)]]="","",1)</f>
        <v/>
      </c>
      <c r="D497" s="65" t="str">
        <f>IF(Table2428[[#This Row],[Journal Description (Service Description)]]="","",VLOOKUP(Table2428[[#This Row],[Journal Description (Service Description)]],'[4]Lookup Values'!$A:$B,2,FALSE))</f>
        <v/>
      </c>
    </row>
    <row r="498" spans="1:4" x14ac:dyDescent="0.35">
      <c r="A498" t="str">
        <f>IF(Table2428[[#This Row],[Branch Name]]="","",(_xlfn.XLOOKUP(Table2428[[#This Row],[Branch Name]],'[4]Lookup Values'!G:G,'[4]Lookup Values'!H:H,0)))</f>
        <v/>
      </c>
      <c r="B498" t="str">
        <f>IF(Table2428[[#This Row],[Branch Name]]="","",(_xlfn.XLOOKUP(Table2428[[#This Row],[Branch Name]],'[4]Lookup Values'!G:G,'[4]Lookup Values'!I:I,0)))</f>
        <v/>
      </c>
      <c r="C498" t="str">
        <f>IF(Table2428[[#This Row],[Journal Description (Service Description)]]="","",1)</f>
        <v/>
      </c>
      <c r="D498" s="65" t="str">
        <f>IF(Table2428[[#This Row],[Journal Description (Service Description)]]="","",VLOOKUP(Table2428[[#This Row],[Journal Description (Service Description)]],'[4]Lookup Values'!$A:$B,2,FALSE))</f>
        <v/>
      </c>
    </row>
    <row r="499" spans="1:4" x14ac:dyDescent="0.35">
      <c r="A499" t="str">
        <f>IF(Table2428[[#This Row],[Branch Name]]="","",(_xlfn.XLOOKUP(Table2428[[#This Row],[Branch Name]],'[4]Lookup Values'!G:G,'[4]Lookup Values'!H:H,0)))</f>
        <v/>
      </c>
      <c r="B499" t="str">
        <f>IF(Table2428[[#This Row],[Branch Name]]="","",(_xlfn.XLOOKUP(Table2428[[#This Row],[Branch Name]],'[4]Lookup Values'!G:G,'[4]Lookup Values'!I:I,0)))</f>
        <v/>
      </c>
      <c r="C499" t="str">
        <f>IF(Table2428[[#This Row],[Journal Description (Service Description)]]="","",1)</f>
        <v/>
      </c>
      <c r="D499" s="65" t="str">
        <f>IF(Table2428[[#This Row],[Journal Description (Service Description)]]="","",VLOOKUP(Table2428[[#This Row],[Journal Description (Service Description)]],'[4]Lookup Values'!$A:$B,2,FALSE))</f>
        <v/>
      </c>
    </row>
    <row r="500" spans="1:4" x14ac:dyDescent="0.35">
      <c r="A500" t="str">
        <f>IF(Table2428[[#This Row],[Branch Name]]="","",(_xlfn.XLOOKUP(Table2428[[#This Row],[Branch Name]],'[4]Lookup Values'!G:G,'[4]Lookup Values'!H:H,0)))</f>
        <v/>
      </c>
      <c r="B500" t="str">
        <f>IF(Table2428[[#This Row],[Branch Name]]="","",(_xlfn.XLOOKUP(Table2428[[#This Row],[Branch Name]],'[4]Lookup Values'!G:G,'[4]Lookup Values'!I:I,0)))</f>
        <v/>
      </c>
      <c r="C500" t="str">
        <f>IF(Table2428[[#This Row],[Journal Description (Service Description)]]="","",1)</f>
        <v/>
      </c>
      <c r="D500" s="65" t="str">
        <f>IF(Table2428[[#This Row],[Journal Description (Service Description)]]="","",VLOOKUP(Table2428[[#This Row],[Journal Description (Service Description)]],'[4]Lookup Values'!$A:$B,2,FALSE))</f>
        <v/>
      </c>
    </row>
    <row r="501" spans="1:4" x14ac:dyDescent="0.35">
      <c r="A501" t="str">
        <f>IF(Table2428[[#This Row],[Branch Name]]="","",(_xlfn.XLOOKUP(Table2428[[#This Row],[Branch Name]],'[4]Lookup Values'!G:G,'[4]Lookup Values'!H:H,0)))</f>
        <v/>
      </c>
      <c r="B501" t="str">
        <f>IF(Table2428[[#This Row],[Branch Name]]="","",(_xlfn.XLOOKUP(Table2428[[#This Row],[Branch Name]],'[4]Lookup Values'!G:G,'[4]Lookup Values'!I:I,0)))</f>
        <v/>
      </c>
      <c r="C501" t="str">
        <f>IF(Table2428[[#This Row],[Journal Description (Service Description)]]="","",1)</f>
        <v/>
      </c>
      <c r="D501" s="65" t="str">
        <f>IF(Table2428[[#This Row],[Journal Description (Service Description)]]="","",VLOOKUP(Table2428[[#This Row],[Journal Description (Service Description)]],'[4]Lookup Values'!$A:$B,2,FALSE))</f>
        <v/>
      </c>
    </row>
    <row r="502" spans="1:4" x14ac:dyDescent="0.35">
      <c r="A502" t="str">
        <f>IF(Table2428[[#This Row],[Branch Name]]="","",(_xlfn.XLOOKUP(Table2428[[#This Row],[Branch Name]],'[4]Lookup Values'!G:G,'[4]Lookup Values'!H:H,0)))</f>
        <v/>
      </c>
      <c r="B502" t="str">
        <f>IF(Table2428[[#This Row],[Branch Name]]="","",(_xlfn.XLOOKUP(Table2428[[#This Row],[Branch Name]],'[4]Lookup Values'!G:G,'[4]Lookup Values'!I:I,0)))</f>
        <v/>
      </c>
      <c r="C502" t="str">
        <f>IF(Table2428[[#This Row],[Journal Description (Service Description)]]="","",1)</f>
        <v/>
      </c>
      <c r="D502" s="65" t="str">
        <f>IF(Table2428[[#This Row],[Journal Description (Service Description)]]="","",VLOOKUP(Table2428[[#This Row],[Journal Description (Service Description)]],'[4]Lookup Values'!$A:$B,2,FALSE))</f>
        <v/>
      </c>
    </row>
    <row r="503" spans="1:4" x14ac:dyDescent="0.35">
      <c r="A503" t="str">
        <f>IF(Table2428[[#This Row],[Branch Name]]="","",(_xlfn.XLOOKUP(Table2428[[#This Row],[Branch Name]],'[4]Lookup Values'!G:G,'[4]Lookup Values'!H:H,0)))</f>
        <v/>
      </c>
      <c r="B503" t="str">
        <f>IF(Table2428[[#This Row],[Branch Name]]="","",(_xlfn.XLOOKUP(Table2428[[#This Row],[Branch Name]],'[4]Lookup Values'!G:G,'[4]Lookup Values'!I:I,0)))</f>
        <v/>
      </c>
      <c r="C503" t="str">
        <f>IF(Table2428[[#This Row],[Journal Description (Service Description)]]="","",1)</f>
        <v/>
      </c>
      <c r="D503" s="65" t="str">
        <f>IF(Table2428[[#This Row],[Journal Description (Service Description)]]="","",VLOOKUP(Table2428[[#This Row],[Journal Description (Service Description)]],'[4]Lookup Values'!$A:$B,2,FALSE))</f>
        <v/>
      </c>
    </row>
    <row r="504" spans="1:4" x14ac:dyDescent="0.35">
      <c r="A504" t="str">
        <f>IF(Table2428[[#This Row],[Branch Name]]="","",(_xlfn.XLOOKUP(Table2428[[#This Row],[Branch Name]],'[4]Lookup Values'!G:G,'[4]Lookup Values'!H:H,0)))</f>
        <v/>
      </c>
      <c r="B504" t="str">
        <f>IF(Table2428[[#This Row],[Branch Name]]="","",(_xlfn.XLOOKUP(Table2428[[#This Row],[Branch Name]],'[4]Lookup Values'!G:G,'[4]Lookup Values'!I:I,0)))</f>
        <v/>
      </c>
      <c r="C504" t="str">
        <f>IF(Table2428[[#This Row],[Journal Description (Service Description)]]="","",1)</f>
        <v/>
      </c>
      <c r="D504" s="65" t="str">
        <f>IF(Table2428[[#This Row],[Journal Description (Service Description)]]="","",VLOOKUP(Table2428[[#This Row],[Journal Description (Service Description)]],'[4]Lookup Values'!$A:$B,2,FALSE))</f>
        <v/>
      </c>
    </row>
    <row r="505" spans="1:4" x14ac:dyDescent="0.35">
      <c r="A505" t="str">
        <f>IF(Table2428[[#This Row],[Branch Name]]="","",(_xlfn.XLOOKUP(Table2428[[#This Row],[Branch Name]],'[4]Lookup Values'!G:G,'[4]Lookup Values'!H:H,0)))</f>
        <v/>
      </c>
      <c r="B505" t="str">
        <f>IF(Table2428[[#This Row],[Branch Name]]="","",(_xlfn.XLOOKUP(Table2428[[#This Row],[Branch Name]],'[4]Lookup Values'!G:G,'[4]Lookup Values'!I:I,0)))</f>
        <v/>
      </c>
      <c r="C505" t="str">
        <f>IF(Table2428[[#This Row],[Journal Description (Service Description)]]="","",1)</f>
        <v/>
      </c>
      <c r="D505" s="65" t="str">
        <f>IF(Table2428[[#This Row],[Journal Description (Service Description)]]="","",VLOOKUP(Table2428[[#This Row],[Journal Description (Service Description)]],'[4]Lookup Values'!$A:$B,2,FALSE))</f>
        <v/>
      </c>
    </row>
    <row r="506" spans="1:4" x14ac:dyDescent="0.35">
      <c r="A506" t="str">
        <f>IF(Table2428[[#This Row],[Branch Name]]="","",(_xlfn.XLOOKUP(Table2428[[#This Row],[Branch Name]],'[4]Lookup Values'!G:G,'[4]Lookup Values'!H:H,0)))</f>
        <v/>
      </c>
      <c r="B506" t="str">
        <f>IF(Table2428[[#This Row],[Branch Name]]="","",(_xlfn.XLOOKUP(Table2428[[#This Row],[Branch Name]],'[4]Lookup Values'!G:G,'[4]Lookup Values'!I:I,0)))</f>
        <v/>
      </c>
      <c r="C506" t="str">
        <f>IF(Table2428[[#This Row],[Journal Description (Service Description)]]="","",1)</f>
        <v/>
      </c>
      <c r="D506" s="65" t="str">
        <f>IF(Table2428[[#This Row],[Journal Description (Service Description)]]="","",VLOOKUP(Table2428[[#This Row],[Journal Description (Service Description)]],'[4]Lookup Values'!$A:$B,2,FALSE))</f>
        <v/>
      </c>
    </row>
    <row r="507" spans="1:4" x14ac:dyDescent="0.35">
      <c r="A507" t="str">
        <f>IF(Table2428[[#This Row],[Branch Name]]="","",(_xlfn.XLOOKUP(Table2428[[#This Row],[Branch Name]],'[4]Lookup Values'!G:G,'[4]Lookup Values'!H:H,0)))</f>
        <v/>
      </c>
      <c r="B507" t="str">
        <f>IF(Table2428[[#This Row],[Branch Name]]="","",(_xlfn.XLOOKUP(Table2428[[#This Row],[Branch Name]],'[4]Lookup Values'!G:G,'[4]Lookup Values'!I:I,0)))</f>
        <v/>
      </c>
      <c r="C507" t="str">
        <f>IF(Table2428[[#This Row],[Journal Description (Service Description)]]="","",1)</f>
        <v/>
      </c>
      <c r="D507" s="65" t="str">
        <f>IF(Table2428[[#This Row],[Journal Description (Service Description)]]="","",VLOOKUP(Table2428[[#This Row],[Journal Description (Service Description)]],'[4]Lookup Values'!$A:$B,2,FALSE))</f>
        <v/>
      </c>
    </row>
    <row r="508" spans="1:4" x14ac:dyDescent="0.35">
      <c r="A508" t="str">
        <f>IF(Table2428[[#This Row],[Branch Name]]="","",(_xlfn.XLOOKUP(Table2428[[#This Row],[Branch Name]],'[4]Lookup Values'!G:G,'[4]Lookup Values'!H:H,0)))</f>
        <v/>
      </c>
      <c r="B508" t="str">
        <f>IF(Table2428[[#This Row],[Branch Name]]="","",(_xlfn.XLOOKUP(Table2428[[#This Row],[Branch Name]],'[4]Lookup Values'!G:G,'[4]Lookup Values'!I:I,0)))</f>
        <v/>
      </c>
      <c r="C508" t="str">
        <f>IF(Table2428[[#This Row],[Journal Description (Service Description)]]="","",1)</f>
        <v/>
      </c>
      <c r="D508" s="65" t="str">
        <f>IF(Table2428[[#This Row],[Journal Description (Service Description)]]="","",VLOOKUP(Table2428[[#This Row],[Journal Description (Service Description)]],'[4]Lookup Values'!$A:$B,2,FALSE))</f>
        <v/>
      </c>
    </row>
    <row r="509" spans="1:4" x14ac:dyDescent="0.35">
      <c r="A509" t="str">
        <f>IF(Table2428[[#This Row],[Branch Name]]="","",(_xlfn.XLOOKUP(Table2428[[#This Row],[Branch Name]],'[4]Lookup Values'!G:G,'[4]Lookup Values'!H:H,0)))</f>
        <v/>
      </c>
      <c r="B509" t="str">
        <f>IF(Table2428[[#This Row],[Branch Name]]="","",(_xlfn.XLOOKUP(Table2428[[#This Row],[Branch Name]],'[4]Lookup Values'!G:G,'[4]Lookup Values'!I:I,0)))</f>
        <v/>
      </c>
      <c r="C509" t="str">
        <f>IF(Table2428[[#This Row],[Journal Description (Service Description)]]="","",1)</f>
        <v/>
      </c>
      <c r="D509" s="65" t="str">
        <f>IF(Table2428[[#This Row],[Journal Description (Service Description)]]="","",VLOOKUP(Table2428[[#This Row],[Journal Description (Service Description)]],'[4]Lookup Values'!$A:$B,2,FALSE))</f>
        <v/>
      </c>
    </row>
    <row r="510" spans="1:4" x14ac:dyDescent="0.35">
      <c r="A510" t="str">
        <f>IF(Table2428[[#This Row],[Branch Name]]="","",(_xlfn.XLOOKUP(Table2428[[#This Row],[Branch Name]],'[4]Lookup Values'!G:G,'[4]Lookup Values'!H:H,0)))</f>
        <v/>
      </c>
      <c r="B510" t="str">
        <f>IF(Table2428[[#This Row],[Branch Name]]="","",(_xlfn.XLOOKUP(Table2428[[#This Row],[Branch Name]],'[4]Lookup Values'!G:G,'[4]Lookup Values'!I:I,0)))</f>
        <v/>
      </c>
      <c r="C510" t="str">
        <f>IF(Table2428[[#This Row],[Journal Description (Service Description)]]="","",1)</f>
        <v/>
      </c>
      <c r="D510" s="65" t="str">
        <f>IF(Table2428[[#This Row],[Journal Description (Service Description)]]="","",VLOOKUP(Table2428[[#This Row],[Journal Description (Service Description)]],'[4]Lookup Values'!$A:$B,2,FALSE))</f>
        <v/>
      </c>
    </row>
    <row r="511" spans="1:4" x14ac:dyDescent="0.35">
      <c r="A511" t="str">
        <f>IF(Table2428[[#This Row],[Branch Name]]="","",(_xlfn.XLOOKUP(Table2428[[#This Row],[Branch Name]],'[4]Lookup Values'!G:G,'[4]Lookup Values'!H:H,0)))</f>
        <v/>
      </c>
      <c r="B511" t="str">
        <f>IF(Table2428[[#This Row],[Branch Name]]="","",(_xlfn.XLOOKUP(Table2428[[#This Row],[Branch Name]],'[4]Lookup Values'!G:G,'[4]Lookup Values'!I:I,0)))</f>
        <v/>
      </c>
      <c r="C511" t="str">
        <f>IF(Table2428[[#This Row],[Journal Description (Service Description)]]="","",1)</f>
        <v/>
      </c>
      <c r="D511" s="65" t="str">
        <f>IF(Table2428[[#This Row],[Journal Description (Service Description)]]="","",VLOOKUP(Table2428[[#This Row],[Journal Description (Service Description)]],'[4]Lookup Values'!$A:$B,2,FALSE))</f>
        <v/>
      </c>
    </row>
    <row r="512" spans="1:4" x14ac:dyDescent="0.35">
      <c r="A512" t="str">
        <f>IF(Table2428[[#This Row],[Branch Name]]="","",(_xlfn.XLOOKUP(Table2428[[#This Row],[Branch Name]],'[4]Lookup Values'!G:G,'[4]Lookup Values'!H:H,0)))</f>
        <v/>
      </c>
      <c r="B512" t="str">
        <f>IF(Table2428[[#This Row],[Branch Name]]="","",(_xlfn.XLOOKUP(Table2428[[#This Row],[Branch Name]],'[4]Lookup Values'!G:G,'[4]Lookup Values'!I:I,0)))</f>
        <v/>
      </c>
      <c r="C512" t="str">
        <f>IF(Table2428[[#This Row],[Journal Description (Service Description)]]="","",1)</f>
        <v/>
      </c>
      <c r="D512" s="65" t="str">
        <f>IF(Table2428[[#This Row],[Journal Description (Service Description)]]="","",VLOOKUP(Table2428[[#This Row],[Journal Description (Service Description)]],'[4]Lookup Values'!$A:$B,2,FALSE))</f>
        <v/>
      </c>
    </row>
    <row r="513" spans="1:4" x14ac:dyDescent="0.35">
      <c r="A513" t="str">
        <f>IF(Table2428[[#This Row],[Branch Name]]="","",(_xlfn.XLOOKUP(Table2428[[#This Row],[Branch Name]],'[4]Lookup Values'!G:G,'[4]Lookup Values'!H:H,0)))</f>
        <v/>
      </c>
      <c r="B513" t="str">
        <f>IF(Table2428[[#This Row],[Branch Name]]="","",(_xlfn.XLOOKUP(Table2428[[#This Row],[Branch Name]],'[4]Lookup Values'!G:G,'[4]Lookup Values'!I:I,0)))</f>
        <v/>
      </c>
      <c r="C513" t="str">
        <f>IF(Table2428[[#This Row],[Journal Description (Service Description)]]="","",1)</f>
        <v/>
      </c>
      <c r="D513" s="65" t="str">
        <f>IF(Table2428[[#This Row],[Journal Description (Service Description)]]="","",VLOOKUP(Table2428[[#This Row],[Journal Description (Service Description)]],'[4]Lookup Values'!$A:$B,2,FALSE))</f>
        <v/>
      </c>
    </row>
    <row r="514" spans="1:4" x14ac:dyDescent="0.35">
      <c r="A514" t="str">
        <f>IF(Table2428[[#This Row],[Branch Name]]="","",(_xlfn.XLOOKUP(Table2428[[#This Row],[Branch Name]],'[4]Lookup Values'!G:G,'[4]Lookup Values'!H:H,0)))</f>
        <v/>
      </c>
      <c r="B514" t="str">
        <f>IF(Table2428[[#This Row],[Branch Name]]="","",(_xlfn.XLOOKUP(Table2428[[#This Row],[Branch Name]],'[4]Lookup Values'!G:G,'[4]Lookup Values'!I:I,0)))</f>
        <v/>
      </c>
      <c r="C514" t="str">
        <f>IF(Table2428[[#This Row],[Journal Description (Service Description)]]="","",1)</f>
        <v/>
      </c>
      <c r="D514" s="65" t="str">
        <f>IF(Table2428[[#This Row],[Journal Description (Service Description)]]="","",VLOOKUP(Table2428[[#This Row],[Journal Description (Service Description)]],'[4]Lookup Values'!$A:$B,2,FALSE))</f>
        <v/>
      </c>
    </row>
    <row r="515" spans="1:4" x14ac:dyDescent="0.35">
      <c r="A515" t="str">
        <f>IF(Table2428[[#This Row],[Branch Name]]="","",(_xlfn.XLOOKUP(Table2428[[#This Row],[Branch Name]],'[4]Lookup Values'!G:G,'[4]Lookup Values'!H:H,0)))</f>
        <v/>
      </c>
      <c r="B515" t="str">
        <f>IF(Table2428[[#This Row],[Branch Name]]="","",(_xlfn.XLOOKUP(Table2428[[#This Row],[Branch Name]],'[4]Lookup Values'!G:G,'[4]Lookup Values'!I:I,0)))</f>
        <v/>
      </c>
      <c r="C515" t="str">
        <f>IF(Table2428[[#This Row],[Journal Description (Service Description)]]="","",1)</f>
        <v/>
      </c>
      <c r="D515" s="65" t="str">
        <f>IF(Table2428[[#This Row],[Journal Description (Service Description)]]="","",VLOOKUP(Table2428[[#This Row],[Journal Description (Service Description)]],'[4]Lookup Values'!$A:$B,2,FALSE))</f>
        <v/>
      </c>
    </row>
    <row r="516" spans="1:4" x14ac:dyDescent="0.35">
      <c r="A516" t="str">
        <f>IF(Table2428[[#This Row],[Branch Name]]="","",(_xlfn.XLOOKUP(Table2428[[#This Row],[Branch Name]],'[4]Lookup Values'!G:G,'[4]Lookup Values'!H:H,0)))</f>
        <v/>
      </c>
      <c r="B516" t="str">
        <f>IF(Table2428[[#This Row],[Branch Name]]="","",(_xlfn.XLOOKUP(Table2428[[#This Row],[Branch Name]],'[4]Lookup Values'!G:G,'[4]Lookup Values'!I:I,0)))</f>
        <v/>
      </c>
      <c r="C516" t="str">
        <f>IF(Table2428[[#This Row],[Journal Description (Service Description)]]="","",1)</f>
        <v/>
      </c>
      <c r="D516" s="65" t="str">
        <f>IF(Table2428[[#This Row],[Journal Description (Service Description)]]="","",VLOOKUP(Table2428[[#This Row],[Journal Description (Service Description)]],'[4]Lookup Values'!$A:$B,2,FALSE))</f>
        <v/>
      </c>
    </row>
    <row r="517" spans="1:4" x14ac:dyDescent="0.35">
      <c r="A517" t="str">
        <f>IF(Table2428[[#This Row],[Branch Name]]="","",(_xlfn.XLOOKUP(Table2428[[#This Row],[Branch Name]],'[4]Lookup Values'!G:G,'[4]Lookup Values'!H:H,0)))</f>
        <v/>
      </c>
      <c r="B517" t="str">
        <f>IF(Table2428[[#This Row],[Branch Name]]="","",(_xlfn.XLOOKUP(Table2428[[#This Row],[Branch Name]],'[4]Lookup Values'!G:G,'[4]Lookup Values'!I:I,0)))</f>
        <v/>
      </c>
      <c r="C517" t="str">
        <f>IF(Table2428[[#This Row],[Journal Description (Service Description)]]="","",1)</f>
        <v/>
      </c>
      <c r="D517" s="65" t="str">
        <f>IF(Table2428[[#This Row],[Journal Description (Service Description)]]="","",VLOOKUP(Table2428[[#This Row],[Journal Description (Service Description)]],'[4]Lookup Values'!$A:$B,2,FALSE))</f>
        <v/>
      </c>
    </row>
    <row r="518" spans="1:4" x14ac:dyDescent="0.35">
      <c r="A518" t="str">
        <f>IF(Table2428[[#This Row],[Branch Name]]="","",(_xlfn.XLOOKUP(Table2428[[#This Row],[Branch Name]],'[4]Lookup Values'!G:G,'[4]Lookup Values'!H:H,0)))</f>
        <v/>
      </c>
      <c r="B518" t="str">
        <f>IF(Table2428[[#This Row],[Branch Name]]="","",(_xlfn.XLOOKUP(Table2428[[#This Row],[Branch Name]],'[4]Lookup Values'!G:G,'[4]Lookup Values'!I:I,0)))</f>
        <v/>
      </c>
      <c r="C518" t="str">
        <f>IF(Table2428[[#This Row],[Journal Description (Service Description)]]="","",1)</f>
        <v/>
      </c>
      <c r="D518" s="65" t="str">
        <f>IF(Table2428[[#This Row],[Journal Description (Service Description)]]="","",VLOOKUP(Table2428[[#This Row],[Journal Description (Service Description)]],'[4]Lookup Values'!$A:$B,2,FALSE))</f>
        <v/>
      </c>
    </row>
    <row r="519" spans="1:4" x14ac:dyDescent="0.35">
      <c r="A519" t="str">
        <f>IF(Table2428[[#This Row],[Branch Name]]="","",(_xlfn.XLOOKUP(Table2428[[#This Row],[Branch Name]],'[4]Lookup Values'!G:G,'[4]Lookup Values'!H:H,0)))</f>
        <v/>
      </c>
      <c r="B519" t="str">
        <f>IF(Table2428[[#This Row],[Branch Name]]="","",(_xlfn.XLOOKUP(Table2428[[#This Row],[Branch Name]],'[4]Lookup Values'!G:G,'[4]Lookup Values'!I:I,0)))</f>
        <v/>
      </c>
      <c r="C519" t="str">
        <f>IF(Table2428[[#This Row],[Journal Description (Service Description)]]="","",1)</f>
        <v/>
      </c>
      <c r="D519" s="65" t="str">
        <f>IF(Table2428[[#This Row],[Journal Description (Service Description)]]="","",VLOOKUP(Table2428[[#This Row],[Journal Description (Service Description)]],'[4]Lookup Values'!$A:$B,2,FALSE))</f>
        <v/>
      </c>
    </row>
    <row r="520" spans="1:4" x14ac:dyDescent="0.35">
      <c r="A520" t="str">
        <f>IF(Table2428[[#This Row],[Branch Name]]="","",(_xlfn.XLOOKUP(Table2428[[#This Row],[Branch Name]],'[4]Lookup Values'!G:G,'[4]Lookup Values'!H:H,0)))</f>
        <v/>
      </c>
      <c r="B520" t="str">
        <f>IF(Table2428[[#This Row],[Branch Name]]="","",(_xlfn.XLOOKUP(Table2428[[#This Row],[Branch Name]],'[4]Lookup Values'!G:G,'[4]Lookup Values'!I:I,0)))</f>
        <v/>
      </c>
      <c r="C520" t="str">
        <f>IF(Table2428[[#This Row],[Journal Description (Service Description)]]="","",1)</f>
        <v/>
      </c>
      <c r="D520" s="65" t="str">
        <f>IF(Table2428[[#This Row],[Journal Description (Service Description)]]="","",VLOOKUP(Table2428[[#This Row],[Journal Description (Service Description)]],'[4]Lookup Values'!$A:$B,2,FALSE))</f>
        <v/>
      </c>
    </row>
    <row r="521" spans="1:4" x14ac:dyDescent="0.35">
      <c r="A521" t="str">
        <f>IF(Table2428[[#This Row],[Branch Name]]="","",(_xlfn.XLOOKUP(Table2428[[#This Row],[Branch Name]],'[4]Lookup Values'!G:G,'[4]Lookup Values'!H:H,0)))</f>
        <v/>
      </c>
      <c r="B521" t="str">
        <f>IF(Table2428[[#This Row],[Branch Name]]="","",(_xlfn.XLOOKUP(Table2428[[#This Row],[Branch Name]],'[4]Lookup Values'!G:G,'[4]Lookup Values'!I:I,0)))</f>
        <v/>
      </c>
      <c r="C521" t="str">
        <f>IF(Table2428[[#This Row],[Journal Description (Service Description)]]="","",1)</f>
        <v/>
      </c>
      <c r="D521" s="65" t="str">
        <f>IF(Table2428[[#This Row],[Journal Description (Service Description)]]="","",VLOOKUP(Table2428[[#This Row],[Journal Description (Service Description)]],'[4]Lookup Values'!$A:$B,2,FALSE))</f>
        <v/>
      </c>
    </row>
    <row r="522" spans="1:4" x14ac:dyDescent="0.35">
      <c r="A522" t="str">
        <f>IF(Table2428[[#This Row],[Branch Name]]="","",(_xlfn.XLOOKUP(Table2428[[#This Row],[Branch Name]],'[4]Lookup Values'!G:G,'[4]Lookup Values'!H:H,0)))</f>
        <v/>
      </c>
      <c r="B522" t="str">
        <f>IF(Table2428[[#This Row],[Branch Name]]="","",(_xlfn.XLOOKUP(Table2428[[#This Row],[Branch Name]],'[4]Lookup Values'!G:G,'[4]Lookup Values'!I:I,0)))</f>
        <v/>
      </c>
      <c r="C522" t="str">
        <f>IF(Table2428[[#This Row],[Journal Description (Service Description)]]="","",1)</f>
        <v/>
      </c>
      <c r="D522" s="65" t="str">
        <f>IF(Table2428[[#This Row],[Journal Description (Service Description)]]="","",VLOOKUP(Table2428[[#This Row],[Journal Description (Service Description)]],'[4]Lookup Values'!$A:$B,2,FALSE))</f>
        <v/>
      </c>
    </row>
    <row r="523" spans="1:4" x14ac:dyDescent="0.35">
      <c r="A523" t="str">
        <f>IF(Table2428[[#This Row],[Branch Name]]="","",(_xlfn.XLOOKUP(Table2428[[#This Row],[Branch Name]],'[4]Lookup Values'!G:G,'[4]Lookup Values'!H:H,0)))</f>
        <v/>
      </c>
      <c r="B523" t="str">
        <f>IF(Table2428[[#This Row],[Branch Name]]="","",(_xlfn.XLOOKUP(Table2428[[#This Row],[Branch Name]],'[4]Lookup Values'!G:G,'[4]Lookup Values'!I:I,0)))</f>
        <v/>
      </c>
      <c r="C523" t="str">
        <f>IF(Table2428[[#This Row],[Journal Description (Service Description)]]="","",1)</f>
        <v/>
      </c>
      <c r="D523" s="65" t="str">
        <f>IF(Table2428[[#This Row],[Journal Description (Service Description)]]="","",VLOOKUP(Table2428[[#This Row],[Journal Description (Service Description)]],'[4]Lookup Values'!$A:$B,2,FALSE))</f>
        <v/>
      </c>
    </row>
    <row r="524" spans="1:4" x14ac:dyDescent="0.35">
      <c r="A524" t="str">
        <f>IF(Table2428[[#This Row],[Branch Name]]="","",(_xlfn.XLOOKUP(Table2428[[#This Row],[Branch Name]],'[4]Lookup Values'!G:G,'[4]Lookup Values'!H:H,0)))</f>
        <v/>
      </c>
      <c r="B524" t="str">
        <f>IF(Table2428[[#This Row],[Branch Name]]="","",(_xlfn.XLOOKUP(Table2428[[#This Row],[Branch Name]],'[4]Lookup Values'!G:G,'[4]Lookup Values'!I:I,0)))</f>
        <v/>
      </c>
      <c r="C524" t="str">
        <f>IF(Table2428[[#This Row],[Journal Description (Service Description)]]="","",1)</f>
        <v/>
      </c>
      <c r="D524" s="65" t="str">
        <f>IF(Table2428[[#This Row],[Journal Description (Service Description)]]="","",VLOOKUP(Table2428[[#This Row],[Journal Description (Service Description)]],'[4]Lookup Values'!$A:$B,2,FALSE))</f>
        <v/>
      </c>
    </row>
    <row r="525" spans="1:4" x14ac:dyDescent="0.35">
      <c r="A525" t="str">
        <f>IF(Table2428[[#This Row],[Branch Name]]="","",(_xlfn.XLOOKUP(Table2428[[#This Row],[Branch Name]],'[4]Lookup Values'!G:G,'[4]Lookup Values'!H:H,0)))</f>
        <v/>
      </c>
      <c r="B525" t="str">
        <f>IF(Table2428[[#This Row],[Branch Name]]="","",(_xlfn.XLOOKUP(Table2428[[#This Row],[Branch Name]],'[4]Lookup Values'!G:G,'[4]Lookup Values'!I:I,0)))</f>
        <v/>
      </c>
      <c r="C525" t="str">
        <f>IF(Table2428[[#This Row],[Journal Description (Service Description)]]="","",1)</f>
        <v/>
      </c>
      <c r="D525" s="65" t="str">
        <f>IF(Table2428[[#This Row],[Journal Description (Service Description)]]="","",VLOOKUP(Table2428[[#This Row],[Journal Description (Service Description)]],'[4]Lookup Values'!$A:$B,2,FALSE))</f>
        <v/>
      </c>
    </row>
    <row r="526" spans="1:4" x14ac:dyDescent="0.35">
      <c r="A526" t="str">
        <f>IF(Table2428[[#This Row],[Branch Name]]="","",(_xlfn.XLOOKUP(Table2428[[#This Row],[Branch Name]],'[4]Lookup Values'!G:G,'[4]Lookup Values'!H:H,0)))</f>
        <v/>
      </c>
      <c r="B526" t="str">
        <f>IF(Table2428[[#This Row],[Branch Name]]="","",(_xlfn.XLOOKUP(Table2428[[#This Row],[Branch Name]],'[4]Lookup Values'!G:G,'[4]Lookup Values'!I:I,0)))</f>
        <v/>
      </c>
      <c r="C526" t="str">
        <f>IF(Table2428[[#This Row],[Journal Description (Service Description)]]="","",1)</f>
        <v/>
      </c>
      <c r="D526" s="65" t="str">
        <f>IF(Table2428[[#This Row],[Journal Description (Service Description)]]="","",VLOOKUP(Table2428[[#This Row],[Journal Description (Service Description)]],'[4]Lookup Values'!$A:$B,2,FALSE))</f>
        <v/>
      </c>
    </row>
    <row r="527" spans="1:4" x14ac:dyDescent="0.35">
      <c r="A527" t="str">
        <f>IF(Table2428[[#This Row],[Branch Name]]="","",(_xlfn.XLOOKUP(Table2428[[#This Row],[Branch Name]],'[4]Lookup Values'!G:G,'[4]Lookup Values'!H:H,0)))</f>
        <v/>
      </c>
      <c r="B527" t="str">
        <f>IF(Table2428[[#This Row],[Branch Name]]="","",(_xlfn.XLOOKUP(Table2428[[#This Row],[Branch Name]],'[4]Lookup Values'!G:G,'[4]Lookup Values'!I:I,0)))</f>
        <v/>
      </c>
      <c r="C527" t="str">
        <f>IF(Table2428[[#This Row],[Journal Description (Service Description)]]="","",1)</f>
        <v/>
      </c>
      <c r="D527" s="65" t="str">
        <f>IF(Table2428[[#This Row],[Journal Description (Service Description)]]="","",VLOOKUP(Table2428[[#This Row],[Journal Description (Service Description)]],'[4]Lookup Values'!$A:$B,2,FALSE))</f>
        <v/>
      </c>
    </row>
    <row r="528" spans="1:4" x14ac:dyDescent="0.35">
      <c r="A528" t="str">
        <f>IF(Table2428[[#This Row],[Branch Name]]="","",(_xlfn.XLOOKUP(Table2428[[#This Row],[Branch Name]],'[4]Lookup Values'!G:G,'[4]Lookup Values'!H:H,0)))</f>
        <v/>
      </c>
      <c r="B528" t="str">
        <f>IF(Table2428[[#This Row],[Branch Name]]="","",(_xlfn.XLOOKUP(Table2428[[#This Row],[Branch Name]],'[4]Lookup Values'!G:G,'[4]Lookup Values'!I:I,0)))</f>
        <v/>
      </c>
      <c r="C528" t="str">
        <f>IF(Table2428[[#This Row],[Journal Description (Service Description)]]="","",1)</f>
        <v/>
      </c>
      <c r="D528" s="65" t="str">
        <f>IF(Table2428[[#This Row],[Journal Description (Service Description)]]="","",VLOOKUP(Table2428[[#This Row],[Journal Description (Service Description)]],'[4]Lookup Values'!$A:$B,2,FALSE))</f>
        <v/>
      </c>
    </row>
    <row r="529" spans="1:4" x14ac:dyDescent="0.35">
      <c r="A529" t="str">
        <f>IF(Table2428[[#This Row],[Branch Name]]="","",(_xlfn.XLOOKUP(Table2428[[#This Row],[Branch Name]],'[4]Lookup Values'!G:G,'[4]Lookup Values'!H:H,0)))</f>
        <v/>
      </c>
      <c r="B529" t="str">
        <f>IF(Table2428[[#This Row],[Branch Name]]="","",(_xlfn.XLOOKUP(Table2428[[#This Row],[Branch Name]],'[4]Lookup Values'!G:G,'[4]Lookup Values'!I:I,0)))</f>
        <v/>
      </c>
      <c r="C529" t="str">
        <f>IF(Table2428[[#This Row],[Journal Description (Service Description)]]="","",1)</f>
        <v/>
      </c>
      <c r="D529" s="65" t="str">
        <f>IF(Table2428[[#This Row],[Journal Description (Service Description)]]="","",VLOOKUP(Table2428[[#This Row],[Journal Description (Service Description)]],'[4]Lookup Values'!$A:$B,2,FALSE))</f>
        <v/>
      </c>
    </row>
    <row r="530" spans="1:4" x14ac:dyDescent="0.35">
      <c r="A530" t="str">
        <f>IF(Table2428[[#This Row],[Branch Name]]="","",(_xlfn.XLOOKUP(Table2428[[#This Row],[Branch Name]],'[4]Lookup Values'!G:G,'[4]Lookup Values'!H:H,0)))</f>
        <v/>
      </c>
      <c r="B530" t="str">
        <f>IF(Table2428[[#This Row],[Branch Name]]="","",(_xlfn.XLOOKUP(Table2428[[#This Row],[Branch Name]],'[4]Lookup Values'!G:G,'[4]Lookup Values'!I:I,0)))</f>
        <v/>
      </c>
      <c r="C530" t="str">
        <f>IF(Table2428[[#This Row],[Journal Description (Service Description)]]="","",1)</f>
        <v/>
      </c>
      <c r="D530" s="65" t="str">
        <f>IF(Table2428[[#This Row],[Journal Description (Service Description)]]="","",VLOOKUP(Table2428[[#This Row],[Journal Description (Service Description)]],'[4]Lookup Values'!$A:$B,2,FALSE))</f>
        <v/>
      </c>
    </row>
    <row r="531" spans="1:4" x14ac:dyDescent="0.35">
      <c r="A531" t="str">
        <f>IF(Table2428[[#This Row],[Branch Name]]="","",(_xlfn.XLOOKUP(Table2428[[#This Row],[Branch Name]],'[4]Lookup Values'!G:G,'[4]Lookup Values'!H:H,0)))</f>
        <v/>
      </c>
      <c r="B531" t="str">
        <f>IF(Table2428[[#This Row],[Branch Name]]="","",(_xlfn.XLOOKUP(Table2428[[#This Row],[Branch Name]],'[4]Lookup Values'!G:G,'[4]Lookup Values'!I:I,0)))</f>
        <v/>
      </c>
      <c r="C531" t="str">
        <f>IF(Table2428[[#This Row],[Journal Description (Service Description)]]="","",1)</f>
        <v/>
      </c>
      <c r="D531" s="65" t="str">
        <f>IF(Table2428[[#This Row],[Journal Description (Service Description)]]="","",VLOOKUP(Table2428[[#This Row],[Journal Description (Service Description)]],'[4]Lookup Values'!$A:$B,2,FALSE))</f>
        <v/>
      </c>
    </row>
    <row r="532" spans="1:4" x14ac:dyDescent="0.35">
      <c r="A532" t="str">
        <f>IF(Table2428[[#This Row],[Branch Name]]="","",(_xlfn.XLOOKUP(Table2428[[#This Row],[Branch Name]],'[4]Lookup Values'!G:G,'[4]Lookup Values'!H:H,0)))</f>
        <v/>
      </c>
      <c r="B532" t="str">
        <f>IF(Table2428[[#This Row],[Branch Name]]="","",(_xlfn.XLOOKUP(Table2428[[#This Row],[Branch Name]],'[4]Lookup Values'!G:G,'[4]Lookup Values'!I:I,0)))</f>
        <v/>
      </c>
      <c r="C532" t="str">
        <f>IF(Table2428[[#This Row],[Journal Description (Service Description)]]="","",1)</f>
        <v/>
      </c>
      <c r="D532" s="65" t="str">
        <f>IF(Table2428[[#This Row],[Journal Description (Service Description)]]="","",VLOOKUP(Table2428[[#This Row],[Journal Description (Service Description)]],'[4]Lookup Values'!$A:$B,2,FALSE))</f>
        <v/>
      </c>
    </row>
    <row r="533" spans="1:4" x14ac:dyDescent="0.35">
      <c r="A533" t="str">
        <f>IF(Table2428[[#This Row],[Branch Name]]="","",(_xlfn.XLOOKUP(Table2428[[#This Row],[Branch Name]],'[4]Lookup Values'!G:G,'[4]Lookup Values'!H:H,0)))</f>
        <v/>
      </c>
      <c r="B533" t="str">
        <f>IF(Table2428[[#This Row],[Branch Name]]="","",(_xlfn.XLOOKUP(Table2428[[#This Row],[Branch Name]],'[4]Lookup Values'!G:G,'[4]Lookup Values'!I:I,0)))</f>
        <v/>
      </c>
      <c r="C533" t="str">
        <f>IF(Table2428[[#This Row],[Journal Description (Service Description)]]="","",1)</f>
        <v/>
      </c>
      <c r="D533" s="65" t="str">
        <f>IF(Table2428[[#This Row],[Journal Description (Service Description)]]="","",VLOOKUP(Table2428[[#This Row],[Journal Description (Service Description)]],'[4]Lookup Values'!$A:$B,2,FALSE))</f>
        <v/>
      </c>
    </row>
  </sheetData>
  <protectedRanges>
    <protectedRange sqref="D9:D533" name="Amount"/>
  </protectedRange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7DCAD-AA01-4F94-98AC-5C45416AE7B7}">
  <sheetPr codeName="Sheet14"/>
  <dimension ref="A1:I14"/>
  <sheetViews>
    <sheetView workbookViewId="0">
      <selection activeCell="C8" sqref="C8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9" t="s">
        <v>73</v>
      </c>
      <c r="B4" s="44" t="s">
        <v>200</v>
      </c>
      <c r="C4" s="44" t="s">
        <v>159</v>
      </c>
      <c r="D4" t="s">
        <v>160</v>
      </c>
      <c r="E4">
        <v>1</v>
      </c>
      <c r="F4" s="68">
        <v>71.75</v>
      </c>
      <c r="G4" s="34" t="s">
        <v>56</v>
      </c>
      <c r="H4" s="34" t="s">
        <v>33</v>
      </c>
      <c r="I4" s="35" t="s">
        <v>295</v>
      </c>
    </row>
    <row r="5" spans="1:9" x14ac:dyDescent="0.35">
      <c r="A5" s="49" t="s">
        <v>73</v>
      </c>
      <c r="B5" s="44" t="s">
        <v>210</v>
      </c>
      <c r="C5" s="44" t="s">
        <v>159</v>
      </c>
      <c r="D5" t="s">
        <v>160</v>
      </c>
      <c r="E5">
        <v>1</v>
      </c>
      <c r="F5" s="68">
        <v>71.75</v>
      </c>
      <c r="G5" s="34" t="s">
        <v>56</v>
      </c>
      <c r="H5" s="34" t="s">
        <v>33</v>
      </c>
      <c r="I5" s="35" t="s">
        <v>296</v>
      </c>
    </row>
    <row r="6" spans="1:9" x14ac:dyDescent="0.35">
      <c r="A6" s="49" t="s">
        <v>73</v>
      </c>
      <c r="B6" s="44" t="s">
        <v>200</v>
      </c>
      <c r="C6" s="44" t="s">
        <v>159</v>
      </c>
      <c r="D6" t="s">
        <v>160</v>
      </c>
      <c r="E6">
        <v>1</v>
      </c>
      <c r="F6" s="69">
        <v>14</v>
      </c>
      <c r="G6" s="70" t="s">
        <v>56</v>
      </c>
      <c r="H6" s="70" t="s">
        <v>35</v>
      </c>
      <c r="I6" s="71" t="s">
        <v>295</v>
      </c>
    </row>
    <row r="7" spans="1:9" x14ac:dyDescent="0.35">
      <c r="A7" s="49" t="s">
        <v>73</v>
      </c>
      <c r="B7" s="44" t="s">
        <v>199</v>
      </c>
      <c r="C7" s="44" t="s">
        <v>159</v>
      </c>
      <c r="D7" t="s">
        <v>160</v>
      </c>
      <c r="E7">
        <v>1</v>
      </c>
      <c r="F7" s="43">
        <v>54</v>
      </c>
      <c r="G7" s="34" t="s">
        <v>56</v>
      </c>
      <c r="H7" s="34" t="s">
        <v>20</v>
      </c>
      <c r="I7" s="35" t="s">
        <v>118</v>
      </c>
    </row>
    <row r="8" spans="1:9" x14ac:dyDescent="0.35">
      <c r="A8" s="49" t="s">
        <v>73</v>
      </c>
      <c r="B8" s="44" t="s">
        <v>325</v>
      </c>
      <c r="C8" s="44" t="s">
        <v>159</v>
      </c>
      <c r="D8" t="s">
        <v>160</v>
      </c>
      <c r="E8">
        <v>1</v>
      </c>
      <c r="F8" s="43">
        <v>54</v>
      </c>
      <c r="G8" s="34" t="s">
        <v>56</v>
      </c>
      <c r="H8" s="34" t="s">
        <v>20</v>
      </c>
      <c r="I8" s="35" t="s">
        <v>313</v>
      </c>
    </row>
    <row r="9" spans="1:9" x14ac:dyDescent="0.35">
      <c r="A9" s="49" t="s">
        <v>73</v>
      </c>
      <c r="B9" s="44" t="s">
        <v>326</v>
      </c>
      <c r="C9" s="44" t="s">
        <v>159</v>
      </c>
      <c r="D9" t="s">
        <v>160</v>
      </c>
      <c r="E9">
        <v>1</v>
      </c>
      <c r="F9" s="43">
        <v>54</v>
      </c>
      <c r="G9" s="34" t="s">
        <v>56</v>
      </c>
      <c r="H9" s="34" t="s">
        <v>20</v>
      </c>
      <c r="I9" s="35" t="s">
        <v>125</v>
      </c>
    </row>
    <row r="10" spans="1:9" x14ac:dyDescent="0.35">
      <c r="A10" s="49" t="s">
        <v>73</v>
      </c>
      <c r="B10" s="44" t="s">
        <v>327</v>
      </c>
      <c r="C10" s="44" t="s">
        <v>159</v>
      </c>
      <c r="D10" t="s">
        <v>160</v>
      </c>
      <c r="E10">
        <v>1</v>
      </c>
      <c r="F10" s="43">
        <v>54</v>
      </c>
      <c r="G10" s="34" t="s">
        <v>56</v>
      </c>
      <c r="H10" s="34" t="s">
        <v>20</v>
      </c>
      <c r="I10" s="35" t="s">
        <v>314</v>
      </c>
    </row>
    <row r="11" spans="1:9" x14ac:dyDescent="0.35">
      <c r="A11" s="49"/>
      <c r="B11" s="50"/>
      <c r="C11" s="44"/>
      <c r="D11" s="44"/>
      <c r="E11" s="44"/>
      <c r="F11" s="60"/>
      <c r="G11" s="34"/>
      <c r="H11" s="27"/>
      <c r="I11" s="27"/>
    </row>
    <row r="12" spans="1:9" x14ac:dyDescent="0.35">
      <c r="A12" s="49"/>
      <c r="B12" s="50"/>
      <c r="C12" s="44"/>
      <c r="D12" s="44"/>
      <c r="E12" s="44"/>
      <c r="F12" s="60"/>
      <c r="G12" s="34"/>
      <c r="H12" s="27"/>
      <c r="I12" s="27"/>
    </row>
    <row r="13" spans="1:9" x14ac:dyDescent="0.35">
      <c r="A13" s="49"/>
      <c r="B13" s="44"/>
      <c r="C13" s="44"/>
      <c r="D13" s="44"/>
      <c r="E13" s="44"/>
      <c r="F13" s="60"/>
      <c r="G13" s="34"/>
      <c r="H13" s="27"/>
      <c r="I13" s="27"/>
    </row>
    <row r="14" spans="1:9" x14ac:dyDescent="0.35">
      <c r="A14" s="49"/>
      <c r="B14" s="44"/>
      <c r="C14" s="44"/>
      <c r="D14" s="44"/>
      <c r="E14" s="44"/>
      <c r="F14" s="60"/>
      <c r="G14" s="34"/>
      <c r="H14" s="27"/>
      <c r="I14" s="27"/>
    </row>
  </sheetData>
  <protectedRanges>
    <protectedRange sqref="F11:F14" name="Amount_8"/>
    <protectedRange sqref="F4:F5" name="Amount_6"/>
    <protectedRange sqref="F6" name="Amount_7"/>
    <protectedRange sqref="F7:F10" name="Amount_9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C56D5E-16ED-40B7-8C90-9BA4D8208464}">
          <x14:formula1>
            <xm:f>'Lookup Values'!$A$2:$A$9</xm:f>
          </x14:formula1>
          <xm:sqref>H4:H5 H7:H10</xm:sqref>
        </x14:dataValidation>
        <x14:dataValidation type="list" allowBlank="1" showInputMessage="1" showErrorMessage="1" xr:uid="{A2D5E9A3-4BF2-4A62-A0EA-3D12C8844756}">
          <x14:formula1>
            <xm:f>'Lookup Values'!$G$2:$G$35</xm:f>
          </x14:formula1>
          <xm:sqref>G4:G5 G7:G10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262C2-1F6F-42D1-8A75-B5B145946E19}">
  <sheetPr codeName="Sheet15"/>
  <dimension ref="A1:G533"/>
  <sheetViews>
    <sheetView workbookViewId="0">
      <selection activeCell="B27" sqref="B27"/>
    </sheetView>
  </sheetViews>
  <sheetFormatPr defaultColWidth="9.1796875" defaultRowHeight="14.5" x14ac:dyDescent="0.35"/>
  <cols>
    <col min="1" max="1" width="14.1796875" customWidth="1"/>
    <col min="2" max="2" width="18.54296875" bestFit="1" customWidth="1"/>
    <col min="3" max="3" width="16.7265625" customWidth="1"/>
    <col min="4" max="4" width="19.54296875" style="2" customWidth="1"/>
    <col min="5" max="5" width="46.26953125" customWidth="1"/>
    <col min="6" max="6" width="47.1796875" bestFit="1" customWidth="1"/>
    <col min="7" max="7" width="32.453125" bestFit="1" customWidth="1"/>
  </cols>
  <sheetData>
    <row r="1" spans="1:7" ht="26" x14ac:dyDescent="0.6">
      <c r="A1" s="4" t="s">
        <v>27</v>
      </c>
      <c r="G1" s="5"/>
    </row>
    <row r="2" spans="1:7" ht="15" thickBot="1" x14ac:dyDescent="0.4"/>
    <row r="3" spans="1:7" x14ac:dyDescent="0.35">
      <c r="A3" s="6" t="s">
        <v>28</v>
      </c>
      <c r="B3" s="7" t="s">
        <v>328</v>
      </c>
    </row>
    <row r="4" spans="1:7" x14ac:dyDescent="0.35">
      <c r="A4" s="8" t="s">
        <v>29</v>
      </c>
      <c r="B4" s="9">
        <v>44532</v>
      </c>
      <c r="C4" s="5"/>
    </row>
    <row r="5" spans="1:7" ht="15" thickBot="1" x14ac:dyDescent="0.4">
      <c r="A5" s="10" t="s">
        <v>30</v>
      </c>
      <c r="B5" s="11" t="s">
        <v>213</v>
      </c>
      <c r="C5" s="15"/>
    </row>
    <row r="8" spans="1:7" x14ac:dyDescent="0.35">
      <c r="A8" s="1" t="s">
        <v>0</v>
      </c>
      <c r="B8" s="1" t="s">
        <v>1</v>
      </c>
      <c r="C8" s="1" t="s">
        <v>71</v>
      </c>
      <c r="D8" s="3" t="s">
        <v>2</v>
      </c>
      <c r="E8" s="1" t="s">
        <v>4</v>
      </c>
      <c r="F8" s="1" t="s">
        <v>81</v>
      </c>
      <c r="G8" s="1" t="s">
        <v>77</v>
      </c>
    </row>
    <row r="9" spans="1:7" x14ac:dyDescent="0.35">
      <c r="A9" s="1" t="s">
        <v>6</v>
      </c>
      <c r="B9" s="12" t="s">
        <v>7</v>
      </c>
      <c r="C9" s="12">
        <f>IF(Table2429[[#This Row],[Journal Description (Service Description)]]="","",1)</f>
        <v>1</v>
      </c>
      <c r="D9" s="3">
        <f>-SUM(D10:D136)</f>
        <v>-2239.35</v>
      </c>
      <c r="E9" s="1" t="s">
        <v>12</v>
      </c>
      <c r="F9" s="1" t="s">
        <v>13</v>
      </c>
      <c r="G9" s="13">
        <v>44501</v>
      </c>
    </row>
    <row r="10" spans="1:7" x14ac:dyDescent="0.35">
      <c r="A10" s="1" t="s">
        <v>6</v>
      </c>
      <c r="B10" t="s">
        <v>219</v>
      </c>
      <c r="C10" s="12">
        <f>IF(Table2429[[#This Row],[Journal Description (Service Description)]]="","",1)</f>
        <v>1</v>
      </c>
      <c r="D10" s="24">
        <v>40</v>
      </c>
      <c r="E10" t="s">
        <v>50</v>
      </c>
      <c r="F10" t="s">
        <v>34</v>
      </c>
      <c r="G10" t="s">
        <v>93</v>
      </c>
    </row>
    <row r="11" spans="1:7" x14ac:dyDescent="0.35">
      <c r="A11" s="1" t="s">
        <v>6</v>
      </c>
      <c r="B11" t="s">
        <v>219</v>
      </c>
      <c r="C11" s="12">
        <f>IF(Table2429[[#This Row],[Journal Description (Service Description)]]="","",1)</f>
        <v>1</v>
      </c>
      <c r="D11" s="24">
        <v>14</v>
      </c>
      <c r="E11" s="27" t="s">
        <v>50</v>
      </c>
      <c r="F11" s="27" t="s">
        <v>35</v>
      </c>
      <c r="G11" s="27" t="s">
        <v>93</v>
      </c>
    </row>
    <row r="12" spans="1:7" x14ac:dyDescent="0.35">
      <c r="A12" s="1" t="s">
        <v>6</v>
      </c>
      <c r="B12" t="s">
        <v>304</v>
      </c>
      <c r="C12" s="12">
        <f>IF(Table2429[[#This Row],[Journal Description (Service Description)]]="","",1)</f>
        <v>1</v>
      </c>
      <c r="D12" s="24">
        <v>40</v>
      </c>
      <c r="E12" s="27" t="s">
        <v>52</v>
      </c>
      <c r="F12" s="27" t="s">
        <v>34</v>
      </c>
      <c r="G12" s="27" t="s">
        <v>288</v>
      </c>
    </row>
    <row r="13" spans="1:7" x14ac:dyDescent="0.35">
      <c r="A13" s="1" t="s">
        <v>23</v>
      </c>
      <c r="B13" t="s">
        <v>244</v>
      </c>
      <c r="C13" s="12">
        <f>IF(Table2429[[#This Row],[Journal Description (Service Description)]]="","",1)</f>
        <v>1</v>
      </c>
      <c r="D13" s="24">
        <v>40</v>
      </c>
      <c r="E13" s="27" t="s">
        <v>64</v>
      </c>
      <c r="F13" s="27" t="s">
        <v>34</v>
      </c>
      <c r="G13" s="27" t="s">
        <v>289</v>
      </c>
    </row>
    <row r="14" spans="1:7" x14ac:dyDescent="0.35">
      <c r="A14" s="1" t="s">
        <v>23</v>
      </c>
      <c r="B14" t="s">
        <v>244</v>
      </c>
      <c r="C14" s="12">
        <f>IF(Table2429[[#This Row],[Journal Description (Service Description)]]="","",1)</f>
        <v>1</v>
      </c>
      <c r="D14" s="24">
        <v>14</v>
      </c>
      <c r="E14" s="27" t="s">
        <v>64</v>
      </c>
      <c r="F14" s="27" t="s">
        <v>35</v>
      </c>
      <c r="G14" s="27" t="s">
        <v>289</v>
      </c>
    </row>
    <row r="15" spans="1:7" x14ac:dyDescent="0.35">
      <c r="A15" s="1" t="s">
        <v>23</v>
      </c>
      <c r="B15" t="s">
        <v>244</v>
      </c>
      <c r="C15" s="12">
        <f>IF(Table2429[[#This Row],[Journal Description (Service Description)]]="","",1)</f>
        <v>1</v>
      </c>
      <c r="D15" s="24">
        <v>40</v>
      </c>
      <c r="E15" t="s">
        <v>64</v>
      </c>
      <c r="F15" s="27" t="s">
        <v>34</v>
      </c>
      <c r="G15" s="27" t="s">
        <v>140</v>
      </c>
    </row>
    <row r="16" spans="1:7" x14ac:dyDescent="0.35">
      <c r="A16" s="1" t="s">
        <v>6</v>
      </c>
      <c r="B16" t="s">
        <v>86</v>
      </c>
      <c r="C16" s="12">
        <f>IF(Table2429[[#This Row],[Journal Description (Service Description)]]="","",1)</f>
        <v>1</v>
      </c>
      <c r="D16" s="54">
        <v>40</v>
      </c>
      <c r="E16" s="27" t="s">
        <v>47</v>
      </c>
      <c r="F16" s="27" t="s">
        <v>34</v>
      </c>
      <c r="G16" s="27" t="s">
        <v>172</v>
      </c>
    </row>
    <row r="17" spans="1:7" x14ac:dyDescent="0.35">
      <c r="A17" s="1" t="s">
        <v>6</v>
      </c>
      <c r="B17" t="s">
        <v>86</v>
      </c>
      <c r="C17" s="12">
        <f>IF(Table2429[[#This Row],[Journal Description (Service Description)]]="","",1)</f>
        <v>1</v>
      </c>
      <c r="D17" s="54">
        <v>14</v>
      </c>
      <c r="E17" s="27" t="s">
        <v>47</v>
      </c>
      <c r="F17" s="27" t="s">
        <v>35</v>
      </c>
      <c r="G17" s="27" t="s">
        <v>172</v>
      </c>
    </row>
    <row r="18" spans="1:7" x14ac:dyDescent="0.35">
      <c r="A18" s="1" t="s">
        <v>6</v>
      </c>
      <c r="B18" t="s">
        <v>72</v>
      </c>
      <c r="C18" s="12">
        <f>IF(Table2429[[#This Row],[Journal Description (Service Description)]]="","",1)</f>
        <v>1</v>
      </c>
      <c r="D18" s="54">
        <v>40</v>
      </c>
      <c r="E18" s="27" t="s">
        <v>82</v>
      </c>
      <c r="F18" s="27" t="s">
        <v>34</v>
      </c>
      <c r="G18" s="27" t="s">
        <v>290</v>
      </c>
    </row>
    <row r="19" spans="1:7" x14ac:dyDescent="0.35">
      <c r="A19" s="1" t="s">
        <v>6</v>
      </c>
      <c r="B19">
        <f>IF(Table2429[[#This Row],[Branch Name]]="","",(_xlfn.XLOOKUP(Table2429[[#This Row],[Branch Name]],'Lookup Values'!G:G,'Lookup Values'!I:I,0)))</f>
        <v>0</v>
      </c>
      <c r="C19" s="12">
        <f>IF(Table2429[[#This Row],[Journal Description (Service Description)]]="","",1)</f>
        <v>1</v>
      </c>
      <c r="D19" s="54">
        <v>40</v>
      </c>
      <c r="E19" s="27" t="s">
        <v>50</v>
      </c>
      <c r="F19" s="27" t="s">
        <v>34</v>
      </c>
      <c r="G19" s="27" t="s">
        <v>291</v>
      </c>
    </row>
    <row r="20" spans="1:7" x14ac:dyDescent="0.35">
      <c r="A20" s="1" t="s">
        <v>23</v>
      </c>
      <c r="B20" t="str">
        <f>IF(Table2429[[#This Row],[Branch Name]]="","",(_xlfn.XLOOKUP(Table2429[[#This Row],[Branch Name]],'Lookup Values'!G:G,'Lookup Values'!I:I,0)))</f>
        <v>100012-200-7B213</v>
      </c>
      <c r="C20" s="12">
        <f>IF(Table2429[[#This Row],[Journal Description (Service Description)]]="","",1)</f>
        <v>1</v>
      </c>
      <c r="D20" s="54">
        <v>40</v>
      </c>
      <c r="E20" s="27" t="s">
        <v>64</v>
      </c>
      <c r="F20" s="27" t="s">
        <v>34</v>
      </c>
      <c r="G20" s="27" t="s">
        <v>138</v>
      </c>
    </row>
    <row r="21" spans="1:7" x14ac:dyDescent="0.35">
      <c r="A21" s="1" t="s">
        <v>23</v>
      </c>
      <c r="B21" t="str">
        <f>IF(Table2429[[#This Row],[Branch Name]]="","",(_xlfn.XLOOKUP(Table2429[[#This Row],[Branch Name]],'Lookup Values'!G:G,'Lookup Values'!I:I,0)))</f>
        <v>100012-200-7B213</v>
      </c>
      <c r="C21" s="12">
        <f>IF(Table2429[[#This Row],[Journal Description (Service Description)]]="","",1)</f>
        <v>1</v>
      </c>
      <c r="D21" s="54">
        <v>14</v>
      </c>
      <c r="E21" s="27" t="s">
        <v>64</v>
      </c>
      <c r="F21" s="27" t="s">
        <v>35</v>
      </c>
      <c r="G21" s="27" t="s">
        <v>138</v>
      </c>
    </row>
    <row r="22" spans="1:7" x14ac:dyDescent="0.35">
      <c r="A22" s="1" t="s">
        <v>6</v>
      </c>
      <c r="B22" t="str">
        <f>IF(Table2429[[#This Row],[Branch Name]]="","",(_xlfn.XLOOKUP(Table2429[[#This Row],[Branch Name]],'Lookup Values'!G:G,'Lookup Values'!I:I,0)))</f>
        <v>1-14501-7B213</v>
      </c>
      <c r="C22" s="12">
        <f>IF(Table2429[[#This Row],[Journal Description (Service Description)]]="","",1)</f>
        <v>1</v>
      </c>
      <c r="D22" s="54">
        <v>71.75</v>
      </c>
      <c r="E22" s="27" t="s">
        <v>47</v>
      </c>
      <c r="F22" s="27" t="s">
        <v>33</v>
      </c>
      <c r="G22" s="27" t="s">
        <v>292</v>
      </c>
    </row>
    <row r="23" spans="1:7" x14ac:dyDescent="0.35">
      <c r="A23" s="1" t="s">
        <v>6</v>
      </c>
      <c r="B23" t="s">
        <v>306</v>
      </c>
      <c r="C23" s="12">
        <f>IF(Table2429[[#This Row],[Journal Description (Service Description)]]="","",1)</f>
        <v>1</v>
      </c>
      <c r="D23" s="54">
        <v>71.75</v>
      </c>
      <c r="E23" s="27" t="s">
        <v>52</v>
      </c>
      <c r="F23" s="27" t="s">
        <v>33</v>
      </c>
      <c r="G23" s="27" t="s">
        <v>293</v>
      </c>
    </row>
    <row r="24" spans="1:7" x14ac:dyDescent="0.35">
      <c r="A24" s="1" t="s">
        <v>6</v>
      </c>
      <c r="B24" t="str">
        <f>IF(Table2429[[#This Row],[Branch Name]]="","",(_xlfn.XLOOKUP(Table2429[[#This Row],[Branch Name]],'Lookup Values'!G:G,'Lookup Values'!I:I,0)))</f>
        <v>1-14501-7B213</v>
      </c>
      <c r="C24" s="12">
        <f>IF(Table2429[[#This Row],[Journal Description (Service Description)]]="","",1)</f>
        <v>1</v>
      </c>
      <c r="D24" s="54">
        <v>71.75</v>
      </c>
      <c r="E24" s="27" t="s">
        <v>47</v>
      </c>
      <c r="F24" s="27" t="s">
        <v>33</v>
      </c>
      <c r="G24" s="27" t="s">
        <v>294</v>
      </c>
    </row>
    <row r="25" spans="1:7" x14ac:dyDescent="0.35">
      <c r="A25" s="1"/>
      <c r="B25" t="s">
        <v>164</v>
      </c>
      <c r="C25" s="27"/>
      <c r="D25" s="54">
        <v>71.75</v>
      </c>
      <c r="E25" s="27" t="s">
        <v>56</v>
      </c>
      <c r="F25" s="27" t="s">
        <v>33</v>
      </c>
      <c r="G25" s="27" t="s">
        <v>295</v>
      </c>
    </row>
    <row r="26" spans="1:7" x14ac:dyDescent="0.35">
      <c r="A26" s="1"/>
      <c r="B26" t="s">
        <v>305</v>
      </c>
      <c r="C26" s="27"/>
      <c r="D26" s="54">
        <v>71.75</v>
      </c>
      <c r="E26" s="27" t="s">
        <v>56</v>
      </c>
      <c r="F26" s="27" t="s">
        <v>33</v>
      </c>
      <c r="G26" s="27" t="s">
        <v>296</v>
      </c>
    </row>
    <row r="27" spans="1:7" x14ac:dyDescent="0.35">
      <c r="A27" s="56" t="s">
        <v>23</v>
      </c>
      <c r="B27" t="s">
        <v>206</v>
      </c>
      <c r="C27" s="12">
        <f>IF(Table2429[[#This Row],[Journal Description (Service Description)]]="","",1)</f>
        <v>1</v>
      </c>
      <c r="D27" s="54">
        <v>71.75</v>
      </c>
      <c r="E27" s="26" t="s">
        <v>63</v>
      </c>
      <c r="F27" s="26" t="s">
        <v>33</v>
      </c>
      <c r="G27" s="26" t="s">
        <v>297</v>
      </c>
    </row>
    <row r="28" spans="1:7" x14ac:dyDescent="0.35">
      <c r="A28" s="57" t="s">
        <v>23</v>
      </c>
      <c r="B28" s="53" t="s">
        <v>244</v>
      </c>
      <c r="C28" s="12">
        <f>IF(Table2429[[#This Row],[Journal Description (Service Description)]]="","",1)</f>
        <v>1</v>
      </c>
      <c r="D28" s="54">
        <v>71.75</v>
      </c>
      <c r="E28" s="26" t="s">
        <v>64</v>
      </c>
      <c r="F28" s="26" t="s">
        <v>33</v>
      </c>
      <c r="G28" s="26" t="s">
        <v>298</v>
      </c>
    </row>
    <row r="29" spans="1:7" x14ac:dyDescent="0.35">
      <c r="A29" s="57" t="s">
        <v>23</v>
      </c>
      <c r="B29" s="53" t="s">
        <v>211</v>
      </c>
      <c r="C29" s="12">
        <f>IF(Table2429[[#This Row],[Journal Description (Service Description)]]="","",1)</f>
        <v>1</v>
      </c>
      <c r="D29" s="55">
        <v>40</v>
      </c>
      <c r="E29" s="26" t="s">
        <v>62</v>
      </c>
      <c r="F29" s="26" t="s">
        <v>34</v>
      </c>
      <c r="G29" s="26" t="s">
        <v>299</v>
      </c>
    </row>
    <row r="30" spans="1:7" x14ac:dyDescent="0.35">
      <c r="A30" s="57" t="s">
        <v>6</v>
      </c>
      <c r="B30" s="53" t="s">
        <v>86</v>
      </c>
      <c r="C30" s="12">
        <f>IF(Table2429[[#This Row],[Journal Description (Service Description)]]="","",1)</f>
        <v>1</v>
      </c>
      <c r="D30" s="55">
        <v>14</v>
      </c>
      <c r="E30" s="26" t="s">
        <v>47</v>
      </c>
      <c r="F30" s="26" t="s">
        <v>35</v>
      </c>
      <c r="G30" s="26" t="s">
        <v>294</v>
      </c>
    </row>
    <row r="31" spans="1:7" x14ac:dyDescent="0.35">
      <c r="A31" s="56"/>
      <c r="B31" t="s">
        <v>164</v>
      </c>
      <c r="C31" s="27"/>
      <c r="D31" s="55">
        <v>14</v>
      </c>
      <c r="E31" s="26" t="s">
        <v>56</v>
      </c>
      <c r="F31" s="26" t="s">
        <v>35</v>
      </c>
      <c r="G31" s="26" t="s">
        <v>295</v>
      </c>
    </row>
    <row r="32" spans="1:7" x14ac:dyDescent="0.35">
      <c r="A32" s="56" t="s">
        <v>6</v>
      </c>
      <c r="B32" t="s">
        <v>306</v>
      </c>
      <c r="C32" s="12">
        <f>IF(Table2429[[#This Row],[Journal Description (Service Description)]]="","",1)</f>
        <v>1</v>
      </c>
      <c r="D32" s="55">
        <v>40</v>
      </c>
      <c r="E32" s="26" t="s">
        <v>52</v>
      </c>
      <c r="F32" s="26" t="s">
        <v>34</v>
      </c>
      <c r="G32" s="26" t="s">
        <v>300</v>
      </c>
    </row>
    <row r="33" spans="1:7" x14ac:dyDescent="0.35">
      <c r="A33" s="56" t="s">
        <v>6</v>
      </c>
      <c r="B33" t="s">
        <v>306</v>
      </c>
      <c r="C33" s="12">
        <f>IF(Table2429[[#This Row],[Journal Description (Service Description)]]="","",1)</f>
        <v>1</v>
      </c>
      <c r="D33" s="55">
        <v>14</v>
      </c>
      <c r="E33" s="26" t="s">
        <v>52</v>
      </c>
      <c r="F33" s="26" t="s">
        <v>35</v>
      </c>
      <c r="G33" s="26" t="s">
        <v>300</v>
      </c>
    </row>
    <row r="34" spans="1:7" x14ac:dyDescent="0.35">
      <c r="A34" s="57" t="s">
        <v>6</v>
      </c>
      <c r="B34" s="53" t="s">
        <v>72</v>
      </c>
      <c r="C34" s="12">
        <f>IF(Table2429[[#This Row],[Journal Description (Service Description)]]="","",1)</f>
        <v>1</v>
      </c>
      <c r="D34" s="55">
        <v>40</v>
      </c>
      <c r="E34" s="26" t="s">
        <v>82</v>
      </c>
      <c r="F34" s="26" t="s">
        <v>34</v>
      </c>
      <c r="G34" s="26" t="s">
        <v>301</v>
      </c>
    </row>
    <row r="35" spans="1:7" x14ac:dyDescent="0.35">
      <c r="A35" s="57" t="s">
        <v>6</v>
      </c>
      <c r="B35" s="53" t="s">
        <v>72</v>
      </c>
      <c r="C35" s="12">
        <f>IF(Table2429[[#This Row],[Journal Description (Service Description)]]="","",1)</f>
        <v>1</v>
      </c>
      <c r="D35" s="55">
        <v>14</v>
      </c>
      <c r="E35" s="26" t="s">
        <v>82</v>
      </c>
      <c r="F35" s="26" t="s">
        <v>35</v>
      </c>
      <c r="G35" s="26" t="s">
        <v>301</v>
      </c>
    </row>
    <row r="36" spans="1:7" x14ac:dyDescent="0.35">
      <c r="A36" s="57" t="s">
        <v>6</v>
      </c>
      <c r="B36" s="53" t="s">
        <v>86</v>
      </c>
      <c r="C36" s="12">
        <f>IF(Table2429[[#This Row],[Journal Description (Service Description)]]="","",1)</f>
        <v>1</v>
      </c>
      <c r="D36" s="55">
        <v>40</v>
      </c>
      <c r="E36" s="26" t="s">
        <v>47</v>
      </c>
      <c r="F36" s="26" t="s">
        <v>34</v>
      </c>
      <c r="G36" s="26" t="s">
        <v>302</v>
      </c>
    </row>
    <row r="37" spans="1:7" x14ac:dyDescent="0.35">
      <c r="A37" s="57" t="s">
        <v>6</v>
      </c>
      <c r="B37" s="53" t="s">
        <v>86</v>
      </c>
      <c r="C37" s="12">
        <f>IF(Table2429[[#This Row],[Journal Description (Service Description)]]="","",1)</f>
        <v>1</v>
      </c>
      <c r="D37" s="55">
        <v>14</v>
      </c>
      <c r="E37" s="26" t="s">
        <v>47</v>
      </c>
      <c r="F37" s="26" t="s">
        <v>35</v>
      </c>
      <c r="G37" s="26" t="s">
        <v>302</v>
      </c>
    </row>
    <row r="38" spans="1:7" x14ac:dyDescent="0.35">
      <c r="A38" s="57" t="s">
        <v>6</v>
      </c>
      <c r="B38" s="53" t="s">
        <v>86</v>
      </c>
      <c r="C38" s="12">
        <f>IF(Table2429[[#This Row],[Journal Description (Service Description)]]="","",1)</f>
        <v>1</v>
      </c>
      <c r="D38" s="55">
        <v>25</v>
      </c>
      <c r="E38" s="26" t="s">
        <v>47</v>
      </c>
      <c r="F38" s="26" t="s">
        <v>36</v>
      </c>
      <c r="G38" s="26" t="s">
        <v>302</v>
      </c>
    </row>
    <row r="39" spans="1:7" x14ac:dyDescent="0.35">
      <c r="A39" s="57" t="s">
        <v>23</v>
      </c>
      <c r="B39" t="s">
        <v>206</v>
      </c>
      <c r="C39" s="12">
        <f>IF(Table2429[[#This Row],[Journal Description (Service Description)]]="","",1)</f>
        <v>1</v>
      </c>
      <c r="D39" s="55">
        <v>25</v>
      </c>
      <c r="E39" s="26" t="s">
        <v>63</v>
      </c>
      <c r="F39" s="26" t="s">
        <v>36</v>
      </c>
      <c r="G39" s="26" t="s">
        <v>297</v>
      </c>
    </row>
    <row r="40" spans="1:7" x14ac:dyDescent="0.35">
      <c r="A40" s="56" t="s">
        <v>23</v>
      </c>
      <c r="B40" s="53" t="s">
        <v>244</v>
      </c>
      <c r="C40" s="12">
        <f>IF(Table2429[[#This Row],[Journal Description (Service Description)]]="","",1)</f>
        <v>1</v>
      </c>
      <c r="D40" s="55">
        <v>25</v>
      </c>
      <c r="E40" s="26" t="s">
        <v>64</v>
      </c>
      <c r="F40" s="26" t="s">
        <v>36</v>
      </c>
      <c r="G40" s="26" t="s">
        <v>303</v>
      </c>
    </row>
    <row r="41" spans="1:7" x14ac:dyDescent="0.35">
      <c r="A41" s="1" t="s">
        <v>6</v>
      </c>
      <c r="B41">
        <f>IF(Table2429[[#This Row],[Branch Name]]="","",(_xlfn.XLOOKUP(Table2429[[#This Row],[Branch Name]],'Lookup Values'!G:G,'Lookup Values'!I:I,0)))</f>
        <v>0</v>
      </c>
      <c r="C41" s="12">
        <f>IF(Table2429[[#This Row],[Journal Description (Service Description)]]="","",1)</f>
        <v>1</v>
      </c>
      <c r="D41" s="28">
        <v>54</v>
      </c>
      <c r="E41" s="27" t="s">
        <v>50</v>
      </c>
      <c r="F41" s="27" t="s">
        <v>20</v>
      </c>
      <c r="G41" s="27" t="s">
        <v>307</v>
      </c>
    </row>
    <row r="42" spans="1:7" x14ac:dyDescent="0.35">
      <c r="A42" s="1" t="s">
        <v>6</v>
      </c>
      <c r="B42">
        <f>IF(Table2429[[#This Row],[Branch Name]]="","",(_xlfn.XLOOKUP(Table2429[[#This Row],[Branch Name]],'Lookup Values'!G:G,'Lookup Values'!I:I,0)))</f>
        <v>0</v>
      </c>
      <c r="C42" s="12">
        <f>IF(Table2429[[#This Row],[Journal Description (Service Description)]]="","",1)</f>
        <v>1</v>
      </c>
      <c r="D42" s="28">
        <v>39</v>
      </c>
      <c r="E42" s="27" t="s">
        <v>50</v>
      </c>
      <c r="F42" s="27" t="s">
        <v>68</v>
      </c>
      <c r="G42" s="27" t="s">
        <v>308</v>
      </c>
    </row>
    <row r="43" spans="1:7" x14ac:dyDescent="0.35">
      <c r="A43" s="1" t="s">
        <v>6</v>
      </c>
      <c r="B43">
        <f>IF(Table2429[[#This Row],[Branch Name]]="","",(_xlfn.XLOOKUP(Table2429[[#This Row],[Branch Name]],'Lookup Values'!G:G,'Lookup Values'!I:I,0)))</f>
        <v>0</v>
      </c>
      <c r="C43" s="12">
        <f>IF(Table2429[[#This Row],[Journal Description (Service Description)]]="","",1)</f>
        <v>1</v>
      </c>
      <c r="D43" s="28">
        <v>166.1</v>
      </c>
      <c r="E43" s="27" t="s">
        <v>50</v>
      </c>
      <c r="F43" s="27" t="s">
        <v>91</v>
      </c>
      <c r="G43" s="27" t="s">
        <v>309</v>
      </c>
    </row>
    <row r="44" spans="1:7" x14ac:dyDescent="0.35">
      <c r="A44" s="1" t="s">
        <v>6</v>
      </c>
      <c r="B44">
        <f>IF(Table2429[[#This Row],[Branch Name]]="","",(_xlfn.XLOOKUP(Table2429[[#This Row],[Branch Name]],'Lookup Values'!G:G,'Lookup Values'!I:I,0)))</f>
        <v>0</v>
      </c>
      <c r="C44" s="12">
        <f>IF(Table2429[[#This Row],[Journal Description (Service Description)]]="","",1)</f>
        <v>1</v>
      </c>
      <c r="D44" s="28">
        <v>132</v>
      </c>
      <c r="E44" s="27" t="s">
        <v>50</v>
      </c>
      <c r="F44" s="27" t="s">
        <v>90</v>
      </c>
      <c r="G44" s="27" t="s">
        <v>309</v>
      </c>
    </row>
    <row r="45" spans="1:7" x14ac:dyDescent="0.35">
      <c r="A45" s="1" t="s">
        <v>6</v>
      </c>
      <c r="B45" s="27" t="s">
        <v>320</v>
      </c>
      <c r="C45" s="12">
        <f>IF(Table2429[[#This Row],[Journal Description (Service Description)]]="","",1)</f>
        <v>1</v>
      </c>
      <c r="D45" s="28">
        <v>79</v>
      </c>
      <c r="E45" s="27" t="s">
        <v>52</v>
      </c>
      <c r="F45" s="27" t="s">
        <v>69</v>
      </c>
      <c r="G45" s="27" t="s">
        <v>310</v>
      </c>
    </row>
    <row r="46" spans="1:7" x14ac:dyDescent="0.35">
      <c r="A46" s="1" t="s">
        <v>6</v>
      </c>
      <c r="B46" t="str">
        <f>IF(Table2429[[#This Row],[Branch Name]]="","",(_xlfn.XLOOKUP(Table2429[[#This Row],[Branch Name]],'Lookup Values'!G:G,'Lookup Values'!I:I,0)))</f>
        <v>1-13051-7B213</v>
      </c>
      <c r="C46" s="12">
        <f>IF(Table2429[[#This Row],[Journal Description (Service Description)]]="","",1)</f>
        <v>1</v>
      </c>
      <c r="D46" s="28">
        <v>79</v>
      </c>
      <c r="E46" s="27" t="s">
        <v>44</v>
      </c>
      <c r="F46" s="27" t="s">
        <v>69</v>
      </c>
      <c r="G46" s="27" t="s">
        <v>311</v>
      </c>
    </row>
    <row r="47" spans="1:7" x14ac:dyDescent="0.35">
      <c r="A47" s="1" t="s">
        <v>6</v>
      </c>
      <c r="B47" t="str">
        <f>IF(Table2429[[#This Row],[Branch Name]]="","",(_xlfn.XLOOKUP(Table2429[[#This Row],[Branch Name]],'Lookup Values'!G:G,'Lookup Values'!I:I,0)))</f>
        <v>1-13051-7B213</v>
      </c>
      <c r="C47" s="12">
        <f>IF(Table2429[[#This Row],[Journal Description (Service Description)]]="","",1)</f>
        <v>1</v>
      </c>
      <c r="D47" s="28">
        <v>79</v>
      </c>
      <c r="E47" s="27" t="s">
        <v>44</v>
      </c>
      <c r="F47" s="27" t="s">
        <v>69</v>
      </c>
      <c r="G47" s="27" t="s">
        <v>312</v>
      </c>
    </row>
    <row r="48" spans="1:7" x14ac:dyDescent="0.35">
      <c r="B48" t="s">
        <v>163</v>
      </c>
      <c r="C48" s="27"/>
      <c r="D48" s="28">
        <v>54</v>
      </c>
      <c r="E48" s="27" t="s">
        <v>56</v>
      </c>
      <c r="F48" s="27" t="s">
        <v>20</v>
      </c>
      <c r="G48" s="27" t="s">
        <v>118</v>
      </c>
    </row>
    <row r="49" spans="1:7" x14ac:dyDescent="0.35">
      <c r="B49" t="s">
        <v>321</v>
      </c>
      <c r="C49" s="27"/>
      <c r="D49" s="28">
        <v>54</v>
      </c>
      <c r="E49" s="27" t="s">
        <v>56</v>
      </c>
      <c r="F49" s="27" t="s">
        <v>20</v>
      </c>
      <c r="G49" s="27" t="s">
        <v>313</v>
      </c>
    </row>
    <row r="50" spans="1:7" x14ac:dyDescent="0.35">
      <c r="B50" t="s">
        <v>322</v>
      </c>
      <c r="C50" s="27"/>
      <c r="D50" s="28">
        <v>54</v>
      </c>
      <c r="E50" s="27" t="s">
        <v>56</v>
      </c>
      <c r="F50" s="27" t="s">
        <v>20</v>
      </c>
      <c r="G50" s="27" t="s">
        <v>125</v>
      </c>
    </row>
    <row r="51" spans="1:7" x14ac:dyDescent="0.35">
      <c r="B51" t="s">
        <v>323</v>
      </c>
      <c r="C51" s="27"/>
      <c r="D51" s="28">
        <v>54</v>
      </c>
      <c r="E51" s="27" t="s">
        <v>56</v>
      </c>
      <c r="F51" s="27" t="s">
        <v>20</v>
      </c>
      <c r="G51" s="27" t="s">
        <v>314</v>
      </c>
    </row>
    <row r="52" spans="1:7" x14ac:dyDescent="0.35">
      <c r="A52" s="1" t="s">
        <v>6</v>
      </c>
      <c r="B52" t="str">
        <f>IF(Table2429[[#This Row],[Branch Name]]="","",(_xlfn.XLOOKUP(Table2429[[#This Row],[Branch Name]],'Lookup Values'!G:G,'Lookup Values'!I:I,0)))</f>
        <v>1-14501-7B213</v>
      </c>
      <c r="C52" s="12">
        <f>IF(Table2429[[#This Row],[Journal Description (Service Description)]]="","",1)</f>
        <v>1</v>
      </c>
      <c r="D52" s="28">
        <v>25</v>
      </c>
      <c r="E52" s="27" t="s">
        <v>47</v>
      </c>
      <c r="F52" s="27" t="s">
        <v>36</v>
      </c>
      <c r="G52" s="27" t="s">
        <v>236</v>
      </c>
    </row>
    <row r="53" spans="1:7" x14ac:dyDescent="0.35">
      <c r="A53" s="1" t="s">
        <v>6</v>
      </c>
      <c r="B53" t="str">
        <f>IF(Table2429[[#This Row],[Branch Name]]="","",(_xlfn.XLOOKUP(Table2429[[#This Row],[Branch Name]],'Lookup Values'!G:G,'Lookup Values'!I:I,0)))</f>
        <v>1-14501-7B213</v>
      </c>
      <c r="C53" s="12">
        <f>IF(Table2429[[#This Row],[Journal Description (Service Description)]]="","",1)</f>
        <v>1</v>
      </c>
      <c r="D53" s="28">
        <v>79</v>
      </c>
      <c r="E53" s="27" t="s">
        <v>47</v>
      </c>
      <c r="F53" s="27" t="s">
        <v>69</v>
      </c>
      <c r="G53" s="27" t="s">
        <v>315</v>
      </c>
    </row>
    <row r="54" spans="1:7" x14ac:dyDescent="0.35">
      <c r="A54" s="1" t="s">
        <v>6</v>
      </c>
      <c r="B54" t="str">
        <f>IF(Table2429[[#This Row],[Branch Name]]="","",(_xlfn.XLOOKUP(Table2429[[#This Row],[Branch Name]],'Lookup Values'!G:G,'Lookup Values'!I:I,0)))</f>
        <v>1-14501-7B213</v>
      </c>
      <c r="C54" s="12">
        <f>IF(Table2429[[#This Row],[Journal Description (Service Description)]]="","",1)</f>
        <v>1</v>
      </c>
      <c r="D54" s="28">
        <v>14</v>
      </c>
      <c r="E54" s="27" t="s">
        <v>47</v>
      </c>
      <c r="F54" s="27" t="s">
        <v>35</v>
      </c>
      <c r="G54" s="27" t="s">
        <v>316</v>
      </c>
    </row>
    <row r="55" spans="1:7" x14ac:dyDescent="0.35">
      <c r="A55" s="1" t="s">
        <v>6</v>
      </c>
      <c r="B55" t="str">
        <f>IF(Table2429[[#This Row],[Branch Name]]="","",(_xlfn.XLOOKUP(Table2429[[#This Row],[Branch Name]],'Lookup Values'!G:G,'Lookup Values'!I:I,0)))</f>
        <v>1-14501-7B213</v>
      </c>
      <c r="C55" s="12">
        <f>IF(Table2429[[#This Row],[Journal Description (Service Description)]]="","",1)</f>
        <v>1</v>
      </c>
      <c r="D55" s="28">
        <v>40</v>
      </c>
      <c r="E55" s="27" t="s">
        <v>47</v>
      </c>
      <c r="F55" s="27" t="s">
        <v>34</v>
      </c>
      <c r="G55" s="27" t="s">
        <v>317</v>
      </c>
    </row>
    <row r="56" spans="1:7" x14ac:dyDescent="0.35">
      <c r="A56" s="1" t="s">
        <v>23</v>
      </c>
      <c r="B56" t="str">
        <f>IF(Table2429[[#This Row],[Branch Name]]="","",(_xlfn.XLOOKUP(Table2429[[#This Row],[Branch Name]],'Lookup Values'!G:G,'Lookup Values'!I:I,0)))</f>
        <v>100012-200-7B213</v>
      </c>
      <c r="C56" s="12">
        <f>IF(Table2429[[#This Row],[Journal Description (Service Description)]]="","",1)</f>
        <v>1</v>
      </c>
      <c r="D56" s="28">
        <v>40</v>
      </c>
      <c r="E56" s="27" t="s">
        <v>64</v>
      </c>
      <c r="F56" s="27" t="s">
        <v>34</v>
      </c>
      <c r="G56" s="27" t="s">
        <v>318</v>
      </c>
    </row>
    <row r="57" spans="1:7" x14ac:dyDescent="0.35">
      <c r="A57" s="1" t="s">
        <v>23</v>
      </c>
      <c r="B57" t="str">
        <f>IF(Table2429[[#This Row],[Branch Name]]="","",(_xlfn.XLOOKUP(Table2429[[#This Row],[Branch Name]],'Lookup Values'!G:G,'Lookup Values'!I:I,0)))</f>
        <v>100012-200-7B213</v>
      </c>
      <c r="C57" s="12">
        <f>IF(Table2429[[#This Row],[Journal Description (Service Description)]]="","",1)</f>
        <v>1</v>
      </c>
      <c r="D57" s="28">
        <v>14</v>
      </c>
      <c r="E57" s="27" t="s">
        <v>64</v>
      </c>
      <c r="F57" s="27" t="s">
        <v>35</v>
      </c>
      <c r="G57" s="27" t="s">
        <v>319</v>
      </c>
    </row>
    <row r="58" spans="1:7" x14ac:dyDescent="0.35">
      <c r="B58" t="str">
        <f>IF(Table2429[[#This Row],[Branch Name]]="","",(_xlfn.XLOOKUP(Table2429[[#This Row],[Branch Name]],'Lookup Values'!G:G,'Lookup Values'!I:I,0)))</f>
        <v/>
      </c>
      <c r="C58" s="27"/>
      <c r="D58" s="28"/>
      <c r="E58" s="27"/>
      <c r="F58" s="27"/>
      <c r="G58" s="27"/>
    </row>
    <row r="59" spans="1:7" x14ac:dyDescent="0.35">
      <c r="B59" t="str">
        <f>IF(Table2429[[#This Row],[Branch Name]]="","",(_xlfn.XLOOKUP(Table2429[[#This Row],[Branch Name]],'Lookup Values'!G:G,'Lookup Values'!I:I,0)))</f>
        <v/>
      </c>
      <c r="C59" s="27"/>
      <c r="D59" s="28"/>
      <c r="E59" s="27"/>
      <c r="F59" s="27"/>
      <c r="G59" s="27"/>
    </row>
    <row r="60" spans="1:7" x14ac:dyDescent="0.35">
      <c r="B60" t="str">
        <f>IF(Table2429[[#This Row],[Branch Name]]="","",(_xlfn.XLOOKUP(Table2429[[#This Row],[Branch Name]],'Lookup Values'!G:G,'Lookup Values'!I:I,0)))</f>
        <v/>
      </c>
      <c r="C60" s="27"/>
      <c r="D60" s="28"/>
      <c r="E60" s="27"/>
      <c r="F60" s="27"/>
      <c r="G60" s="27"/>
    </row>
    <row r="61" spans="1:7" x14ac:dyDescent="0.35">
      <c r="B61" t="str">
        <f>IF(Table2429[[#This Row],[Branch Name]]="","",(_xlfn.XLOOKUP(Table2429[[#This Row],[Branch Name]],'Lookup Values'!G:G,'Lookup Values'!I:I,0)))</f>
        <v/>
      </c>
      <c r="C61" s="27"/>
      <c r="D61" s="28"/>
      <c r="E61" s="27"/>
      <c r="F61" s="27"/>
      <c r="G61" s="27"/>
    </row>
    <row r="62" spans="1:7" x14ac:dyDescent="0.35">
      <c r="B62" t="str">
        <f>IF(Table2429[[#This Row],[Branch Name]]="","",(_xlfn.XLOOKUP(Table2429[[#This Row],[Branch Name]],'Lookup Values'!G:G,'Lookup Values'!I:I,0)))</f>
        <v/>
      </c>
      <c r="C62" s="27"/>
      <c r="D62" s="28"/>
      <c r="E62" s="27"/>
      <c r="F62" s="27"/>
      <c r="G62" s="27"/>
    </row>
    <row r="63" spans="1:7" x14ac:dyDescent="0.35">
      <c r="B63" t="str">
        <f>IF(Table2429[[#This Row],[Branch Name]]="","",(_xlfn.XLOOKUP(Table2429[[#This Row],[Branch Name]],'Lookup Values'!G:G,'Lookup Values'!I:I,0)))</f>
        <v/>
      </c>
      <c r="C63" s="27"/>
      <c r="D63" s="28"/>
      <c r="E63" s="27"/>
      <c r="F63" s="27"/>
      <c r="G63" s="27"/>
    </row>
    <row r="64" spans="1:7" x14ac:dyDescent="0.35">
      <c r="B64" t="str">
        <f>IF(Table2429[[#This Row],[Branch Name]]="","",(_xlfn.XLOOKUP(Table2429[[#This Row],[Branch Name]],'Lookup Values'!G:G,'Lookup Values'!I:I,0)))</f>
        <v/>
      </c>
      <c r="C64" s="27"/>
      <c r="D64" s="28"/>
      <c r="E64" s="27"/>
      <c r="F64" s="27"/>
      <c r="G64" s="27"/>
    </row>
    <row r="65" spans="1:7" x14ac:dyDescent="0.35">
      <c r="B65" t="str">
        <f>IF(Table2429[[#This Row],[Branch Name]]="","",(_xlfn.XLOOKUP(Table2429[[#This Row],[Branch Name]],'Lookup Values'!G:G,'Lookup Values'!I:I,0)))</f>
        <v/>
      </c>
      <c r="C65" s="27"/>
      <c r="D65" s="28"/>
      <c r="E65" s="27"/>
      <c r="F65" s="27"/>
      <c r="G65" s="27"/>
    </row>
    <row r="66" spans="1:7" x14ac:dyDescent="0.35">
      <c r="B66" t="str">
        <f>IF(Table2429[[#This Row],[Branch Name]]="","",(_xlfn.XLOOKUP(Table2429[[#This Row],[Branch Name]],'Lookup Values'!G:G,'Lookup Values'!I:I,0)))</f>
        <v/>
      </c>
      <c r="C66" s="27"/>
      <c r="D66" s="28"/>
      <c r="E66" s="27"/>
      <c r="F66" s="27"/>
      <c r="G66" s="27"/>
    </row>
    <row r="67" spans="1:7" x14ac:dyDescent="0.35">
      <c r="B67" t="str">
        <f>IF(Table2429[[#This Row],[Branch Name]]="","",(_xlfn.XLOOKUP(Table2429[[#This Row],[Branch Name]],'Lookup Values'!G:G,'Lookup Values'!I:I,0)))</f>
        <v/>
      </c>
      <c r="C67" s="27"/>
      <c r="D67" s="28"/>
      <c r="E67" s="27"/>
      <c r="F67" s="27"/>
      <c r="G67" s="27"/>
    </row>
    <row r="68" spans="1:7" x14ac:dyDescent="0.35">
      <c r="B68" t="str">
        <f>IF(Table2429[[#This Row],[Branch Name]]="","",(_xlfn.XLOOKUP(Table2429[[#This Row],[Branch Name]],'Lookup Values'!G:G,'Lookup Values'!I:I,0)))</f>
        <v/>
      </c>
      <c r="C68" s="27"/>
      <c r="D68" s="28"/>
      <c r="E68" s="27"/>
      <c r="F68" s="27"/>
      <c r="G68" s="27"/>
    </row>
    <row r="69" spans="1:7" x14ac:dyDescent="0.35">
      <c r="B69" t="str">
        <f>IF(Table2429[[#This Row],[Branch Name]]="","",(_xlfn.XLOOKUP(Table2429[[#This Row],[Branch Name]],'Lookup Values'!G:G,'Lookup Values'!I:I,0)))</f>
        <v/>
      </c>
      <c r="C69" s="27"/>
      <c r="D69" s="28"/>
      <c r="E69" s="27"/>
      <c r="F69" s="27"/>
      <c r="G69" s="27"/>
    </row>
    <row r="70" spans="1:7" x14ac:dyDescent="0.35">
      <c r="B70" t="str">
        <f>IF(Table2429[[#This Row],[Branch Name]]="","",(_xlfn.XLOOKUP(Table2429[[#This Row],[Branch Name]],'Lookup Values'!G:G,'Lookup Values'!I:I,0)))</f>
        <v/>
      </c>
      <c r="C70" s="27"/>
      <c r="D70" s="28"/>
      <c r="E70" s="27"/>
      <c r="F70" s="27"/>
      <c r="G70" s="27"/>
    </row>
    <row r="71" spans="1:7" s="27" customFormat="1" x14ac:dyDescent="0.35">
      <c r="A71"/>
      <c r="B71" t="str">
        <f>IF(Table2429[[#This Row],[Branch Name]]="","",(_xlfn.XLOOKUP(Table2429[[#This Row],[Branch Name]],'Lookup Values'!G:G,'Lookup Values'!I:I,0)))</f>
        <v/>
      </c>
      <c r="D71" s="28"/>
    </row>
    <row r="72" spans="1:7" s="27" customFormat="1" x14ac:dyDescent="0.35">
      <c r="A72"/>
      <c r="B72" t="str">
        <f>IF(Table2429[[#This Row],[Branch Name]]="","",(_xlfn.XLOOKUP(Table2429[[#This Row],[Branch Name]],'Lookup Values'!G:G,'Lookup Values'!I:I,0)))</f>
        <v/>
      </c>
      <c r="D72" s="28"/>
    </row>
    <row r="73" spans="1:7" x14ac:dyDescent="0.35">
      <c r="B73" t="str">
        <f>IF(Table2429[[#This Row],[Branch Name]]="","",(_xlfn.XLOOKUP(Table2429[[#This Row],[Branch Name]],'Lookup Values'!G:G,'Lookup Values'!I:I,0)))</f>
        <v/>
      </c>
      <c r="C73" s="27"/>
      <c r="D73" s="28"/>
      <c r="E73" s="27"/>
      <c r="F73" s="27"/>
      <c r="G73" s="27"/>
    </row>
    <row r="74" spans="1:7" x14ac:dyDescent="0.35">
      <c r="B74" t="str">
        <f>IF(Table2429[[#This Row],[Branch Name]]="","",(_xlfn.XLOOKUP(Table2429[[#This Row],[Branch Name]],'Lookup Values'!G:G,'Lookup Values'!I:I,0)))</f>
        <v/>
      </c>
      <c r="C74" s="27"/>
      <c r="D74" s="28"/>
      <c r="E74" s="27"/>
      <c r="F74" s="27"/>
      <c r="G74" s="27"/>
    </row>
    <row r="75" spans="1:7" x14ac:dyDescent="0.35">
      <c r="B75" t="str">
        <f>IF(Table2429[[#This Row],[Branch Name]]="","",(_xlfn.XLOOKUP(Table2429[[#This Row],[Branch Name]],'Lookup Values'!G:G,'Lookup Values'!I:I,0)))</f>
        <v/>
      </c>
      <c r="C75" s="27"/>
      <c r="D75" s="28"/>
      <c r="E75" s="27"/>
      <c r="F75" s="27"/>
      <c r="G75" s="27"/>
    </row>
    <row r="76" spans="1:7" x14ac:dyDescent="0.35">
      <c r="B76" t="str">
        <f>IF(Table2429[[#This Row],[Branch Name]]="","",(_xlfn.XLOOKUP(Table2429[[#This Row],[Branch Name]],'Lookup Values'!G:G,'Lookup Values'!I:I,0)))</f>
        <v/>
      </c>
      <c r="C76" s="27"/>
      <c r="D76" s="28"/>
      <c r="E76" s="27"/>
      <c r="F76" s="27"/>
      <c r="G76" s="27"/>
    </row>
    <row r="77" spans="1:7" x14ac:dyDescent="0.35">
      <c r="B77" t="str">
        <f>IF(Table2429[[#This Row],[Branch Name]]="","",(_xlfn.XLOOKUP(Table2429[[#This Row],[Branch Name]],'Lookup Values'!G:G,'Lookup Values'!I:I,0)))</f>
        <v/>
      </c>
      <c r="C77" s="27"/>
      <c r="D77" s="28"/>
      <c r="E77" s="27"/>
      <c r="F77" s="27"/>
      <c r="G77" s="27"/>
    </row>
    <row r="78" spans="1:7" x14ac:dyDescent="0.35">
      <c r="B78" t="str">
        <f>IF(Table2429[[#This Row],[Branch Name]]="","",(_xlfn.XLOOKUP(Table2429[[#This Row],[Branch Name]],'Lookup Values'!G:G,'Lookup Values'!I:I,0)))</f>
        <v/>
      </c>
      <c r="C78" s="27"/>
      <c r="D78" s="28"/>
      <c r="E78" s="27"/>
      <c r="F78" s="27"/>
      <c r="G78" s="27"/>
    </row>
    <row r="79" spans="1:7" x14ac:dyDescent="0.35">
      <c r="B79" t="str">
        <f>IF(Table2429[[#This Row],[Branch Name]]="","",(_xlfn.XLOOKUP(Table2429[[#This Row],[Branch Name]],'Lookup Values'!G:G,'Lookup Values'!I:I,0)))</f>
        <v/>
      </c>
      <c r="C79" s="27"/>
      <c r="D79" s="28"/>
      <c r="E79" s="27"/>
      <c r="F79" s="27"/>
      <c r="G79" s="27"/>
    </row>
    <row r="80" spans="1:7" x14ac:dyDescent="0.35">
      <c r="A80" s="27"/>
      <c r="B80" t="str">
        <f>IF(Table2429[[#This Row],[Branch Name]]="","",(_xlfn.XLOOKUP(Table2429[[#This Row],[Branch Name]],'Lookup Values'!G:G,'Lookup Values'!I:I,0)))</f>
        <v/>
      </c>
      <c r="C80" s="27"/>
      <c r="D80" s="28"/>
      <c r="E80" s="27"/>
      <c r="F80" s="27"/>
      <c r="G80" s="27"/>
    </row>
    <row r="81" spans="1:7" x14ac:dyDescent="0.35">
      <c r="A81" s="27"/>
      <c r="B81" t="str">
        <f>IF(Table2429[[#This Row],[Branch Name]]="","",(_xlfn.XLOOKUP(Table2429[[#This Row],[Branch Name]],'Lookup Values'!G:G,'Lookup Values'!I:I,0)))</f>
        <v/>
      </c>
      <c r="C81" s="27"/>
      <c r="D81" s="28"/>
      <c r="E81" s="27"/>
      <c r="F81" s="27"/>
      <c r="G81" s="27"/>
    </row>
    <row r="82" spans="1:7" x14ac:dyDescent="0.35">
      <c r="A82" s="27"/>
      <c r="B82" t="str">
        <f>IF(Table2429[[#This Row],[Branch Name]]="","",(_xlfn.XLOOKUP(Table2429[[#This Row],[Branch Name]],'Lookup Values'!G:G,'Lookup Values'!I:I,0)))</f>
        <v/>
      </c>
      <c r="C82" s="27"/>
      <c r="D82" s="28"/>
      <c r="E82" s="27"/>
      <c r="F82" s="27"/>
      <c r="G82" s="27"/>
    </row>
    <row r="83" spans="1:7" x14ac:dyDescent="0.35">
      <c r="A83" s="27"/>
      <c r="B83" t="str">
        <f>IF(Table2429[[#This Row],[Branch Name]]="","",(_xlfn.XLOOKUP(Table2429[[#This Row],[Branch Name]],'Lookup Values'!G:G,'Lookup Values'!I:I,0)))</f>
        <v/>
      </c>
      <c r="C83" s="27"/>
      <c r="D83" s="28"/>
      <c r="E83" s="27"/>
      <c r="F83" s="27"/>
      <c r="G83" s="27"/>
    </row>
    <row r="84" spans="1:7" x14ac:dyDescent="0.35">
      <c r="A84" s="27"/>
      <c r="B84" t="str">
        <f>IF(Table2429[[#This Row],[Branch Name]]="","",(_xlfn.XLOOKUP(Table2429[[#This Row],[Branch Name]],'Lookup Values'!G:G,'Lookup Values'!I:I,0)))</f>
        <v/>
      </c>
      <c r="C84" s="27"/>
      <c r="D84" s="28"/>
      <c r="E84" s="27"/>
      <c r="F84" s="27"/>
      <c r="G84" s="27"/>
    </row>
    <row r="85" spans="1:7" x14ac:dyDescent="0.35">
      <c r="A85" s="27"/>
      <c r="B85" t="str">
        <f>IF(Table2429[[#This Row],[Branch Name]]="","",(_xlfn.XLOOKUP(Table2429[[#This Row],[Branch Name]],'Lookup Values'!G:G,'Lookup Values'!I:I,0)))</f>
        <v/>
      </c>
      <c r="C85" s="27"/>
      <c r="D85" s="28"/>
      <c r="E85" s="27"/>
      <c r="F85" s="27"/>
      <c r="G85" s="27"/>
    </row>
    <row r="86" spans="1:7" x14ac:dyDescent="0.35">
      <c r="A86" s="27"/>
      <c r="B86" t="str">
        <f>IF(Table2429[[#This Row],[Branch Name]]="","",(_xlfn.XLOOKUP(Table2429[[#This Row],[Branch Name]],'Lookup Values'!G:G,'Lookup Values'!I:I,0)))</f>
        <v/>
      </c>
      <c r="C86" s="27"/>
      <c r="D86" s="28"/>
      <c r="E86" s="27"/>
      <c r="F86" s="27"/>
      <c r="G86" s="29"/>
    </row>
    <row r="87" spans="1:7" x14ac:dyDescent="0.35">
      <c r="A87" s="27"/>
      <c r="B87" t="str">
        <f>IF(Table2429[[#This Row],[Branch Name]]="","",(_xlfn.XLOOKUP(Table2429[[#This Row],[Branch Name]],'Lookup Values'!G:G,'Lookup Values'!I:I,0)))</f>
        <v/>
      </c>
      <c r="C87" s="27"/>
      <c r="D87" s="28"/>
      <c r="E87" s="27"/>
      <c r="F87" s="27"/>
      <c r="G87" s="27"/>
    </row>
    <row r="88" spans="1:7" x14ac:dyDescent="0.35">
      <c r="A88" s="27"/>
      <c r="B88" t="str">
        <f>IF(Table2429[[#This Row],[Branch Name]]="","",(_xlfn.XLOOKUP(Table2429[[#This Row],[Branch Name]],'Lookup Values'!G:G,'Lookup Values'!I:I,0)))</f>
        <v/>
      </c>
      <c r="C88" s="27"/>
      <c r="D88" s="28"/>
      <c r="E88" s="27"/>
      <c r="F88" s="27"/>
      <c r="G88" s="27"/>
    </row>
    <row r="89" spans="1:7" x14ac:dyDescent="0.35">
      <c r="A89" s="27"/>
      <c r="B89" t="str">
        <f>IF(Table2429[[#This Row],[Branch Name]]="","",(_xlfn.XLOOKUP(Table2429[[#This Row],[Branch Name]],'Lookup Values'!G:G,'Lookup Values'!I:I,0)))</f>
        <v/>
      </c>
      <c r="C89" s="27"/>
      <c r="D89" s="28"/>
      <c r="E89" s="27"/>
      <c r="F89" s="27"/>
      <c r="G89" s="27"/>
    </row>
    <row r="90" spans="1:7" x14ac:dyDescent="0.35">
      <c r="A90" s="27"/>
      <c r="B90" t="str">
        <f>IF(Table2429[[#This Row],[Branch Name]]="","",(_xlfn.XLOOKUP(Table2429[[#This Row],[Branch Name]],'Lookup Values'!G:G,'Lookup Values'!I:I,0)))</f>
        <v/>
      </c>
      <c r="C90" s="27"/>
      <c r="D90" s="28"/>
      <c r="E90" s="27"/>
      <c r="F90" s="27"/>
      <c r="G90" s="27"/>
    </row>
    <row r="91" spans="1:7" x14ac:dyDescent="0.35">
      <c r="A91" s="27"/>
      <c r="B91" t="str">
        <f>IF(Table2429[[#This Row],[Branch Name]]="","",(_xlfn.XLOOKUP(Table2429[[#This Row],[Branch Name]],'Lookup Values'!G:G,'Lookup Values'!I:I,0)))</f>
        <v/>
      </c>
      <c r="C91" s="27"/>
      <c r="D91" s="28"/>
      <c r="E91" s="27"/>
      <c r="F91" s="27"/>
      <c r="G91" s="27"/>
    </row>
    <row r="92" spans="1:7" x14ac:dyDescent="0.35">
      <c r="A92" s="27"/>
      <c r="B92" t="str">
        <f>IF(Table2429[[#This Row],[Branch Name]]="","",(_xlfn.XLOOKUP(Table2429[[#This Row],[Branch Name]],'Lookup Values'!G:G,'Lookup Values'!I:I,0)))</f>
        <v/>
      </c>
      <c r="C92" s="27"/>
      <c r="D92" s="28"/>
      <c r="E92" s="27"/>
      <c r="F92" s="27"/>
      <c r="G92" s="27"/>
    </row>
    <row r="93" spans="1:7" x14ac:dyDescent="0.35">
      <c r="A93" s="27"/>
      <c r="B93" t="str">
        <f>IF(Table2429[[#This Row],[Branch Name]]="","",(_xlfn.XLOOKUP(Table2429[[#This Row],[Branch Name]],'Lookup Values'!G:G,'Lookup Values'!I:I,0)))</f>
        <v/>
      </c>
      <c r="C93" s="27"/>
      <c r="D93" s="28"/>
      <c r="E93" s="27"/>
      <c r="F93" s="27"/>
      <c r="G93" s="27"/>
    </row>
    <row r="94" spans="1:7" x14ac:dyDescent="0.35">
      <c r="B94" t="str">
        <f>IF(Table2429[[#This Row],[Branch Name]]="","",(_xlfn.XLOOKUP(Table2429[[#This Row],[Branch Name]],'Lookup Values'!G:G,'Lookup Values'!I:I,0)))</f>
        <v/>
      </c>
      <c r="C94" s="27"/>
      <c r="D94" s="28"/>
      <c r="E94" s="27"/>
      <c r="F94" s="27"/>
      <c r="G94" s="27"/>
    </row>
    <row r="95" spans="1:7" x14ac:dyDescent="0.35">
      <c r="B95" t="str">
        <f>IF(Table2429[[#This Row],[Branch Name]]="","",(_xlfn.XLOOKUP(Table2429[[#This Row],[Branch Name]],'Lookup Values'!G:G,'Lookup Values'!I:I,0)))</f>
        <v/>
      </c>
      <c r="C95" s="27"/>
      <c r="D95" s="28"/>
      <c r="E95" s="27"/>
      <c r="F95" s="27"/>
      <c r="G95" s="27"/>
    </row>
    <row r="96" spans="1:7" x14ac:dyDescent="0.35">
      <c r="B96" t="str">
        <f>IF(Table2429[[#This Row],[Branch Name]]="","",(_xlfn.XLOOKUP(Table2429[[#This Row],[Branch Name]],'Lookup Values'!G:G,'Lookup Values'!I:I,0)))</f>
        <v/>
      </c>
      <c r="C96" s="27"/>
      <c r="D96" s="28"/>
      <c r="E96" s="27"/>
      <c r="F96" s="27"/>
      <c r="G96" s="27"/>
    </row>
    <row r="97" spans="2:7" x14ac:dyDescent="0.35">
      <c r="B97" t="str">
        <f>IF(Table2429[[#This Row],[Branch Name]]="","",(_xlfn.XLOOKUP(Table2429[[#This Row],[Branch Name]],'Lookup Values'!G:G,'Lookup Values'!I:I,0)))</f>
        <v/>
      </c>
      <c r="C97" s="27"/>
      <c r="D97" s="28"/>
      <c r="E97" s="27"/>
      <c r="F97" s="27"/>
      <c r="G97" s="27"/>
    </row>
    <row r="98" spans="2:7" x14ac:dyDescent="0.35">
      <c r="B98" t="str">
        <f>IF(Table2429[[#This Row],[Branch Name]]="","",(_xlfn.XLOOKUP(Table2429[[#This Row],[Branch Name]],'Lookup Values'!G:G,'Lookup Values'!I:I,0)))</f>
        <v/>
      </c>
      <c r="C98" s="27"/>
      <c r="D98" s="28"/>
      <c r="E98" s="27"/>
      <c r="F98" s="27"/>
      <c r="G98" s="27"/>
    </row>
    <row r="99" spans="2:7" x14ac:dyDescent="0.35">
      <c r="B99" t="str">
        <f>IF(Table2429[[#This Row],[Branch Name]]="","",(_xlfn.XLOOKUP(Table2429[[#This Row],[Branch Name]],'Lookup Values'!G:G,'Lookup Values'!I:I,0)))</f>
        <v/>
      </c>
      <c r="C99" s="27"/>
      <c r="D99" s="28"/>
      <c r="E99" s="27"/>
      <c r="F99" s="27"/>
      <c r="G99" s="27"/>
    </row>
    <row r="100" spans="2:7" x14ac:dyDescent="0.35">
      <c r="B100" t="str">
        <f>IF(Table2429[[#This Row],[Branch Name]]="","",(_xlfn.XLOOKUP(Table2429[[#This Row],[Branch Name]],'Lookup Values'!G:G,'Lookup Values'!I:I,0)))</f>
        <v/>
      </c>
      <c r="C100" s="27"/>
      <c r="D100" s="28"/>
      <c r="E100" s="27"/>
      <c r="F100" s="27"/>
      <c r="G100" s="27"/>
    </row>
    <row r="101" spans="2:7" x14ac:dyDescent="0.35">
      <c r="B101" t="str">
        <f>IF(Table2429[[#This Row],[Branch Name]]="","",(_xlfn.XLOOKUP(Table2429[[#This Row],[Branch Name]],'Lookup Values'!G:G,'Lookup Values'!I:I,0)))</f>
        <v/>
      </c>
      <c r="C101" s="27"/>
      <c r="D101" s="28"/>
      <c r="E101" s="27"/>
      <c r="F101" s="27"/>
      <c r="G101" s="27"/>
    </row>
    <row r="102" spans="2:7" x14ac:dyDescent="0.35">
      <c r="B102" t="str">
        <f>IF(Table2429[[#This Row],[Branch Name]]="","",(_xlfn.XLOOKUP(Table2429[[#This Row],[Branch Name]],'Lookup Values'!G:G,'Lookup Values'!I:I,0)))</f>
        <v/>
      </c>
      <c r="C102" s="27"/>
      <c r="D102" s="28"/>
      <c r="E102" s="27"/>
      <c r="F102" s="27"/>
      <c r="G102" s="27"/>
    </row>
    <row r="103" spans="2:7" x14ac:dyDescent="0.35">
      <c r="B103" t="str">
        <f>IF(Table2429[[#This Row],[Branch Name]]="","",(_xlfn.XLOOKUP(Table2429[[#This Row],[Branch Name]],'Lookup Values'!G:G,'Lookup Values'!I:I,0)))</f>
        <v/>
      </c>
      <c r="C103" s="27"/>
      <c r="D103" s="28"/>
      <c r="E103" s="27"/>
      <c r="F103" s="27"/>
      <c r="G103" s="27"/>
    </row>
    <row r="104" spans="2:7" x14ac:dyDescent="0.35">
      <c r="B104" t="str">
        <f>IF(Table2429[[#This Row],[Branch Name]]="","",(_xlfn.XLOOKUP(Table2429[[#This Row],[Branch Name]],'Lookup Values'!G:G,'Lookup Values'!I:I,0)))</f>
        <v/>
      </c>
      <c r="C104" s="27"/>
      <c r="D104" s="28"/>
      <c r="E104" s="27"/>
      <c r="F104" s="27"/>
      <c r="G104" s="27"/>
    </row>
    <row r="105" spans="2:7" x14ac:dyDescent="0.35">
      <c r="B105" t="str">
        <f>IF(Table2429[[#This Row],[Branch Name]]="","",(_xlfn.XLOOKUP(Table2429[[#This Row],[Branch Name]],'Lookup Values'!G:G,'Lookup Values'!I:I,0)))</f>
        <v/>
      </c>
      <c r="C105" s="27"/>
      <c r="D105" s="28"/>
      <c r="E105" s="27"/>
      <c r="F105" s="27"/>
      <c r="G105" s="27"/>
    </row>
    <row r="106" spans="2:7" x14ac:dyDescent="0.35">
      <c r="B106" t="str">
        <f>IF(Table2429[[#This Row],[Branch Name]]="","",(_xlfn.XLOOKUP(Table2429[[#This Row],[Branch Name]],'Lookup Values'!G:G,'Lookup Values'!I:I,0)))</f>
        <v/>
      </c>
      <c r="C106" s="27"/>
      <c r="D106" s="28"/>
      <c r="E106" s="27"/>
      <c r="F106" s="27"/>
      <c r="G106" s="27"/>
    </row>
    <row r="107" spans="2:7" x14ac:dyDescent="0.35">
      <c r="B107" t="str">
        <f>IF(Table2429[[#This Row],[Branch Name]]="","",(_xlfn.XLOOKUP(Table2429[[#This Row],[Branch Name]],'Lookup Values'!G:G,'Lookup Values'!I:I,0)))</f>
        <v/>
      </c>
      <c r="C107" s="27"/>
      <c r="D107" s="28"/>
      <c r="E107" s="27"/>
      <c r="F107" s="27"/>
      <c r="G107" s="27"/>
    </row>
    <row r="108" spans="2:7" x14ac:dyDescent="0.35">
      <c r="B108" t="str">
        <f>IF(Table2429[[#This Row],[Branch Name]]="","",(_xlfn.XLOOKUP(Table2429[[#This Row],[Branch Name]],'Lookup Values'!G:G,'Lookup Values'!I:I,0)))</f>
        <v/>
      </c>
      <c r="C108" s="27"/>
      <c r="D108" s="28"/>
      <c r="E108" s="27"/>
      <c r="F108" s="27"/>
      <c r="G108" s="27"/>
    </row>
    <row r="109" spans="2:7" x14ac:dyDescent="0.35">
      <c r="B109" t="str">
        <f>IF(Table2429[[#This Row],[Branch Name]]="","",(_xlfn.XLOOKUP(Table2429[[#This Row],[Branch Name]],'Lookup Values'!G:G,'Lookup Values'!I:I,0)))</f>
        <v/>
      </c>
      <c r="C109" s="27"/>
      <c r="D109" s="28"/>
      <c r="E109" s="27"/>
      <c r="F109" s="27"/>
      <c r="G109" s="27"/>
    </row>
    <row r="110" spans="2:7" x14ac:dyDescent="0.35">
      <c r="B110" t="str">
        <f>IF(Table2429[[#This Row],[Branch Name]]="","",(_xlfn.XLOOKUP(Table2429[[#This Row],[Branch Name]],'Lookup Values'!G:G,'Lookup Values'!I:I,0)))</f>
        <v/>
      </c>
      <c r="C110" s="27"/>
      <c r="D110" s="28"/>
      <c r="E110" s="27"/>
      <c r="F110" s="27"/>
      <c r="G110" s="27"/>
    </row>
    <row r="111" spans="2:7" x14ac:dyDescent="0.35">
      <c r="B111" t="str">
        <f>IF(Table2429[[#This Row],[Branch Name]]="","",(_xlfn.XLOOKUP(Table2429[[#This Row],[Branch Name]],'Lookup Values'!G:G,'Lookup Values'!I:I,0)))</f>
        <v/>
      </c>
      <c r="C111" s="27"/>
      <c r="D111" s="28"/>
      <c r="E111" s="27"/>
      <c r="F111" s="27"/>
      <c r="G111" s="27"/>
    </row>
    <row r="112" spans="2:7" x14ac:dyDescent="0.35">
      <c r="B112" t="str">
        <f>IF(Table2429[[#This Row],[Branch Name]]="","",(_xlfn.XLOOKUP(Table2429[[#This Row],[Branch Name]],'Lookup Values'!G:G,'Lookup Values'!I:I,0)))</f>
        <v/>
      </c>
      <c r="C112" s="27"/>
      <c r="D112" s="28"/>
      <c r="E112" s="27"/>
      <c r="F112" s="27"/>
      <c r="G112" s="27"/>
    </row>
    <row r="113" spans="1:7" x14ac:dyDescent="0.35">
      <c r="B113" t="str">
        <f>IF(Table2429[[#This Row],[Branch Name]]="","",(_xlfn.XLOOKUP(Table2429[[#This Row],[Branch Name]],'Lookup Values'!G:G,'Lookup Values'!I:I,0)))</f>
        <v/>
      </c>
      <c r="C113" s="27"/>
      <c r="D113" s="28"/>
      <c r="E113" s="27"/>
      <c r="F113" s="27"/>
      <c r="G113" s="27"/>
    </row>
    <row r="114" spans="1:7" x14ac:dyDescent="0.35">
      <c r="B114" t="str">
        <f>IF(Table2429[[#This Row],[Branch Name]]="","",(_xlfn.XLOOKUP(Table2429[[#This Row],[Branch Name]],'Lookup Values'!G:G,'Lookup Values'!I:I,0)))</f>
        <v/>
      </c>
      <c r="C114" s="27"/>
      <c r="D114" s="28"/>
      <c r="E114" s="27"/>
      <c r="F114" s="27"/>
      <c r="G114" s="27"/>
    </row>
    <row r="115" spans="1:7" x14ac:dyDescent="0.35">
      <c r="B115" t="str">
        <f>IF(Table2429[[#This Row],[Branch Name]]="","",(_xlfn.XLOOKUP(Table2429[[#This Row],[Branch Name]],'Lookup Values'!G:G,'Lookup Values'!I:I,0)))</f>
        <v/>
      </c>
      <c r="C115" s="27"/>
      <c r="D115" s="28"/>
      <c r="E115" s="27"/>
      <c r="F115" s="27"/>
      <c r="G115" s="27"/>
    </row>
    <row r="116" spans="1:7" x14ac:dyDescent="0.35">
      <c r="A116" s="27"/>
      <c r="B116" t="str">
        <f>IF(Table2429[[#This Row],[Branch Name]]="","",(_xlfn.XLOOKUP(Table2429[[#This Row],[Branch Name]],'Lookup Values'!G:G,'Lookup Values'!I:I,0)))</f>
        <v/>
      </c>
      <c r="C116" s="27"/>
      <c r="D116" s="28"/>
      <c r="E116" s="27"/>
      <c r="F116" s="27"/>
      <c r="G116" s="27"/>
    </row>
    <row r="117" spans="1:7" x14ac:dyDescent="0.35">
      <c r="B117" t="str">
        <f>IF(Table2429[[#This Row],[Branch Name]]="","",(_xlfn.XLOOKUP(Table2429[[#This Row],[Branch Name]],'Lookup Values'!G:G,'Lookup Values'!I:I,0)))</f>
        <v/>
      </c>
      <c r="C117" s="27"/>
      <c r="D117" s="28"/>
      <c r="E117" s="27"/>
      <c r="F117" s="27"/>
      <c r="G117" s="27"/>
    </row>
    <row r="118" spans="1:7" x14ac:dyDescent="0.35">
      <c r="B118" t="str">
        <f>IF(Table2429[[#This Row],[Branch Name]]="","",(_xlfn.XLOOKUP(Table2429[[#This Row],[Branch Name]],'Lookup Values'!G:G,'Lookup Values'!I:I,0)))</f>
        <v/>
      </c>
      <c r="C118" s="27"/>
      <c r="D118" s="28"/>
      <c r="E118" s="27"/>
      <c r="F118" s="27"/>
      <c r="G118" s="27"/>
    </row>
    <row r="119" spans="1:7" x14ac:dyDescent="0.35">
      <c r="A119" s="27"/>
      <c r="B119" t="str">
        <f>IF(Table2429[[#This Row],[Branch Name]]="","",(_xlfn.XLOOKUP(Table2429[[#This Row],[Branch Name]],'Lookup Values'!G:G,'Lookup Values'!I:I,0)))</f>
        <v/>
      </c>
      <c r="C119" s="27"/>
      <c r="D119" s="28"/>
      <c r="E119" s="27"/>
      <c r="F119" s="27"/>
      <c r="G119" s="27"/>
    </row>
    <row r="120" spans="1:7" x14ac:dyDescent="0.35">
      <c r="A120" s="27"/>
      <c r="B120" t="str">
        <f>IF(Table2429[[#This Row],[Branch Name]]="","",(_xlfn.XLOOKUP(Table2429[[#This Row],[Branch Name]],'Lookup Values'!G:G,'Lookup Values'!I:I,0)))</f>
        <v/>
      </c>
      <c r="C120" s="27"/>
      <c r="D120" s="28"/>
      <c r="E120" s="27"/>
      <c r="F120" s="27"/>
      <c r="G120" s="27"/>
    </row>
    <row r="121" spans="1:7" x14ac:dyDescent="0.35">
      <c r="B121" t="str">
        <f>IF(Table2429[[#This Row],[Branch Name]]="","",(_xlfn.XLOOKUP(Table2429[[#This Row],[Branch Name]],'Lookup Values'!G:G,'Lookup Values'!I:I,0)))</f>
        <v/>
      </c>
      <c r="C121" s="27"/>
      <c r="D121" s="28"/>
      <c r="E121" s="27"/>
      <c r="F121" s="27"/>
      <c r="G121" s="27"/>
    </row>
    <row r="122" spans="1:7" x14ac:dyDescent="0.35">
      <c r="B122" t="str">
        <f>IF(Table2429[[#This Row],[Branch Name]]="","",(_xlfn.XLOOKUP(Table2429[[#This Row],[Branch Name]],'Lookup Values'!G:G,'Lookup Values'!I:I,0)))</f>
        <v/>
      </c>
      <c r="C122" s="27"/>
      <c r="D122" s="28"/>
      <c r="E122" s="27"/>
      <c r="F122" s="27"/>
      <c r="G122" s="27"/>
    </row>
    <row r="123" spans="1:7" x14ac:dyDescent="0.35">
      <c r="B123" t="str">
        <f>IF(Table2429[[#This Row],[Branch Name]]="","",(_xlfn.XLOOKUP(Table2429[[#This Row],[Branch Name]],'Lookup Values'!G:G,'Lookup Values'!I:I,0)))</f>
        <v/>
      </c>
      <c r="C123" s="27"/>
      <c r="D123" s="28"/>
      <c r="E123" s="27"/>
      <c r="F123" s="27"/>
      <c r="G123" s="27"/>
    </row>
    <row r="124" spans="1:7" x14ac:dyDescent="0.35">
      <c r="B124" t="str">
        <f>IF(Table2429[[#This Row],[Branch Name]]="","",(_xlfn.XLOOKUP(Table2429[[#This Row],[Branch Name]],'Lookup Values'!G:G,'Lookup Values'!I:I,0)))</f>
        <v/>
      </c>
      <c r="C124" s="27"/>
      <c r="D124" s="28"/>
      <c r="E124" s="27"/>
      <c r="F124" s="27"/>
      <c r="G124" s="27"/>
    </row>
    <row r="125" spans="1:7" x14ac:dyDescent="0.35">
      <c r="B125" t="str">
        <f>IF(Table2429[[#This Row],[Branch Name]]="","",(_xlfn.XLOOKUP(Table2429[[#This Row],[Branch Name]],'Lookup Values'!G:G,'Lookup Values'!I:I,0)))</f>
        <v/>
      </c>
      <c r="C125" s="27"/>
      <c r="D125" s="28"/>
      <c r="E125" s="27"/>
      <c r="F125" s="27"/>
      <c r="G125" s="27"/>
    </row>
    <row r="126" spans="1:7" x14ac:dyDescent="0.35">
      <c r="A126" s="27"/>
      <c r="B126" t="str">
        <f>IF(Table2429[[#This Row],[Branch Name]]="","",(_xlfn.XLOOKUP(Table2429[[#This Row],[Branch Name]],'Lookup Values'!G:G,'Lookup Values'!I:I,0)))</f>
        <v/>
      </c>
      <c r="C126" s="27"/>
      <c r="D126" s="28"/>
      <c r="E126" s="27"/>
      <c r="F126" s="27"/>
      <c r="G126" s="27"/>
    </row>
    <row r="127" spans="1:7" x14ac:dyDescent="0.35">
      <c r="A127" s="27"/>
      <c r="B127" t="str">
        <f>IF(Table2429[[#This Row],[Branch Name]]="","",(_xlfn.XLOOKUP(Table2429[[#This Row],[Branch Name]],'Lookup Values'!G:G,'Lookup Values'!I:I,0)))</f>
        <v/>
      </c>
      <c r="C127" s="27"/>
      <c r="D127" s="28"/>
      <c r="E127" s="27"/>
      <c r="F127" s="27"/>
      <c r="G127" s="27"/>
    </row>
    <row r="128" spans="1:7" x14ac:dyDescent="0.35">
      <c r="A128" s="27"/>
      <c r="B128" t="str">
        <f>IF(Table2429[[#This Row],[Branch Name]]="","",(_xlfn.XLOOKUP(Table2429[[#This Row],[Branch Name]],'Lookup Values'!G:G,'Lookup Values'!I:I,0)))</f>
        <v/>
      </c>
      <c r="C128" s="27"/>
      <c r="D128" s="28"/>
      <c r="E128" s="27"/>
      <c r="F128" s="27"/>
      <c r="G128" s="27"/>
    </row>
    <row r="129" spans="1:7" x14ac:dyDescent="0.35">
      <c r="B129" t="str">
        <f>IF(Table2429[[#This Row],[Branch Name]]="","",(_xlfn.XLOOKUP(Table2429[[#This Row],[Branch Name]],'Lookup Values'!G:G,'Lookup Values'!I:I,0)))</f>
        <v/>
      </c>
      <c r="G129" s="25"/>
    </row>
    <row r="130" spans="1:7" x14ac:dyDescent="0.35">
      <c r="B130" t="str">
        <f>IF(Table2429[[#This Row],[Branch Name]]="","",(_xlfn.XLOOKUP(Table2429[[#This Row],[Branch Name]],'Lookup Values'!G:G,'Lookup Values'!I:I,0)))</f>
        <v/>
      </c>
    </row>
    <row r="131" spans="1:7" x14ac:dyDescent="0.35">
      <c r="A131" s="27"/>
      <c r="B131" t="str">
        <f>IF(Table2429[[#This Row],[Branch Name]]="","",(_xlfn.XLOOKUP(Table2429[[#This Row],[Branch Name]],'Lookup Values'!G:G,'Lookup Values'!I:I,0)))</f>
        <v/>
      </c>
      <c r="C131" s="27"/>
      <c r="D131" s="28"/>
      <c r="E131" s="27"/>
      <c r="F131" s="27"/>
      <c r="G131" s="29"/>
    </row>
    <row r="132" spans="1:7" x14ac:dyDescent="0.35">
      <c r="A132" s="27"/>
      <c r="B132" t="str">
        <f>IF(Table2429[[#This Row],[Branch Name]]="","",(_xlfn.XLOOKUP(Table2429[[#This Row],[Branch Name]],'Lookup Values'!G:G,'Lookup Values'!I:I,0)))</f>
        <v/>
      </c>
      <c r="C132" s="27"/>
      <c r="D132" s="28"/>
      <c r="E132" s="27"/>
      <c r="F132" s="27"/>
      <c r="G132" s="27"/>
    </row>
    <row r="133" spans="1:7" x14ac:dyDescent="0.35">
      <c r="A133" s="27"/>
      <c r="B133" t="str">
        <f>IF(Table2429[[#This Row],[Branch Name]]="","",(_xlfn.XLOOKUP(Table2429[[#This Row],[Branch Name]],'Lookup Values'!G:G,'Lookup Values'!I:I,0)))</f>
        <v/>
      </c>
      <c r="C133" s="27"/>
      <c r="D133" s="28"/>
      <c r="E133" s="27"/>
      <c r="F133" s="27"/>
      <c r="G133" s="27"/>
    </row>
    <row r="134" spans="1:7" x14ac:dyDescent="0.35">
      <c r="B134" t="str">
        <f>IF(Table2429[[#This Row],[Branch Name]]="","",(_xlfn.XLOOKUP(Table2429[[#This Row],[Branch Name]],'Lookup Values'!G:G,'Lookup Values'!I:I,0)))</f>
        <v/>
      </c>
    </row>
    <row r="135" spans="1:7" x14ac:dyDescent="0.35">
      <c r="A135" s="27"/>
      <c r="B135" t="str">
        <f>IF(Table2429[[#This Row],[Branch Name]]="","",(_xlfn.XLOOKUP(Table2429[[#This Row],[Branch Name]],'Lookup Values'!G:G,'Lookup Values'!I:I,0)))</f>
        <v/>
      </c>
      <c r="C135" s="27"/>
      <c r="D135" s="28"/>
      <c r="E135" s="27"/>
      <c r="F135" s="27"/>
      <c r="G135" s="27"/>
    </row>
    <row r="136" spans="1:7" x14ac:dyDescent="0.35">
      <c r="B136" t="str">
        <f>IF(Table2429[[#This Row],[Branch Name]]="","",(_xlfn.XLOOKUP(Table2429[[#This Row],[Branch Name]],'Lookup Values'!G:G,'Lookup Values'!I:I,0)))</f>
        <v/>
      </c>
    </row>
    <row r="137" spans="1:7" x14ac:dyDescent="0.35">
      <c r="B137" t="str">
        <f>IF(Table2429[[#This Row],[Branch Name]]="","",(_xlfn.XLOOKUP(Table2429[[#This Row],[Branch Name]],'Lookup Values'!G:G,'Lookup Values'!I:I,0)))</f>
        <v/>
      </c>
    </row>
    <row r="138" spans="1:7" x14ac:dyDescent="0.35">
      <c r="B138" t="str">
        <f>IF(Table2429[[#This Row],[Branch Name]]="","",(_xlfn.XLOOKUP(Table2429[[#This Row],[Branch Name]],'Lookup Values'!G:G,'Lookup Values'!I:I,0)))</f>
        <v/>
      </c>
    </row>
    <row r="139" spans="1:7" x14ac:dyDescent="0.35">
      <c r="B139" t="str">
        <f>IF(Table2429[[#This Row],[Branch Name]]="","",(_xlfn.XLOOKUP(Table2429[[#This Row],[Branch Name]],'Lookup Values'!G:G,'Lookup Values'!I:I,0)))</f>
        <v/>
      </c>
    </row>
    <row r="140" spans="1:7" x14ac:dyDescent="0.35">
      <c r="B140" t="str">
        <f>IF(Table2429[[#This Row],[Branch Name]]="","",(_xlfn.XLOOKUP(Table2429[[#This Row],[Branch Name]],'Lookup Values'!G:G,'Lookup Values'!I:I,0)))</f>
        <v/>
      </c>
    </row>
    <row r="141" spans="1:7" x14ac:dyDescent="0.35">
      <c r="B141" t="str">
        <f>IF(Table2429[[#This Row],[Branch Name]]="","",(_xlfn.XLOOKUP(Table2429[[#This Row],[Branch Name]],'Lookup Values'!G:G,'Lookup Values'!I:I,0)))</f>
        <v/>
      </c>
    </row>
    <row r="142" spans="1:7" x14ac:dyDescent="0.35">
      <c r="B142" t="str">
        <f>IF(Table2429[[#This Row],[Branch Name]]="","",(_xlfn.XLOOKUP(Table2429[[#This Row],[Branch Name]],'Lookup Values'!G:G,'Lookup Values'!I:I,0)))</f>
        <v/>
      </c>
    </row>
    <row r="143" spans="1:7" x14ac:dyDescent="0.35">
      <c r="B143" t="str">
        <f>IF(Table2429[[#This Row],[Branch Name]]="","",(_xlfn.XLOOKUP(Table2429[[#This Row],[Branch Name]],'Lookup Values'!G:G,'Lookup Values'!I:I,0)))</f>
        <v/>
      </c>
    </row>
    <row r="144" spans="1:7" x14ac:dyDescent="0.35">
      <c r="B144" t="str">
        <f>IF(Table2429[[#This Row],[Branch Name]]="","",(_xlfn.XLOOKUP(Table2429[[#This Row],[Branch Name]],'Lookup Values'!G:G,'Lookup Values'!I:I,0)))</f>
        <v/>
      </c>
    </row>
    <row r="145" spans="2:2" x14ac:dyDescent="0.35">
      <c r="B145" t="str">
        <f>IF(Table2429[[#This Row],[Branch Name]]="","",(_xlfn.XLOOKUP(Table2429[[#This Row],[Branch Name]],'Lookup Values'!G:G,'Lookup Values'!I:I,0)))</f>
        <v/>
      </c>
    </row>
    <row r="146" spans="2:2" x14ac:dyDescent="0.35">
      <c r="B146" t="str">
        <f>IF(Table2429[[#This Row],[Branch Name]]="","",(_xlfn.XLOOKUP(Table2429[[#This Row],[Branch Name]],'Lookup Values'!G:G,'Lookup Values'!I:I,0)))</f>
        <v/>
      </c>
    </row>
    <row r="147" spans="2:2" x14ac:dyDescent="0.35">
      <c r="B147" t="str">
        <f>IF(Table2429[[#This Row],[Branch Name]]="","",(_xlfn.XLOOKUP(Table2429[[#This Row],[Branch Name]],'Lookup Values'!G:G,'Lookup Values'!I:I,0)))</f>
        <v/>
      </c>
    </row>
    <row r="148" spans="2:2" x14ac:dyDescent="0.35">
      <c r="B148" t="str">
        <f>IF(Table2429[[#This Row],[Branch Name]]="","",(_xlfn.XLOOKUP(Table2429[[#This Row],[Branch Name]],'Lookup Values'!G:G,'Lookup Values'!I:I,0)))</f>
        <v/>
      </c>
    </row>
    <row r="149" spans="2:2" x14ac:dyDescent="0.35">
      <c r="B149" t="str">
        <f>IF(Table2429[[#This Row],[Branch Name]]="","",(_xlfn.XLOOKUP(Table2429[[#This Row],[Branch Name]],'Lookup Values'!G:G,'Lookup Values'!I:I,0)))</f>
        <v/>
      </c>
    </row>
    <row r="150" spans="2:2" x14ac:dyDescent="0.35">
      <c r="B150" t="str">
        <f>IF(Table2429[[#This Row],[Branch Name]]="","",(_xlfn.XLOOKUP(Table2429[[#This Row],[Branch Name]],'Lookup Values'!G:G,'Lookup Values'!I:I,0)))</f>
        <v/>
      </c>
    </row>
    <row r="151" spans="2:2" x14ac:dyDescent="0.35">
      <c r="B151" t="str">
        <f>IF(Table2429[[#This Row],[Branch Name]]="","",(_xlfn.XLOOKUP(Table2429[[#This Row],[Branch Name]],'Lookup Values'!G:G,'Lookup Values'!I:I,0)))</f>
        <v/>
      </c>
    </row>
    <row r="152" spans="2:2" x14ac:dyDescent="0.35">
      <c r="B152" t="str">
        <f>IF(Table2429[[#This Row],[Branch Name]]="","",(_xlfn.XLOOKUP(Table2429[[#This Row],[Branch Name]],'Lookup Values'!G:G,'Lookup Values'!I:I,0)))</f>
        <v/>
      </c>
    </row>
    <row r="153" spans="2:2" x14ac:dyDescent="0.35">
      <c r="B153" t="str">
        <f>IF(Table2429[[#This Row],[Branch Name]]="","",(_xlfn.XLOOKUP(Table2429[[#This Row],[Branch Name]],'Lookup Values'!G:G,'Lookup Values'!I:I,0)))</f>
        <v/>
      </c>
    </row>
    <row r="154" spans="2:2" x14ac:dyDescent="0.35">
      <c r="B154" t="str">
        <f>IF(Table2429[[#This Row],[Branch Name]]="","",(_xlfn.XLOOKUP(Table2429[[#This Row],[Branch Name]],'Lookup Values'!G:G,'Lookup Values'!I:I,0)))</f>
        <v/>
      </c>
    </row>
    <row r="155" spans="2:2" x14ac:dyDescent="0.35">
      <c r="B155" t="str">
        <f>IF(Table2429[[#This Row],[Branch Name]]="","",(_xlfn.XLOOKUP(Table2429[[#This Row],[Branch Name]],'Lookup Values'!G:G,'Lookup Values'!I:I,0)))</f>
        <v/>
      </c>
    </row>
    <row r="156" spans="2:2" x14ac:dyDescent="0.35">
      <c r="B156" t="str">
        <f>IF(Table2429[[#This Row],[Branch Name]]="","",(_xlfn.XLOOKUP(Table2429[[#This Row],[Branch Name]],'Lookup Values'!G:G,'Lookup Values'!I:I,0)))</f>
        <v/>
      </c>
    </row>
    <row r="157" spans="2:2" x14ac:dyDescent="0.35">
      <c r="B157" t="str">
        <f>IF(Table2429[[#This Row],[Branch Name]]="","",(_xlfn.XLOOKUP(Table2429[[#This Row],[Branch Name]],'Lookup Values'!G:G,'Lookup Values'!I:I,0)))</f>
        <v/>
      </c>
    </row>
    <row r="158" spans="2:2" x14ac:dyDescent="0.35">
      <c r="B158" t="str">
        <f>IF(Table2429[[#This Row],[Branch Name]]="","",(_xlfn.XLOOKUP(Table2429[[#This Row],[Branch Name]],'Lookup Values'!G:G,'Lookup Values'!I:I,0)))</f>
        <v/>
      </c>
    </row>
    <row r="159" spans="2:2" x14ac:dyDescent="0.35">
      <c r="B159" t="str">
        <f>IF(Table2429[[#This Row],[Branch Name]]="","",(_xlfn.XLOOKUP(Table2429[[#This Row],[Branch Name]],'Lookup Values'!G:G,'Lookup Values'!I:I,0)))</f>
        <v/>
      </c>
    </row>
    <row r="160" spans="2:2" x14ac:dyDescent="0.35">
      <c r="B160" t="str">
        <f>IF(Table2429[[#This Row],[Branch Name]]="","",(_xlfn.XLOOKUP(Table2429[[#This Row],[Branch Name]],'Lookup Values'!G:G,'Lookup Values'!I:I,0)))</f>
        <v/>
      </c>
    </row>
    <row r="161" spans="2:2" x14ac:dyDescent="0.35">
      <c r="B161" t="str">
        <f>IF(Table2429[[#This Row],[Branch Name]]="","",(_xlfn.XLOOKUP(Table2429[[#This Row],[Branch Name]],'Lookup Values'!G:G,'Lookup Values'!I:I,0)))</f>
        <v/>
      </c>
    </row>
    <row r="162" spans="2:2" x14ac:dyDescent="0.35">
      <c r="B162" t="str">
        <f>IF(Table2429[[#This Row],[Branch Name]]="","",(_xlfn.XLOOKUP(Table2429[[#This Row],[Branch Name]],'Lookup Values'!G:G,'Lookup Values'!I:I,0)))</f>
        <v/>
      </c>
    </row>
    <row r="163" spans="2:2" x14ac:dyDescent="0.35">
      <c r="B163" t="str">
        <f>IF(Table2429[[#This Row],[Branch Name]]="","",(_xlfn.XLOOKUP(Table2429[[#This Row],[Branch Name]],'Lookup Values'!G:G,'Lookup Values'!I:I,0)))</f>
        <v/>
      </c>
    </row>
    <row r="164" spans="2:2" x14ac:dyDescent="0.35">
      <c r="B164" t="str">
        <f>IF(Table2429[[#This Row],[Branch Name]]="","",(_xlfn.XLOOKUP(Table2429[[#This Row],[Branch Name]],'Lookup Values'!G:G,'Lookup Values'!I:I,0)))</f>
        <v/>
      </c>
    </row>
    <row r="165" spans="2:2" x14ac:dyDescent="0.35">
      <c r="B165" t="str">
        <f>IF(Table2429[[#This Row],[Branch Name]]="","",(_xlfn.XLOOKUP(Table2429[[#This Row],[Branch Name]],'Lookup Values'!G:G,'Lookup Values'!I:I,0)))</f>
        <v/>
      </c>
    </row>
    <row r="166" spans="2:2" x14ac:dyDescent="0.35">
      <c r="B166" t="str">
        <f>IF(Table2429[[#This Row],[Branch Name]]="","",(_xlfn.XLOOKUP(Table2429[[#This Row],[Branch Name]],'Lookup Values'!G:G,'Lookup Values'!I:I,0)))</f>
        <v/>
      </c>
    </row>
    <row r="167" spans="2:2" x14ac:dyDescent="0.35">
      <c r="B167" t="str">
        <f>IF(Table2429[[#This Row],[Branch Name]]="","",(_xlfn.XLOOKUP(Table2429[[#This Row],[Branch Name]],'Lookup Values'!G:G,'Lookup Values'!I:I,0)))</f>
        <v/>
      </c>
    </row>
    <row r="168" spans="2:2" x14ac:dyDescent="0.35">
      <c r="B168" t="str">
        <f>IF(Table2429[[#This Row],[Branch Name]]="","",(_xlfn.XLOOKUP(Table2429[[#This Row],[Branch Name]],'Lookup Values'!G:G,'Lookup Values'!I:I,0)))</f>
        <v/>
      </c>
    </row>
    <row r="169" spans="2:2" x14ac:dyDescent="0.35">
      <c r="B169" t="str">
        <f>IF(Table2429[[#This Row],[Branch Name]]="","",(_xlfn.XLOOKUP(Table2429[[#This Row],[Branch Name]],'Lookup Values'!G:G,'Lookup Values'!I:I,0)))</f>
        <v/>
      </c>
    </row>
    <row r="170" spans="2:2" x14ac:dyDescent="0.35">
      <c r="B170" t="str">
        <f>IF(Table2429[[#This Row],[Branch Name]]="","",(_xlfn.XLOOKUP(Table2429[[#This Row],[Branch Name]],'Lookup Values'!G:G,'Lookup Values'!I:I,0)))</f>
        <v/>
      </c>
    </row>
    <row r="171" spans="2:2" x14ac:dyDescent="0.35">
      <c r="B171" t="str">
        <f>IF(Table2429[[#This Row],[Branch Name]]="","",(_xlfn.XLOOKUP(Table2429[[#This Row],[Branch Name]],'Lookup Values'!G:G,'Lookup Values'!I:I,0)))</f>
        <v/>
      </c>
    </row>
    <row r="172" spans="2:2" x14ac:dyDescent="0.35">
      <c r="B172" t="str">
        <f>IF(Table2429[[#This Row],[Branch Name]]="","",(_xlfn.XLOOKUP(Table2429[[#This Row],[Branch Name]],'Lookup Values'!G:G,'Lookup Values'!I:I,0)))</f>
        <v/>
      </c>
    </row>
    <row r="173" spans="2:2" x14ac:dyDescent="0.35">
      <c r="B173" t="str">
        <f>IF(Table2429[[#This Row],[Branch Name]]="","",(_xlfn.XLOOKUP(Table2429[[#This Row],[Branch Name]],'Lookup Values'!G:G,'Lookup Values'!I:I,0)))</f>
        <v/>
      </c>
    </row>
    <row r="174" spans="2:2" x14ac:dyDescent="0.35">
      <c r="B174" t="str">
        <f>IF(Table2429[[#This Row],[Branch Name]]="","",(_xlfn.XLOOKUP(Table2429[[#This Row],[Branch Name]],'Lookup Values'!G:G,'Lookup Values'!I:I,0)))</f>
        <v/>
      </c>
    </row>
    <row r="175" spans="2:2" x14ac:dyDescent="0.35">
      <c r="B175" t="str">
        <f>IF(Table2429[[#This Row],[Branch Name]]="","",(_xlfn.XLOOKUP(Table2429[[#This Row],[Branch Name]],'Lookup Values'!G:G,'Lookup Values'!I:I,0)))</f>
        <v/>
      </c>
    </row>
    <row r="176" spans="2:2" x14ac:dyDescent="0.35">
      <c r="B176" t="str">
        <f>IF(Table2429[[#This Row],[Branch Name]]="","",(_xlfn.XLOOKUP(Table2429[[#This Row],[Branch Name]],'Lookup Values'!G:G,'Lookup Values'!I:I,0)))</f>
        <v/>
      </c>
    </row>
    <row r="177" spans="2:2" x14ac:dyDescent="0.35">
      <c r="B177" t="str">
        <f>IF(Table2429[[#This Row],[Branch Name]]="","",(_xlfn.XLOOKUP(Table2429[[#This Row],[Branch Name]],'Lookup Values'!G:G,'Lookup Values'!I:I,0)))</f>
        <v/>
      </c>
    </row>
    <row r="178" spans="2:2" x14ac:dyDescent="0.35">
      <c r="B178" t="str">
        <f>IF(Table2429[[#This Row],[Branch Name]]="","",(_xlfn.XLOOKUP(Table2429[[#This Row],[Branch Name]],'Lookup Values'!G:G,'Lookup Values'!I:I,0)))</f>
        <v/>
      </c>
    </row>
    <row r="179" spans="2:2" x14ac:dyDescent="0.35">
      <c r="B179" t="str">
        <f>IF(Table2429[[#This Row],[Branch Name]]="","",(_xlfn.XLOOKUP(Table2429[[#This Row],[Branch Name]],'Lookup Values'!G:G,'Lookup Values'!I:I,0)))</f>
        <v/>
      </c>
    </row>
    <row r="180" spans="2:2" x14ac:dyDescent="0.35">
      <c r="B180" t="str">
        <f>IF(Table2429[[#This Row],[Branch Name]]="","",(_xlfn.XLOOKUP(Table2429[[#This Row],[Branch Name]],'Lookup Values'!G:G,'Lookup Values'!I:I,0)))</f>
        <v/>
      </c>
    </row>
    <row r="181" spans="2:2" x14ac:dyDescent="0.35">
      <c r="B181" t="str">
        <f>IF(Table2429[[#This Row],[Branch Name]]="","",(_xlfn.XLOOKUP(Table2429[[#This Row],[Branch Name]],'Lookup Values'!G:G,'Lookup Values'!I:I,0)))</f>
        <v/>
      </c>
    </row>
    <row r="182" spans="2:2" x14ac:dyDescent="0.35">
      <c r="B182" t="str">
        <f>IF(Table2429[[#This Row],[Branch Name]]="","",(_xlfn.XLOOKUP(Table2429[[#This Row],[Branch Name]],'Lookup Values'!G:G,'Lookup Values'!I:I,0)))</f>
        <v/>
      </c>
    </row>
    <row r="183" spans="2:2" x14ac:dyDescent="0.35">
      <c r="B183" t="str">
        <f>IF(Table2429[[#This Row],[Branch Name]]="","",(_xlfn.XLOOKUP(Table2429[[#This Row],[Branch Name]],'Lookup Values'!G:G,'Lookup Values'!I:I,0)))</f>
        <v/>
      </c>
    </row>
    <row r="184" spans="2:2" x14ac:dyDescent="0.35">
      <c r="B184" t="str">
        <f>IF(Table2429[[#This Row],[Branch Name]]="","",(_xlfn.XLOOKUP(Table2429[[#This Row],[Branch Name]],'Lookup Values'!G:G,'Lookup Values'!I:I,0)))</f>
        <v/>
      </c>
    </row>
    <row r="185" spans="2:2" x14ac:dyDescent="0.35">
      <c r="B185" t="str">
        <f>IF(Table2429[[#This Row],[Branch Name]]="","",(_xlfn.XLOOKUP(Table2429[[#This Row],[Branch Name]],'Lookup Values'!G:G,'Lookup Values'!I:I,0)))</f>
        <v/>
      </c>
    </row>
    <row r="186" spans="2:2" x14ac:dyDescent="0.35">
      <c r="B186" t="str">
        <f>IF(Table2429[[#This Row],[Branch Name]]="","",(_xlfn.XLOOKUP(Table2429[[#This Row],[Branch Name]],'Lookup Values'!G:G,'Lookup Values'!I:I,0)))</f>
        <v/>
      </c>
    </row>
    <row r="187" spans="2:2" x14ac:dyDescent="0.35">
      <c r="B187" t="str">
        <f>IF(Table2429[[#This Row],[Branch Name]]="","",(_xlfn.XLOOKUP(Table2429[[#This Row],[Branch Name]],'Lookup Values'!G:G,'Lookup Values'!I:I,0)))</f>
        <v/>
      </c>
    </row>
    <row r="188" spans="2:2" x14ac:dyDescent="0.35">
      <c r="B188" t="str">
        <f>IF(Table2429[[#This Row],[Branch Name]]="","",(_xlfn.XLOOKUP(Table2429[[#This Row],[Branch Name]],'Lookup Values'!G:G,'Lookup Values'!I:I,0)))</f>
        <v/>
      </c>
    </row>
    <row r="189" spans="2:2" x14ac:dyDescent="0.35">
      <c r="B189" t="str">
        <f>IF(Table2429[[#This Row],[Branch Name]]="","",(_xlfn.XLOOKUP(Table2429[[#This Row],[Branch Name]],'Lookup Values'!G:G,'Lookup Values'!I:I,0)))</f>
        <v/>
      </c>
    </row>
    <row r="190" spans="2:2" x14ac:dyDescent="0.35">
      <c r="B190" t="str">
        <f>IF(Table2429[[#This Row],[Branch Name]]="","",(_xlfn.XLOOKUP(Table2429[[#This Row],[Branch Name]],'Lookup Values'!G:G,'Lookup Values'!I:I,0)))</f>
        <v/>
      </c>
    </row>
    <row r="191" spans="2:2" x14ac:dyDescent="0.35">
      <c r="B191" t="str">
        <f>IF(Table2429[[#This Row],[Branch Name]]="","",(_xlfn.XLOOKUP(Table2429[[#This Row],[Branch Name]],'Lookup Values'!G:G,'Lookup Values'!I:I,0)))</f>
        <v/>
      </c>
    </row>
    <row r="192" spans="2:2" x14ac:dyDescent="0.35">
      <c r="B192" t="str">
        <f>IF(Table2429[[#This Row],[Branch Name]]="","",(_xlfn.XLOOKUP(Table2429[[#This Row],[Branch Name]],'Lookup Values'!G:G,'Lookup Values'!I:I,0)))</f>
        <v/>
      </c>
    </row>
    <row r="193" spans="2:2" x14ac:dyDescent="0.35">
      <c r="B193" t="str">
        <f>IF(Table2429[[#This Row],[Branch Name]]="","",(_xlfn.XLOOKUP(Table2429[[#This Row],[Branch Name]],'Lookup Values'!G:G,'Lookup Values'!I:I,0)))</f>
        <v/>
      </c>
    </row>
    <row r="194" spans="2:2" x14ac:dyDescent="0.35">
      <c r="B194" t="str">
        <f>IF(Table2429[[#This Row],[Branch Name]]="","",(_xlfn.XLOOKUP(Table2429[[#This Row],[Branch Name]],'Lookup Values'!G:G,'Lookup Values'!I:I,0)))</f>
        <v/>
      </c>
    </row>
    <row r="195" spans="2:2" x14ac:dyDescent="0.35">
      <c r="B195" t="str">
        <f>IF(Table2429[[#This Row],[Branch Name]]="","",(_xlfn.XLOOKUP(Table2429[[#This Row],[Branch Name]],'Lookup Values'!G:G,'Lookup Values'!I:I,0)))</f>
        <v/>
      </c>
    </row>
    <row r="196" spans="2:2" x14ac:dyDescent="0.35">
      <c r="B196" t="str">
        <f>IF(Table2429[[#This Row],[Branch Name]]="","",(_xlfn.XLOOKUP(Table2429[[#This Row],[Branch Name]],'Lookup Values'!G:G,'Lookup Values'!I:I,0)))</f>
        <v/>
      </c>
    </row>
    <row r="197" spans="2:2" x14ac:dyDescent="0.35">
      <c r="B197" t="str">
        <f>IF(Table2429[[#This Row],[Branch Name]]="","",(_xlfn.XLOOKUP(Table2429[[#This Row],[Branch Name]],'Lookup Values'!G:G,'Lookup Values'!I:I,0)))</f>
        <v/>
      </c>
    </row>
    <row r="198" spans="2:2" x14ac:dyDescent="0.35">
      <c r="B198" t="str">
        <f>IF(Table2429[[#This Row],[Branch Name]]="","",(_xlfn.XLOOKUP(Table2429[[#This Row],[Branch Name]],'Lookup Values'!G:G,'Lookup Values'!I:I,0)))</f>
        <v/>
      </c>
    </row>
    <row r="199" spans="2:2" x14ac:dyDescent="0.35">
      <c r="B199" t="str">
        <f>IF(Table2429[[#This Row],[Branch Name]]="","",(_xlfn.XLOOKUP(Table2429[[#This Row],[Branch Name]],'Lookup Values'!G:G,'Lookup Values'!I:I,0)))</f>
        <v/>
      </c>
    </row>
    <row r="200" spans="2:2" x14ac:dyDescent="0.35">
      <c r="B200" t="str">
        <f>IF(Table2429[[#This Row],[Branch Name]]="","",(_xlfn.XLOOKUP(Table2429[[#This Row],[Branch Name]],'Lookup Values'!G:G,'Lookup Values'!I:I,0)))</f>
        <v/>
      </c>
    </row>
    <row r="201" spans="2:2" x14ac:dyDescent="0.35">
      <c r="B201" t="str">
        <f>IF(Table2429[[#This Row],[Branch Name]]="","",(_xlfn.XLOOKUP(Table2429[[#This Row],[Branch Name]],'Lookup Values'!G:G,'Lookup Values'!I:I,0)))</f>
        <v/>
      </c>
    </row>
    <row r="202" spans="2:2" x14ac:dyDescent="0.35">
      <c r="B202" t="str">
        <f>IF(Table2429[[#This Row],[Branch Name]]="","",(_xlfn.XLOOKUP(Table2429[[#This Row],[Branch Name]],'Lookup Values'!G:G,'Lookup Values'!I:I,0)))</f>
        <v/>
      </c>
    </row>
    <row r="203" spans="2:2" x14ac:dyDescent="0.35">
      <c r="B203" t="str">
        <f>IF(Table2429[[#This Row],[Branch Name]]="","",(_xlfn.XLOOKUP(Table2429[[#This Row],[Branch Name]],'Lookup Values'!G:G,'Lookup Values'!I:I,0)))</f>
        <v/>
      </c>
    </row>
    <row r="204" spans="2:2" x14ac:dyDescent="0.35">
      <c r="B204" t="str">
        <f>IF(Table2429[[#This Row],[Branch Name]]="","",(_xlfn.XLOOKUP(Table2429[[#This Row],[Branch Name]],'Lookup Values'!G:G,'Lookup Values'!I:I,0)))</f>
        <v/>
      </c>
    </row>
    <row r="205" spans="2:2" x14ac:dyDescent="0.35">
      <c r="B205" t="str">
        <f>IF(Table2429[[#This Row],[Branch Name]]="","",(_xlfn.XLOOKUP(Table2429[[#This Row],[Branch Name]],'Lookup Values'!G:G,'Lookup Values'!I:I,0)))</f>
        <v/>
      </c>
    </row>
    <row r="206" spans="2:2" x14ac:dyDescent="0.35">
      <c r="B206" t="str">
        <f>IF(Table2429[[#This Row],[Branch Name]]="","",(_xlfn.XLOOKUP(Table2429[[#This Row],[Branch Name]],'Lookup Values'!G:G,'Lookup Values'!I:I,0)))</f>
        <v/>
      </c>
    </row>
    <row r="207" spans="2:2" x14ac:dyDescent="0.35">
      <c r="B207" t="str">
        <f>IF(Table2429[[#This Row],[Branch Name]]="","",(_xlfn.XLOOKUP(Table2429[[#This Row],[Branch Name]],'Lookup Values'!G:G,'Lookup Values'!I:I,0)))</f>
        <v/>
      </c>
    </row>
    <row r="208" spans="2:2" x14ac:dyDescent="0.35">
      <c r="B208" t="str">
        <f>IF(Table2429[[#This Row],[Branch Name]]="","",(_xlfn.XLOOKUP(Table2429[[#This Row],[Branch Name]],'Lookup Values'!G:G,'Lookup Values'!I:I,0)))</f>
        <v/>
      </c>
    </row>
    <row r="209" spans="2:2" x14ac:dyDescent="0.35">
      <c r="B209" t="str">
        <f>IF(Table2429[[#This Row],[Branch Name]]="","",(_xlfn.XLOOKUP(Table2429[[#This Row],[Branch Name]],'Lookup Values'!G:G,'Lookup Values'!I:I,0)))</f>
        <v/>
      </c>
    </row>
    <row r="210" spans="2:2" x14ac:dyDescent="0.35">
      <c r="B210" t="str">
        <f>IF(Table2429[[#This Row],[Branch Name]]="","",(_xlfn.XLOOKUP(Table2429[[#This Row],[Branch Name]],'Lookup Values'!G:G,'Lookup Values'!I:I,0)))</f>
        <v/>
      </c>
    </row>
    <row r="211" spans="2:2" x14ac:dyDescent="0.35">
      <c r="B211" t="str">
        <f>IF(Table2429[[#This Row],[Branch Name]]="","",(_xlfn.XLOOKUP(Table2429[[#This Row],[Branch Name]],'Lookup Values'!G:G,'Lookup Values'!I:I,0)))</f>
        <v/>
      </c>
    </row>
    <row r="212" spans="2:2" x14ac:dyDescent="0.35">
      <c r="B212" t="str">
        <f>IF(Table2429[[#This Row],[Branch Name]]="","",(_xlfn.XLOOKUP(Table2429[[#This Row],[Branch Name]],'Lookup Values'!G:G,'Lookup Values'!I:I,0)))</f>
        <v/>
      </c>
    </row>
    <row r="213" spans="2:2" x14ac:dyDescent="0.35">
      <c r="B213" t="str">
        <f>IF(Table2429[[#This Row],[Branch Name]]="","",(_xlfn.XLOOKUP(Table2429[[#This Row],[Branch Name]],'Lookup Values'!G:G,'Lookup Values'!I:I,0)))</f>
        <v/>
      </c>
    </row>
    <row r="214" spans="2:2" x14ac:dyDescent="0.35">
      <c r="B214" t="str">
        <f>IF(Table2429[[#This Row],[Branch Name]]="","",(_xlfn.XLOOKUP(Table2429[[#This Row],[Branch Name]],'Lookup Values'!G:G,'Lookup Values'!I:I,0)))</f>
        <v/>
      </c>
    </row>
    <row r="215" spans="2:2" x14ac:dyDescent="0.35">
      <c r="B215" t="str">
        <f>IF(Table2429[[#This Row],[Branch Name]]="","",(_xlfn.XLOOKUP(Table2429[[#This Row],[Branch Name]],'Lookup Values'!G:G,'Lookup Values'!I:I,0)))</f>
        <v/>
      </c>
    </row>
    <row r="216" spans="2:2" x14ac:dyDescent="0.35">
      <c r="B216" t="str">
        <f>IF(Table2429[[#This Row],[Branch Name]]="","",(_xlfn.XLOOKUP(Table2429[[#This Row],[Branch Name]],'Lookup Values'!G:G,'Lookup Values'!I:I,0)))</f>
        <v/>
      </c>
    </row>
    <row r="217" spans="2:2" x14ac:dyDescent="0.35">
      <c r="B217" t="str">
        <f>IF(Table2429[[#This Row],[Branch Name]]="","",(_xlfn.XLOOKUP(Table2429[[#This Row],[Branch Name]],'Lookup Values'!G:G,'Lookup Values'!I:I,0)))</f>
        <v/>
      </c>
    </row>
    <row r="218" spans="2:2" x14ac:dyDescent="0.35">
      <c r="B218" t="str">
        <f>IF(Table2429[[#This Row],[Branch Name]]="","",(_xlfn.XLOOKUP(Table2429[[#This Row],[Branch Name]],'Lookup Values'!G:G,'Lookup Values'!I:I,0)))</f>
        <v/>
      </c>
    </row>
    <row r="219" spans="2:2" x14ac:dyDescent="0.35">
      <c r="B219" t="str">
        <f>IF(Table2429[[#This Row],[Branch Name]]="","",(_xlfn.XLOOKUP(Table2429[[#This Row],[Branch Name]],'Lookup Values'!G:G,'Lookup Values'!I:I,0)))</f>
        <v/>
      </c>
    </row>
    <row r="220" spans="2:2" x14ac:dyDescent="0.35">
      <c r="B220" t="str">
        <f>IF(Table2429[[#This Row],[Branch Name]]="","",(_xlfn.XLOOKUP(Table2429[[#This Row],[Branch Name]],'Lookup Values'!G:G,'Lookup Values'!I:I,0)))</f>
        <v/>
      </c>
    </row>
    <row r="221" spans="2:2" x14ac:dyDescent="0.35">
      <c r="B221" t="str">
        <f>IF(Table2429[[#This Row],[Branch Name]]="","",(_xlfn.XLOOKUP(Table2429[[#This Row],[Branch Name]],'Lookup Values'!G:G,'Lookup Values'!I:I,0)))</f>
        <v/>
      </c>
    </row>
    <row r="222" spans="2:2" x14ac:dyDescent="0.35">
      <c r="B222" t="str">
        <f>IF(Table2429[[#This Row],[Branch Name]]="","",(_xlfn.XLOOKUP(Table2429[[#This Row],[Branch Name]],'Lookup Values'!G:G,'Lookup Values'!I:I,0)))</f>
        <v/>
      </c>
    </row>
    <row r="223" spans="2:2" x14ac:dyDescent="0.35">
      <c r="B223" t="str">
        <f>IF(Table2429[[#This Row],[Branch Name]]="","",(_xlfn.XLOOKUP(Table2429[[#This Row],[Branch Name]],'Lookup Values'!G:G,'Lookup Values'!I:I,0)))</f>
        <v/>
      </c>
    </row>
    <row r="224" spans="2:2" x14ac:dyDescent="0.35">
      <c r="B224" t="str">
        <f>IF(Table2429[[#This Row],[Branch Name]]="","",(_xlfn.XLOOKUP(Table2429[[#This Row],[Branch Name]],'Lookup Values'!G:G,'Lookup Values'!I:I,0)))</f>
        <v/>
      </c>
    </row>
    <row r="225" spans="2:2" x14ac:dyDescent="0.35">
      <c r="B225" t="str">
        <f>IF(Table2429[[#This Row],[Branch Name]]="","",(_xlfn.XLOOKUP(Table2429[[#This Row],[Branch Name]],'Lookup Values'!G:G,'Lookup Values'!I:I,0)))</f>
        <v/>
      </c>
    </row>
    <row r="226" spans="2:2" x14ac:dyDescent="0.35">
      <c r="B226" t="str">
        <f>IF(Table2429[[#This Row],[Branch Name]]="","",(_xlfn.XLOOKUP(Table2429[[#This Row],[Branch Name]],'Lookup Values'!G:G,'Lookup Values'!I:I,0)))</f>
        <v/>
      </c>
    </row>
    <row r="227" spans="2:2" x14ac:dyDescent="0.35">
      <c r="B227" t="str">
        <f>IF(Table2429[[#This Row],[Branch Name]]="","",(_xlfn.XLOOKUP(Table2429[[#This Row],[Branch Name]],'Lookup Values'!G:G,'Lookup Values'!I:I,0)))</f>
        <v/>
      </c>
    </row>
    <row r="228" spans="2:2" x14ac:dyDescent="0.35">
      <c r="B228" t="str">
        <f>IF(Table2429[[#This Row],[Branch Name]]="","",(_xlfn.XLOOKUP(Table2429[[#This Row],[Branch Name]],'Lookup Values'!G:G,'Lookup Values'!I:I,0)))</f>
        <v/>
      </c>
    </row>
    <row r="229" spans="2:2" x14ac:dyDescent="0.35">
      <c r="B229" t="str">
        <f>IF(Table2429[[#This Row],[Branch Name]]="","",(_xlfn.XLOOKUP(Table2429[[#This Row],[Branch Name]],'Lookup Values'!G:G,'Lookup Values'!I:I,0)))</f>
        <v/>
      </c>
    </row>
    <row r="230" spans="2:2" x14ac:dyDescent="0.35">
      <c r="B230" t="str">
        <f>IF(Table2429[[#This Row],[Branch Name]]="","",(_xlfn.XLOOKUP(Table2429[[#This Row],[Branch Name]],'Lookup Values'!G:G,'Lookup Values'!I:I,0)))</f>
        <v/>
      </c>
    </row>
    <row r="231" spans="2:2" x14ac:dyDescent="0.35">
      <c r="B231" t="str">
        <f>IF(Table2429[[#This Row],[Branch Name]]="","",(_xlfn.XLOOKUP(Table2429[[#This Row],[Branch Name]],'Lookup Values'!G:G,'Lookup Values'!I:I,0)))</f>
        <v/>
      </c>
    </row>
    <row r="232" spans="2:2" x14ac:dyDescent="0.35">
      <c r="B232" t="str">
        <f>IF(Table2429[[#This Row],[Branch Name]]="","",(_xlfn.XLOOKUP(Table2429[[#This Row],[Branch Name]],'Lookup Values'!G:G,'Lookup Values'!I:I,0)))</f>
        <v/>
      </c>
    </row>
    <row r="233" spans="2:2" x14ac:dyDescent="0.35">
      <c r="B233" t="str">
        <f>IF(Table2429[[#This Row],[Branch Name]]="","",(_xlfn.XLOOKUP(Table2429[[#This Row],[Branch Name]],'Lookup Values'!G:G,'Lookup Values'!I:I,0)))</f>
        <v/>
      </c>
    </row>
    <row r="234" spans="2:2" x14ac:dyDescent="0.35">
      <c r="B234" t="str">
        <f>IF(Table2429[[#This Row],[Branch Name]]="","",(_xlfn.XLOOKUP(Table2429[[#This Row],[Branch Name]],'Lookup Values'!G:G,'Lookup Values'!I:I,0)))</f>
        <v/>
      </c>
    </row>
    <row r="235" spans="2:2" x14ac:dyDescent="0.35">
      <c r="B235" t="str">
        <f>IF(Table2429[[#This Row],[Branch Name]]="","",(_xlfn.XLOOKUP(Table2429[[#This Row],[Branch Name]],'Lookup Values'!G:G,'Lookup Values'!I:I,0)))</f>
        <v/>
      </c>
    </row>
    <row r="236" spans="2:2" x14ac:dyDescent="0.35">
      <c r="B236" t="str">
        <f>IF(Table2429[[#This Row],[Branch Name]]="","",(_xlfn.XLOOKUP(Table2429[[#This Row],[Branch Name]],'Lookup Values'!G:G,'Lookup Values'!I:I,0)))</f>
        <v/>
      </c>
    </row>
    <row r="237" spans="2:2" x14ac:dyDescent="0.35">
      <c r="B237" t="str">
        <f>IF(Table2429[[#This Row],[Branch Name]]="","",(_xlfn.XLOOKUP(Table2429[[#This Row],[Branch Name]],'Lookup Values'!G:G,'Lookup Values'!I:I,0)))</f>
        <v/>
      </c>
    </row>
    <row r="238" spans="2:2" x14ac:dyDescent="0.35">
      <c r="B238" t="str">
        <f>IF(Table2429[[#This Row],[Branch Name]]="","",(_xlfn.XLOOKUP(Table2429[[#This Row],[Branch Name]],'Lookup Values'!G:G,'Lookup Values'!I:I,0)))</f>
        <v/>
      </c>
    </row>
    <row r="239" spans="2:2" x14ac:dyDescent="0.35">
      <c r="B239" t="str">
        <f>IF(Table2429[[#This Row],[Branch Name]]="","",(_xlfn.XLOOKUP(Table2429[[#This Row],[Branch Name]],'Lookup Values'!G:G,'Lookup Values'!I:I,0)))</f>
        <v/>
      </c>
    </row>
    <row r="240" spans="2:2" x14ac:dyDescent="0.35">
      <c r="B240" t="str">
        <f>IF(Table2429[[#This Row],[Branch Name]]="","",(_xlfn.XLOOKUP(Table2429[[#This Row],[Branch Name]],'Lookup Values'!G:G,'Lookup Values'!I:I,0)))</f>
        <v/>
      </c>
    </row>
    <row r="241" spans="2:2" x14ac:dyDescent="0.35">
      <c r="B241" t="str">
        <f>IF(Table2429[[#This Row],[Branch Name]]="","",(_xlfn.XLOOKUP(Table2429[[#This Row],[Branch Name]],'Lookup Values'!G:G,'Lookup Values'!I:I,0)))</f>
        <v/>
      </c>
    </row>
    <row r="242" spans="2:2" x14ac:dyDescent="0.35">
      <c r="B242" t="str">
        <f>IF(Table2429[[#This Row],[Branch Name]]="","",(_xlfn.XLOOKUP(Table2429[[#This Row],[Branch Name]],'Lookup Values'!G:G,'Lookup Values'!I:I,0)))</f>
        <v/>
      </c>
    </row>
    <row r="243" spans="2:2" x14ac:dyDescent="0.35">
      <c r="B243" t="str">
        <f>IF(Table2429[[#This Row],[Branch Name]]="","",(_xlfn.XLOOKUP(Table2429[[#This Row],[Branch Name]],'Lookup Values'!G:G,'Lookup Values'!I:I,0)))</f>
        <v/>
      </c>
    </row>
    <row r="244" spans="2:2" x14ac:dyDescent="0.35">
      <c r="B244" t="str">
        <f>IF(Table2429[[#This Row],[Branch Name]]="","",(_xlfn.XLOOKUP(Table2429[[#This Row],[Branch Name]],'Lookup Values'!G:G,'Lookup Values'!I:I,0)))</f>
        <v/>
      </c>
    </row>
    <row r="245" spans="2:2" x14ac:dyDescent="0.35">
      <c r="B245" t="str">
        <f>IF(Table2429[[#This Row],[Branch Name]]="","",(_xlfn.XLOOKUP(Table2429[[#This Row],[Branch Name]],'Lookup Values'!G:G,'Lookup Values'!I:I,0)))</f>
        <v/>
      </c>
    </row>
    <row r="246" spans="2:2" x14ac:dyDescent="0.35">
      <c r="B246" t="str">
        <f>IF(Table2429[[#This Row],[Branch Name]]="","",(_xlfn.XLOOKUP(Table2429[[#This Row],[Branch Name]],'Lookup Values'!G:G,'Lookup Values'!I:I,0)))</f>
        <v/>
      </c>
    </row>
    <row r="247" spans="2:2" x14ac:dyDescent="0.35">
      <c r="B247" t="str">
        <f>IF(Table2429[[#This Row],[Branch Name]]="","",(_xlfn.XLOOKUP(Table2429[[#This Row],[Branch Name]],'Lookup Values'!G:G,'Lookup Values'!I:I,0)))</f>
        <v/>
      </c>
    </row>
    <row r="248" spans="2:2" x14ac:dyDescent="0.35">
      <c r="B248" t="str">
        <f>IF(Table2429[[#This Row],[Branch Name]]="","",(_xlfn.XLOOKUP(Table2429[[#This Row],[Branch Name]],'Lookup Values'!G:G,'Lookup Values'!I:I,0)))</f>
        <v/>
      </c>
    </row>
    <row r="249" spans="2:2" x14ac:dyDescent="0.35">
      <c r="B249" t="str">
        <f>IF(Table2429[[#This Row],[Branch Name]]="","",(_xlfn.XLOOKUP(Table2429[[#This Row],[Branch Name]],'Lookup Values'!G:G,'Lookup Values'!I:I,0)))</f>
        <v/>
      </c>
    </row>
    <row r="250" spans="2:2" x14ac:dyDescent="0.35">
      <c r="B250" t="str">
        <f>IF(Table2429[[#This Row],[Branch Name]]="","",(_xlfn.XLOOKUP(Table2429[[#This Row],[Branch Name]],'Lookup Values'!G:G,'Lookup Values'!I:I,0)))</f>
        <v/>
      </c>
    </row>
    <row r="251" spans="2:2" x14ac:dyDescent="0.35">
      <c r="B251" t="str">
        <f>IF(Table2429[[#This Row],[Branch Name]]="","",(_xlfn.XLOOKUP(Table2429[[#This Row],[Branch Name]],'Lookup Values'!G:G,'Lookup Values'!I:I,0)))</f>
        <v/>
      </c>
    </row>
    <row r="252" spans="2:2" x14ac:dyDescent="0.35">
      <c r="B252" t="str">
        <f>IF(Table2429[[#This Row],[Branch Name]]="","",(_xlfn.XLOOKUP(Table2429[[#This Row],[Branch Name]],'Lookup Values'!G:G,'Lookup Values'!I:I,0)))</f>
        <v/>
      </c>
    </row>
    <row r="253" spans="2:2" x14ac:dyDescent="0.35">
      <c r="B253" t="str">
        <f>IF(Table2429[[#This Row],[Branch Name]]="","",(_xlfn.XLOOKUP(Table2429[[#This Row],[Branch Name]],'Lookup Values'!G:G,'Lookup Values'!I:I,0)))</f>
        <v/>
      </c>
    </row>
    <row r="254" spans="2:2" x14ac:dyDescent="0.35">
      <c r="B254" t="str">
        <f>IF(Table2429[[#This Row],[Branch Name]]="","",(_xlfn.XLOOKUP(Table2429[[#This Row],[Branch Name]],'Lookup Values'!G:G,'Lookup Values'!I:I,0)))</f>
        <v/>
      </c>
    </row>
    <row r="255" spans="2:2" x14ac:dyDescent="0.35">
      <c r="B255" t="str">
        <f>IF(Table2429[[#This Row],[Branch Name]]="","",(_xlfn.XLOOKUP(Table2429[[#This Row],[Branch Name]],'Lookup Values'!G:G,'Lookup Values'!I:I,0)))</f>
        <v/>
      </c>
    </row>
    <row r="256" spans="2:2" x14ac:dyDescent="0.35">
      <c r="B256" t="str">
        <f>IF(Table2429[[#This Row],[Branch Name]]="","",(_xlfn.XLOOKUP(Table2429[[#This Row],[Branch Name]],'Lookup Values'!G:G,'Lookup Values'!I:I,0)))</f>
        <v/>
      </c>
    </row>
    <row r="257" spans="2:2" x14ac:dyDescent="0.35">
      <c r="B257" t="str">
        <f>IF(Table2429[[#This Row],[Branch Name]]="","",(_xlfn.XLOOKUP(Table2429[[#This Row],[Branch Name]],'Lookup Values'!G:G,'Lookup Values'!I:I,0)))</f>
        <v/>
      </c>
    </row>
    <row r="258" spans="2:2" x14ac:dyDescent="0.35">
      <c r="B258" t="str">
        <f>IF(Table2429[[#This Row],[Branch Name]]="","",(_xlfn.XLOOKUP(Table2429[[#This Row],[Branch Name]],'Lookup Values'!G:G,'Lookup Values'!I:I,0)))</f>
        <v/>
      </c>
    </row>
    <row r="259" spans="2:2" x14ac:dyDescent="0.35">
      <c r="B259" t="str">
        <f>IF(Table2429[[#This Row],[Branch Name]]="","",(_xlfn.XLOOKUP(Table2429[[#This Row],[Branch Name]],'Lookup Values'!G:G,'Lookup Values'!I:I,0)))</f>
        <v/>
      </c>
    </row>
    <row r="260" spans="2:2" x14ac:dyDescent="0.35">
      <c r="B260" t="str">
        <f>IF(Table2429[[#This Row],[Branch Name]]="","",(_xlfn.XLOOKUP(Table2429[[#This Row],[Branch Name]],'Lookup Values'!G:G,'Lookup Values'!I:I,0)))</f>
        <v/>
      </c>
    </row>
    <row r="261" spans="2:2" x14ac:dyDescent="0.35">
      <c r="B261" t="str">
        <f>IF(Table2429[[#This Row],[Branch Name]]="","",(_xlfn.XLOOKUP(Table2429[[#This Row],[Branch Name]],'Lookup Values'!G:G,'Lookup Values'!I:I,0)))</f>
        <v/>
      </c>
    </row>
    <row r="262" spans="2:2" x14ac:dyDescent="0.35">
      <c r="B262" t="str">
        <f>IF(Table2429[[#This Row],[Branch Name]]="","",(_xlfn.XLOOKUP(Table2429[[#This Row],[Branch Name]],'Lookup Values'!G:G,'Lookup Values'!I:I,0)))</f>
        <v/>
      </c>
    </row>
    <row r="263" spans="2:2" x14ac:dyDescent="0.35">
      <c r="B263" t="str">
        <f>IF(Table2429[[#This Row],[Branch Name]]="","",(_xlfn.XLOOKUP(Table2429[[#This Row],[Branch Name]],'Lookup Values'!G:G,'Lookup Values'!I:I,0)))</f>
        <v/>
      </c>
    </row>
    <row r="264" spans="2:2" x14ac:dyDescent="0.35">
      <c r="B264" t="str">
        <f>IF(Table2429[[#This Row],[Branch Name]]="","",(_xlfn.XLOOKUP(Table2429[[#This Row],[Branch Name]],'Lookup Values'!G:G,'Lookup Values'!I:I,0)))</f>
        <v/>
      </c>
    </row>
    <row r="265" spans="2:2" x14ac:dyDescent="0.35">
      <c r="B265" t="str">
        <f>IF(Table2429[[#This Row],[Branch Name]]="","",(_xlfn.XLOOKUP(Table2429[[#This Row],[Branch Name]],'Lookup Values'!G:G,'Lookup Values'!I:I,0)))</f>
        <v/>
      </c>
    </row>
    <row r="266" spans="2:2" x14ac:dyDescent="0.35">
      <c r="B266" t="str">
        <f>IF(Table2429[[#This Row],[Branch Name]]="","",(_xlfn.XLOOKUP(Table2429[[#This Row],[Branch Name]],'Lookup Values'!G:G,'Lookup Values'!I:I,0)))</f>
        <v/>
      </c>
    </row>
    <row r="267" spans="2:2" x14ac:dyDescent="0.35">
      <c r="B267" t="str">
        <f>IF(Table2429[[#This Row],[Branch Name]]="","",(_xlfn.XLOOKUP(Table2429[[#This Row],[Branch Name]],'Lookup Values'!G:G,'Lookup Values'!I:I,0)))</f>
        <v/>
      </c>
    </row>
    <row r="268" spans="2:2" x14ac:dyDescent="0.35">
      <c r="B268" t="str">
        <f>IF(Table2429[[#This Row],[Branch Name]]="","",(_xlfn.XLOOKUP(Table2429[[#This Row],[Branch Name]],'Lookup Values'!G:G,'Lookup Values'!I:I,0)))</f>
        <v/>
      </c>
    </row>
    <row r="269" spans="2:2" x14ac:dyDescent="0.35">
      <c r="B269" t="str">
        <f>IF(Table2429[[#This Row],[Branch Name]]="","",(_xlfn.XLOOKUP(Table2429[[#This Row],[Branch Name]],'Lookup Values'!G:G,'Lookup Values'!I:I,0)))</f>
        <v/>
      </c>
    </row>
    <row r="270" spans="2:2" x14ac:dyDescent="0.35">
      <c r="B270" t="str">
        <f>IF(Table2429[[#This Row],[Branch Name]]="","",(_xlfn.XLOOKUP(Table2429[[#This Row],[Branch Name]],'Lookup Values'!G:G,'Lookup Values'!I:I,0)))</f>
        <v/>
      </c>
    </row>
    <row r="271" spans="2:2" x14ac:dyDescent="0.35">
      <c r="B271" t="str">
        <f>IF(Table2429[[#This Row],[Branch Name]]="","",(_xlfn.XLOOKUP(Table2429[[#This Row],[Branch Name]],'Lookup Values'!G:G,'Lookup Values'!I:I,0)))</f>
        <v/>
      </c>
    </row>
    <row r="272" spans="2:2" x14ac:dyDescent="0.35">
      <c r="B272" t="str">
        <f>IF(Table2429[[#This Row],[Branch Name]]="","",(_xlfn.XLOOKUP(Table2429[[#This Row],[Branch Name]],'Lookup Values'!G:G,'Lookup Values'!I:I,0)))</f>
        <v/>
      </c>
    </row>
    <row r="273" spans="1:4" x14ac:dyDescent="0.35">
      <c r="B273" t="str">
        <f>IF(Table2429[[#This Row],[Branch Name]]="","",(_xlfn.XLOOKUP(Table2429[[#This Row],[Branch Name]],'Lookup Values'!G:G,'Lookup Values'!I:I,0)))</f>
        <v/>
      </c>
    </row>
    <row r="274" spans="1:4" x14ac:dyDescent="0.35">
      <c r="B274" t="str">
        <f>IF(Table2429[[#This Row],[Branch Name]]="","",(_xlfn.XLOOKUP(Table2429[[#This Row],[Branch Name]],'Lookup Values'!G:G,'Lookup Values'!I:I,0)))</f>
        <v/>
      </c>
    </row>
    <row r="275" spans="1:4" x14ac:dyDescent="0.35">
      <c r="B275" t="str">
        <f>IF(Table2429[[#This Row],[Branch Name]]="","",(_xlfn.XLOOKUP(Table2429[[#This Row],[Branch Name]],'Lookup Values'!G:G,'Lookup Values'!I:I,0)))</f>
        <v/>
      </c>
    </row>
    <row r="276" spans="1:4" x14ac:dyDescent="0.35">
      <c r="B276" t="str">
        <f>IF(Table2429[[#This Row],[Branch Name]]="","",(_xlfn.XLOOKUP(Table2429[[#This Row],[Branch Name]],'Lookup Values'!G:G,'Lookup Values'!I:I,0)))</f>
        <v/>
      </c>
    </row>
    <row r="277" spans="1:4" x14ac:dyDescent="0.35">
      <c r="B277" t="str">
        <f>IF(Table2429[[#This Row],[Branch Name]]="","",(_xlfn.XLOOKUP(Table2429[[#This Row],[Branch Name]],'Lookup Values'!G:G,'Lookup Values'!I:I,0)))</f>
        <v/>
      </c>
    </row>
    <row r="278" spans="1:4" x14ac:dyDescent="0.35">
      <c r="B278" t="str">
        <f>IF(Table2429[[#This Row],[Branch Name]]="","",(_xlfn.XLOOKUP(Table2429[[#This Row],[Branch Name]],'Lookup Values'!G:G,'Lookup Values'!I:I,0)))</f>
        <v/>
      </c>
    </row>
    <row r="279" spans="1:4" x14ac:dyDescent="0.35">
      <c r="A279" t="str">
        <f>IF(Table2429[[#This Row],[Branch Name]]="","",(_xlfn.XLOOKUP(Table2429[[#This Row],[Branch Name]],'Lookup Values'!G:G,'Lookup Values'!H:H,0)))</f>
        <v/>
      </c>
      <c r="B279" t="str">
        <f>IF(Table2429[[#This Row],[Branch Name]]="","",(_xlfn.XLOOKUP(Table2429[[#This Row],[Branch Name]],'Lookup Values'!G:G,'Lookup Values'!I:I,0)))</f>
        <v/>
      </c>
      <c r="C279" t="str">
        <f>IF(Table2429[[#This Row],[Journal Description (Service Description)]]="","",1)</f>
        <v/>
      </c>
      <c r="D279" s="2" t="str">
        <f>IF(Table2429[[#This Row],[Journal Description (Service Description)]]="","",VLOOKUP(Table2429[[#This Row],[Journal Description (Service Description)]],'Lookup Values'!$A:$B,2,FALSE))</f>
        <v/>
      </c>
    </row>
    <row r="280" spans="1:4" x14ac:dyDescent="0.35">
      <c r="A280" t="str">
        <f>IF(Table2429[[#This Row],[Branch Name]]="","",(_xlfn.XLOOKUP(Table2429[[#This Row],[Branch Name]],'Lookup Values'!G:G,'Lookup Values'!H:H,0)))</f>
        <v/>
      </c>
      <c r="B280" t="str">
        <f>IF(Table2429[[#This Row],[Branch Name]]="","",(_xlfn.XLOOKUP(Table2429[[#This Row],[Branch Name]],'Lookup Values'!G:G,'Lookup Values'!I:I,0)))</f>
        <v/>
      </c>
      <c r="C280" t="str">
        <f>IF(Table2429[[#This Row],[Journal Description (Service Description)]]="","",1)</f>
        <v/>
      </c>
      <c r="D280" s="2" t="str">
        <f>IF(Table2429[[#This Row],[Journal Description (Service Description)]]="","",VLOOKUP(Table2429[[#This Row],[Journal Description (Service Description)]],'Lookup Values'!$A:$B,2,FALSE))</f>
        <v/>
      </c>
    </row>
    <row r="281" spans="1:4" x14ac:dyDescent="0.35">
      <c r="A281" t="str">
        <f>IF(Table2429[[#This Row],[Branch Name]]="","",(_xlfn.XLOOKUP(Table2429[[#This Row],[Branch Name]],'Lookup Values'!G:G,'Lookup Values'!H:H,0)))</f>
        <v/>
      </c>
      <c r="B281" t="str">
        <f>IF(Table2429[[#This Row],[Branch Name]]="","",(_xlfn.XLOOKUP(Table2429[[#This Row],[Branch Name]],'Lookup Values'!G:G,'Lookup Values'!I:I,0)))</f>
        <v/>
      </c>
      <c r="C281" t="str">
        <f>IF(Table2429[[#This Row],[Journal Description (Service Description)]]="","",1)</f>
        <v/>
      </c>
      <c r="D281" s="2" t="str">
        <f>IF(Table2429[[#This Row],[Journal Description (Service Description)]]="","",VLOOKUP(Table2429[[#This Row],[Journal Description (Service Description)]],'Lookup Values'!$A:$B,2,FALSE))</f>
        <v/>
      </c>
    </row>
    <row r="282" spans="1:4" x14ac:dyDescent="0.35">
      <c r="A282" t="str">
        <f>IF(Table2429[[#This Row],[Branch Name]]="","",(_xlfn.XLOOKUP(Table2429[[#This Row],[Branch Name]],'Lookup Values'!G:G,'Lookup Values'!H:H,0)))</f>
        <v/>
      </c>
      <c r="B282" t="str">
        <f>IF(Table2429[[#This Row],[Branch Name]]="","",(_xlfn.XLOOKUP(Table2429[[#This Row],[Branch Name]],'Lookup Values'!G:G,'Lookup Values'!I:I,0)))</f>
        <v/>
      </c>
      <c r="C282" t="str">
        <f>IF(Table2429[[#This Row],[Journal Description (Service Description)]]="","",1)</f>
        <v/>
      </c>
      <c r="D282" s="2" t="str">
        <f>IF(Table2429[[#This Row],[Journal Description (Service Description)]]="","",VLOOKUP(Table2429[[#This Row],[Journal Description (Service Description)]],'Lookup Values'!$A:$B,2,FALSE))</f>
        <v/>
      </c>
    </row>
    <row r="283" spans="1:4" x14ac:dyDescent="0.35">
      <c r="A283" t="str">
        <f>IF(Table2429[[#This Row],[Branch Name]]="","",(_xlfn.XLOOKUP(Table2429[[#This Row],[Branch Name]],'Lookup Values'!G:G,'Lookup Values'!H:H,0)))</f>
        <v/>
      </c>
      <c r="B283" t="str">
        <f>IF(Table2429[[#This Row],[Branch Name]]="","",(_xlfn.XLOOKUP(Table2429[[#This Row],[Branch Name]],'Lookup Values'!G:G,'Lookup Values'!I:I,0)))</f>
        <v/>
      </c>
      <c r="C283" t="str">
        <f>IF(Table2429[[#This Row],[Journal Description (Service Description)]]="","",1)</f>
        <v/>
      </c>
      <c r="D283" s="2" t="str">
        <f>IF(Table2429[[#This Row],[Journal Description (Service Description)]]="","",VLOOKUP(Table2429[[#This Row],[Journal Description (Service Description)]],'Lookup Values'!$A:$B,2,FALSE))</f>
        <v/>
      </c>
    </row>
    <row r="284" spans="1:4" x14ac:dyDescent="0.35">
      <c r="A284" t="str">
        <f>IF(Table2429[[#This Row],[Branch Name]]="","",(_xlfn.XLOOKUP(Table2429[[#This Row],[Branch Name]],'Lookup Values'!G:G,'Lookup Values'!H:H,0)))</f>
        <v/>
      </c>
      <c r="B284" t="str">
        <f>IF(Table2429[[#This Row],[Branch Name]]="","",(_xlfn.XLOOKUP(Table2429[[#This Row],[Branch Name]],'Lookup Values'!G:G,'Lookup Values'!I:I,0)))</f>
        <v/>
      </c>
      <c r="C284" t="str">
        <f>IF(Table2429[[#This Row],[Journal Description (Service Description)]]="","",1)</f>
        <v/>
      </c>
      <c r="D284" s="2" t="str">
        <f>IF(Table2429[[#This Row],[Journal Description (Service Description)]]="","",VLOOKUP(Table2429[[#This Row],[Journal Description (Service Description)]],'Lookup Values'!$A:$B,2,FALSE))</f>
        <v/>
      </c>
    </row>
    <row r="285" spans="1:4" x14ac:dyDescent="0.35">
      <c r="A285" t="str">
        <f>IF(Table2429[[#This Row],[Branch Name]]="","",(_xlfn.XLOOKUP(Table2429[[#This Row],[Branch Name]],'Lookup Values'!G:G,'Lookup Values'!H:H,0)))</f>
        <v/>
      </c>
      <c r="B285" t="str">
        <f>IF(Table2429[[#This Row],[Branch Name]]="","",(_xlfn.XLOOKUP(Table2429[[#This Row],[Branch Name]],'Lookup Values'!G:G,'Lookup Values'!I:I,0)))</f>
        <v/>
      </c>
      <c r="C285" t="str">
        <f>IF(Table2429[[#This Row],[Journal Description (Service Description)]]="","",1)</f>
        <v/>
      </c>
      <c r="D285" s="2" t="str">
        <f>IF(Table2429[[#This Row],[Journal Description (Service Description)]]="","",VLOOKUP(Table2429[[#This Row],[Journal Description (Service Description)]],'Lookup Values'!$A:$B,2,FALSE))</f>
        <v/>
      </c>
    </row>
    <row r="286" spans="1:4" x14ac:dyDescent="0.35">
      <c r="A286" t="str">
        <f>IF(Table2429[[#This Row],[Branch Name]]="","",(_xlfn.XLOOKUP(Table2429[[#This Row],[Branch Name]],'Lookup Values'!G:G,'Lookup Values'!H:H,0)))</f>
        <v/>
      </c>
      <c r="B286" t="str">
        <f>IF(Table2429[[#This Row],[Branch Name]]="","",(_xlfn.XLOOKUP(Table2429[[#This Row],[Branch Name]],'Lookup Values'!G:G,'Lookup Values'!I:I,0)))</f>
        <v/>
      </c>
      <c r="C286" t="str">
        <f>IF(Table2429[[#This Row],[Journal Description (Service Description)]]="","",1)</f>
        <v/>
      </c>
      <c r="D286" s="2" t="str">
        <f>IF(Table2429[[#This Row],[Journal Description (Service Description)]]="","",VLOOKUP(Table2429[[#This Row],[Journal Description (Service Description)]],'Lookup Values'!$A:$B,2,FALSE))</f>
        <v/>
      </c>
    </row>
    <row r="287" spans="1:4" x14ac:dyDescent="0.35">
      <c r="A287" t="str">
        <f>IF(Table2429[[#This Row],[Branch Name]]="","",(_xlfn.XLOOKUP(Table2429[[#This Row],[Branch Name]],'Lookup Values'!G:G,'Lookup Values'!H:H,0)))</f>
        <v/>
      </c>
      <c r="B287" t="str">
        <f>IF(Table2429[[#This Row],[Branch Name]]="","",(_xlfn.XLOOKUP(Table2429[[#This Row],[Branch Name]],'Lookup Values'!G:G,'Lookup Values'!I:I,0)))</f>
        <v/>
      </c>
      <c r="C287" t="str">
        <f>IF(Table2429[[#This Row],[Journal Description (Service Description)]]="","",1)</f>
        <v/>
      </c>
      <c r="D287" s="2" t="str">
        <f>IF(Table2429[[#This Row],[Journal Description (Service Description)]]="","",VLOOKUP(Table2429[[#This Row],[Journal Description (Service Description)]],'Lookup Values'!$A:$B,2,FALSE))</f>
        <v/>
      </c>
    </row>
    <row r="288" spans="1:4" x14ac:dyDescent="0.35">
      <c r="A288" t="str">
        <f>IF(Table2429[[#This Row],[Branch Name]]="","",(_xlfn.XLOOKUP(Table2429[[#This Row],[Branch Name]],'Lookup Values'!G:G,'Lookup Values'!H:H,0)))</f>
        <v/>
      </c>
      <c r="B288" t="str">
        <f>IF(Table2429[[#This Row],[Branch Name]]="","",(_xlfn.XLOOKUP(Table2429[[#This Row],[Branch Name]],'Lookup Values'!G:G,'Lookup Values'!I:I,0)))</f>
        <v/>
      </c>
      <c r="C288" t="str">
        <f>IF(Table2429[[#This Row],[Journal Description (Service Description)]]="","",1)</f>
        <v/>
      </c>
      <c r="D288" s="2" t="str">
        <f>IF(Table2429[[#This Row],[Journal Description (Service Description)]]="","",VLOOKUP(Table2429[[#This Row],[Journal Description (Service Description)]],'Lookup Values'!$A:$B,2,FALSE))</f>
        <v/>
      </c>
    </row>
    <row r="289" spans="1:4" x14ac:dyDescent="0.35">
      <c r="A289" t="str">
        <f>IF(Table2429[[#This Row],[Branch Name]]="","",(_xlfn.XLOOKUP(Table2429[[#This Row],[Branch Name]],'Lookup Values'!G:G,'Lookup Values'!H:H,0)))</f>
        <v/>
      </c>
      <c r="B289" t="str">
        <f>IF(Table2429[[#This Row],[Branch Name]]="","",(_xlfn.XLOOKUP(Table2429[[#This Row],[Branch Name]],'Lookup Values'!G:G,'Lookup Values'!I:I,0)))</f>
        <v/>
      </c>
      <c r="C289" t="str">
        <f>IF(Table2429[[#This Row],[Journal Description (Service Description)]]="","",1)</f>
        <v/>
      </c>
      <c r="D289" s="2" t="str">
        <f>IF(Table2429[[#This Row],[Journal Description (Service Description)]]="","",VLOOKUP(Table2429[[#This Row],[Journal Description (Service Description)]],'Lookup Values'!$A:$B,2,FALSE))</f>
        <v/>
      </c>
    </row>
    <row r="290" spans="1:4" x14ac:dyDescent="0.35">
      <c r="A290" t="str">
        <f>IF(Table2429[[#This Row],[Branch Name]]="","",(_xlfn.XLOOKUP(Table2429[[#This Row],[Branch Name]],'Lookup Values'!G:G,'Lookup Values'!H:H,0)))</f>
        <v/>
      </c>
      <c r="B290" t="str">
        <f>IF(Table2429[[#This Row],[Branch Name]]="","",(_xlfn.XLOOKUP(Table2429[[#This Row],[Branch Name]],'Lookup Values'!G:G,'Lookup Values'!I:I,0)))</f>
        <v/>
      </c>
      <c r="C290" t="str">
        <f>IF(Table2429[[#This Row],[Journal Description (Service Description)]]="","",1)</f>
        <v/>
      </c>
      <c r="D290" s="2" t="str">
        <f>IF(Table2429[[#This Row],[Journal Description (Service Description)]]="","",VLOOKUP(Table2429[[#This Row],[Journal Description (Service Description)]],'Lookup Values'!$A:$B,2,FALSE))</f>
        <v/>
      </c>
    </row>
    <row r="291" spans="1:4" x14ac:dyDescent="0.35">
      <c r="A291" t="str">
        <f>IF(Table2429[[#This Row],[Branch Name]]="","",(_xlfn.XLOOKUP(Table2429[[#This Row],[Branch Name]],'Lookup Values'!G:G,'Lookup Values'!H:H,0)))</f>
        <v/>
      </c>
      <c r="B291" t="str">
        <f>IF(Table2429[[#This Row],[Branch Name]]="","",(_xlfn.XLOOKUP(Table2429[[#This Row],[Branch Name]],'Lookup Values'!G:G,'Lookup Values'!I:I,0)))</f>
        <v/>
      </c>
      <c r="C291" t="str">
        <f>IF(Table2429[[#This Row],[Journal Description (Service Description)]]="","",1)</f>
        <v/>
      </c>
      <c r="D291" s="2" t="str">
        <f>IF(Table2429[[#This Row],[Journal Description (Service Description)]]="","",VLOOKUP(Table2429[[#This Row],[Journal Description (Service Description)]],'Lookup Values'!$A:$B,2,FALSE))</f>
        <v/>
      </c>
    </row>
    <row r="292" spans="1:4" x14ac:dyDescent="0.35">
      <c r="A292" t="str">
        <f>IF(Table2429[[#This Row],[Branch Name]]="","",(_xlfn.XLOOKUP(Table2429[[#This Row],[Branch Name]],'Lookup Values'!G:G,'Lookup Values'!H:H,0)))</f>
        <v/>
      </c>
      <c r="B292" t="str">
        <f>IF(Table2429[[#This Row],[Branch Name]]="","",(_xlfn.XLOOKUP(Table2429[[#This Row],[Branch Name]],'Lookup Values'!G:G,'Lookup Values'!I:I,0)))</f>
        <v/>
      </c>
      <c r="C292" t="str">
        <f>IF(Table2429[[#This Row],[Journal Description (Service Description)]]="","",1)</f>
        <v/>
      </c>
      <c r="D292" s="2" t="str">
        <f>IF(Table2429[[#This Row],[Journal Description (Service Description)]]="","",VLOOKUP(Table2429[[#This Row],[Journal Description (Service Description)]],'Lookup Values'!$A:$B,2,FALSE))</f>
        <v/>
      </c>
    </row>
    <row r="293" spans="1:4" x14ac:dyDescent="0.35">
      <c r="A293" t="str">
        <f>IF(Table2429[[#This Row],[Branch Name]]="","",(_xlfn.XLOOKUP(Table2429[[#This Row],[Branch Name]],'Lookup Values'!G:G,'Lookup Values'!H:H,0)))</f>
        <v/>
      </c>
      <c r="B293" t="str">
        <f>IF(Table2429[[#This Row],[Branch Name]]="","",(_xlfn.XLOOKUP(Table2429[[#This Row],[Branch Name]],'Lookup Values'!G:G,'Lookup Values'!I:I,0)))</f>
        <v/>
      </c>
      <c r="C293" t="str">
        <f>IF(Table2429[[#This Row],[Journal Description (Service Description)]]="","",1)</f>
        <v/>
      </c>
      <c r="D293" s="2" t="str">
        <f>IF(Table2429[[#This Row],[Journal Description (Service Description)]]="","",VLOOKUP(Table2429[[#This Row],[Journal Description (Service Description)]],'Lookup Values'!$A:$B,2,FALSE))</f>
        <v/>
      </c>
    </row>
    <row r="294" spans="1:4" x14ac:dyDescent="0.35">
      <c r="A294" t="str">
        <f>IF(Table2429[[#This Row],[Branch Name]]="","",(_xlfn.XLOOKUP(Table2429[[#This Row],[Branch Name]],'Lookup Values'!G:G,'Lookup Values'!H:H,0)))</f>
        <v/>
      </c>
      <c r="B294" t="str">
        <f>IF(Table2429[[#This Row],[Branch Name]]="","",(_xlfn.XLOOKUP(Table2429[[#This Row],[Branch Name]],'Lookup Values'!G:G,'Lookup Values'!I:I,0)))</f>
        <v/>
      </c>
      <c r="C294" t="str">
        <f>IF(Table2429[[#This Row],[Journal Description (Service Description)]]="","",1)</f>
        <v/>
      </c>
      <c r="D294" s="2" t="str">
        <f>IF(Table2429[[#This Row],[Journal Description (Service Description)]]="","",VLOOKUP(Table2429[[#This Row],[Journal Description (Service Description)]],'Lookup Values'!$A:$B,2,FALSE))</f>
        <v/>
      </c>
    </row>
    <row r="295" spans="1:4" x14ac:dyDescent="0.35">
      <c r="A295" t="str">
        <f>IF(Table2429[[#This Row],[Branch Name]]="","",(_xlfn.XLOOKUP(Table2429[[#This Row],[Branch Name]],'Lookup Values'!G:G,'Lookup Values'!H:H,0)))</f>
        <v/>
      </c>
      <c r="B295" t="str">
        <f>IF(Table2429[[#This Row],[Branch Name]]="","",(_xlfn.XLOOKUP(Table2429[[#This Row],[Branch Name]],'Lookup Values'!G:G,'Lookup Values'!I:I,0)))</f>
        <v/>
      </c>
      <c r="C295" t="str">
        <f>IF(Table2429[[#This Row],[Journal Description (Service Description)]]="","",1)</f>
        <v/>
      </c>
      <c r="D295" s="2" t="str">
        <f>IF(Table2429[[#This Row],[Journal Description (Service Description)]]="","",VLOOKUP(Table2429[[#This Row],[Journal Description (Service Description)]],'Lookup Values'!$A:$B,2,FALSE))</f>
        <v/>
      </c>
    </row>
    <row r="296" spans="1:4" x14ac:dyDescent="0.35">
      <c r="A296" t="str">
        <f>IF(Table2429[[#This Row],[Branch Name]]="","",(_xlfn.XLOOKUP(Table2429[[#This Row],[Branch Name]],'Lookup Values'!G:G,'Lookup Values'!H:H,0)))</f>
        <v/>
      </c>
      <c r="B296" t="str">
        <f>IF(Table2429[[#This Row],[Branch Name]]="","",(_xlfn.XLOOKUP(Table2429[[#This Row],[Branch Name]],'Lookup Values'!G:G,'Lookup Values'!I:I,0)))</f>
        <v/>
      </c>
      <c r="C296" t="str">
        <f>IF(Table2429[[#This Row],[Journal Description (Service Description)]]="","",1)</f>
        <v/>
      </c>
      <c r="D296" s="2" t="str">
        <f>IF(Table2429[[#This Row],[Journal Description (Service Description)]]="","",VLOOKUP(Table2429[[#This Row],[Journal Description (Service Description)]],'Lookup Values'!$A:$B,2,FALSE))</f>
        <v/>
      </c>
    </row>
    <row r="297" spans="1:4" x14ac:dyDescent="0.35">
      <c r="A297" t="str">
        <f>IF(Table2429[[#This Row],[Branch Name]]="","",(_xlfn.XLOOKUP(Table2429[[#This Row],[Branch Name]],'Lookup Values'!G:G,'Lookup Values'!H:H,0)))</f>
        <v/>
      </c>
      <c r="B297" t="str">
        <f>IF(Table2429[[#This Row],[Branch Name]]="","",(_xlfn.XLOOKUP(Table2429[[#This Row],[Branch Name]],'Lookup Values'!G:G,'Lookup Values'!I:I,0)))</f>
        <v/>
      </c>
      <c r="C297" t="str">
        <f>IF(Table2429[[#This Row],[Journal Description (Service Description)]]="","",1)</f>
        <v/>
      </c>
      <c r="D297" s="2" t="str">
        <f>IF(Table2429[[#This Row],[Journal Description (Service Description)]]="","",VLOOKUP(Table2429[[#This Row],[Journal Description (Service Description)]],'Lookup Values'!$A:$B,2,FALSE))</f>
        <v/>
      </c>
    </row>
    <row r="298" spans="1:4" x14ac:dyDescent="0.35">
      <c r="A298" t="str">
        <f>IF(Table2429[[#This Row],[Branch Name]]="","",(_xlfn.XLOOKUP(Table2429[[#This Row],[Branch Name]],'Lookup Values'!G:G,'Lookup Values'!H:H,0)))</f>
        <v/>
      </c>
      <c r="B298" t="str">
        <f>IF(Table2429[[#This Row],[Branch Name]]="","",(_xlfn.XLOOKUP(Table2429[[#This Row],[Branch Name]],'Lookup Values'!G:G,'Lookup Values'!I:I,0)))</f>
        <v/>
      </c>
      <c r="C298" t="str">
        <f>IF(Table2429[[#This Row],[Journal Description (Service Description)]]="","",1)</f>
        <v/>
      </c>
      <c r="D298" s="2" t="str">
        <f>IF(Table2429[[#This Row],[Journal Description (Service Description)]]="","",VLOOKUP(Table2429[[#This Row],[Journal Description (Service Description)]],'Lookup Values'!$A:$B,2,FALSE))</f>
        <v/>
      </c>
    </row>
    <row r="299" spans="1:4" x14ac:dyDescent="0.35">
      <c r="A299" t="str">
        <f>IF(Table2429[[#This Row],[Branch Name]]="","",(_xlfn.XLOOKUP(Table2429[[#This Row],[Branch Name]],'Lookup Values'!G:G,'Lookup Values'!H:H,0)))</f>
        <v/>
      </c>
      <c r="B299" t="str">
        <f>IF(Table2429[[#This Row],[Branch Name]]="","",(_xlfn.XLOOKUP(Table2429[[#This Row],[Branch Name]],'Lookup Values'!G:G,'Lookup Values'!I:I,0)))</f>
        <v/>
      </c>
      <c r="C299" t="str">
        <f>IF(Table2429[[#This Row],[Journal Description (Service Description)]]="","",1)</f>
        <v/>
      </c>
      <c r="D299" s="2" t="str">
        <f>IF(Table2429[[#This Row],[Journal Description (Service Description)]]="","",VLOOKUP(Table2429[[#This Row],[Journal Description (Service Description)]],'Lookup Values'!$A:$B,2,FALSE))</f>
        <v/>
      </c>
    </row>
    <row r="300" spans="1:4" x14ac:dyDescent="0.35">
      <c r="A300" t="str">
        <f>IF(Table2429[[#This Row],[Branch Name]]="","",(_xlfn.XLOOKUP(Table2429[[#This Row],[Branch Name]],'Lookup Values'!G:G,'Lookup Values'!H:H,0)))</f>
        <v/>
      </c>
      <c r="B300" t="str">
        <f>IF(Table2429[[#This Row],[Branch Name]]="","",(_xlfn.XLOOKUP(Table2429[[#This Row],[Branch Name]],'Lookup Values'!G:G,'Lookup Values'!I:I,0)))</f>
        <v/>
      </c>
      <c r="C300" t="str">
        <f>IF(Table2429[[#This Row],[Journal Description (Service Description)]]="","",1)</f>
        <v/>
      </c>
      <c r="D300" s="2" t="str">
        <f>IF(Table2429[[#This Row],[Journal Description (Service Description)]]="","",VLOOKUP(Table2429[[#This Row],[Journal Description (Service Description)]],'Lookup Values'!$A:$B,2,FALSE))</f>
        <v/>
      </c>
    </row>
    <row r="301" spans="1:4" x14ac:dyDescent="0.35">
      <c r="A301" t="str">
        <f>IF(Table2429[[#This Row],[Branch Name]]="","",(_xlfn.XLOOKUP(Table2429[[#This Row],[Branch Name]],'Lookup Values'!G:G,'Lookup Values'!H:H,0)))</f>
        <v/>
      </c>
      <c r="B301" t="str">
        <f>IF(Table2429[[#This Row],[Branch Name]]="","",(_xlfn.XLOOKUP(Table2429[[#This Row],[Branch Name]],'Lookup Values'!G:G,'Lookup Values'!I:I,0)))</f>
        <v/>
      </c>
      <c r="C301" t="str">
        <f>IF(Table2429[[#This Row],[Journal Description (Service Description)]]="","",1)</f>
        <v/>
      </c>
      <c r="D301" s="2" t="str">
        <f>IF(Table2429[[#This Row],[Journal Description (Service Description)]]="","",VLOOKUP(Table2429[[#This Row],[Journal Description (Service Description)]],'Lookup Values'!$A:$B,2,FALSE))</f>
        <v/>
      </c>
    </row>
    <row r="302" spans="1:4" x14ac:dyDescent="0.35">
      <c r="A302" t="str">
        <f>IF(Table2429[[#This Row],[Branch Name]]="","",(_xlfn.XLOOKUP(Table2429[[#This Row],[Branch Name]],'Lookup Values'!G:G,'Lookup Values'!H:H,0)))</f>
        <v/>
      </c>
      <c r="B302" t="str">
        <f>IF(Table2429[[#This Row],[Branch Name]]="","",(_xlfn.XLOOKUP(Table2429[[#This Row],[Branch Name]],'Lookup Values'!G:G,'Lookup Values'!I:I,0)))</f>
        <v/>
      </c>
      <c r="C302" t="str">
        <f>IF(Table2429[[#This Row],[Journal Description (Service Description)]]="","",1)</f>
        <v/>
      </c>
      <c r="D302" s="2" t="str">
        <f>IF(Table2429[[#This Row],[Journal Description (Service Description)]]="","",VLOOKUP(Table2429[[#This Row],[Journal Description (Service Description)]],'Lookup Values'!$A:$B,2,FALSE))</f>
        <v/>
      </c>
    </row>
    <row r="303" spans="1:4" x14ac:dyDescent="0.35">
      <c r="A303" t="str">
        <f>IF(Table2429[[#This Row],[Branch Name]]="","",(_xlfn.XLOOKUP(Table2429[[#This Row],[Branch Name]],'Lookup Values'!G:G,'Lookup Values'!H:H,0)))</f>
        <v/>
      </c>
      <c r="B303" t="str">
        <f>IF(Table2429[[#This Row],[Branch Name]]="","",(_xlfn.XLOOKUP(Table2429[[#This Row],[Branch Name]],'Lookup Values'!G:G,'Lookup Values'!I:I,0)))</f>
        <v/>
      </c>
      <c r="C303" t="str">
        <f>IF(Table2429[[#This Row],[Journal Description (Service Description)]]="","",1)</f>
        <v/>
      </c>
      <c r="D303" s="2" t="str">
        <f>IF(Table2429[[#This Row],[Journal Description (Service Description)]]="","",VLOOKUP(Table2429[[#This Row],[Journal Description (Service Description)]],'Lookup Values'!$A:$B,2,FALSE))</f>
        <v/>
      </c>
    </row>
    <row r="304" spans="1:4" x14ac:dyDescent="0.35">
      <c r="A304" t="str">
        <f>IF(Table2429[[#This Row],[Branch Name]]="","",(_xlfn.XLOOKUP(Table2429[[#This Row],[Branch Name]],'Lookup Values'!G:G,'Lookup Values'!H:H,0)))</f>
        <v/>
      </c>
      <c r="B304" t="str">
        <f>IF(Table2429[[#This Row],[Branch Name]]="","",(_xlfn.XLOOKUP(Table2429[[#This Row],[Branch Name]],'Lookup Values'!G:G,'Lookup Values'!I:I,0)))</f>
        <v/>
      </c>
      <c r="C304" t="str">
        <f>IF(Table2429[[#This Row],[Journal Description (Service Description)]]="","",1)</f>
        <v/>
      </c>
      <c r="D304" s="2" t="str">
        <f>IF(Table2429[[#This Row],[Journal Description (Service Description)]]="","",VLOOKUP(Table2429[[#This Row],[Journal Description (Service Description)]],'Lookup Values'!$A:$B,2,FALSE))</f>
        <v/>
      </c>
    </row>
    <row r="305" spans="1:4" x14ac:dyDescent="0.35">
      <c r="A305" t="str">
        <f>IF(Table2429[[#This Row],[Branch Name]]="","",(_xlfn.XLOOKUP(Table2429[[#This Row],[Branch Name]],'Lookup Values'!G:G,'Lookup Values'!H:H,0)))</f>
        <v/>
      </c>
      <c r="B305" t="str">
        <f>IF(Table2429[[#This Row],[Branch Name]]="","",(_xlfn.XLOOKUP(Table2429[[#This Row],[Branch Name]],'Lookup Values'!G:G,'Lookup Values'!I:I,0)))</f>
        <v/>
      </c>
      <c r="C305" t="str">
        <f>IF(Table2429[[#This Row],[Journal Description (Service Description)]]="","",1)</f>
        <v/>
      </c>
      <c r="D305" s="2" t="str">
        <f>IF(Table2429[[#This Row],[Journal Description (Service Description)]]="","",VLOOKUP(Table2429[[#This Row],[Journal Description (Service Description)]],'Lookup Values'!$A:$B,2,FALSE))</f>
        <v/>
      </c>
    </row>
    <row r="306" spans="1:4" x14ac:dyDescent="0.35">
      <c r="A306" t="str">
        <f>IF(Table2429[[#This Row],[Branch Name]]="","",(_xlfn.XLOOKUP(Table2429[[#This Row],[Branch Name]],'Lookup Values'!G:G,'Lookup Values'!H:H,0)))</f>
        <v/>
      </c>
      <c r="B306" t="str">
        <f>IF(Table2429[[#This Row],[Branch Name]]="","",(_xlfn.XLOOKUP(Table2429[[#This Row],[Branch Name]],'Lookup Values'!G:G,'Lookup Values'!I:I,0)))</f>
        <v/>
      </c>
      <c r="C306" t="str">
        <f>IF(Table2429[[#This Row],[Journal Description (Service Description)]]="","",1)</f>
        <v/>
      </c>
      <c r="D306" s="2" t="str">
        <f>IF(Table2429[[#This Row],[Journal Description (Service Description)]]="","",VLOOKUP(Table2429[[#This Row],[Journal Description (Service Description)]],'Lookup Values'!$A:$B,2,FALSE))</f>
        <v/>
      </c>
    </row>
    <row r="307" spans="1:4" x14ac:dyDescent="0.35">
      <c r="A307" t="str">
        <f>IF(Table2429[[#This Row],[Branch Name]]="","",(_xlfn.XLOOKUP(Table2429[[#This Row],[Branch Name]],'Lookup Values'!G:G,'Lookup Values'!H:H,0)))</f>
        <v/>
      </c>
      <c r="B307" t="str">
        <f>IF(Table2429[[#This Row],[Branch Name]]="","",(_xlfn.XLOOKUP(Table2429[[#This Row],[Branch Name]],'Lookup Values'!G:G,'Lookup Values'!I:I,0)))</f>
        <v/>
      </c>
      <c r="C307" t="str">
        <f>IF(Table2429[[#This Row],[Journal Description (Service Description)]]="","",1)</f>
        <v/>
      </c>
      <c r="D307" s="2" t="str">
        <f>IF(Table2429[[#This Row],[Journal Description (Service Description)]]="","",VLOOKUP(Table2429[[#This Row],[Journal Description (Service Description)]],'Lookup Values'!$A:$B,2,FALSE))</f>
        <v/>
      </c>
    </row>
    <row r="308" spans="1:4" x14ac:dyDescent="0.35">
      <c r="A308" t="str">
        <f>IF(Table2429[[#This Row],[Branch Name]]="","",(_xlfn.XLOOKUP(Table2429[[#This Row],[Branch Name]],'Lookup Values'!G:G,'Lookup Values'!H:H,0)))</f>
        <v/>
      </c>
      <c r="B308" t="str">
        <f>IF(Table2429[[#This Row],[Branch Name]]="","",(_xlfn.XLOOKUP(Table2429[[#This Row],[Branch Name]],'Lookup Values'!G:G,'Lookup Values'!I:I,0)))</f>
        <v/>
      </c>
      <c r="C308" t="str">
        <f>IF(Table2429[[#This Row],[Journal Description (Service Description)]]="","",1)</f>
        <v/>
      </c>
      <c r="D308" s="2" t="str">
        <f>IF(Table2429[[#This Row],[Journal Description (Service Description)]]="","",VLOOKUP(Table2429[[#This Row],[Journal Description (Service Description)]],'Lookup Values'!$A:$B,2,FALSE))</f>
        <v/>
      </c>
    </row>
    <row r="309" spans="1:4" x14ac:dyDescent="0.35">
      <c r="A309" t="str">
        <f>IF(Table2429[[#This Row],[Branch Name]]="","",(_xlfn.XLOOKUP(Table2429[[#This Row],[Branch Name]],'Lookup Values'!G:G,'Lookup Values'!H:H,0)))</f>
        <v/>
      </c>
      <c r="B309" t="str">
        <f>IF(Table2429[[#This Row],[Branch Name]]="","",(_xlfn.XLOOKUP(Table2429[[#This Row],[Branch Name]],'Lookup Values'!G:G,'Lookup Values'!I:I,0)))</f>
        <v/>
      </c>
      <c r="C309" t="str">
        <f>IF(Table2429[[#This Row],[Journal Description (Service Description)]]="","",1)</f>
        <v/>
      </c>
      <c r="D309" s="2" t="str">
        <f>IF(Table2429[[#This Row],[Journal Description (Service Description)]]="","",VLOOKUP(Table2429[[#This Row],[Journal Description (Service Description)]],'Lookup Values'!$A:$B,2,FALSE))</f>
        <v/>
      </c>
    </row>
    <row r="310" spans="1:4" x14ac:dyDescent="0.35">
      <c r="A310" t="str">
        <f>IF(Table2429[[#This Row],[Branch Name]]="","",(_xlfn.XLOOKUP(Table2429[[#This Row],[Branch Name]],'Lookup Values'!G:G,'Lookup Values'!H:H,0)))</f>
        <v/>
      </c>
      <c r="B310" t="str">
        <f>IF(Table2429[[#This Row],[Branch Name]]="","",(_xlfn.XLOOKUP(Table2429[[#This Row],[Branch Name]],'Lookup Values'!G:G,'Lookup Values'!I:I,0)))</f>
        <v/>
      </c>
      <c r="C310" t="str">
        <f>IF(Table2429[[#This Row],[Journal Description (Service Description)]]="","",1)</f>
        <v/>
      </c>
      <c r="D310" s="2" t="str">
        <f>IF(Table2429[[#This Row],[Journal Description (Service Description)]]="","",VLOOKUP(Table2429[[#This Row],[Journal Description (Service Description)]],'Lookup Values'!$A:$B,2,FALSE))</f>
        <v/>
      </c>
    </row>
    <row r="311" spans="1:4" x14ac:dyDescent="0.35">
      <c r="A311" t="str">
        <f>IF(Table2429[[#This Row],[Branch Name]]="","",(_xlfn.XLOOKUP(Table2429[[#This Row],[Branch Name]],'Lookup Values'!G:G,'Lookup Values'!H:H,0)))</f>
        <v/>
      </c>
      <c r="B311" t="str">
        <f>IF(Table2429[[#This Row],[Branch Name]]="","",(_xlfn.XLOOKUP(Table2429[[#This Row],[Branch Name]],'Lookup Values'!G:G,'Lookup Values'!I:I,0)))</f>
        <v/>
      </c>
      <c r="C311" t="str">
        <f>IF(Table2429[[#This Row],[Journal Description (Service Description)]]="","",1)</f>
        <v/>
      </c>
      <c r="D311" s="2" t="str">
        <f>IF(Table2429[[#This Row],[Journal Description (Service Description)]]="","",VLOOKUP(Table2429[[#This Row],[Journal Description (Service Description)]],'Lookup Values'!$A:$B,2,FALSE))</f>
        <v/>
      </c>
    </row>
    <row r="312" spans="1:4" x14ac:dyDescent="0.35">
      <c r="A312" t="str">
        <f>IF(Table2429[[#This Row],[Branch Name]]="","",(_xlfn.XLOOKUP(Table2429[[#This Row],[Branch Name]],'Lookup Values'!G:G,'Lookup Values'!H:H,0)))</f>
        <v/>
      </c>
      <c r="B312" t="str">
        <f>IF(Table2429[[#This Row],[Branch Name]]="","",(_xlfn.XLOOKUP(Table2429[[#This Row],[Branch Name]],'Lookup Values'!G:G,'Lookup Values'!I:I,0)))</f>
        <v/>
      </c>
      <c r="C312" t="str">
        <f>IF(Table2429[[#This Row],[Journal Description (Service Description)]]="","",1)</f>
        <v/>
      </c>
      <c r="D312" s="2" t="str">
        <f>IF(Table2429[[#This Row],[Journal Description (Service Description)]]="","",VLOOKUP(Table2429[[#This Row],[Journal Description (Service Description)]],'Lookup Values'!$A:$B,2,FALSE))</f>
        <v/>
      </c>
    </row>
    <row r="313" spans="1:4" x14ac:dyDescent="0.35">
      <c r="A313" t="str">
        <f>IF(Table2429[[#This Row],[Branch Name]]="","",(_xlfn.XLOOKUP(Table2429[[#This Row],[Branch Name]],'Lookup Values'!G:G,'Lookup Values'!H:H,0)))</f>
        <v/>
      </c>
      <c r="B313" t="str">
        <f>IF(Table2429[[#This Row],[Branch Name]]="","",(_xlfn.XLOOKUP(Table2429[[#This Row],[Branch Name]],'Lookup Values'!G:G,'Lookup Values'!I:I,0)))</f>
        <v/>
      </c>
      <c r="C313" t="str">
        <f>IF(Table2429[[#This Row],[Journal Description (Service Description)]]="","",1)</f>
        <v/>
      </c>
      <c r="D313" s="2" t="str">
        <f>IF(Table2429[[#This Row],[Journal Description (Service Description)]]="","",VLOOKUP(Table2429[[#This Row],[Journal Description (Service Description)]],'Lookup Values'!$A:$B,2,FALSE))</f>
        <v/>
      </c>
    </row>
    <row r="314" spans="1:4" x14ac:dyDescent="0.35">
      <c r="A314" t="str">
        <f>IF(Table2429[[#This Row],[Branch Name]]="","",(_xlfn.XLOOKUP(Table2429[[#This Row],[Branch Name]],'Lookup Values'!G:G,'Lookup Values'!H:H,0)))</f>
        <v/>
      </c>
      <c r="B314" t="str">
        <f>IF(Table2429[[#This Row],[Branch Name]]="","",(_xlfn.XLOOKUP(Table2429[[#This Row],[Branch Name]],'Lookup Values'!G:G,'Lookup Values'!I:I,0)))</f>
        <v/>
      </c>
      <c r="C314" t="str">
        <f>IF(Table2429[[#This Row],[Journal Description (Service Description)]]="","",1)</f>
        <v/>
      </c>
      <c r="D314" s="2" t="str">
        <f>IF(Table2429[[#This Row],[Journal Description (Service Description)]]="","",VLOOKUP(Table2429[[#This Row],[Journal Description (Service Description)]],'Lookup Values'!$A:$B,2,FALSE))</f>
        <v/>
      </c>
    </row>
    <row r="315" spans="1:4" x14ac:dyDescent="0.35">
      <c r="A315" t="str">
        <f>IF(Table2429[[#This Row],[Branch Name]]="","",(_xlfn.XLOOKUP(Table2429[[#This Row],[Branch Name]],'Lookup Values'!G:G,'Lookup Values'!H:H,0)))</f>
        <v/>
      </c>
      <c r="B315" t="str">
        <f>IF(Table2429[[#This Row],[Branch Name]]="","",(_xlfn.XLOOKUP(Table2429[[#This Row],[Branch Name]],'Lookup Values'!G:G,'Lookup Values'!I:I,0)))</f>
        <v/>
      </c>
      <c r="C315" t="str">
        <f>IF(Table2429[[#This Row],[Journal Description (Service Description)]]="","",1)</f>
        <v/>
      </c>
      <c r="D315" s="2" t="str">
        <f>IF(Table2429[[#This Row],[Journal Description (Service Description)]]="","",VLOOKUP(Table2429[[#This Row],[Journal Description (Service Description)]],'Lookup Values'!$A:$B,2,FALSE))</f>
        <v/>
      </c>
    </row>
    <row r="316" spans="1:4" x14ac:dyDescent="0.35">
      <c r="A316" t="str">
        <f>IF(Table2429[[#This Row],[Branch Name]]="","",(_xlfn.XLOOKUP(Table2429[[#This Row],[Branch Name]],'Lookup Values'!G:G,'Lookup Values'!H:H,0)))</f>
        <v/>
      </c>
      <c r="B316" t="str">
        <f>IF(Table2429[[#This Row],[Branch Name]]="","",(_xlfn.XLOOKUP(Table2429[[#This Row],[Branch Name]],'Lookup Values'!G:G,'Lookup Values'!I:I,0)))</f>
        <v/>
      </c>
      <c r="C316" t="str">
        <f>IF(Table2429[[#This Row],[Journal Description (Service Description)]]="","",1)</f>
        <v/>
      </c>
      <c r="D316" s="2" t="str">
        <f>IF(Table2429[[#This Row],[Journal Description (Service Description)]]="","",VLOOKUP(Table2429[[#This Row],[Journal Description (Service Description)]],'Lookup Values'!$A:$B,2,FALSE))</f>
        <v/>
      </c>
    </row>
    <row r="317" spans="1:4" x14ac:dyDescent="0.35">
      <c r="A317" t="str">
        <f>IF(Table2429[[#This Row],[Branch Name]]="","",(_xlfn.XLOOKUP(Table2429[[#This Row],[Branch Name]],'Lookup Values'!G:G,'Lookup Values'!H:H,0)))</f>
        <v/>
      </c>
      <c r="B317" t="str">
        <f>IF(Table2429[[#This Row],[Branch Name]]="","",(_xlfn.XLOOKUP(Table2429[[#This Row],[Branch Name]],'Lookup Values'!G:G,'Lookup Values'!I:I,0)))</f>
        <v/>
      </c>
      <c r="C317" t="str">
        <f>IF(Table2429[[#This Row],[Journal Description (Service Description)]]="","",1)</f>
        <v/>
      </c>
      <c r="D317" s="2" t="str">
        <f>IF(Table2429[[#This Row],[Journal Description (Service Description)]]="","",VLOOKUP(Table2429[[#This Row],[Journal Description (Service Description)]],'Lookup Values'!$A:$B,2,FALSE))</f>
        <v/>
      </c>
    </row>
    <row r="318" spans="1:4" x14ac:dyDescent="0.35">
      <c r="A318" t="str">
        <f>IF(Table2429[[#This Row],[Branch Name]]="","",(_xlfn.XLOOKUP(Table2429[[#This Row],[Branch Name]],'Lookup Values'!G:G,'Lookup Values'!H:H,0)))</f>
        <v/>
      </c>
      <c r="B318" t="str">
        <f>IF(Table2429[[#This Row],[Branch Name]]="","",(_xlfn.XLOOKUP(Table2429[[#This Row],[Branch Name]],'Lookup Values'!G:G,'Lookup Values'!I:I,0)))</f>
        <v/>
      </c>
      <c r="C318" t="str">
        <f>IF(Table2429[[#This Row],[Journal Description (Service Description)]]="","",1)</f>
        <v/>
      </c>
      <c r="D318" s="2" t="str">
        <f>IF(Table2429[[#This Row],[Journal Description (Service Description)]]="","",VLOOKUP(Table2429[[#This Row],[Journal Description (Service Description)]],'Lookup Values'!$A:$B,2,FALSE))</f>
        <v/>
      </c>
    </row>
    <row r="319" spans="1:4" x14ac:dyDescent="0.35">
      <c r="A319" t="str">
        <f>IF(Table2429[[#This Row],[Branch Name]]="","",(_xlfn.XLOOKUP(Table2429[[#This Row],[Branch Name]],'Lookup Values'!G:G,'Lookup Values'!H:H,0)))</f>
        <v/>
      </c>
      <c r="B319" t="str">
        <f>IF(Table2429[[#This Row],[Branch Name]]="","",(_xlfn.XLOOKUP(Table2429[[#This Row],[Branch Name]],'Lookup Values'!G:G,'Lookup Values'!I:I,0)))</f>
        <v/>
      </c>
      <c r="C319" t="str">
        <f>IF(Table2429[[#This Row],[Journal Description (Service Description)]]="","",1)</f>
        <v/>
      </c>
      <c r="D319" s="2" t="str">
        <f>IF(Table2429[[#This Row],[Journal Description (Service Description)]]="","",VLOOKUP(Table2429[[#This Row],[Journal Description (Service Description)]],'Lookup Values'!$A:$B,2,FALSE))</f>
        <v/>
      </c>
    </row>
    <row r="320" spans="1:4" x14ac:dyDescent="0.35">
      <c r="A320" t="str">
        <f>IF(Table2429[[#This Row],[Branch Name]]="","",(_xlfn.XLOOKUP(Table2429[[#This Row],[Branch Name]],'Lookup Values'!G:G,'Lookup Values'!H:H,0)))</f>
        <v/>
      </c>
      <c r="B320" t="str">
        <f>IF(Table2429[[#This Row],[Branch Name]]="","",(_xlfn.XLOOKUP(Table2429[[#This Row],[Branch Name]],'Lookup Values'!G:G,'Lookup Values'!I:I,0)))</f>
        <v/>
      </c>
      <c r="C320" t="str">
        <f>IF(Table2429[[#This Row],[Journal Description (Service Description)]]="","",1)</f>
        <v/>
      </c>
      <c r="D320" s="2" t="str">
        <f>IF(Table2429[[#This Row],[Journal Description (Service Description)]]="","",VLOOKUP(Table2429[[#This Row],[Journal Description (Service Description)]],'Lookup Values'!$A:$B,2,FALSE))</f>
        <v/>
      </c>
    </row>
    <row r="321" spans="1:4" x14ac:dyDescent="0.35">
      <c r="A321" t="str">
        <f>IF(Table2429[[#This Row],[Branch Name]]="","",(_xlfn.XLOOKUP(Table2429[[#This Row],[Branch Name]],'Lookup Values'!G:G,'Lookup Values'!H:H,0)))</f>
        <v/>
      </c>
      <c r="B321" t="str">
        <f>IF(Table2429[[#This Row],[Branch Name]]="","",(_xlfn.XLOOKUP(Table2429[[#This Row],[Branch Name]],'Lookup Values'!G:G,'Lookup Values'!I:I,0)))</f>
        <v/>
      </c>
      <c r="C321" t="str">
        <f>IF(Table2429[[#This Row],[Journal Description (Service Description)]]="","",1)</f>
        <v/>
      </c>
      <c r="D321" s="2" t="str">
        <f>IF(Table2429[[#This Row],[Journal Description (Service Description)]]="","",VLOOKUP(Table2429[[#This Row],[Journal Description (Service Description)]],'Lookup Values'!$A:$B,2,FALSE))</f>
        <v/>
      </c>
    </row>
    <row r="322" spans="1:4" x14ac:dyDescent="0.35">
      <c r="A322" t="str">
        <f>IF(Table2429[[#This Row],[Branch Name]]="","",(_xlfn.XLOOKUP(Table2429[[#This Row],[Branch Name]],'Lookup Values'!G:G,'Lookup Values'!H:H,0)))</f>
        <v/>
      </c>
      <c r="B322" t="str">
        <f>IF(Table2429[[#This Row],[Branch Name]]="","",(_xlfn.XLOOKUP(Table2429[[#This Row],[Branch Name]],'Lookup Values'!G:G,'Lookup Values'!I:I,0)))</f>
        <v/>
      </c>
      <c r="C322" t="str">
        <f>IF(Table2429[[#This Row],[Journal Description (Service Description)]]="","",1)</f>
        <v/>
      </c>
      <c r="D322" s="2" t="str">
        <f>IF(Table2429[[#This Row],[Journal Description (Service Description)]]="","",VLOOKUP(Table2429[[#This Row],[Journal Description (Service Description)]],'Lookup Values'!$A:$B,2,FALSE))</f>
        <v/>
      </c>
    </row>
    <row r="323" spans="1:4" x14ac:dyDescent="0.35">
      <c r="A323" t="str">
        <f>IF(Table2429[[#This Row],[Branch Name]]="","",(_xlfn.XLOOKUP(Table2429[[#This Row],[Branch Name]],'Lookup Values'!G:G,'Lookup Values'!H:H,0)))</f>
        <v/>
      </c>
      <c r="B323" t="str">
        <f>IF(Table2429[[#This Row],[Branch Name]]="","",(_xlfn.XLOOKUP(Table2429[[#This Row],[Branch Name]],'Lookup Values'!G:G,'Lookup Values'!I:I,0)))</f>
        <v/>
      </c>
      <c r="C323" t="str">
        <f>IF(Table2429[[#This Row],[Journal Description (Service Description)]]="","",1)</f>
        <v/>
      </c>
      <c r="D323" s="2" t="str">
        <f>IF(Table2429[[#This Row],[Journal Description (Service Description)]]="","",VLOOKUP(Table2429[[#This Row],[Journal Description (Service Description)]],'Lookup Values'!$A:$B,2,FALSE))</f>
        <v/>
      </c>
    </row>
    <row r="324" spans="1:4" x14ac:dyDescent="0.35">
      <c r="A324" t="str">
        <f>IF(Table2429[[#This Row],[Branch Name]]="","",(_xlfn.XLOOKUP(Table2429[[#This Row],[Branch Name]],'Lookup Values'!G:G,'Lookup Values'!H:H,0)))</f>
        <v/>
      </c>
      <c r="B324" t="str">
        <f>IF(Table2429[[#This Row],[Branch Name]]="","",(_xlfn.XLOOKUP(Table2429[[#This Row],[Branch Name]],'Lookup Values'!G:G,'Lookup Values'!I:I,0)))</f>
        <v/>
      </c>
      <c r="C324" t="str">
        <f>IF(Table2429[[#This Row],[Journal Description (Service Description)]]="","",1)</f>
        <v/>
      </c>
      <c r="D324" s="2" t="str">
        <f>IF(Table2429[[#This Row],[Journal Description (Service Description)]]="","",VLOOKUP(Table2429[[#This Row],[Journal Description (Service Description)]],'Lookup Values'!$A:$B,2,FALSE))</f>
        <v/>
      </c>
    </row>
    <row r="325" spans="1:4" x14ac:dyDescent="0.35">
      <c r="A325" t="str">
        <f>IF(Table2429[[#This Row],[Branch Name]]="","",(_xlfn.XLOOKUP(Table2429[[#This Row],[Branch Name]],'Lookup Values'!G:G,'Lookup Values'!H:H,0)))</f>
        <v/>
      </c>
      <c r="B325" t="str">
        <f>IF(Table2429[[#This Row],[Branch Name]]="","",(_xlfn.XLOOKUP(Table2429[[#This Row],[Branch Name]],'Lookup Values'!G:G,'Lookup Values'!I:I,0)))</f>
        <v/>
      </c>
      <c r="C325" t="str">
        <f>IF(Table2429[[#This Row],[Journal Description (Service Description)]]="","",1)</f>
        <v/>
      </c>
      <c r="D325" s="2" t="str">
        <f>IF(Table2429[[#This Row],[Journal Description (Service Description)]]="","",VLOOKUP(Table2429[[#This Row],[Journal Description (Service Description)]],'Lookup Values'!$A:$B,2,FALSE))</f>
        <v/>
      </c>
    </row>
    <row r="326" spans="1:4" x14ac:dyDescent="0.35">
      <c r="A326" t="str">
        <f>IF(Table2429[[#This Row],[Branch Name]]="","",(_xlfn.XLOOKUP(Table2429[[#This Row],[Branch Name]],'Lookup Values'!G:G,'Lookup Values'!H:H,0)))</f>
        <v/>
      </c>
      <c r="B326" t="str">
        <f>IF(Table2429[[#This Row],[Branch Name]]="","",(_xlfn.XLOOKUP(Table2429[[#This Row],[Branch Name]],'Lookup Values'!G:G,'Lookup Values'!I:I,0)))</f>
        <v/>
      </c>
      <c r="C326" t="str">
        <f>IF(Table2429[[#This Row],[Journal Description (Service Description)]]="","",1)</f>
        <v/>
      </c>
      <c r="D326" s="2" t="str">
        <f>IF(Table2429[[#This Row],[Journal Description (Service Description)]]="","",VLOOKUP(Table2429[[#This Row],[Journal Description (Service Description)]],'Lookup Values'!$A:$B,2,FALSE))</f>
        <v/>
      </c>
    </row>
    <row r="327" spans="1:4" x14ac:dyDescent="0.35">
      <c r="A327" t="str">
        <f>IF(Table2429[[#This Row],[Branch Name]]="","",(_xlfn.XLOOKUP(Table2429[[#This Row],[Branch Name]],'Lookup Values'!G:G,'Lookup Values'!H:H,0)))</f>
        <v/>
      </c>
      <c r="B327" t="str">
        <f>IF(Table2429[[#This Row],[Branch Name]]="","",(_xlfn.XLOOKUP(Table2429[[#This Row],[Branch Name]],'Lookup Values'!G:G,'Lookup Values'!I:I,0)))</f>
        <v/>
      </c>
      <c r="C327" t="str">
        <f>IF(Table2429[[#This Row],[Journal Description (Service Description)]]="","",1)</f>
        <v/>
      </c>
      <c r="D327" s="2" t="str">
        <f>IF(Table2429[[#This Row],[Journal Description (Service Description)]]="","",VLOOKUP(Table2429[[#This Row],[Journal Description (Service Description)]],'Lookup Values'!$A:$B,2,FALSE))</f>
        <v/>
      </c>
    </row>
    <row r="328" spans="1:4" x14ac:dyDescent="0.35">
      <c r="A328" t="str">
        <f>IF(Table2429[[#This Row],[Branch Name]]="","",(_xlfn.XLOOKUP(Table2429[[#This Row],[Branch Name]],'Lookup Values'!G:G,'Lookup Values'!H:H,0)))</f>
        <v/>
      </c>
      <c r="B328" t="str">
        <f>IF(Table2429[[#This Row],[Branch Name]]="","",(_xlfn.XLOOKUP(Table2429[[#This Row],[Branch Name]],'Lookup Values'!G:G,'Lookup Values'!I:I,0)))</f>
        <v/>
      </c>
      <c r="C328" t="str">
        <f>IF(Table2429[[#This Row],[Journal Description (Service Description)]]="","",1)</f>
        <v/>
      </c>
      <c r="D328" s="2" t="str">
        <f>IF(Table2429[[#This Row],[Journal Description (Service Description)]]="","",VLOOKUP(Table2429[[#This Row],[Journal Description (Service Description)]],'Lookup Values'!$A:$B,2,FALSE))</f>
        <v/>
      </c>
    </row>
    <row r="329" spans="1:4" x14ac:dyDescent="0.35">
      <c r="A329" t="str">
        <f>IF(Table2429[[#This Row],[Branch Name]]="","",(_xlfn.XLOOKUP(Table2429[[#This Row],[Branch Name]],'Lookup Values'!G:G,'Lookup Values'!H:H,0)))</f>
        <v/>
      </c>
      <c r="B329" t="str">
        <f>IF(Table2429[[#This Row],[Branch Name]]="","",(_xlfn.XLOOKUP(Table2429[[#This Row],[Branch Name]],'Lookup Values'!G:G,'Lookup Values'!I:I,0)))</f>
        <v/>
      </c>
      <c r="C329" t="str">
        <f>IF(Table2429[[#This Row],[Journal Description (Service Description)]]="","",1)</f>
        <v/>
      </c>
      <c r="D329" s="2" t="str">
        <f>IF(Table2429[[#This Row],[Journal Description (Service Description)]]="","",VLOOKUP(Table2429[[#This Row],[Journal Description (Service Description)]],'Lookup Values'!$A:$B,2,FALSE))</f>
        <v/>
      </c>
    </row>
    <row r="330" spans="1:4" x14ac:dyDescent="0.35">
      <c r="A330" t="str">
        <f>IF(Table2429[[#This Row],[Branch Name]]="","",(_xlfn.XLOOKUP(Table2429[[#This Row],[Branch Name]],'Lookup Values'!G:G,'Lookup Values'!H:H,0)))</f>
        <v/>
      </c>
      <c r="B330" t="str">
        <f>IF(Table2429[[#This Row],[Branch Name]]="","",(_xlfn.XLOOKUP(Table2429[[#This Row],[Branch Name]],'Lookup Values'!G:G,'Lookup Values'!I:I,0)))</f>
        <v/>
      </c>
      <c r="C330" t="str">
        <f>IF(Table2429[[#This Row],[Journal Description (Service Description)]]="","",1)</f>
        <v/>
      </c>
      <c r="D330" s="2" t="str">
        <f>IF(Table2429[[#This Row],[Journal Description (Service Description)]]="","",VLOOKUP(Table2429[[#This Row],[Journal Description (Service Description)]],'Lookup Values'!$A:$B,2,FALSE))</f>
        <v/>
      </c>
    </row>
    <row r="331" spans="1:4" x14ac:dyDescent="0.35">
      <c r="A331" t="str">
        <f>IF(Table2429[[#This Row],[Branch Name]]="","",(_xlfn.XLOOKUP(Table2429[[#This Row],[Branch Name]],'Lookup Values'!G:G,'Lookup Values'!H:H,0)))</f>
        <v/>
      </c>
      <c r="B331" t="str">
        <f>IF(Table2429[[#This Row],[Branch Name]]="","",(_xlfn.XLOOKUP(Table2429[[#This Row],[Branch Name]],'Lookup Values'!G:G,'Lookup Values'!I:I,0)))</f>
        <v/>
      </c>
      <c r="C331" t="str">
        <f>IF(Table2429[[#This Row],[Journal Description (Service Description)]]="","",1)</f>
        <v/>
      </c>
      <c r="D331" s="2" t="str">
        <f>IF(Table2429[[#This Row],[Journal Description (Service Description)]]="","",VLOOKUP(Table2429[[#This Row],[Journal Description (Service Description)]],'Lookup Values'!$A:$B,2,FALSE))</f>
        <v/>
      </c>
    </row>
    <row r="332" spans="1:4" x14ac:dyDescent="0.35">
      <c r="A332" t="str">
        <f>IF(Table2429[[#This Row],[Branch Name]]="","",(_xlfn.XLOOKUP(Table2429[[#This Row],[Branch Name]],'Lookup Values'!G:G,'Lookup Values'!H:H,0)))</f>
        <v/>
      </c>
      <c r="B332" t="str">
        <f>IF(Table2429[[#This Row],[Branch Name]]="","",(_xlfn.XLOOKUP(Table2429[[#This Row],[Branch Name]],'Lookup Values'!G:G,'Lookup Values'!I:I,0)))</f>
        <v/>
      </c>
      <c r="C332" t="str">
        <f>IF(Table2429[[#This Row],[Journal Description (Service Description)]]="","",1)</f>
        <v/>
      </c>
      <c r="D332" s="2" t="str">
        <f>IF(Table2429[[#This Row],[Journal Description (Service Description)]]="","",VLOOKUP(Table2429[[#This Row],[Journal Description (Service Description)]],'Lookup Values'!$A:$B,2,FALSE))</f>
        <v/>
      </c>
    </row>
    <row r="333" spans="1:4" x14ac:dyDescent="0.35">
      <c r="A333" t="str">
        <f>IF(Table2429[[#This Row],[Branch Name]]="","",(_xlfn.XLOOKUP(Table2429[[#This Row],[Branch Name]],'Lookup Values'!G:G,'Lookup Values'!H:H,0)))</f>
        <v/>
      </c>
      <c r="B333" t="str">
        <f>IF(Table2429[[#This Row],[Branch Name]]="","",(_xlfn.XLOOKUP(Table2429[[#This Row],[Branch Name]],'Lookup Values'!G:G,'Lookup Values'!I:I,0)))</f>
        <v/>
      </c>
      <c r="C333" t="str">
        <f>IF(Table2429[[#This Row],[Journal Description (Service Description)]]="","",1)</f>
        <v/>
      </c>
      <c r="D333" s="2" t="str">
        <f>IF(Table2429[[#This Row],[Journal Description (Service Description)]]="","",VLOOKUP(Table2429[[#This Row],[Journal Description (Service Description)]],'Lookup Values'!$A:$B,2,FALSE))</f>
        <v/>
      </c>
    </row>
    <row r="334" spans="1:4" x14ac:dyDescent="0.35">
      <c r="A334" t="str">
        <f>IF(Table2429[[#This Row],[Branch Name]]="","",(_xlfn.XLOOKUP(Table2429[[#This Row],[Branch Name]],'Lookup Values'!G:G,'Lookup Values'!H:H,0)))</f>
        <v/>
      </c>
      <c r="B334" t="str">
        <f>IF(Table2429[[#This Row],[Branch Name]]="","",(_xlfn.XLOOKUP(Table2429[[#This Row],[Branch Name]],'Lookup Values'!G:G,'Lookup Values'!I:I,0)))</f>
        <v/>
      </c>
      <c r="C334" t="str">
        <f>IF(Table2429[[#This Row],[Journal Description (Service Description)]]="","",1)</f>
        <v/>
      </c>
      <c r="D334" s="2" t="str">
        <f>IF(Table2429[[#This Row],[Journal Description (Service Description)]]="","",VLOOKUP(Table2429[[#This Row],[Journal Description (Service Description)]],'Lookup Values'!$A:$B,2,FALSE))</f>
        <v/>
      </c>
    </row>
    <row r="335" spans="1:4" x14ac:dyDescent="0.35">
      <c r="A335" t="str">
        <f>IF(Table2429[[#This Row],[Branch Name]]="","",(_xlfn.XLOOKUP(Table2429[[#This Row],[Branch Name]],'Lookup Values'!G:G,'Lookup Values'!H:H,0)))</f>
        <v/>
      </c>
      <c r="B335" t="str">
        <f>IF(Table2429[[#This Row],[Branch Name]]="","",(_xlfn.XLOOKUP(Table2429[[#This Row],[Branch Name]],'Lookup Values'!G:G,'Lookup Values'!I:I,0)))</f>
        <v/>
      </c>
      <c r="C335" t="str">
        <f>IF(Table2429[[#This Row],[Journal Description (Service Description)]]="","",1)</f>
        <v/>
      </c>
      <c r="D335" s="2" t="str">
        <f>IF(Table2429[[#This Row],[Journal Description (Service Description)]]="","",VLOOKUP(Table2429[[#This Row],[Journal Description (Service Description)]],'Lookup Values'!$A:$B,2,FALSE))</f>
        <v/>
      </c>
    </row>
    <row r="336" spans="1:4" x14ac:dyDescent="0.35">
      <c r="A336" t="str">
        <f>IF(Table2429[[#This Row],[Branch Name]]="","",(_xlfn.XLOOKUP(Table2429[[#This Row],[Branch Name]],'Lookup Values'!G:G,'Lookup Values'!H:H,0)))</f>
        <v/>
      </c>
      <c r="B336" t="str">
        <f>IF(Table2429[[#This Row],[Branch Name]]="","",(_xlfn.XLOOKUP(Table2429[[#This Row],[Branch Name]],'Lookup Values'!G:G,'Lookup Values'!I:I,0)))</f>
        <v/>
      </c>
      <c r="C336" t="str">
        <f>IF(Table2429[[#This Row],[Journal Description (Service Description)]]="","",1)</f>
        <v/>
      </c>
      <c r="D336" s="2" t="str">
        <f>IF(Table2429[[#This Row],[Journal Description (Service Description)]]="","",VLOOKUP(Table2429[[#This Row],[Journal Description (Service Description)]],'Lookup Values'!$A:$B,2,FALSE))</f>
        <v/>
      </c>
    </row>
    <row r="337" spans="1:4" x14ac:dyDescent="0.35">
      <c r="A337" t="str">
        <f>IF(Table2429[[#This Row],[Branch Name]]="","",(_xlfn.XLOOKUP(Table2429[[#This Row],[Branch Name]],'Lookup Values'!G:G,'Lookup Values'!H:H,0)))</f>
        <v/>
      </c>
      <c r="B337" t="str">
        <f>IF(Table2429[[#This Row],[Branch Name]]="","",(_xlfn.XLOOKUP(Table2429[[#This Row],[Branch Name]],'Lookup Values'!G:G,'Lookup Values'!I:I,0)))</f>
        <v/>
      </c>
      <c r="C337" t="str">
        <f>IF(Table2429[[#This Row],[Journal Description (Service Description)]]="","",1)</f>
        <v/>
      </c>
      <c r="D337" s="2" t="str">
        <f>IF(Table2429[[#This Row],[Journal Description (Service Description)]]="","",VLOOKUP(Table2429[[#This Row],[Journal Description (Service Description)]],'Lookup Values'!$A:$B,2,FALSE))</f>
        <v/>
      </c>
    </row>
    <row r="338" spans="1:4" x14ac:dyDescent="0.35">
      <c r="A338" t="str">
        <f>IF(Table2429[[#This Row],[Branch Name]]="","",(_xlfn.XLOOKUP(Table2429[[#This Row],[Branch Name]],'Lookup Values'!G:G,'Lookup Values'!H:H,0)))</f>
        <v/>
      </c>
      <c r="B338" t="str">
        <f>IF(Table2429[[#This Row],[Branch Name]]="","",(_xlfn.XLOOKUP(Table2429[[#This Row],[Branch Name]],'Lookup Values'!G:G,'Lookup Values'!I:I,0)))</f>
        <v/>
      </c>
      <c r="C338" t="str">
        <f>IF(Table2429[[#This Row],[Journal Description (Service Description)]]="","",1)</f>
        <v/>
      </c>
      <c r="D338" s="2" t="str">
        <f>IF(Table2429[[#This Row],[Journal Description (Service Description)]]="","",VLOOKUP(Table2429[[#This Row],[Journal Description (Service Description)]],'Lookup Values'!$A:$B,2,FALSE))</f>
        <v/>
      </c>
    </row>
    <row r="339" spans="1:4" x14ac:dyDescent="0.35">
      <c r="A339" t="str">
        <f>IF(Table2429[[#This Row],[Branch Name]]="","",(_xlfn.XLOOKUP(Table2429[[#This Row],[Branch Name]],'Lookup Values'!G:G,'Lookup Values'!H:H,0)))</f>
        <v/>
      </c>
      <c r="B339" t="str">
        <f>IF(Table2429[[#This Row],[Branch Name]]="","",(_xlfn.XLOOKUP(Table2429[[#This Row],[Branch Name]],'Lookup Values'!G:G,'Lookup Values'!I:I,0)))</f>
        <v/>
      </c>
      <c r="C339" t="str">
        <f>IF(Table2429[[#This Row],[Journal Description (Service Description)]]="","",1)</f>
        <v/>
      </c>
      <c r="D339" s="2" t="str">
        <f>IF(Table2429[[#This Row],[Journal Description (Service Description)]]="","",VLOOKUP(Table2429[[#This Row],[Journal Description (Service Description)]],'Lookup Values'!$A:$B,2,FALSE))</f>
        <v/>
      </c>
    </row>
    <row r="340" spans="1:4" x14ac:dyDescent="0.35">
      <c r="A340" t="str">
        <f>IF(Table2429[[#This Row],[Branch Name]]="","",(_xlfn.XLOOKUP(Table2429[[#This Row],[Branch Name]],'Lookup Values'!G:G,'Lookup Values'!H:H,0)))</f>
        <v/>
      </c>
      <c r="B340" t="str">
        <f>IF(Table2429[[#This Row],[Branch Name]]="","",(_xlfn.XLOOKUP(Table2429[[#This Row],[Branch Name]],'Lookup Values'!G:G,'Lookup Values'!I:I,0)))</f>
        <v/>
      </c>
      <c r="C340" t="str">
        <f>IF(Table2429[[#This Row],[Journal Description (Service Description)]]="","",1)</f>
        <v/>
      </c>
      <c r="D340" s="2" t="str">
        <f>IF(Table2429[[#This Row],[Journal Description (Service Description)]]="","",VLOOKUP(Table2429[[#This Row],[Journal Description (Service Description)]],'Lookup Values'!$A:$B,2,FALSE))</f>
        <v/>
      </c>
    </row>
    <row r="341" spans="1:4" x14ac:dyDescent="0.35">
      <c r="A341" t="str">
        <f>IF(Table2429[[#This Row],[Branch Name]]="","",(_xlfn.XLOOKUP(Table2429[[#This Row],[Branch Name]],'Lookup Values'!G:G,'Lookup Values'!H:H,0)))</f>
        <v/>
      </c>
      <c r="B341" t="str">
        <f>IF(Table2429[[#This Row],[Branch Name]]="","",(_xlfn.XLOOKUP(Table2429[[#This Row],[Branch Name]],'Lookup Values'!G:G,'Lookup Values'!I:I,0)))</f>
        <v/>
      </c>
      <c r="C341" t="str">
        <f>IF(Table2429[[#This Row],[Journal Description (Service Description)]]="","",1)</f>
        <v/>
      </c>
      <c r="D341" s="2" t="str">
        <f>IF(Table2429[[#This Row],[Journal Description (Service Description)]]="","",VLOOKUP(Table2429[[#This Row],[Journal Description (Service Description)]],'Lookup Values'!$A:$B,2,FALSE))</f>
        <v/>
      </c>
    </row>
    <row r="342" spans="1:4" x14ac:dyDescent="0.35">
      <c r="A342" t="str">
        <f>IF(Table2429[[#This Row],[Branch Name]]="","",(_xlfn.XLOOKUP(Table2429[[#This Row],[Branch Name]],'Lookup Values'!G:G,'Lookup Values'!H:H,0)))</f>
        <v/>
      </c>
      <c r="B342" t="str">
        <f>IF(Table2429[[#This Row],[Branch Name]]="","",(_xlfn.XLOOKUP(Table2429[[#This Row],[Branch Name]],'Lookup Values'!G:G,'Lookup Values'!I:I,0)))</f>
        <v/>
      </c>
      <c r="C342" t="str">
        <f>IF(Table2429[[#This Row],[Journal Description (Service Description)]]="","",1)</f>
        <v/>
      </c>
      <c r="D342" s="2" t="str">
        <f>IF(Table2429[[#This Row],[Journal Description (Service Description)]]="","",VLOOKUP(Table2429[[#This Row],[Journal Description (Service Description)]],'Lookup Values'!$A:$B,2,FALSE))</f>
        <v/>
      </c>
    </row>
    <row r="343" spans="1:4" x14ac:dyDescent="0.35">
      <c r="A343" t="str">
        <f>IF(Table2429[[#This Row],[Branch Name]]="","",(_xlfn.XLOOKUP(Table2429[[#This Row],[Branch Name]],'Lookup Values'!G:G,'Lookup Values'!H:H,0)))</f>
        <v/>
      </c>
      <c r="B343" t="str">
        <f>IF(Table2429[[#This Row],[Branch Name]]="","",(_xlfn.XLOOKUP(Table2429[[#This Row],[Branch Name]],'Lookup Values'!G:G,'Lookup Values'!I:I,0)))</f>
        <v/>
      </c>
      <c r="C343" t="str">
        <f>IF(Table2429[[#This Row],[Journal Description (Service Description)]]="","",1)</f>
        <v/>
      </c>
      <c r="D343" s="2" t="str">
        <f>IF(Table2429[[#This Row],[Journal Description (Service Description)]]="","",VLOOKUP(Table2429[[#This Row],[Journal Description (Service Description)]],'Lookup Values'!$A:$B,2,FALSE))</f>
        <v/>
      </c>
    </row>
    <row r="344" spans="1:4" x14ac:dyDescent="0.35">
      <c r="A344" t="str">
        <f>IF(Table2429[[#This Row],[Branch Name]]="","",(_xlfn.XLOOKUP(Table2429[[#This Row],[Branch Name]],'Lookup Values'!G:G,'Lookup Values'!H:H,0)))</f>
        <v/>
      </c>
      <c r="B344" t="str">
        <f>IF(Table2429[[#This Row],[Branch Name]]="","",(_xlfn.XLOOKUP(Table2429[[#This Row],[Branch Name]],'Lookup Values'!G:G,'Lookup Values'!I:I,0)))</f>
        <v/>
      </c>
      <c r="C344" t="str">
        <f>IF(Table2429[[#This Row],[Journal Description (Service Description)]]="","",1)</f>
        <v/>
      </c>
      <c r="D344" s="2" t="str">
        <f>IF(Table2429[[#This Row],[Journal Description (Service Description)]]="","",VLOOKUP(Table2429[[#This Row],[Journal Description (Service Description)]],'Lookup Values'!$A:$B,2,FALSE))</f>
        <v/>
      </c>
    </row>
    <row r="345" spans="1:4" x14ac:dyDescent="0.35">
      <c r="A345" t="str">
        <f>IF(Table2429[[#This Row],[Branch Name]]="","",(_xlfn.XLOOKUP(Table2429[[#This Row],[Branch Name]],'Lookup Values'!G:G,'Lookup Values'!H:H,0)))</f>
        <v/>
      </c>
      <c r="B345" t="str">
        <f>IF(Table2429[[#This Row],[Branch Name]]="","",(_xlfn.XLOOKUP(Table2429[[#This Row],[Branch Name]],'Lookup Values'!G:G,'Lookup Values'!I:I,0)))</f>
        <v/>
      </c>
      <c r="C345" t="str">
        <f>IF(Table2429[[#This Row],[Journal Description (Service Description)]]="","",1)</f>
        <v/>
      </c>
      <c r="D345" s="2" t="str">
        <f>IF(Table2429[[#This Row],[Journal Description (Service Description)]]="","",VLOOKUP(Table2429[[#This Row],[Journal Description (Service Description)]],'Lookup Values'!$A:$B,2,FALSE))</f>
        <v/>
      </c>
    </row>
    <row r="346" spans="1:4" x14ac:dyDescent="0.35">
      <c r="A346" t="str">
        <f>IF(Table2429[[#This Row],[Branch Name]]="","",(_xlfn.XLOOKUP(Table2429[[#This Row],[Branch Name]],'Lookup Values'!G:G,'Lookup Values'!H:H,0)))</f>
        <v/>
      </c>
      <c r="B346" t="str">
        <f>IF(Table2429[[#This Row],[Branch Name]]="","",(_xlfn.XLOOKUP(Table2429[[#This Row],[Branch Name]],'Lookup Values'!G:G,'Lookup Values'!I:I,0)))</f>
        <v/>
      </c>
      <c r="C346" t="str">
        <f>IF(Table2429[[#This Row],[Journal Description (Service Description)]]="","",1)</f>
        <v/>
      </c>
      <c r="D346" s="2" t="str">
        <f>IF(Table2429[[#This Row],[Journal Description (Service Description)]]="","",VLOOKUP(Table2429[[#This Row],[Journal Description (Service Description)]],'Lookup Values'!$A:$B,2,FALSE))</f>
        <v/>
      </c>
    </row>
    <row r="347" spans="1:4" x14ac:dyDescent="0.35">
      <c r="A347" t="str">
        <f>IF(Table2429[[#This Row],[Branch Name]]="","",(_xlfn.XLOOKUP(Table2429[[#This Row],[Branch Name]],'Lookup Values'!G:G,'Lookup Values'!H:H,0)))</f>
        <v/>
      </c>
      <c r="B347" t="str">
        <f>IF(Table2429[[#This Row],[Branch Name]]="","",(_xlfn.XLOOKUP(Table2429[[#This Row],[Branch Name]],'Lookup Values'!G:G,'Lookup Values'!I:I,0)))</f>
        <v/>
      </c>
      <c r="C347" t="str">
        <f>IF(Table2429[[#This Row],[Journal Description (Service Description)]]="","",1)</f>
        <v/>
      </c>
      <c r="D347" s="2" t="str">
        <f>IF(Table2429[[#This Row],[Journal Description (Service Description)]]="","",VLOOKUP(Table2429[[#This Row],[Journal Description (Service Description)]],'Lookup Values'!$A:$B,2,FALSE))</f>
        <v/>
      </c>
    </row>
    <row r="348" spans="1:4" x14ac:dyDescent="0.35">
      <c r="A348" t="str">
        <f>IF(Table2429[[#This Row],[Branch Name]]="","",(_xlfn.XLOOKUP(Table2429[[#This Row],[Branch Name]],'Lookup Values'!G:G,'Lookup Values'!H:H,0)))</f>
        <v/>
      </c>
      <c r="B348" t="str">
        <f>IF(Table2429[[#This Row],[Branch Name]]="","",(_xlfn.XLOOKUP(Table2429[[#This Row],[Branch Name]],'Lookup Values'!G:G,'Lookup Values'!I:I,0)))</f>
        <v/>
      </c>
      <c r="C348" t="str">
        <f>IF(Table2429[[#This Row],[Journal Description (Service Description)]]="","",1)</f>
        <v/>
      </c>
      <c r="D348" s="2" t="str">
        <f>IF(Table2429[[#This Row],[Journal Description (Service Description)]]="","",VLOOKUP(Table2429[[#This Row],[Journal Description (Service Description)]],'Lookup Values'!$A:$B,2,FALSE))</f>
        <v/>
      </c>
    </row>
    <row r="349" spans="1:4" x14ac:dyDescent="0.35">
      <c r="A349" t="str">
        <f>IF(Table2429[[#This Row],[Branch Name]]="","",(_xlfn.XLOOKUP(Table2429[[#This Row],[Branch Name]],'Lookup Values'!G:G,'Lookup Values'!H:H,0)))</f>
        <v/>
      </c>
      <c r="B349" t="str">
        <f>IF(Table2429[[#This Row],[Branch Name]]="","",(_xlfn.XLOOKUP(Table2429[[#This Row],[Branch Name]],'Lookup Values'!G:G,'Lookup Values'!I:I,0)))</f>
        <v/>
      </c>
      <c r="C349" t="str">
        <f>IF(Table2429[[#This Row],[Journal Description (Service Description)]]="","",1)</f>
        <v/>
      </c>
      <c r="D349" s="2" t="str">
        <f>IF(Table2429[[#This Row],[Journal Description (Service Description)]]="","",VLOOKUP(Table2429[[#This Row],[Journal Description (Service Description)]],'Lookup Values'!$A:$B,2,FALSE))</f>
        <v/>
      </c>
    </row>
    <row r="350" spans="1:4" x14ac:dyDescent="0.35">
      <c r="A350" t="str">
        <f>IF(Table2429[[#This Row],[Branch Name]]="","",(_xlfn.XLOOKUP(Table2429[[#This Row],[Branch Name]],'Lookup Values'!G:G,'Lookup Values'!H:H,0)))</f>
        <v/>
      </c>
      <c r="B350" t="str">
        <f>IF(Table2429[[#This Row],[Branch Name]]="","",(_xlfn.XLOOKUP(Table2429[[#This Row],[Branch Name]],'Lookup Values'!G:G,'Lookup Values'!I:I,0)))</f>
        <v/>
      </c>
      <c r="C350" t="str">
        <f>IF(Table2429[[#This Row],[Journal Description (Service Description)]]="","",1)</f>
        <v/>
      </c>
      <c r="D350" s="2" t="str">
        <f>IF(Table2429[[#This Row],[Journal Description (Service Description)]]="","",VLOOKUP(Table2429[[#This Row],[Journal Description (Service Description)]],'Lookup Values'!$A:$B,2,FALSE))</f>
        <v/>
      </c>
    </row>
    <row r="351" spans="1:4" x14ac:dyDescent="0.35">
      <c r="A351" t="str">
        <f>IF(Table2429[[#This Row],[Branch Name]]="","",(_xlfn.XLOOKUP(Table2429[[#This Row],[Branch Name]],'Lookup Values'!G:G,'Lookup Values'!H:H,0)))</f>
        <v/>
      </c>
      <c r="B351" t="str">
        <f>IF(Table2429[[#This Row],[Branch Name]]="","",(_xlfn.XLOOKUP(Table2429[[#This Row],[Branch Name]],'Lookup Values'!G:G,'Lookup Values'!I:I,0)))</f>
        <v/>
      </c>
      <c r="C351" t="str">
        <f>IF(Table2429[[#This Row],[Journal Description (Service Description)]]="","",1)</f>
        <v/>
      </c>
      <c r="D351" s="2" t="str">
        <f>IF(Table2429[[#This Row],[Journal Description (Service Description)]]="","",VLOOKUP(Table2429[[#This Row],[Journal Description (Service Description)]],'Lookup Values'!$A:$B,2,FALSE))</f>
        <v/>
      </c>
    </row>
    <row r="352" spans="1:4" x14ac:dyDescent="0.35">
      <c r="A352" t="str">
        <f>IF(Table2429[[#This Row],[Branch Name]]="","",(_xlfn.XLOOKUP(Table2429[[#This Row],[Branch Name]],'Lookup Values'!G:G,'Lookup Values'!H:H,0)))</f>
        <v/>
      </c>
      <c r="B352" t="str">
        <f>IF(Table2429[[#This Row],[Branch Name]]="","",(_xlfn.XLOOKUP(Table2429[[#This Row],[Branch Name]],'Lookup Values'!G:G,'Lookup Values'!I:I,0)))</f>
        <v/>
      </c>
      <c r="C352" t="str">
        <f>IF(Table2429[[#This Row],[Journal Description (Service Description)]]="","",1)</f>
        <v/>
      </c>
      <c r="D352" s="2" t="str">
        <f>IF(Table2429[[#This Row],[Journal Description (Service Description)]]="","",VLOOKUP(Table2429[[#This Row],[Journal Description (Service Description)]],'Lookup Values'!$A:$B,2,FALSE))</f>
        <v/>
      </c>
    </row>
    <row r="353" spans="1:4" x14ac:dyDescent="0.35">
      <c r="A353" t="str">
        <f>IF(Table2429[[#This Row],[Branch Name]]="","",(_xlfn.XLOOKUP(Table2429[[#This Row],[Branch Name]],'Lookup Values'!G:G,'Lookup Values'!H:H,0)))</f>
        <v/>
      </c>
      <c r="B353" t="str">
        <f>IF(Table2429[[#This Row],[Branch Name]]="","",(_xlfn.XLOOKUP(Table2429[[#This Row],[Branch Name]],'Lookup Values'!G:G,'Lookup Values'!I:I,0)))</f>
        <v/>
      </c>
      <c r="C353" t="str">
        <f>IF(Table2429[[#This Row],[Journal Description (Service Description)]]="","",1)</f>
        <v/>
      </c>
      <c r="D353" s="2" t="str">
        <f>IF(Table2429[[#This Row],[Journal Description (Service Description)]]="","",VLOOKUP(Table2429[[#This Row],[Journal Description (Service Description)]],'Lookup Values'!$A:$B,2,FALSE))</f>
        <v/>
      </c>
    </row>
    <row r="354" spans="1:4" x14ac:dyDescent="0.35">
      <c r="A354" t="str">
        <f>IF(Table2429[[#This Row],[Branch Name]]="","",(_xlfn.XLOOKUP(Table2429[[#This Row],[Branch Name]],'Lookup Values'!G:G,'Lookup Values'!H:H,0)))</f>
        <v/>
      </c>
      <c r="B354" t="str">
        <f>IF(Table2429[[#This Row],[Branch Name]]="","",(_xlfn.XLOOKUP(Table2429[[#This Row],[Branch Name]],'Lookup Values'!G:G,'Lookup Values'!I:I,0)))</f>
        <v/>
      </c>
      <c r="C354" t="str">
        <f>IF(Table2429[[#This Row],[Journal Description (Service Description)]]="","",1)</f>
        <v/>
      </c>
      <c r="D354" s="2" t="str">
        <f>IF(Table2429[[#This Row],[Journal Description (Service Description)]]="","",VLOOKUP(Table2429[[#This Row],[Journal Description (Service Description)]],'Lookup Values'!$A:$B,2,FALSE))</f>
        <v/>
      </c>
    </row>
    <row r="355" spans="1:4" x14ac:dyDescent="0.35">
      <c r="A355" t="str">
        <f>IF(Table2429[[#This Row],[Branch Name]]="","",(_xlfn.XLOOKUP(Table2429[[#This Row],[Branch Name]],'Lookup Values'!G:G,'Lookup Values'!H:H,0)))</f>
        <v/>
      </c>
      <c r="B355" t="str">
        <f>IF(Table2429[[#This Row],[Branch Name]]="","",(_xlfn.XLOOKUP(Table2429[[#This Row],[Branch Name]],'Lookup Values'!G:G,'Lookup Values'!I:I,0)))</f>
        <v/>
      </c>
      <c r="C355" t="str">
        <f>IF(Table2429[[#This Row],[Journal Description (Service Description)]]="","",1)</f>
        <v/>
      </c>
      <c r="D355" s="2" t="str">
        <f>IF(Table2429[[#This Row],[Journal Description (Service Description)]]="","",VLOOKUP(Table2429[[#This Row],[Journal Description (Service Description)]],'Lookup Values'!$A:$B,2,FALSE))</f>
        <v/>
      </c>
    </row>
    <row r="356" spans="1:4" x14ac:dyDescent="0.35">
      <c r="A356" t="str">
        <f>IF(Table2429[[#This Row],[Branch Name]]="","",(_xlfn.XLOOKUP(Table2429[[#This Row],[Branch Name]],'Lookup Values'!G:G,'Lookup Values'!H:H,0)))</f>
        <v/>
      </c>
      <c r="B356" t="str">
        <f>IF(Table2429[[#This Row],[Branch Name]]="","",(_xlfn.XLOOKUP(Table2429[[#This Row],[Branch Name]],'Lookup Values'!G:G,'Lookup Values'!I:I,0)))</f>
        <v/>
      </c>
      <c r="C356" t="str">
        <f>IF(Table2429[[#This Row],[Journal Description (Service Description)]]="","",1)</f>
        <v/>
      </c>
      <c r="D356" s="2" t="str">
        <f>IF(Table2429[[#This Row],[Journal Description (Service Description)]]="","",VLOOKUP(Table2429[[#This Row],[Journal Description (Service Description)]],'Lookup Values'!$A:$B,2,FALSE))</f>
        <v/>
      </c>
    </row>
    <row r="357" spans="1:4" x14ac:dyDescent="0.35">
      <c r="A357" t="str">
        <f>IF(Table2429[[#This Row],[Branch Name]]="","",(_xlfn.XLOOKUP(Table2429[[#This Row],[Branch Name]],'Lookup Values'!G:G,'Lookup Values'!H:H,0)))</f>
        <v/>
      </c>
      <c r="B357" t="str">
        <f>IF(Table2429[[#This Row],[Branch Name]]="","",(_xlfn.XLOOKUP(Table2429[[#This Row],[Branch Name]],'Lookup Values'!G:G,'Lookup Values'!I:I,0)))</f>
        <v/>
      </c>
      <c r="C357" t="str">
        <f>IF(Table2429[[#This Row],[Journal Description (Service Description)]]="","",1)</f>
        <v/>
      </c>
      <c r="D357" s="2" t="str">
        <f>IF(Table2429[[#This Row],[Journal Description (Service Description)]]="","",VLOOKUP(Table2429[[#This Row],[Journal Description (Service Description)]],'Lookup Values'!$A:$B,2,FALSE))</f>
        <v/>
      </c>
    </row>
    <row r="358" spans="1:4" x14ac:dyDescent="0.35">
      <c r="A358" t="str">
        <f>IF(Table2429[[#This Row],[Branch Name]]="","",(_xlfn.XLOOKUP(Table2429[[#This Row],[Branch Name]],'Lookup Values'!G:G,'Lookup Values'!H:H,0)))</f>
        <v/>
      </c>
      <c r="B358" t="str">
        <f>IF(Table2429[[#This Row],[Branch Name]]="","",(_xlfn.XLOOKUP(Table2429[[#This Row],[Branch Name]],'Lookup Values'!G:G,'Lookup Values'!I:I,0)))</f>
        <v/>
      </c>
      <c r="C358" t="str">
        <f>IF(Table2429[[#This Row],[Journal Description (Service Description)]]="","",1)</f>
        <v/>
      </c>
      <c r="D358" s="2" t="str">
        <f>IF(Table2429[[#This Row],[Journal Description (Service Description)]]="","",VLOOKUP(Table2429[[#This Row],[Journal Description (Service Description)]],'Lookup Values'!$A:$B,2,FALSE))</f>
        <v/>
      </c>
    </row>
    <row r="359" spans="1:4" x14ac:dyDescent="0.35">
      <c r="A359" t="str">
        <f>IF(Table2429[[#This Row],[Branch Name]]="","",(_xlfn.XLOOKUP(Table2429[[#This Row],[Branch Name]],'Lookup Values'!G:G,'Lookup Values'!H:H,0)))</f>
        <v/>
      </c>
      <c r="B359" t="str">
        <f>IF(Table2429[[#This Row],[Branch Name]]="","",(_xlfn.XLOOKUP(Table2429[[#This Row],[Branch Name]],'Lookup Values'!G:G,'Lookup Values'!I:I,0)))</f>
        <v/>
      </c>
      <c r="C359" t="str">
        <f>IF(Table2429[[#This Row],[Journal Description (Service Description)]]="","",1)</f>
        <v/>
      </c>
      <c r="D359" s="2" t="str">
        <f>IF(Table2429[[#This Row],[Journal Description (Service Description)]]="","",VLOOKUP(Table2429[[#This Row],[Journal Description (Service Description)]],'Lookup Values'!$A:$B,2,FALSE))</f>
        <v/>
      </c>
    </row>
    <row r="360" spans="1:4" x14ac:dyDescent="0.35">
      <c r="A360" t="str">
        <f>IF(Table2429[[#This Row],[Branch Name]]="","",(_xlfn.XLOOKUP(Table2429[[#This Row],[Branch Name]],'Lookup Values'!G:G,'Lookup Values'!H:H,0)))</f>
        <v/>
      </c>
      <c r="B360" t="str">
        <f>IF(Table2429[[#This Row],[Branch Name]]="","",(_xlfn.XLOOKUP(Table2429[[#This Row],[Branch Name]],'Lookup Values'!G:G,'Lookup Values'!I:I,0)))</f>
        <v/>
      </c>
      <c r="C360" t="str">
        <f>IF(Table2429[[#This Row],[Journal Description (Service Description)]]="","",1)</f>
        <v/>
      </c>
      <c r="D360" s="2" t="str">
        <f>IF(Table2429[[#This Row],[Journal Description (Service Description)]]="","",VLOOKUP(Table2429[[#This Row],[Journal Description (Service Description)]],'Lookup Values'!$A:$B,2,FALSE))</f>
        <v/>
      </c>
    </row>
    <row r="361" spans="1:4" x14ac:dyDescent="0.35">
      <c r="A361" t="str">
        <f>IF(Table2429[[#This Row],[Branch Name]]="","",(_xlfn.XLOOKUP(Table2429[[#This Row],[Branch Name]],'Lookup Values'!G:G,'Lookup Values'!H:H,0)))</f>
        <v/>
      </c>
      <c r="B361" t="str">
        <f>IF(Table2429[[#This Row],[Branch Name]]="","",(_xlfn.XLOOKUP(Table2429[[#This Row],[Branch Name]],'Lookup Values'!G:G,'Lookup Values'!I:I,0)))</f>
        <v/>
      </c>
      <c r="C361" t="str">
        <f>IF(Table2429[[#This Row],[Journal Description (Service Description)]]="","",1)</f>
        <v/>
      </c>
      <c r="D361" s="2" t="str">
        <f>IF(Table2429[[#This Row],[Journal Description (Service Description)]]="","",VLOOKUP(Table2429[[#This Row],[Journal Description (Service Description)]],'Lookup Values'!$A:$B,2,FALSE))</f>
        <v/>
      </c>
    </row>
    <row r="362" spans="1:4" x14ac:dyDescent="0.35">
      <c r="A362" t="str">
        <f>IF(Table2429[[#This Row],[Branch Name]]="","",(_xlfn.XLOOKUP(Table2429[[#This Row],[Branch Name]],'Lookup Values'!G:G,'Lookup Values'!H:H,0)))</f>
        <v/>
      </c>
      <c r="B362" t="str">
        <f>IF(Table2429[[#This Row],[Branch Name]]="","",(_xlfn.XLOOKUP(Table2429[[#This Row],[Branch Name]],'Lookup Values'!G:G,'Lookup Values'!I:I,0)))</f>
        <v/>
      </c>
      <c r="C362" t="str">
        <f>IF(Table2429[[#This Row],[Journal Description (Service Description)]]="","",1)</f>
        <v/>
      </c>
      <c r="D362" s="2" t="str">
        <f>IF(Table2429[[#This Row],[Journal Description (Service Description)]]="","",VLOOKUP(Table2429[[#This Row],[Journal Description (Service Description)]],'Lookup Values'!$A:$B,2,FALSE))</f>
        <v/>
      </c>
    </row>
    <row r="363" spans="1:4" x14ac:dyDescent="0.35">
      <c r="A363" t="str">
        <f>IF(Table2429[[#This Row],[Branch Name]]="","",(_xlfn.XLOOKUP(Table2429[[#This Row],[Branch Name]],'Lookup Values'!G:G,'Lookup Values'!H:H,0)))</f>
        <v/>
      </c>
      <c r="B363" t="str">
        <f>IF(Table2429[[#This Row],[Branch Name]]="","",(_xlfn.XLOOKUP(Table2429[[#This Row],[Branch Name]],'Lookup Values'!G:G,'Lookup Values'!I:I,0)))</f>
        <v/>
      </c>
      <c r="C363" t="str">
        <f>IF(Table2429[[#This Row],[Journal Description (Service Description)]]="","",1)</f>
        <v/>
      </c>
      <c r="D363" s="2" t="str">
        <f>IF(Table2429[[#This Row],[Journal Description (Service Description)]]="","",VLOOKUP(Table2429[[#This Row],[Journal Description (Service Description)]],'Lookup Values'!$A:$B,2,FALSE))</f>
        <v/>
      </c>
    </row>
    <row r="364" spans="1:4" x14ac:dyDescent="0.35">
      <c r="A364" t="str">
        <f>IF(Table2429[[#This Row],[Branch Name]]="","",(_xlfn.XLOOKUP(Table2429[[#This Row],[Branch Name]],'Lookup Values'!G:G,'Lookup Values'!H:H,0)))</f>
        <v/>
      </c>
      <c r="B364" t="str">
        <f>IF(Table2429[[#This Row],[Branch Name]]="","",(_xlfn.XLOOKUP(Table2429[[#This Row],[Branch Name]],'Lookup Values'!G:G,'Lookup Values'!I:I,0)))</f>
        <v/>
      </c>
      <c r="C364" t="str">
        <f>IF(Table2429[[#This Row],[Journal Description (Service Description)]]="","",1)</f>
        <v/>
      </c>
      <c r="D364" s="2" t="str">
        <f>IF(Table2429[[#This Row],[Journal Description (Service Description)]]="","",VLOOKUP(Table2429[[#This Row],[Journal Description (Service Description)]],'Lookup Values'!$A:$B,2,FALSE))</f>
        <v/>
      </c>
    </row>
    <row r="365" spans="1:4" x14ac:dyDescent="0.35">
      <c r="A365" t="str">
        <f>IF(Table2429[[#This Row],[Branch Name]]="","",(_xlfn.XLOOKUP(Table2429[[#This Row],[Branch Name]],'Lookup Values'!G:G,'Lookup Values'!H:H,0)))</f>
        <v/>
      </c>
      <c r="B365" t="str">
        <f>IF(Table2429[[#This Row],[Branch Name]]="","",(_xlfn.XLOOKUP(Table2429[[#This Row],[Branch Name]],'Lookup Values'!G:G,'Lookup Values'!I:I,0)))</f>
        <v/>
      </c>
      <c r="C365" t="str">
        <f>IF(Table2429[[#This Row],[Journal Description (Service Description)]]="","",1)</f>
        <v/>
      </c>
      <c r="D365" s="2" t="str">
        <f>IF(Table2429[[#This Row],[Journal Description (Service Description)]]="","",VLOOKUP(Table2429[[#This Row],[Journal Description (Service Description)]],'Lookup Values'!$A:$B,2,FALSE))</f>
        <v/>
      </c>
    </row>
    <row r="366" spans="1:4" x14ac:dyDescent="0.35">
      <c r="A366" t="str">
        <f>IF(Table2429[[#This Row],[Branch Name]]="","",(_xlfn.XLOOKUP(Table2429[[#This Row],[Branch Name]],'Lookup Values'!G:G,'Lookup Values'!H:H,0)))</f>
        <v/>
      </c>
      <c r="B366" t="str">
        <f>IF(Table2429[[#This Row],[Branch Name]]="","",(_xlfn.XLOOKUP(Table2429[[#This Row],[Branch Name]],'Lookup Values'!G:G,'Lookup Values'!I:I,0)))</f>
        <v/>
      </c>
      <c r="C366" t="str">
        <f>IF(Table2429[[#This Row],[Journal Description (Service Description)]]="","",1)</f>
        <v/>
      </c>
      <c r="D366" s="2" t="str">
        <f>IF(Table2429[[#This Row],[Journal Description (Service Description)]]="","",VLOOKUP(Table2429[[#This Row],[Journal Description (Service Description)]],'Lookup Values'!$A:$B,2,FALSE))</f>
        <v/>
      </c>
    </row>
    <row r="367" spans="1:4" x14ac:dyDescent="0.35">
      <c r="A367" t="str">
        <f>IF(Table2429[[#This Row],[Branch Name]]="","",(_xlfn.XLOOKUP(Table2429[[#This Row],[Branch Name]],'Lookup Values'!G:G,'Lookup Values'!H:H,0)))</f>
        <v/>
      </c>
      <c r="B367" t="str">
        <f>IF(Table2429[[#This Row],[Branch Name]]="","",(_xlfn.XLOOKUP(Table2429[[#This Row],[Branch Name]],'Lookup Values'!G:G,'Lookup Values'!I:I,0)))</f>
        <v/>
      </c>
      <c r="C367" t="str">
        <f>IF(Table2429[[#This Row],[Journal Description (Service Description)]]="","",1)</f>
        <v/>
      </c>
      <c r="D367" s="2" t="str">
        <f>IF(Table2429[[#This Row],[Journal Description (Service Description)]]="","",VLOOKUP(Table2429[[#This Row],[Journal Description (Service Description)]],'Lookup Values'!$A:$B,2,FALSE))</f>
        <v/>
      </c>
    </row>
    <row r="368" spans="1:4" x14ac:dyDescent="0.35">
      <c r="A368" t="str">
        <f>IF(Table2429[[#This Row],[Branch Name]]="","",(_xlfn.XLOOKUP(Table2429[[#This Row],[Branch Name]],'Lookup Values'!G:G,'Lookup Values'!H:H,0)))</f>
        <v/>
      </c>
      <c r="B368" t="str">
        <f>IF(Table2429[[#This Row],[Branch Name]]="","",(_xlfn.XLOOKUP(Table2429[[#This Row],[Branch Name]],'Lookup Values'!G:G,'Lookup Values'!I:I,0)))</f>
        <v/>
      </c>
      <c r="C368" t="str">
        <f>IF(Table2429[[#This Row],[Journal Description (Service Description)]]="","",1)</f>
        <v/>
      </c>
      <c r="D368" s="2" t="str">
        <f>IF(Table2429[[#This Row],[Journal Description (Service Description)]]="","",VLOOKUP(Table2429[[#This Row],[Journal Description (Service Description)]],'Lookup Values'!$A:$B,2,FALSE))</f>
        <v/>
      </c>
    </row>
    <row r="369" spans="1:4" x14ac:dyDescent="0.35">
      <c r="A369" t="str">
        <f>IF(Table2429[[#This Row],[Branch Name]]="","",(_xlfn.XLOOKUP(Table2429[[#This Row],[Branch Name]],'Lookup Values'!G:G,'Lookup Values'!H:H,0)))</f>
        <v/>
      </c>
      <c r="B369" t="str">
        <f>IF(Table2429[[#This Row],[Branch Name]]="","",(_xlfn.XLOOKUP(Table2429[[#This Row],[Branch Name]],'Lookup Values'!G:G,'Lookup Values'!I:I,0)))</f>
        <v/>
      </c>
      <c r="C369" t="str">
        <f>IF(Table2429[[#This Row],[Journal Description (Service Description)]]="","",1)</f>
        <v/>
      </c>
      <c r="D369" s="2" t="str">
        <f>IF(Table2429[[#This Row],[Journal Description (Service Description)]]="","",VLOOKUP(Table2429[[#This Row],[Journal Description (Service Description)]],'Lookup Values'!$A:$B,2,FALSE))</f>
        <v/>
      </c>
    </row>
    <row r="370" spans="1:4" x14ac:dyDescent="0.35">
      <c r="A370" t="str">
        <f>IF(Table2429[[#This Row],[Branch Name]]="","",(_xlfn.XLOOKUP(Table2429[[#This Row],[Branch Name]],'Lookup Values'!G:G,'Lookup Values'!H:H,0)))</f>
        <v/>
      </c>
      <c r="B370" t="str">
        <f>IF(Table2429[[#This Row],[Branch Name]]="","",(_xlfn.XLOOKUP(Table2429[[#This Row],[Branch Name]],'Lookup Values'!G:G,'Lookup Values'!I:I,0)))</f>
        <v/>
      </c>
      <c r="C370" t="str">
        <f>IF(Table2429[[#This Row],[Journal Description (Service Description)]]="","",1)</f>
        <v/>
      </c>
      <c r="D370" s="2" t="str">
        <f>IF(Table2429[[#This Row],[Journal Description (Service Description)]]="","",VLOOKUP(Table2429[[#This Row],[Journal Description (Service Description)]],'Lookup Values'!$A:$B,2,FALSE))</f>
        <v/>
      </c>
    </row>
    <row r="371" spans="1:4" x14ac:dyDescent="0.35">
      <c r="A371" t="str">
        <f>IF(Table2429[[#This Row],[Branch Name]]="","",(_xlfn.XLOOKUP(Table2429[[#This Row],[Branch Name]],'Lookup Values'!G:G,'Lookup Values'!H:H,0)))</f>
        <v/>
      </c>
      <c r="B371" t="str">
        <f>IF(Table2429[[#This Row],[Branch Name]]="","",(_xlfn.XLOOKUP(Table2429[[#This Row],[Branch Name]],'Lookup Values'!G:G,'Lookup Values'!I:I,0)))</f>
        <v/>
      </c>
      <c r="C371" t="str">
        <f>IF(Table2429[[#This Row],[Journal Description (Service Description)]]="","",1)</f>
        <v/>
      </c>
      <c r="D371" s="2" t="str">
        <f>IF(Table2429[[#This Row],[Journal Description (Service Description)]]="","",VLOOKUP(Table2429[[#This Row],[Journal Description (Service Description)]],'Lookup Values'!$A:$B,2,FALSE))</f>
        <v/>
      </c>
    </row>
    <row r="372" spans="1:4" x14ac:dyDescent="0.35">
      <c r="A372" t="str">
        <f>IF(Table2429[[#This Row],[Branch Name]]="","",(_xlfn.XLOOKUP(Table2429[[#This Row],[Branch Name]],'Lookup Values'!G:G,'Lookup Values'!H:H,0)))</f>
        <v/>
      </c>
      <c r="B372" t="str">
        <f>IF(Table2429[[#This Row],[Branch Name]]="","",(_xlfn.XLOOKUP(Table2429[[#This Row],[Branch Name]],'Lookup Values'!G:G,'Lookup Values'!I:I,0)))</f>
        <v/>
      </c>
      <c r="C372" t="str">
        <f>IF(Table2429[[#This Row],[Journal Description (Service Description)]]="","",1)</f>
        <v/>
      </c>
      <c r="D372" s="2" t="str">
        <f>IF(Table2429[[#This Row],[Journal Description (Service Description)]]="","",VLOOKUP(Table2429[[#This Row],[Journal Description (Service Description)]],'Lookup Values'!$A:$B,2,FALSE))</f>
        <v/>
      </c>
    </row>
    <row r="373" spans="1:4" x14ac:dyDescent="0.35">
      <c r="A373" t="str">
        <f>IF(Table2429[[#This Row],[Branch Name]]="","",(_xlfn.XLOOKUP(Table2429[[#This Row],[Branch Name]],'Lookup Values'!G:G,'Lookup Values'!H:H,0)))</f>
        <v/>
      </c>
      <c r="B373" t="str">
        <f>IF(Table2429[[#This Row],[Branch Name]]="","",(_xlfn.XLOOKUP(Table2429[[#This Row],[Branch Name]],'Lookup Values'!G:G,'Lookup Values'!I:I,0)))</f>
        <v/>
      </c>
      <c r="C373" t="str">
        <f>IF(Table2429[[#This Row],[Journal Description (Service Description)]]="","",1)</f>
        <v/>
      </c>
      <c r="D373" s="2" t="str">
        <f>IF(Table2429[[#This Row],[Journal Description (Service Description)]]="","",VLOOKUP(Table2429[[#This Row],[Journal Description (Service Description)]],'Lookup Values'!$A:$B,2,FALSE))</f>
        <v/>
      </c>
    </row>
    <row r="374" spans="1:4" x14ac:dyDescent="0.35">
      <c r="A374" t="str">
        <f>IF(Table2429[[#This Row],[Branch Name]]="","",(_xlfn.XLOOKUP(Table2429[[#This Row],[Branch Name]],'Lookup Values'!G:G,'Lookup Values'!H:H,0)))</f>
        <v/>
      </c>
      <c r="B374" t="str">
        <f>IF(Table2429[[#This Row],[Branch Name]]="","",(_xlfn.XLOOKUP(Table2429[[#This Row],[Branch Name]],'Lookup Values'!G:G,'Lookup Values'!I:I,0)))</f>
        <v/>
      </c>
      <c r="C374" t="str">
        <f>IF(Table2429[[#This Row],[Journal Description (Service Description)]]="","",1)</f>
        <v/>
      </c>
      <c r="D374" s="2" t="str">
        <f>IF(Table2429[[#This Row],[Journal Description (Service Description)]]="","",VLOOKUP(Table2429[[#This Row],[Journal Description (Service Description)]],'Lookup Values'!$A:$B,2,FALSE))</f>
        <v/>
      </c>
    </row>
    <row r="375" spans="1:4" x14ac:dyDescent="0.35">
      <c r="A375" t="str">
        <f>IF(Table2429[[#This Row],[Branch Name]]="","",(_xlfn.XLOOKUP(Table2429[[#This Row],[Branch Name]],'Lookup Values'!G:G,'Lookup Values'!H:H,0)))</f>
        <v/>
      </c>
      <c r="B375" t="str">
        <f>IF(Table2429[[#This Row],[Branch Name]]="","",(_xlfn.XLOOKUP(Table2429[[#This Row],[Branch Name]],'Lookup Values'!G:G,'Lookup Values'!I:I,0)))</f>
        <v/>
      </c>
      <c r="C375" t="str">
        <f>IF(Table2429[[#This Row],[Journal Description (Service Description)]]="","",1)</f>
        <v/>
      </c>
      <c r="D375" s="2" t="str">
        <f>IF(Table2429[[#This Row],[Journal Description (Service Description)]]="","",VLOOKUP(Table2429[[#This Row],[Journal Description (Service Description)]],'Lookup Values'!$A:$B,2,FALSE))</f>
        <v/>
      </c>
    </row>
    <row r="376" spans="1:4" x14ac:dyDescent="0.35">
      <c r="A376" t="str">
        <f>IF(Table2429[[#This Row],[Branch Name]]="","",(_xlfn.XLOOKUP(Table2429[[#This Row],[Branch Name]],'Lookup Values'!G:G,'Lookup Values'!H:H,0)))</f>
        <v/>
      </c>
      <c r="B376" t="str">
        <f>IF(Table2429[[#This Row],[Branch Name]]="","",(_xlfn.XLOOKUP(Table2429[[#This Row],[Branch Name]],'Lookup Values'!G:G,'Lookup Values'!I:I,0)))</f>
        <v/>
      </c>
      <c r="C376" t="str">
        <f>IF(Table2429[[#This Row],[Journal Description (Service Description)]]="","",1)</f>
        <v/>
      </c>
      <c r="D376" s="2" t="str">
        <f>IF(Table2429[[#This Row],[Journal Description (Service Description)]]="","",VLOOKUP(Table2429[[#This Row],[Journal Description (Service Description)]],'Lookup Values'!$A:$B,2,FALSE))</f>
        <v/>
      </c>
    </row>
    <row r="377" spans="1:4" x14ac:dyDescent="0.35">
      <c r="A377" t="str">
        <f>IF(Table2429[[#This Row],[Branch Name]]="","",(_xlfn.XLOOKUP(Table2429[[#This Row],[Branch Name]],'Lookup Values'!G:G,'Lookup Values'!H:H,0)))</f>
        <v/>
      </c>
      <c r="B377" t="str">
        <f>IF(Table2429[[#This Row],[Branch Name]]="","",(_xlfn.XLOOKUP(Table2429[[#This Row],[Branch Name]],'Lookup Values'!G:G,'Lookup Values'!I:I,0)))</f>
        <v/>
      </c>
      <c r="C377" t="str">
        <f>IF(Table2429[[#This Row],[Journal Description (Service Description)]]="","",1)</f>
        <v/>
      </c>
      <c r="D377" s="2" t="str">
        <f>IF(Table2429[[#This Row],[Journal Description (Service Description)]]="","",VLOOKUP(Table2429[[#This Row],[Journal Description (Service Description)]],'Lookup Values'!$A:$B,2,FALSE))</f>
        <v/>
      </c>
    </row>
    <row r="378" spans="1:4" x14ac:dyDescent="0.35">
      <c r="A378" t="str">
        <f>IF(Table2429[[#This Row],[Branch Name]]="","",(_xlfn.XLOOKUP(Table2429[[#This Row],[Branch Name]],'Lookup Values'!G:G,'Lookup Values'!H:H,0)))</f>
        <v/>
      </c>
      <c r="B378" t="str">
        <f>IF(Table2429[[#This Row],[Branch Name]]="","",(_xlfn.XLOOKUP(Table2429[[#This Row],[Branch Name]],'Lookup Values'!G:G,'Lookup Values'!I:I,0)))</f>
        <v/>
      </c>
      <c r="C378" t="str">
        <f>IF(Table2429[[#This Row],[Journal Description (Service Description)]]="","",1)</f>
        <v/>
      </c>
      <c r="D378" s="2" t="str">
        <f>IF(Table2429[[#This Row],[Journal Description (Service Description)]]="","",VLOOKUP(Table2429[[#This Row],[Journal Description (Service Description)]],'Lookup Values'!$A:$B,2,FALSE))</f>
        <v/>
      </c>
    </row>
    <row r="379" spans="1:4" x14ac:dyDescent="0.35">
      <c r="A379" t="str">
        <f>IF(Table2429[[#This Row],[Branch Name]]="","",(_xlfn.XLOOKUP(Table2429[[#This Row],[Branch Name]],'Lookup Values'!G:G,'Lookup Values'!H:H,0)))</f>
        <v/>
      </c>
      <c r="B379" t="str">
        <f>IF(Table2429[[#This Row],[Branch Name]]="","",(_xlfn.XLOOKUP(Table2429[[#This Row],[Branch Name]],'Lookup Values'!G:G,'Lookup Values'!I:I,0)))</f>
        <v/>
      </c>
      <c r="C379" t="str">
        <f>IF(Table2429[[#This Row],[Journal Description (Service Description)]]="","",1)</f>
        <v/>
      </c>
      <c r="D379" s="2" t="str">
        <f>IF(Table2429[[#This Row],[Journal Description (Service Description)]]="","",VLOOKUP(Table2429[[#This Row],[Journal Description (Service Description)]],'Lookup Values'!$A:$B,2,FALSE))</f>
        <v/>
      </c>
    </row>
    <row r="380" spans="1:4" x14ac:dyDescent="0.35">
      <c r="A380" t="str">
        <f>IF(Table2429[[#This Row],[Branch Name]]="","",(_xlfn.XLOOKUP(Table2429[[#This Row],[Branch Name]],'Lookup Values'!G:G,'Lookup Values'!H:H,0)))</f>
        <v/>
      </c>
      <c r="B380" t="str">
        <f>IF(Table2429[[#This Row],[Branch Name]]="","",(_xlfn.XLOOKUP(Table2429[[#This Row],[Branch Name]],'Lookup Values'!G:G,'Lookup Values'!I:I,0)))</f>
        <v/>
      </c>
      <c r="C380" t="str">
        <f>IF(Table2429[[#This Row],[Journal Description (Service Description)]]="","",1)</f>
        <v/>
      </c>
      <c r="D380" s="2" t="str">
        <f>IF(Table2429[[#This Row],[Journal Description (Service Description)]]="","",VLOOKUP(Table2429[[#This Row],[Journal Description (Service Description)]],'Lookup Values'!$A:$B,2,FALSE))</f>
        <v/>
      </c>
    </row>
    <row r="381" spans="1:4" x14ac:dyDescent="0.35">
      <c r="A381" t="str">
        <f>IF(Table2429[[#This Row],[Branch Name]]="","",(_xlfn.XLOOKUP(Table2429[[#This Row],[Branch Name]],'Lookup Values'!G:G,'Lookup Values'!H:H,0)))</f>
        <v/>
      </c>
      <c r="B381" t="str">
        <f>IF(Table2429[[#This Row],[Branch Name]]="","",(_xlfn.XLOOKUP(Table2429[[#This Row],[Branch Name]],'Lookup Values'!G:G,'Lookup Values'!I:I,0)))</f>
        <v/>
      </c>
      <c r="C381" t="str">
        <f>IF(Table2429[[#This Row],[Journal Description (Service Description)]]="","",1)</f>
        <v/>
      </c>
      <c r="D381" s="2" t="str">
        <f>IF(Table2429[[#This Row],[Journal Description (Service Description)]]="","",VLOOKUP(Table2429[[#This Row],[Journal Description (Service Description)]],'Lookup Values'!$A:$B,2,FALSE))</f>
        <v/>
      </c>
    </row>
    <row r="382" spans="1:4" x14ac:dyDescent="0.35">
      <c r="A382" t="str">
        <f>IF(Table2429[[#This Row],[Branch Name]]="","",(_xlfn.XLOOKUP(Table2429[[#This Row],[Branch Name]],'Lookup Values'!G:G,'Lookup Values'!H:H,0)))</f>
        <v/>
      </c>
      <c r="B382" t="str">
        <f>IF(Table2429[[#This Row],[Branch Name]]="","",(_xlfn.XLOOKUP(Table2429[[#This Row],[Branch Name]],'Lookup Values'!G:G,'Lookup Values'!I:I,0)))</f>
        <v/>
      </c>
      <c r="C382" t="str">
        <f>IF(Table2429[[#This Row],[Journal Description (Service Description)]]="","",1)</f>
        <v/>
      </c>
      <c r="D382" s="2" t="str">
        <f>IF(Table2429[[#This Row],[Journal Description (Service Description)]]="","",VLOOKUP(Table2429[[#This Row],[Journal Description (Service Description)]],'Lookup Values'!$A:$B,2,FALSE))</f>
        <v/>
      </c>
    </row>
    <row r="383" spans="1:4" x14ac:dyDescent="0.35">
      <c r="A383" t="str">
        <f>IF(Table2429[[#This Row],[Branch Name]]="","",(_xlfn.XLOOKUP(Table2429[[#This Row],[Branch Name]],'Lookup Values'!G:G,'Lookup Values'!H:H,0)))</f>
        <v/>
      </c>
      <c r="B383" t="str">
        <f>IF(Table2429[[#This Row],[Branch Name]]="","",(_xlfn.XLOOKUP(Table2429[[#This Row],[Branch Name]],'Lookup Values'!G:G,'Lookup Values'!I:I,0)))</f>
        <v/>
      </c>
      <c r="C383" t="str">
        <f>IF(Table2429[[#This Row],[Journal Description (Service Description)]]="","",1)</f>
        <v/>
      </c>
      <c r="D383" s="2" t="str">
        <f>IF(Table2429[[#This Row],[Journal Description (Service Description)]]="","",VLOOKUP(Table2429[[#This Row],[Journal Description (Service Description)]],'Lookup Values'!$A:$B,2,FALSE))</f>
        <v/>
      </c>
    </row>
    <row r="384" spans="1:4" x14ac:dyDescent="0.35">
      <c r="A384" t="str">
        <f>IF(Table2429[[#This Row],[Branch Name]]="","",(_xlfn.XLOOKUP(Table2429[[#This Row],[Branch Name]],'Lookup Values'!G:G,'Lookup Values'!H:H,0)))</f>
        <v/>
      </c>
      <c r="B384" t="str">
        <f>IF(Table2429[[#This Row],[Branch Name]]="","",(_xlfn.XLOOKUP(Table2429[[#This Row],[Branch Name]],'Lookup Values'!G:G,'Lookup Values'!I:I,0)))</f>
        <v/>
      </c>
      <c r="C384" t="str">
        <f>IF(Table2429[[#This Row],[Journal Description (Service Description)]]="","",1)</f>
        <v/>
      </c>
      <c r="D384" s="2" t="str">
        <f>IF(Table2429[[#This Row],[Journal Description (Service Description)]]="","",VLOOKUP(Table2429[[#This Row],[Journal Description (Service Description)]],'Lookup Values'!$A:$B,2,FALSE))</f>
        <v/>
      </c>
    </row>
    <row r="385" spans="1:4" x14ac:dyDescent="0.35">
      <c r="A385" t="str">
        <f>IF(Table2429[[#This Row],[Branch Name]]="","",(_xlfn.XLOOKUP(Table2429[[#This Row],[Branch Name]],'Lookup Values'!G:G,'Lookup Values'!H:H,0)))</f>
        <v/>
      </c>
      <c r="B385" t="str">
        <f>IF(Table2429[[#This Row],[Branch Name]]="","",(_xlfn.XLOOKUP(Table2429[[#This Row],[Branch Name]],'Lookup Values'!G:G,'Lookup Values'!I:I,0)))</f>
        <v/>
      </c>
      <c r="C385" t="str">
        <f>IF(Table2429[[#This Row],[Journal Description (Service Description)]]="","",1)</f>
        <v/>
      </c>
      <c r="D385" s="2" t="str">
        <f>IF(Table2429[[#This Row],[Journal Description (Service Description)]]="","",VLOOKUP(Table2429[[#This Row],[Journal Description (Service Description)]],'Lookup Values'!$A:$B,2,FALSE))</f>
        <v/>
      </c>
    </row>
    <row r="386" spans="1:4" x14ac:dyDescent="0.35">
      <c r="A386" t="str">
        <f>IF(Table2429[[#This Row],[Branch Name]]="","",(_xlfn.XLOOKUP(Table2429[[#This Row],[Branch Name]],'Lookup Values'!G:G,'Lookup Values'!H:H,0)))</f>
        <v/>
      </c>
      <c r="B386" t="str">
        <f>IF(Table2429[[#This Row],[Branch Name]]="","",(_xlfn.XLOOKUP(Table2429[[#This Row],[Branch Name]],'Lookup Values'!G:G,'Lookup Values'!I:I,0)))</f>
        <v/>
      </c>
      <c r="C386" t="str">
        <f>IF(Table2429[[#This Row],[Journal Description (Service Description)]]="","",1)</f>
        <v/>
      </c>
      <c r="D386" s="2" t="str">
        <f>IF(Table2429[[#This Row],[Journal Description (Service Description)]]="","",VLOOKUP(Table2429[[#This Row],[Journal Description (Service Description)]],'Lookup Values'!$A:$B,2,FALSE))</f>
        <v/>
      </c>
    </row>
    <row r="387" spans="1:4" x14ac:dyDescent="0.35">
      <c r="A387" t="str">
        <f>IF(Table2429[[#This Row],[Branch Name]]="","",(_xlfn.XLOOKUP(Table2429[[#This Row],[Branch Name]],'Lookup Values'!G:G,'Lookup Values'!H:H,0)))</f>
        <v/>
      </c>
      <c r="B387" t="str">
        <f>IF(Table2429[[#This Row],[Branch Name]]="","",(_xlfn.XLOOKUP(Table2429[[#This Row],[Branch Name]],'Lookup Values'!G:G,'Lookup Values'!I:I,0)))</f>
        <v/>
      </c>
      <c r="C387" t="str">
        <f>IF(Table2429[[#This Row],[Journal Description (Service Description)]]="","",1)</f>
        <v/>
      </c>
      <c r="D387" s="2" t="str">
        <f>IF(Table2429[[#This Row],[Journal Description (Service Description)]]="","",VLOOKUP(Table2429[[#This Row],[Journal Description (Service Description)]],'Lookup Values'!$A:$B,2,FALSE))</f>
        <v/>
      </c>
    </row>
    <row r="388" spans="1:4" x14ac:dyDescent="0.35">
      <c r="A388" t="str">
        <f>IF(Table2429[[#This Row],[Branch Name]]="","",(_xlfn.XLOOKUP(Table2429[[#This Row],[Branch Name]],'Lookup Values'!G:G,'Lookup Values'!H:H,0)))</f>
        <v/>
      </c>
      <c r="B388" t="str">
        <f>IF(Table2429[[#This Row],[Branch Name]]="","",(_xlfn.XLOOKUP(Table2429[[#This Row],[Branch Name]],'Lookup Values'!G:G,'Lookup Values'!I:I,0)))</f>
        <v/>
      </c>
      <c r="C388" t="str">
        <f>IF(Table2429[[#This Row],[Journal Description (Service Description)]]="","",1)</f>
        <v/>
      </c>
      <c r="D388" s="2" t="str">
        <f>IF(Table2429[[#This Row],[Journal Description (Service Description)]]="","",VLOOKUP(Table2429[[#This Row],[Journal Description (Service Description)]],'Lookup Values'!$A:$B,2,FALSE))</f>
        <v/>
      </c>
    </row>
    <row r="389" spans="1:4" x14ac:dyDescent="0.35">
      <c r="A389" t="str">
        <f>IF(Table2429[[#This Row],[Branch Name]]="","",(_xlfn.XLOOKUP(Table2429[[#This Row],[Branch Name]],'Lookup Values'!G:G,'Lookup Values'!H:H,0)))</f>
        <v/>
      </c>
      <c r="B389" t="str">
        <f>IF(Table2429[[#This Row],[Branch Name]]="","",(_xlfn.XLOOKUP(Table2429[[#This Row],[Branch Name]],'Lookup Values'!G:G,'Lookup Values'!I:I,0)))</f>
        <v/>
      </c>
      <c r="C389" t="str">
        <f>IF(Table2429[[#This Row],[Journal Description (Service Description)]]="","",1)</f>
        <v/>
      </c>
      <c r="D389" s="2" t="str">
        <f>IF(Table2429[[#This Row],[Journal Description (Service Description)]]="","",VLOOKUP(Table2429[[#This Row],[Journal Description (Service Description)]],'Lookup Values'!$A:$B,2,FALSE))</f>
        <v/>
      </c>
    </row>
    <row r="390" spans="1:4" x14ac:dyDescent="0.35">
      <c r="A390" t="str">
        <f>IF(Table2429[[#This Row],[Branch Name]]="","",(_xlfn.XLOOKUP(Table2429[[#This Row],[Branch Name]],'Lookup Values'!G:G,'Lookup Values'!H:H,0)))</f>
        <v/>
      </c>
      <c r="B390" t="str">
        <f>IF(Table2429[[#This Row],[Branch Name]]="","",(_xlfn.XLOOKUP(Table2429[[#This Row],[Branch Name]],'Lookup Values'!G:G,'Lookup Values'!I:I,0)))</f>
        <v/>
      </c>
      <c r="C390" t="str">
        <f>IF(Table2429[[#This Row],[Journal Description (Service Description)]]="","",1)</f>
        <v/>
      </c>
      <c r="D390" s="2" t="str">
        <f>IF(Table2429[[#This Row],[Journal Description (Service Description)]]="","",VLOOKUP(Table2429[[#This Row],[Journal Description (Service Description)]],'Lookup Values'!$A:$B,2,FALSE))</f>
        <v/>
      </c>
    </row>
    <row r="391" spans="1:4" x14ac:dyDescent="0.35">
      <c r="A391" t="str">
        <f>IF(Table2429[[#This Row],[Branch Name]]="","",(_xlfn.XLOOKUP(Table2429[[#This Row],[Branch Name]],'Lookup Values'!G:G,'Lookup Values'!H:H,0)))</f>
        <v/>
      </c>
      <c r="B391" t="str">
        <f>IF(Table2429[[#This Row],[Branch Name]]="","",(_xlfn.XLOOKUP(Table2429[[#This Row],[Branch Name]],'Lookup Values'!G:G,'Lookup Values'!I:I,0)))</f>
        <v/>
      </c>
      <c r="C391" t="str">
        <f>IF(Table2429[[#This Row],[Journal Description (Service Description)]]="","",1)</f>
        <v/>
      </c>
      <c r="D391" s="2" t="str">
        <f>IF(Table2429[[#This Row],[Journal Description (Service Description)]]="","",VLOOKUP(Table2429[[#This Row],[Journal Description (Service Description)]],'Lookup Values'!$A:$B,2,FALSE))</f>
        <v/>
      </c>
    </row>
    <row r="392" spans="1:4" x14ac:dyDescent="0.35">
      <c r="A392" t="str">
        <f>IF(Table2429[[#This Row],[Branch Name]]="","",(_xlfn.XLOOKUP(Table2429[[#This Row],[Branch Name]],'Lookup Values'!G:G,'Lookup Values'!H:H,0)))</f>
        <v/>
      </c>
      <c r="B392" t="str">
        <f>IF(Table2429[[#This Row],[Branch Name]]="","",(_xlfn.XLOOKUP(Table2429[[#This Row],[Branch Name]],'Lookup Values'!G:G,'Lookup Values'!I:I,0)))</f>
        <v/>
      </c>
      <c r="C392" t="str">
        <f>IF(Table2429[[#This Row],[Journal Description (Service Description)]]="","",1)</f>
        <v/>
      </c>
      <c r="D392" s="2" t="str">
        <f>IF(Table2429[[#This Row],[Journal Description (Service Description)]]="","",VLOOKUP(Table2429[[#This Row],[Journal Description (Service Description)]],'Lookup Values'!$A:$B,2,FALSE))</f>
        <v/>
      </c>
    </row>
    <row r="393" spans="1:4" x14ac:dyDescent="0.35">
      <c r="A393" t="str">
        <f>IF(Table2429[[#This Row],[Branch Name]]="","",(_xlfn.XLOOKUP(Table2429[[#This Row],[Branch Name]],'Lookup Values'!G:G,'Lookup Values'!H:H,0)))</f>
        <v/>
      </c>
      <c r="B393" t="str">
        <f>IF(Table2429[[#This Row],[Branch Name]]="","",(_xlfn.XLOOKUP(Table2429[[#This Row],[Branch Name]],'Lookup Values'!G:G,'Lookup Values'!I:I,0)))</f>
        <v/>
      </c>
      <c r="C393" t="str">
        <f>IF(Table2429[[#This Row],[Journal Description (Service Description)]]="","",1)</f>
        <v/>
      </c>
      <c r="D393" s="2" t="str">
        <f>IF(Table2429[[#This Row],[Journal Description (Service Description)]]="","",VLOOKUP(Table2429[[#This Row],[Journal Description (Service Description)]],'Lookup Values'!$A:$B,2,FALSE))</f>
        <v/>
      </c>
    </row>
    <row r="394" spans="1:4" x14ac:dyDescent="0.35">
      <c r="A394" t="str">
        <f>IF(Table2429[[#This Row],[Branch Name]]="","",(_xlfn.XLOOKUP(Table2429[[#This Row],[Branch Name]],'Lookup Values'!G:G,'Lookup Values'!H:H,0)))</f>
        <v/>
      </c>
      <c r="B394" t="str">
        <f>IF(Table2429[[#This Row],[Branch Name]]="","",(_xlfn.XLOOKUP(Table2429[[#This Row],[Branch Name]],'Lookup Values'!G:G,'Lookup Values'!I:I,0)))</f>
        <v/>
      </c>
      <c r="C394" t="str">
        <f>IF(Table2429[[#This Row],[Journal Description (Service Description)]]="","",1)</f>
        <v/>
      </c>
      <c r="D394" s="2" t="str">
        <f>IF(Table2429[[#This Row],[Journal Description (Service Description)]]="","",VLOOKUP(Table2429[[#This Row],[Journal Description (Service Description)]],'Lookup Values'!$A:$B,2,FALSE))</f>
        <v/>
      </c>
    </row>
    <row r="395" spans="1:4" x14ac:dyDescent="0.35">
      <c r="A395" t="str">
        <f>IF(Table2429[[#This Row],[Branch Name]]="","",(_xlfn.XLOOKUP(Table2429[[#This Row],[Branch Name]],'Lookup Values'!G:G,'Lookup Values'!H:H,0)))</f>
        <v/>
      </c>
      <c r="B395" t="str">
        <f>IF(Table2429[[#This Row],[Branch Name]]="","",(_xlfn.XLOOKUP(Table2429[[#This Row],[Branch Name]],'Lookup Values'!G:G,'Lookup Values'!I:I,0)))</f>
        <v/>
      </c>
      <c r="C395" t="str">
        <f>IF(Table2429[[#This Row],[Journal Description (Service Description)]]="","",1)</f>
        <v/>
      </c>
      <c r="D395" s="2" t="str">
        <f>IF(Table2429[[#This Row],[Journal Description (Service Description)]]="","",VLOOKUP(Table2429[[#This Row],[Journal Description (Service Description)]],'Lookup Values'!$A:$B,2,FALSE))</f>
        <v/>
      </c>
    </row>
    <row r="396" spans="1:4" x14ac:dyDescent="0.35">
      <c r="A396" t="str">
        <f>IF(Table2429[[#This Row],[Branch Name]]="","",(_xlfn.XLOOKUP(Table2429[[#This Row],[Branch Name]],'Lookup Values'!G:G,'Lookup Values'!H:H,0)))</f>
        <v/>
      </c>
      <c r="B396" t="str">
        <f>IF(Table2429[[#This Row],[Branch Name]]="","",(_xlfn.XLOOKUP(Table2429[[#This Row],[Branch Name]],'Lookup Values'!G:G,'Lookup Values'!I:I,0)))</f>
        <v/>
      </c>
      <c r="C396" t="str">
        <f>IF(Table2429[[#This Row],[Journal Description (Service Description)]]="","",1)</f>
        <v/>
      </c>
      <c r="D396" s="2" t="str">
        <f>IF(Table2429[[#This Row],[Journal Description (Service Description)]]="","",VLOOKUP(Table2429[[#This Row],[Journal Description (Service Description)]],'Lookup Values'!$A:$B,2,FALSE))</f>
        <v/>
      </c>
    </row>
    <row r="397" spans="1:4" x14ac:dyDescent="0.35">
      <c r="A397" t="str">
        <f>IF(Table2429[[#This Row],[Branch Name]]="","",(_xlfn.XLOOKUP(Table2429[[#This Row],[Branch Name]],'Lookup Values'!G:G,'Lookup Values'!H:H,0)))</f>
        <v/>
      </c>
      <c r="B397" t="str">
        <f>IF(Table2429[[#This Row],[Branch Name]]="","",(_xlfn.XLOOKUP(Table2429[[#This Row],[Branch Name]],'Lookup Values'!G:G,'Lookup Values'!I:I,0)))</f>
        <v/>
      </c>
      <c r="C397" t="str">
        <f>IF(Table2429[[#This Row],[Journal Description (Service Description)]]="","",1)</f>
        <v/>
      </c>
      <c r="D397" s="2" t="str">
        <f>IF(Table2429[[#This Row],[Journal Description (Service Description)]]="","",VLOOKUP(Table2429[[#This Row],[Journal Description (Service Description)]],'Lookup Values'!$A:$B,2,FALSE))</f>
        <v/>
      </c>
    </row>
    <row r="398" spans="1:4" x14ac:dyDescent="0.35">
      <c r="A398" t="str">
        <f>IF(Table2429[[#This Row],[Branch Name]]="","",(_xlfn.XLOOKUP(Table2429[[#This Row],[Branch Name]],'Lookup Values'!G:G,'Lookup Values'!H:H,0)))</f>
        <v/>
      </c>
      <c r="B398" t="str">
        <f>IF(Table2429[[#This Row],[Branch Name]]="","",(_xlfn.XLOOKUP(Table2429[[#This Row],[Branch Name]],'Lookup Values'!G:G,'Lookup Values'!I:I,0)))</f>
        <v/>
      </c>
      <c r="C398" t="str">
        <f>IF(Table2429[[#This Row],[Journal Description (Service Description)]]="","",1)</f>
        <v/>
      </c>
      <c r="D398" s="2" t="str">
        <f>IF(Table2429[[#This Row],[Journal Description (Service Description)]]="","",VLOOKUP(Table2429[[#This Row],[Journal Description (Service Description)]],'Lookup Values'!$A:$B,2,FALSE))</f>
        <v/>
      </c>
    </row>
    <row r="399" spans="1:4" x14ac:dyDescent="0.35">
      <c r="A399" t="str">
        <f>IF(Table2429[[#This Row],[Branch Name]]="","",(_xlfn.XLOOKUP(Table2429[[#This Row],[Branch Name]],'Lookup Values'!G:G,'Lookup Values'!H:H,0)))</f>
        <v/>
      </c>
      <c r="B399" t="str">
        <f>IF(Table2429[[#This Row],[Branch Name]]="","",(_xlfn.XLOOKUP(Table2429[[#This Row],[Branch Name]],'Lookup Values'!G:G,'Lookup Values'!I:I,0)))</f>
        <v/>
      </c>
      <c r="C399" t="str">
        <f>IF(Table2429[[#This Row],[Journal Description (Service Description)]]="","",1)</f>
        <v/>
      </c>
      <c r="D399" s="2" t="str">
        <f>IF(Table2429[[#This Row],[Journal Description (Service Description)]]="","",VLOOKUP(Table2429[[#This Row],[Journal Description (Service Description)]],'Lookup Values'!$A:$B,2,FALSE))</f>
        <v/>
      </c>
    </row>
    <row r="400" spans="1:4" x14ac:dyDescent="0.35">
      <c r="A400" t="str">
        <f>IF(Table2429[[#This Row],[Branch Name]]="","",(_xlfn.XLOOKUP(Table2429[[#This Row],[Branch Name]],'Lookup Values'!G:G,'Lookup Values'!H:H,0)))</f>
        <v/>
      </c>
      <c r="B400" t="str">
        <f>IF(Table2429[[#This Row],[Branch Name]]="","",(_xlfn.XLOOKUP(Table2429[[#This Row],[Branch Name]],'Lookup Values'!G:G,'Lookup Values'!I:I,0)))</f>
        <v/>
      </c>
      <c r="C400" t="str">
        <f>IF(Table2429[[#This Row],[Journal Description (Service Description)]]="","",1)</f>
        <v/>
      </c>
      <c r="D400" s="2" t="str">
        <f>IF(Table2429[[#This Row],[Journal Description (Service Description)]]="","",VLOOKUP(Table2429[[#This Row],[Journal Description (Service Description)]],'Lookup Values'!$A:$B,2,FALSE))</f>
        <v/>
      </c>
    </row>
    <row r="401" spans="1:4" x14ac:dyDescent="0.35">
      <c r="A401" t="str">
        <f>IF(Table2429[[#This Row],[Branch Name]]="","",(_xlfn.XLOOKUP(Table2429[[#This Row],[Branch Name]],'Lookup Values'!G:G,'Lookup Values'!H:H,0)))</f>
        <v/>
      </c>
      <c r="B401" t="str">
        <f>IF(Table2429[[#This Row],[Branch Name]]="","",(_xlfn.XLOOKUP(Table2429[[#This Row],[Branch Name]],'Lookup Values'!G:G,'Lookup Values'!I:I,0)))</f>
        <v/>
      </c>
      <c r="C401" t="str">
        <f>IF(Table2429[[#This Row],[Journal Description (Service Description)]]="","",1)</f>
        <v/>
      </c>
      <c r="D401" s="2" t="str">
        <f>IF(Table2429[[#This Row],[Journal Description (Service Description)]]="","",VLOOKUP(Table2429[[#This Row],[Journal Description (Service Description)]],'Lookup Values'!$A:$B,2,FALSE))</f>
        <v/>
      </c>
    </row>
    <row r="402" spans="1:4" x14ac:dyDescent="0.35">
      <c r="A402" t="str">
        <f>IF(Table2429[[#This Row],[Branch Name]]="","",(_xlfn.XLOOKUP(Table2429[[#This Row],[Branch Name]],'Lookup Values'!G:G,'Lookup Values'!H:H,0)))</f>
        <v/>
      </c>
      <c r="B402" t="str">
        <f>IF(Table2429[[#This Row],[Branch Name]]="","",(_xlfn.XLOOKUP(Table2429[[#This Row],[Branch Name]],'Lookup Values'!G:G,'Lookup Values'!I:I,0)))</f>
        <v/>
      </c>
      <c r="C402" t="str">
        <f>IF(Table2429[[#This Row],[Journal Description (Service Description)]]="","",1)</f>
        <v/>
      </c>
      <c r="D402" s="2" t="str">
        <f>IF(Table2429[[#This Row],[Journal Description (Service Description)]]="","",VLOOKUP(Table2429[[#This Row],[Journal Description (Service Description)]],'Lookup Values'!$A:$B,2,FALSE))</f>
        <v/>
      </c>
    </row>
    <row r="403" spans="1:4" x14ac:dyDescent="0.35">
      <c r="A403" t="str">
        <f>IF(Table2429[[#This Row],[Branch Name]]="","",(_xlfn.XLOOKUP(Table2429[[#This Row],[Branch Name]],'Lookup Values'!G:G,'Lookup Values'!H:H,0)))</f>
        <v/>
      </c>
      <c r="B403" t="str">
        <f>IF(Table2429[[#This Row],[Branch Name]]="","",(_xlfn.XLOOKUP(Table2429[[#This Row],[Branch Name]],'Lookup Values'!G:G,'Lookup Values'!I:I,0)))</f>
        <v/>
      </c>
      <c r="C403" t="str">
        <f>IF(Table2429[[#This Row],[Journal Description (Service Description)]]="","",1)</f>
        <v/>
      </c>
      <c r="D403" s="2" t="str">
        <f>IF(Table2429[[#This Row],[Journal Description (Service Description)]]="","",VLOOKUP(Table2429[[#This Row],[Journal Description (Service Description)]],'Lookup Values'!$A:$B,2,FALSE))</f>
        <v/>
      </c>
    </row>
    <row r="404" spans="1:4" x14ac:dyDescent="0.35">
      <c r="A404" t="str">
        <f>IF(Table2429[[#This Row],[Branch Name]]="","",(_xlfn.XLOOKUP(Table2429[[#This Row],[Branch Name]],'Lookup Values'!G:G,'Lookup Values'!H:H,0)))</f>
        <v/>
      </c>
      <c r="B404" t="str">
        <f>IF(Table2429[[#This Row],[Branch Name]]="","",(_xlfn.XLOOKUP(Table2429[[#This Row],[Branch Name]],'Lookup Values'!G:G,'Lookup Values'!I:I,0)))</f>
        <v/>
      </c>
      <c r="C404" t="str">
        <f>IF(Table2429[[#This Row],[Journal Description (Service Description)]]="","",1)</f>
        <v/>
      </c>
      <c r="D404" s="2" t="str">
        <f>IF(Table2429[[#This Row],[Journal Description (Service Description)]]="","",VLOOKUP(Table2429[[#This Row],[Journal Description (Service Description)]],'Lookup Values'!$A:$B,2,FALSE))</f>
        <v/>
      </c>
    </row>
    <row r="405" spans="1:4" x14ac:dyDescent="0.35">
      <c r="A405" t="str">
        <f>IF(Table2429[[#This Row],[Branch Name]]="","",(_xlfn.XLOOKUP(Table2429[[#This Row],[Branch Name]],'Lookup Values'!G:G,'Lookup Values'!H:H,0)))</f>
        <v/>
      </c>
      <c r="B405" t="str">
        <f>IF(Table2429[[#This Row],[Branch Name]]="","",(_xlfn.XLOOKUP(Table2429[[#This Row],[Branch Name]],'Lookup Values'!G:G,'Lookup Values'!I:I,0)))</f>
        <v/>
      </c>
      <c r="C405" t="str">
        <f>IF(Table2429[[#This Row],[Journal Description (Service Description)]]="","",1)</f>
        <v/>
      </c>
      <c r="D405" s="2" t="str">
        <f>IF(Table2429[[#This Row],[Journal Description (Service Description)]]="","",VLOOKUP(Table2429[[#This Row],[Journal Description (Service Description)]],'Lookup Values'!$A:$B,2,FALSE))</f>
        <v/>
      </c>
    </row>
    <row r="406" spans="1:4" x14ac:dyDescent="0.35">
      <c r="A406" t="str">
        <f>IF(Table2429[[#This Row],[Branch Name]]="","",(_xlfn.XLOOKUP(Table2429[[#This Row],[Branch Name]],'Lookup Values'!G:G,'Lookup Values'!H:H,0)))</f>
        <v/>
      </c>
      <c r="B406" t="str">
        <f>IF(Table2429[[#This Row],[Branch Name]]="","",(_xlfn.XLOOKUP(Table2429[[#This Row],[Branch Name]],'Lookup Values'!G:G,'Lookup Values'!I:I,0)))</f>
        <v/>
      </c>
      <c r="C406" t="str">
        <f>IF(Table2429[[#This Row],[Journal Description (Service Description)]]="","",1)</f>
        <v/>
      </c>
      <c r="D406" s="2" t="str">
        <f>IF(Table2429[[#This Row],[Journal Description (Service Description)]]="","",VLOOKUP(Table2429[[#This Row],[Journal Description (Service Description)]],'Lookup Values'!$A:$B,2,FALSE))</f>
        <v/>
      </c>
    </row>
    <row r="407" spans="1:4" x14ac:dyDescent="0.35">
      <c r="A407" t="str">
        <f>IF(Table2429[[#This Row],[Branch Name]]="","",(_xlfn.XLOOKUP(Table2429[[#This Row],[Branch Name]],'Lookup Values'!G:G,'Lookup Values'!H:H,0)))</f>
        <v/>
      </c>
      <c r="B407" t="str">
        <f>IF(Table2429[[#This Row],[Branch Name]]="","",(_xlfn.XLOOKUP(Table2429[[#This Row],[Branch Name]],'Lookup Values'!G:G,'Lookup Values'!I:I,0)))</f>
        <v/>
      </c>
      <c r="C407" t="str">
        <f>IF(Table2429[[#This Row],[Journal Description (Service Description)]]="","",1)</f>
        <v/>
      </c>
      <c r="D407" s="2" t="str">
        <f>IF(Table2429[[#This Row],[Journal Description (Service Description)]]="","",VLOOKUP(Table2429[[#This Row],[Journal Description (Service Description)]],'Lookup Values'!$A:$B,2,FALSE))</f>
        <v/>
      </c>
    </row>
    <row r="408" spans="1:4" x14ac:dyDescent="0.35">
      <c r="A408" t="str">
        <f>IF(Table2429[[#This Row],[Branch Name]]="","",(_xlfn.XLOOKUP(Table2429[[#This Row],[Branch Name]],'Lookup Values'!G:G,'Lookup Values'!H:H,0)))</f>
        <v/>
      </c>
      <c r="B408" t="str">
        <f>IF(Table2429[[#This Row],[Branch Name]]="","",(_xlfn.XLOOKUP(Table2429[[#This Row],[Branch Name]],'Lookup Values'!G:G,'Lookup Values'!I:I,0)))</f>
        <v/>
      </c>
      <c r="C408" t="str">
        <f>IF(Table2429[[#This Row],[Journal Description (Service Description)]]="","",1)</f>
        <v/>
      </c>
      <c r="D408" s="2" t="str">
        <f>IF(Table2429[[#This Row],[Journal Description (Service Description)]]="","",VLOOKUP(Table2429[[#This Row],[Journal Description (Service Description)]],'Lookup Values'!$A:$B,2,FALSE))</f>
        <v/>
      </c>
    </row>
    <row r="409" spans="1:4" x14ac:dyDescent="0.35">
      <c r="A409" t="str">
        <f>IF(Table2429[[#This Row],[Branch Name]]="","",(_xlfn.XLOOKUP(Table2429[[#This Row],[Branch Name]],'Lookup Values'!G:G,'Lookup Values'!H:H,0)))</f>
        <v/>
      </c>
      <c r="B409" t="str">
        <f>IF(Table2429[[#This Row],[Branch Name]]="","",(_xlfn.XLOOKUP(Table2429[[#This Row],[Branch Name]],'Lookup Values'!G:G,'Lookup Values'!I:I,0)))</f>
        <v/>
      </c>
      <c r="C409" t="str">
        <f>IF(Table2429[[#This Row],[Journal Description (Service Description)]]="","",1)</f>
        <v/>
      </c>
      <c r="D409" s="2" t="str">
        <f>IF(Table2429[[#This Row],[Journal Description (Service Description)]]="","",VLOOKUP(Table2429[[#This Row],[Journal Description (Service Description)]],'Lookup Values'!$A:$B,2,FALSE))</f>
        <v/>
      </c>
    </row>
    <row r="410" spans="1:4" x14ac:dyDescent="0.35">
      <c r="A410" t="str">
        <f>IF(Table2429[[#This Row],[Branch Name]]="","",(_xlfn.XLOOKUP(Table2429[[#This Row],[Branch Name]],'Lookup Values'!G:G,'Lookup Values'!H:H,0)))</f>
        <v/>
      </c>
      <c r="B410" t="str">
        <f>IF(Table2429[[#This Row],[Branch Name]]="","",(_xlfn.XLOOKUP(Table2429[[#This Row],[Branch Name]],'Lookup Values'!G:G,'Lookup Values'!I:I,0)))</f>
        <v/>
      </c>
      <c r="C410" t="str">
        <f>IF(Table2429[[#This Row],[Journal Description (Service Description)]]="","",1)</f>
        <v/>
      </c>
      <c r="D410" s="2" t="str">
        <f>IF(Table2429[[#This Row],[Journal Description (Service Description)]]="","",VLOOKUP(Table2429[[#This Row],[Journal Description (Service Description)]],'Lookup Values'!$A:$B,2,FALSE))</f>
        <v/>
      </c>
    </row>
    <row r="411" spans="1:4" x14ac:dyDescent="0.35">
      <c r="A411" t="str">
        <f>IF(Table2429[[#This Row],[Branch Name]]="","",(_xlfn.XLOOKUP(Table2429[[#This Row],[Branch Name]],'Lookup Values'!G:G,'Lookup Values'!H:H,0)))</f>
        <v/>
      </c>
      <c r="B411" t="str">
        <f>IF(Table2429[[#This Row],[Branch Name]]="","",(_xlfn.XLOOKUP(Table2429[[#This Row],[Branch Name]],'Lookup Values'!G:G,'Lookup Values'!I:I,0)))</f>
        <v/>
      </c>
      <c r="C411" t="str">
        <f>IF(Table2429[[#This Row],[Journal Description (Service Description)]]="","",1)</f>
        <v/>
      </c>
      <c r="D411" s="2" t="str">
        <f>IF(Table2429[[#This Row],[Journal Description (Service Description)]]="","",VLOOKUP(Table2429[[#This Row],[Journal Description (Service Description)]],'Lookup Values'!$A:$B,2,FALSE))</f>
        <v/>
      </c>
    </row>
    <row r="412" spans="1:4" x14ac:dyDescent="0.35">
      <c r="A412" t="str">
        <f>IF(Table2429[[#This Row],[Branch Name]]="","",(_xlfn.XLOOKUP(Table2429[[#This Row],[Branch Name]],'Lookup Values'!G:G,'Lookup Values'!H:H,0)))</f>
        <v/>
      </c>
      <c r="B412" t="str">
        <f>IF(Table2429[[#This Row],[Branch Name]]="","",(_xlfn.XLOOKUP(Table2429[[#This Row],[Branch Name]],'Lookup Values'!G:G,'Lookup Values'!I:I,0)))</f>
        <v/>
      </c>
      <c r="C412" t="str">
        <f>IF(Table2429[[#This Row],[Journal Description (Service Description)]]="","",1)</f>
        <v/>
      </c>
      <c r="D412" s="2" t="str">
        <f>IF(Table2429[[#This Row],[Journal Description (Service Description)]]="","",VLOOKUP(Table2429[[#This Row],[Journal Description (Service Description)]],'Lookup Values'!$A:$B,2,FALSE))</f>
        <v/>
      </c>
    </row>
    <row r="413" spans="1:4" x14ac:dyDescent="0.35">
      <c r="A413" t="str">
        <f>IF(Table2429[[#This Row],[Branch Name]]="","",(_xlfn.XLOOKUP(Table2429[[#This Row],[Branch Name]],'Lookup Values'!G:G,'Lookup Values'!H:H,0)))</f>
        <v/>
      </c>
      <c r="B413" t="str">
        <f>IF(Table2429[[#This Row],[Branch Name]]="","",(_xlfn.XLOOKUP(Table2429[[#This Row],[Branch Name]],'Lookup Values'!G:G,'Lookup Values'!I:I,0)))</f>
        <v/>
      </c>
      <c r="C413" t="str">
        <f>IF(Table2429[[#This Row],[Journal Description (Service Description)]]="","",1)</f>
        <v/>
      </c>
      <c r="D413" s="2" t="str">
        <f>IF(Table2429[[#This Row],[Journal Description (Service Description)]]="","",VLOOKUP(Table2429[[#This Row],[Journal Description (Service Description)]],'Lookup Values'!$A:$B,2,FALSE))</f>
        <v/>
      </c>
    </row>
    <row r="414" spans="1:4" x14ac:dyDescent="0.35">
      <c r="A414" t="str">
        <f>IF(Table2429[[#This Row],[Branch Name]]="","",(_xlfn.XLOOKUP(Table2429[[#This Row],[Branch Name]],'Lookup Values'!G:G,'Lookup Values'!H:H,0)))</f>
        <v/>
      </c>
      <c r="B414" t="str">
        <f>IF(Table2429[[#This Row],[Branch Name]]="","",(_xlfn.XLOOKUP(Table2429[[#This Row],[Branch Name]],'Lookup Values'!G:G,'Lookup Values'!I:I,0)))</f>
        <v/>
      </c>
      <c r="C414" t="str">
        <f>IF(Table2429[[#This Row],[Journal Description (Service Description)]]="","",1)</f>
        <v/>
      </c>
      <c r="D414" s="2" t="str">
        <f>IF(Table2429[[#This Row],[Journal Description (Service Description)]]="","",VLOOKUP(Table2429[[#This Row],[Journal Description (Service Description)]],'Lookup Values'!$A:$B,2,FALSE))</f>
        <v/>
      </c>
    </row>
    <row r="415" spans="1:4" x14ac:dyDescent="0.35">
      <c r="A415" t="str">
        <f>IF(Table2429[[#This Row],[Branch Name]]="","",(_xlfn.XLOOKUP(Table2429[[#This Row],[Branch Name]],'Lookup Values'!G:G,'Lookup Values'!H:H,0)))</f>
        <v/>
      </c>
      <c r="B415" t="str">
        <f>IF(Table2429[[#This Row],[Branch Name]]="","",(_xlfn.XLOOKUP(Table2429[[#This Row],[Branch Name]],'Lookup Values'!G:G,'Lookup Values'!I:I,0)))</f>
        <v/>
      </c>
      <c r="C415" t="str">
        <f>IF(Table2429[[#This Row],[Journal Description (Service Description)]]="","",1)</f>
        <v/>
      </c>
      <c r="D415" s="2" t="str">
        <f>IF(Table2429[[#This Row],[Journal Description (Service Description)]]="","",VLOOKUP(Table2429[[#This Row],[Journal Description (Service Description)]],'Lookup Values'!$A:$B,2,FALSE))</f>
        <v/>
      </c>
    </row>
    <row r="416" spans="1:4" x14ac:dyDescent="0.35">
      <c r="A416" t="str">
        <f>IF(Table2429[[#This Row],[Branch Name]]="","",(_xlfn.XLOOKUP(Table2429[[#This Row],[Branch Name]],'Lookup Values'!G:G,'Lookup Values'!H:H,0)))</f>
        <v/>
      </c>
      <c r="B416" t="str">
        <f>IF(Table2429[[#This Row],[Branch Name]]="","",(_xlfn.XLOOKUP(Table2429[[#This Row],[Branch Name]],'Lookup Values'!G:G,'Lookup Values'!I:I,0)))</f>
        <v/>
      </c>
      <c r="C416" t="str">
        <f>IF(Table2429[[#This Row],[Journal Description (Service Description)]]="","",1)</f>
        <v/>
      </c>
      <c r="D416" s="2" t="str">
        <f>IF(Table2429[[#This Row],[Journal Description (Service Description)]]="","",VLOOKUP(Table2429[[#This Row],[Journal Description (Service Description)]],'Lookup Values'!$A:$B,2,FALSE))</f>
        <v/>
      </c>
    </row>
    <row r="417" spans="1:4" x14ac:dyDescent="0.35">
      <c r="A417" t="str">
        <f>IF(Table2429[[#This Row],[Branch Name]]="","",(_xlfn.XLOOKUP(Table2429[[#This Row],[Branch Name]],'Lookup Values'!G:G,'Lookup Values'!H:H,0)))</f>
        <v/>
      </c>
      <c r="B417" t="str">
        <f>IF(Table2429[[#This Row],[Branch Name]]="","",(_xlfn.XLOOKUP(Table2429[[#This Row],[Branch Name]],'Lookup Values'!G:G,'Lookup Values'!I:I,0)))</f>
        <v/>
      </c>
      <c r="C417" t="str">
        <f>IF(Table2429[[#This Row],[Journal Description (Service Description)]]="","",1)</f>
        <v/>
      </c>
      <c r="D417" s="2" t="str">
        <f>IF(Table2429[[#This Row],[Journal Description (Service Description)]]="","",VLOOKUP(Table2429[[#This Row],[Journal Description (Service Description)]],'Lookup Values'!$A:$B,2,FALSE))</f>
        <v/>
      </c>
    </row>
    <row r="418" spans="1:4" x14ac:dyDescent="0.35">
      <c r="A418" t="str">
        <f>IF(Table2429[[#This Row],[Branch Name]]="","",(_xlfn.XLOOKUP(Table2429[[#This Row],[Branch Name]],'Lookup Values'!G:G,'Lookup Values'!H:H,0)))</f>
        <v/>
      </c>
      <c r="B418" t="str">
        <f>IF(Table2429[[#This Row],[Branch Name]]="","",(_xlfn.XLOOKUP(Table2429[[#This Row],[Branch Name]],'Lookup Values'!G:G,'Lookup Values'!I:I,0)))</f>
        <v/>
      </c>
      <c r="C418" t="str">
        <f>IF(Table2429[[#This Row],[Journal Description (Service Description)]]="","",1)</f>
        <v/>
      </c>
      <c r="D418" s="2" t="str">
        <f>IF(Table2429[[#This Row],[Journal Description (Service Description)]]="","",VLOOKUP(Table2429[[#This Row],[Journal Description (Service Description)]],'Lookup Values'!$A:$B,2,FALSE))</f>
        <v/>
      </c>
    </row>
    <row r="419" spans="1:4" x14ac:dyDescent="0.35">
      <c r="A419" t="str">
        <f>IF(Table2429[[#This Row],[Branch Name]]="","",(_xlfn.XLOOKUP(Table2429[[#This Row],[Branch Name]],'Lookup Values'!G:G,'Lookup Values'!H:H,0)))</f>
        <v/>
      </c>
      <c r="B419" t="str">
        <f>IF(Table2429[[#This Row],[Branch Name]]="","",(_xlfn.XLOOKUP(Table2429[[#This Row],[Branch Name]],'Lookup Values'!G:G,'Lookup Values'!I:I,0)))</f>
        <v/>
      </c>
      <c r="C419" t="str">
        <f>IF(Table2429[[#This Row],[Journal Description (Service Description)]]="","",1)</f>
        <v/>
      </c>
      <c r="D419" s="2" t="str">
        <f>IF(Table2429[[#This Row],[Journal Description (Service Description)]]="","",VLOOKUP(Table2429[[#This Row],[Journal Description (Service Description)]],'Lookup Values'!$A:$B,2,FALSE))</f>
        <v/>
      </c>
    </row>
    <row r="420" spans="1:4" x14ac:dyDescent="0.35">
      <c r="A420" t="str">
        <f>IF(Table2429[[#This Row],[Branch Name]]="","",(_xlfn.XLOOKUP(Table2429[[#This Row],[Branch Name]],'Lookup Values'!G:G,'Lookup Values'!H:H,0)))</f>
        <v/>
      </c>
      <c r="B420" t="str">
        <f>IF(Table2429[[#This Row],[Branch Name]]="","",(_xlfn.XLOOKUP(Table2429[[#This Row],[Branch Name]],'Lookup Values'!G:G,'Lookup Values'!I:I,0)))</f>
        <v/>
      </c>
      <c r="C420" t="str">
        <f>IF(Table2429[[#This Row],[Journal Description (Service Description)]]="","",1)</f>
        <v/>
      </c>
      <c r="D420" s="2" t="str">
        <f>IF(Table2429[[#This Row],[Journal Description (Service Description)]]="","",VLOOKUP(Table2429[[#This Row],[Journal Description (Service Description)]],'Lookup Values'!$A:$B,2,FALSE))</f>
        <v/>
      </c>
    </row>
    <row r="421" spans="1:4" x14ac:dyDescent="0.35">
      <c r="A421" t="str">
        <f>IF(Table2429[[#This Row],[Branch Name]]="","",(_xlfn.XLOOKUP(Table2429[[#This Row],[Branch Name]],'Lookup Values'!G:G,'Lookup Values'!H:H,0)))</f>
        <v/>
      </c>
      <c r="B421" t="str">
        <f>IF(Table2429[[#This Row],[Branch Name]]="","",(_xlfn.XLOOKUP(Table2429[[#This Row],[Branch Name]],'Lookup Values'!G:G,'Lookup Values'!I:I,0)))</f>
        <v/>
      </c>
      <c r="C421" t="str">
        <f>IF(Table2429[[#This Row],[Journal Description (Service Description)]]="","",1)</f>
        <v/>
      </c>
      <c r="D421" s="2" t="str">
        <f>IF(Table2429[[#This Row],[Journal Description (Service Description)]]="","",VLOOKUP(Table2429[[#This Row],[Journal Description (Service Description)]],'Lookup Values'!$A:$B,2,FALSE))</f>
        <v/>
      </c>
    </row>
    <row r="422" spans="1:4" x14ac:dyDescent="0.35">
      <c r="A422" t="str">
        <f>IF(Table2429[[#This Row],[Branch Name]]="","",(_xlfn.XLOOKUP(Table2429[[#This Row],[Branch Name]],'Lookup Values'!G:G,'Lookup Values'!H:H,0)))</f>
        <v/>
      </c>
      <c r="B422" t="str">
        <f>IF(Table2429[[#This Row],[Branch Name]]="","",(_xlfn.XLOOKUP(Table2429[[#This Row],[Branch Name]],'Lookup Values'!G:G,'Lookup Values'!I:I,0)))</f>
        <v/>
      </c>
      <c r="C422" t="str">
        <f>IF(Table2429[[#This Row],[Journal Description (Service Description)]]="","",1)</f>
        <v/>
      </c>
      <c r="D422" s="2" t="str">
        <f>IF(Table2429[[#This Row],[Journal Description (Service Description)]]="","",VLOOKUP(Table2429[[#This Row],[Journal Description (Service Description)]],'Lookup Values'!$A:$B,2,FALSE))</f>
        <v/>
      </c>
    </row>
    <row r="423" spans="1:4" x14ac:dyDescent="0.35">
      <c r="A423" t="str">
        <f>IF(Table2429[[#This Row],[Branch Name]]="","",(_xlfn.XLOOKUP(Table2429[[#This Row],[Branch Name]],'Lookup Values'!G:G,'Lookup Values'!H:H,0)))</f>
        <v/>
      </c>
      <c r="B423" t="str">
        <f>IF(Table2429[[#This Row],[Branch Name]]="","",(_xlfn.XLOOKUP(Table2429[[#This Row],[Branch Name]],'Lookup Values'!G:G,'Lookup Values'!I:I,0)))</f>
        <v/>
      </c>
      <c r="C423" t="str">
        <f>IF(Table2429[[#This Row],[Journal Description (Service Description)]]="","",1)</f>
        <v/>
      </c>
      <c r="D423" s="2" t="str">
        <f>IF(Table2429[[#This Row],[Journal Description (Service Description)]]="","",VLOOKUP(Table2429[[#This Row],[Journal Description (Service Description)]],'Lookup Values'!$A:$B,2,FALSE))</f>
        <v/>
      </c>
    </row>
    <row r="424" spans="1:4" x14ac:dyDescent="0.35">
      <c r="A424" t="str">
        <f>IF(Table2429[[#This Row],[Branch Name]]="","",(_xlfn.XLOOKUP(Table2429[[#This Row],[Branch Name]],'Lookup Values'!G:G,'Lookup Values'!H:H,0)))</f>
        <v/>
      </c>
      <c r="B424" t="str">
        <f>IF(Table2429[[#This Row],[Branch Name]]="","",(_xlfn.XLOOKUP(Table2429[[#This Row],[Branch Name]],'Lookup Values'!G:G,'Lookup Values'!I:I,0)))</f>
        <v/>
      </c>
      <c r="C424" t="str">
        <f>IF(Table2429[[#This Row],[Journal Description (Service Description)]]="","",1)</f>
        <v/>
      </c>
      <c r="D424" s="2" t="str">
        <f>IF(Table2429[[#This Row],[Journal Description (Service Description)]]="","",VLOOKUP(Table2429[[#This Row],[Journal Description (Service Description)]],'Lookup Values'!$A:$B,2,FALSE))</f>
        <v/>
      </c>
    </row>
    <row r="425" spans="1:4" x14ac:dyDescent="0.35">
      <c r="A425" t="str">
        <f>IF(Table2429[[#This Row],[Branch Name]]="","",(_xlfn.XLOOKUP(Table2429[[#This Row],[Branch Name]],'Lookup Values'!G:G,'Lookup Values'!H:H,0)))</f>
        <v/>
      </c>
      <c r="B425" t="str">
        <f>IF(Table2429[[#This Row],[Branch Name]]="","",(_xlfn.XLOOKUP(Table2429[[#This Row],[Branch Name]],'Lookup Values'!G:G,'Lookup Values'!I:I,0)))</f>
        <v/>
      </c>
      <c r="C425" t="str">
        <f>IF(Table2429[[#This Row],[Journal Description (Service Description)]]="","",1)</f>
        <v/>
      </c>
      <c r="D425" s="2" t="str">
        <f>IF(Table2429[[#This Row],[Journal Description (Service Description)]]="","",VLOOKUP(Table2429[[#This Row],[Journal Description (Service Description)]],'Lookup Values'!$A:$B,2,FALSE))</f>
        <v/>
      </c>
    </row>
    <row r="426" spans="1:4" x14ac:dyDescent="0.35">
      <c r="A426" t="str">
        <f>IF(Table2429[[#This Row],[Branch Name]]="","",(_xlfn.XLOOKUP(Table2429[[#This Row],[Branch Name]],'Lookup Values'!G:G,'Lookup Values'!H:H,0)))</f>
        <v/>
      </c>
      <c r="B426" t="str">
        <f>IF(Table2429[[#This Row],[Branch Name]]="","",(_xlfn.XLOOKUP(Table2429[[#This Row],[Branch Name]],'Lookup Values'!G:G,'Lookup Values'!I:I,0)))</f>
        <v/>
      </c>
      <c r="C426" t="str">
        <f>IF(Table2429[[#This Row],[Journal Description (Service Description)]]="","",1)</f>
        <v/>
      </c>
      <c r="D426" s="2" t="str">
        <f>IF(Table2429[[#This Row],[Journal Description (Service Description)]]="","",VLOOKUP(Table2429[[#This Row],[Journal Description (Service Description)]],'Lookup Values'!$A:$B,2,FALSE))</f>
        <v/>
      </c>
    </row>
    <row r="427" spans="1:4" x14ac:dyDescent="0.35">
      <c r="A427" t="str">
        <f>IF(Table2429[[#This Row],[Branch Name]]="","",(_xlfn.XLOOKUP(Table2429[[#This Row],[Branch Name]],'Lookup Values'!G:G,'Lookup Values'!H:H,0)))</f>
        <v/>
      </c>
      <c r="B427" t="str">
        <f>IF(Table2429[[#This Row],[Branch Name]]="","",(_xlfn.XLOOKUP(Table2429[[#This Row],[Branch Name]],'Lookup Values'!G:G,'Lookup Values'!I:I,0)))</f>
        <v/>
      </c>
      <c r="C427" t="str">
        <f>IF(Table2429[[#This Row],[Journal Description (Service Description)]]="","",1)</f>
        <v/>
      </c>
      <c r="D427" s="2" t="str">
        <f>IF(Table2429[[#This Row],[Journal Description (Service Description)]]="","",VLOOKUP(Table2429[[#This Row],[Journal Description (Service Description)]],'Lookup Values'!$A:$B,2,FALSE))</f>
        <v/>
      </c>
    </row>
    <row r="428" spans="1:4" x14ac:dyDescent="0.35">
      <c r="A428" t="str">
        <f>IF(Table2429[[#This Row],[Branch Name]]="","",(_xlfn.XLOOKUP(Table2429[[#This Row],[Branch Name]],'Lookup Values'!G:G,'Lookup Values'!H:H,0)))</f>
        <v/>
      </c>
      <c r="B428" t="str">
        <f>IF(Table2429[[#This Row],[Branch Name]]="","",(_xlfn.XLOOKUP(Table2429[[#This Row],[Branch Name]],'Lookup Values'!G:G,'Lookup Values'!I:I,0)))</f>
        <v/>
      </c>
      <c r="C428" t="str">
        <f>IF(Table2429[[#This Row],[Journal Description (Service Description)]]="","",1)</f>
        <v/>
      </c>
      <c r="D428" s="2" t="str">
        <f>IF(Table2429[[#This Row],[Journal Description (Service Description)]]="","",VLOOKUP(Table2429[[#This Row],[Journal Description (Service Description)]],'Lookup Values'!$A:$B,2,FALSE))</f>
        <v/>
      </c>
    </row>
    <row r="429" spans="1:4" x14ac:dyDescent="0.35">
      <c r="A429" t="str">
        <f>IF(Table2429[[#This Row],[Branch Name]]="","",(_xlfn.XLOOKUP(Table2429[[#This Row],[Branch Name]],'Lookup Values'!G:G,'Lookup Values'!H:H,0)))</f>
        <v/>
      </c>
      <c r="B429" t="str">
        <f>IF(Table2429[[#This Row],[Branch Name]]="","",(_xlfn.XLOOKUP(Table2429[[#This Row],[Branch Name]],'Lookup Values'!G:G,'Lookup Values'!I:I,0)))</f>
        <v/>
      </c>
      <c r="C429" t="str">
        <f>IF(Table2429[[#This Row],[Journal Description (Service Description)]]="","",1)</f>
        <v/>
      </c>
      <c r="D429" s="2" t="str">
        <f>IF(Table2429[[#This Row],[Journal Description (Service Description)]]="","",VLOOKUP(Table2429[[#This Row],[Journal Description (Service Description)]],'Lookup Values'!$A:$B,2,FALSE))</f>
        <v/>
      </c>
    </row>
    <row r="430" spans="1:4" x14ac:dyDescent="0.35">
      <c r="A430" t="str">
        <f>IF(Table2429[[#This Row],[Branch Name]]="","",(_xlfn.XLOOKUP(Table2429[[#This Row],[Branch Name]],'Lookup Values'!G:G,'Lookup Values'!H:H,0)))</f>
        <v/>
      </c>
      <c r="B430" t="str">
        <f>IF(Table2429[[#This Row],[Branch Name]]="","",(_xlfn.XLOOKUP(Table2429[[#This Row],[Branch Name]],'Lookup Values'!G:G,'Lookup Values'!I:I,0)))</f>
        <v/>
      </c>
      <c r="C430" t="str">
        <f>IF(Table2429[[#This Row],[Journal Description (Service Description)]]="","",1)</f>
        <v/>
      </c>
      <c r="D430" s="2" t="str">
        <f>IF(Table2429[[#This Row],[Journal Description (Service Description)]]="","",VLOOKUP(Table2429[[#This Row],[Journal Description (Service Description)]],'Lookup Values'!$A:$B,2,FALSE))</f>
        <v/>
      </c>
    </row>
    <row r="431" spans="1:4" x14ac:dyDescent="0.35">
      <c r="A431" t="str">
        <f>IF(Table2429[[#This Row],[Branch Name]]="","",(_xlfn.XLOOKUP(Table2429[[#This Row],[Branch Name]],'Lookup Values'!G:G,'Lookup Values'!H:H,0)))</f>
        <v/>
      </c>
      <c r="B431" t="str">
        <f>IF(Table2429[[#This Row],[Branch Name]]="","",(_xlfn.XLOOKUP(Table2429[[#This Row],[Branch Name]],'Lookup Values'!G:G,'Lookup Values'!I:I,0)))</f>
        <v/>
      </c>
      <c r="C431" t="str">
        <f>IF(Table2429[[#This Row],[Journal Description (Service Description)]]="","",1)</f>
        <v/>
      </c>
      <c r="D431" s="2" t="str">
        <f>IF(Table2429[[#This Row],[Journal Description (Service Description)]]="","",VLOOKUP(Table2429[[#This Row],[Journal Description (Service Description)]],'Lookup Values'!$A:$B,2,FALSE))</f>
        <v/>
      </c>
    </row>
    <row r="432" spans="1:4" x14ac:dyDescent="0.35">
      <c r="A432" t="str">
        <f>IF(Table2429[[#This Row],[Branch Name]]="","",(_xlfn.XLOOKUP(Table2429[[#This Row],[Branch Name]],'Lookup Values'!G:G,'Lookup Values'!H:H,0)))</f>
        <v/>
      </c>
      <c r="B432" t="str">
        <f>IF(Table2429[[#This Row],[Branch Name]]="","",(_xlfn.XLOOKUP(Table2429[[#This Row],[Branch Name]],'Lookup Values'!G:G,'Lookup Values'!I:I,0)))</f>
        <v/>
      </c>
      <c r="C432" t="str">
        <f>IF(Table2429[[#This Row],[Journal Description (Service Description)]]="","",1)</f>
        <v/>
      </c>
      <c r="D432" s="2" t="str">
        <f>IF(Table2429[[#This Row],[Journal Description (Service Description)]]="","",VLOOKUP(Table2429[[#This Row],[Journal Description (Service Description)]],'Lookup Values'!$A:$B,2,FALSE))</f>
        <v/>
      </c>
    </row>
    <row r="433" spans="1:4" x14ac:dyDescent="0.35">
      <c r="A433" t="str">
        <f>IF(Table2429[[#This Row],[Branch Name]]="","",(_xlfn.XLOOKUP(Table2429[[#This Row],[Branch Name]],'Lookup Values'!G:G,'Lookup Values'!H:H,0)))</f>
        <v/>
      </c>
      <c r="B433" t="str">
        <f>IF(Table2429[[#This Row],[Branch Name]]="","",(_xlfn.XLOOKUP(Table2429[[#This Row],[Branch Name]],'Lookup Values'!G:G,'Lookup Values'!I:I,0)))</f>
        <v/>
      </c>
      <c r="C433" t="str">
        <f>IF(Table2429[[#This Row],[Journal Description (Service Description)]]="","",1)</f>
        <v/>
      </c>
      <c r="D433" s="2" t="str">
        <f>IF(Table2429[[#This Row],[Journal Description (Service Description)]]="","",VLOOKUP(Table2429[[#This Row],[Journal Description (Service Description)]],'Lookup Values'!$A:$B,2,FALSE))</f>
        <v/>
      </c>
    </row>
    <row r="434" spans="1:4" x14ac:dyDescent="0.35">
      <c r="A434" t="str">
        <f>IF(Table2429[[#This Row],[Branch Name]]="","",(_xlfn.XLOOKUP(Table2429[[#This Row],[Branch Name]],'Lookup Values'!G:G,'Lookup Values'!H:H,0)))</f>
        <v/>
      </c>
      <c r="B434" t="str">
        <f>IF(Table2429[[#This Row],[Branch Name]]="","",(_xlfn.XLOOKUP(Table2429[[#This Row],[Branch Name]],'Lookup Values'!G:G,'Lookup Values'!I:I,0)))</f>
        <v/>
      </c>
      <c r="C434" t="str">
        <f>IF(Table2429[[#This Row],[Journal Description (Service Description)]]="","",1)</f>
        <v/>
      </c>
      <c r="D434" s="2" t="str">
        <f>IF(Table2429[[#This Row],[Journal Description (Service Description)]]="","",VLOOKUP(Table2429[[#This Row],[Journal Description (Service Description)]],'Lookup Values'!$A:$B,2,FALSE))</f>
        <v/>
      </c>
    </row>
    <row r="435" spans="1:4" x14ac:dyDescent="0.35">
      <c r="A435" t="str">
        <f>IF(Table2429[[#This Row],[Branch Name]]="","",(_xlfn.XLOOKUP(Table2429[[#This Row],[Branch Name]],'Lookup Values'!G:G,'Lookup Values'!H:H,0)))</f>
        <v/>
      </c>
      <c r="B435" t="str">
        <f>IF(Table2429[[#This Row],[Branch Name]]="","",(_xlfn.XLOOKUP(Table2429[[#This Row],[Branch Name]],'Lookup Values'!G:G,'Lookup Values'!I:I,0)))</f>
        <v/>
      </c>
      <c r="C435" t="str">
        <f>IF(Table2429[[#This Row],[Journal Description (Service Description)]]="","",1)</f>
        <v/>
      </c>
      <c r="D435" s="2" t="str">
        <f>IF(Table2429[[#This Row],[Journal Description (Service Description)]]="","",VLOOKUP(Table2429[[#This Row],[Journal Description (Service Description)]],'Lookup Values'!$A:$B,2,FALSE))</f>
        <v/>
      </c>
    </row>
    <row r="436" spans="1:4" x14ac:dyDescent="0.35">
      <c r="A436" t="str">
        <f>IF(Table2429[[#This Row],[Branch Name]]="","",(_xlfn.XLOOKUP(Table2429[[#This Row],[Branch Name]],'Lookup Values'!G:G,'Lookup Values'!H:H,0)))</f>
        <v/>
      </c>
      <c r="B436" t="str">
        <f>IF(Table2429[[#This Row],[Branch Name]]="","",(_xlfn.XLOOKUP(Table2429[[#This Row],[Branch Name]],'Lookup Values'!G:G,'Lookup Values'!I:I,0)))</f>
        <v/>
      </c>
      <c r="C436" t="str">
        <f>IF(Table2429[[#This Row],[Journal Description (Service Description)]]="","",1)</f>
        <v/>
      </c>
      <c r="D436" s="2" t="str">
        <f>IF(Table2429[[#This Row],[Journal Description (Service Description)]]="","",VLOOKUP(Table2429[[#This Row],[Journal Description (Service Description)]],'Lookup Values'!$A:$B,2,FALSE))</f>
        <v/>
      </c>
    </row>
    <row r="437" spans="1:4" x14ac:dyDescent="0.35">
      <c r="A437" t="str">
        <f>IF(Table2429[[#This Row],[Branch Name]]="","",(_xlfn.XLOOKUP(Table2429[[#This Row],[Branch Name]],'Lookup Values'!G:G,'Lookup Values'!H:H,0)))</f>
        <v/>
      </c>
      <c r="B437" t="str">
        <f>IF(Table2429[[#This Row],[Branch Name]]="","",(_xlfn.XLOOKUP(Table2429[[#This Row],[Branch Name]],'Lookup Values'!G:G,'Lookup Values'!I:I,0)))</f>
        <v/>
      </c>
      <c r="C437" t="str">
        <f>IF(Table2429[[#This Row],[Journal Description (Service Description)]]="","",1)</f>
        <v/>
      </c>
      <c r="D437" s="2" t="str">
        <f>IF(Table2429[[#This Row],[Journal Description (Service Description)]]="","",VLOOKUP(Table2429[[#This Row],[Journal Description (Service Description)]],'Lookup Values'!$A:$B,2,FALSE))</f>
        <v/>
      </c>
    </row>
    <row r="438" spans="1:4" x14ac:dyDescent="0.35">
      <c r="A438" t="str">
        <f>IF(Table2429[[#This Row],[Branch Name]]="","",(_xlfn.XLOOKUP(Table2429[[#This Row],[Branch Name]],'Lookup Values'!G:G,'Lookup Values'!H:H,0)))</f>
        <v/>
      </c>
      <c r="B438" t="str">
        <f>IF(Table2429[[#This Row],[Branch Name]]="","",(_xlfn.XLOOKUP(Table2429[[#This Row],[Branch Name]],'Lookup Values'!G:G,'Lookup Values'!I:I,0)))</f>
        <v/>
      </c>
      <c r="C438" t="str">
        <f>IF(Table2429[[#This Row],[Journal Description (Service Description)]]="","",1)</f>
        <v/>
      </c>
      <c r="D438" s="2" t="str">
        <f>IF(Table2429[[#This Row],[Journal Description (Service Description)]]="","",VLOOKUP(Table2429[[#This Row],[Journal Description (Service Description)]],'Lookup Values'!$A:$B,2,FALSE))</f>
        <v/>
      </c>
    </row>
    <row r="439" spans="1:4" x14ac:dyDescent="0.35">
      <c r="A439" t="str">
        <f>IF(Table2429[[#This Row],[Branch Name]]="","",(_xlfn.XLOOKUP(Table2429[[#This Row],[Branch Name]],'Lookup Values'!G:G,'Lookup Values'!H:H,0)))</f>
        <v/>
      </c>
      <c r="B439" t="str">
        <f>IF(Table2429[[#This Row],[Branch Name]]="","",(_xlfn.XLOOKUP(Table2429[[#This Row],[Branch Name]],'Lookup Values'!G:G,'Lookup Values'!I:I,0)))</f>
        <v/>
      </c>
      <c r="C439" t="str">
        <f>IF(Table2429[[#This Row],[Journal Description (Service Description)]]="","",1)</f>
        <v/>
      </c>
      <c r="D439" s="2" t="str">
        <f>IF(Table2429[[#This Row],[Journal Description (Service Description)]]="","",VLOOKUP(Table2429[[#This Row],[Journal Description (Service Description)]],'Lookup Values'!$A:$B,2,FALSE))</f>
        <v/>
      </c>
    </row>
    <row r="440" spans="1:4" x14ac:dyDescent="0.35">
      <c r="A440" t="str">
        <f>IF(Table2429[[#This Row],[Branch Name]]="","",(_xlfn.XLOOKUP(Table2429[[#This Row],[Branch Name]],'Lookup Values'!G:G,'Lookup Values'!H:H,0)))</f>
        <v/>
      </c>
      <c r="B440" t="str">
        <f>IF(Table2429[[#This Row],[Branch Name]]="","",(_xlfn.XLOOKUP(Table2429[[#This Row],[Branch Name]],'Lookup Values'!G:G,'Lookup Values'!I:I,0)))</f>
        <v/>
      </c>
      <c r="C440" t="str">
        <f>IF(Table2429[[#This Row],[Journal Description (Service Description)]]="","",1)</f>
        <v/>
      </c>
      <c r="D440" s="2" t="str">
        <f>IF(Table2429[[#This Row],[Journal Description (Service Description)]]="","",VLOOKUP(Table2429[[#This Row],[Journal Description (Service Description)]],'Lookup Values'!$A:$B,2,FALSE))</f>
        <v/>
      </c>
    </row>
    <row r="441" spans="1:4" x14ac:dyDescent="0.35">
      <c r="A441" t="str">
        <f>IF(Table2429[[#This Row],[Branch Name]]="","",(_xlfn.XLOOKUP(Table2429[[#This Row],[Branch Name]],'Lookup Values'!G:G,'Lookup Values'!H:H,0)))</f>
        <v/>
      </c>
      <c r="B441" t="str">
        <f>IF(Table2429[[#This Row],[Branch Name]]="","",(_xlfn.XLOOKUP(Table2429[[#This Row],[Branch Name]],'Lookup Values'!G:G,'Lookup Values'!I:I,0)))</f>
        <v/>
      </c>
      <c r="C441" t="str">
        <f>IF(Table2429[[#This Row],[Journal Description (Service Description)]]="","",1)</f>
        <v/>
      </c>
      <c r="D441" s="2" t="str">
        <f>IF(Table2429[[#This Row],[Journal Description (Service Description)]]="","",VLOOKUP(Table2429[[#This Row],[Journal Description (Service Description)]],'Lookup Values'!$A:$B,2,FALSE))</f>
        <v/>
      </c>
    </row>
    <row r="442" spans="1:4" x14ac:dyDescent="0.35">
      <c r="A442" t="str">
        <f>IF(Table2429[[#This Row],[Branch Name]]="","",(_xlfn.XLOOKUP(Table2429[[#This Row],[Branch Name]],'Lookup Values'!G:G,'Lookup Values'!H:H,0)))</f>
        <v/>
      </c>
      <c r="B442" t="str">
        <f>IF(Table2429[[#This Row],[Branch Name]]="","",(_xlfn.XLOOKUP(Table2429[[#This Row],[Branch Name]],'Lookup Values'!G:G,'Lookup Values'!I:I,0)))</f>
        <v/>
      </c>
      <c r="C442" t="str">
        <f>IF(Table2429[[#This Row],[Journal Description (Service Description)]]="","",1)</f>
        <v/>
      </c>
      <c r="D442" s="2" t="str">
        <f>IF(Table2429[[#This Row],[Journal Description (Service Description)]]="","",VLOOKUP(Table2429[[#This Row],[Journal Description (Service Description)]],'Lookup Values'!$A:$B,2,FALSE))</f>
        <v/>
      </c>
    </row>
    <row r="443" spans="1:4" x14ac:dyDescent="0.35">
      <c r="A443" t="str">
        <f>IF(Table2429[[#This Row],[Branch Name]]="","",(_xlfn.XLOOKUP(Table2429[[#This Row],[Branch Name]],'Lookup Values'!G:G,'Lookup Values'!H:H,0)))</f>
        <v/>
      </c>
      <c r="B443" t="str">
        <f>IF(Table2429[[#This Row],[Branch Name]]="","",(_xlfn.XLOOKUP(Table2429[[#This Row],[Branch Name]],'Lookup Values'!G:G,'Lookup Values'!I:I,0)))</f>
        <v/>
      </c>
      <c r="C443" t="str">
        <f>IF(Table2429[[#This Row],[Journal Description (Service Description)]]="","",1)</f>
        <v/>
      </c>
      <c r="D443" s="2" t="str">
        <f>IF(Table2429[[#This Row],[Journal Description (Service Description)]]="","",VLOOKUP(Table2429[[#This Row],[Journal Description (Service Description)]],'Lookup Values'!$A:$B,2,FALSE))</f>
        <v/>
      </c>
    </row>
    <row r="444" spans="1:4" x14ac:dyDescent="0.35">
      <c r="A444" t="str">
        <f>IF(Table2429[[#This Row],[Branch Name]]="","",(_xlfn.XLOOKUP(Table2429[[#This Row],[Branch Name]],'Lookup Values'!G:G,'Lookup Values'!H:H,0)))</f>
        <v/>
      </c>
      <c r="B444" t="str">
        <f>IF(Table2429[[#This Row],[Branch Name]]="","",(_xlfn.XLOOKUP(Table2429[[#This Row],[Branch Name]],'Lookup Values'!G:G,'Lookup Values'!I:I,0)))</f>
        <v/>
      </c>
      <c r="C444" t="str">
        <f>IF(Table2429[[#This Row],[Journal Description (Service Description)]]="","",1)</f>
        <v/>
      </c>
      <c r="D444" s="2" t="str">
        <f>IF(Table2429[[#This Row],[Journal Description (Service Description)]]="","",VLOOKUP(Table2429[[#This Row],[Journal Description (Service Description)]],'Lookup Values'!$A:$B,2,FALSE))</f>
        <v/>
      </c>
    </row>
    <row r="445" spans="1:4" x14ac:dyDescent="0.35">
      <c r="A445" t="str">
        <f>IF(Table2429[[#This Row],[Branch Name]]="","",(_xlfn.XLOOKUP(Table2429[[#This Row],[Branch Name]],'Lookup Values'!G:G,'Lookup Values'!H:H,0)))</f>
        <v/>
      </c>
      <c r="B445" t="str">
        <f>IF(Table2429[[#This Row],[Branch Name]]="","",(_xlfn.XLOOKUP(Table2429[[#This Row],[Branch Name]],'Lookup Values'!G:G,'Lookup Values'!I:I,0)))</f>
        <v/>
      </c>
      <c r="C445" t="str">
        <f>IF(Table2429[[#This Row],[Journal Description (Service Description)]]="","",1)</f>
        <v/>
      </c>
      <c r="D445" s="2" t="str">
        <f>IF(Table2429[[#This Row],[Journal Description (Service Description)]]="","",VLOOKUP(Table2429[[#This Row],[Journal Description (Service Description)]],'Lookup Values'!$A:$B,2,FALSE))</f>
        <v/>
      </c>
    </row>
    <row r="446" spans="1:4" x14ac:dyDescent="0.35">
      <c r="A446" t="str">
        <f>IF(Table2429[[#This Row],[Branch Name]]="","",(_xlfn.XLOOKUP(Table2429[[#This Row],[Branch Name]],'Lookup Values'!G:G,'Lookup Values'!H:H,0)))</f>
        <v/>
      </c>
      <c r="B446" t="str">
        <f>IF(Table2429[[#This Row],[Branch Name]]="","",(_xlfn.XLOOKUP(Table2429[[#This Row],[Branch Name]],'Lookup Values'!G:G,'Lookup Values'!I:I,0)))</f>
        <v/>
      </c>
      <c r="C446" t="str">
        <f>IF(Table2429[[#This Row],[Journal Description (Service Description)]]="","",1)</f>
        <v/>
      </c>
      <c r="D446" s="2" t="str">
        <f>IF(Table2429[[#This Row],[Journal Description (Service Description)]]="","",VLOOKUP(Table2429[[#This Row],[Journal Description (Service Description)]],'Lookup Values'!$A:$B,2,FALSE))</f>
        <v/>
      </c>
    </row>
    <row r="447" spans="1:4" x14ac:dyDescent="0.35">
      <c r="A447" t="str">
        <f>IF(Table2429[[#This Row],[Branch Name]]="","",(_xlfn.XLOOKUP(Table2429[[#This Row],[Branch Name]],'Lookup Values'!G:G,'Lookup Values'!H:H,0)))</f>
        <v/>
      </c>
      <c r="B447" t="str">
        <f>IF(Table2429[[#This Row],[Branch Name]]="","",(_xlfn.XLOOKUP(Table2429[[#This Row],[Branch Name]],'Lookup Values'!G:G,'Lookup Values'!I:I,0)))</f>
        <v/>
      </c>
      <c r="C447" t="str">
        <f>IF(Table2429[[#This Row],[Journal Description (Service Description)]]="","",1)</f>
        <v/>
      </c>
      <c r="D447" s="2" t="str">
        <f>IF(Table2429[[#This Row],[Journal Description (Service Description)]]="","",VLOOKUP(Table2429[[#This Row],[Journal Description (Service Description)]],'Lookup Values'!$A:$B,2,FALSE))</f>
        <v/>
      </c>
    </row>
    <row r="448" spans="1:4" x14ac:dyDescent="0.35">
      <c r="A448" t="str">
        <f>IF(Table2429[[#This Row],[Branch Name]]="","",(_xlfn.XLOOKUP(Table2429[[#This Row],[Branch Name]],'Lookup Values'!G:G,'Lookup Values'!H:H,0)))</f>
        <v/>
      </c>
      <c r="B448" t="str">
        <f>IF(Table2429[[#This Row],[Branch Name]]="","",(_xlfn.XLOOKUP(Table2429[[#This Row],[Branch Name]],'Lookup Values'!G:G,'Lookup Values'!I:I,0)))</f>
        <v/>
      </c>
      <c r="C448" t="str">
        <f>IF(Table2429[[#This Row],[Journal Description (Service Description)]]="","",1)</f>
        <v/>
      </c>
      <c r="D448" s="2" t="str">
        <f>IF(Table2429[[#This Row],[Journal Description (Service Description)]]="","",VLOOKUP(Table2429[[#This Row],[Journal Description (Service Description)]],'Lookup Values'!$A:$B,2,FALSE))</f>
        <v/>
      </c>
    </row>
    <row r="449" spans="1:4" x14ac:dyDescent="0.35">
      <c r="A449" t="str">
        <f>IF(Table2429[[#This Row],[Branch Name]]="","",(_xlfn.XLOOKUP(Table2429[[#This Row],[Branch Name]],'Lookup Values'!G:G,'Lookup Values'!H:H,0)))</f>
        <v/>
      </c>
      <c r="B449" t="str">
        <f>IF(Table2429[[#This Row],[Branch Name]]="","",(_xlfn.XLOOKUP(Table2429[[#This Row],[Branch Name]],'Lookup Values'!G:G,'Lookup Values'!I:I,0)))</f>
        <v/>
      </c>
      <c r="C449" t="str">
        <f>IF(Table2429[[#This Row],[Journal Description (Service Description)]]="","",1)</f>
        <v/>
      </c>
      <c r="D449" s="2" t="str">
        <f>IF(Table2429[[#This Row],[Journal Description (Service Description)]]="","",VLOOKUP(Table2429[[#This Row],[Journal Description (Service Description)]],'Lookup Values'!$A:$B,2,FALSE))</f>
        <v/>
      </c>
    </row>
    <row r="450" spans="1:4" x14ac:dyDescent="0.35">
      <c r="A450" t="str">
        <f>IF(Table2429[[#This Row],[Branch Name]]="","",(_xlfn.XLOOKUP(Table2429[[#This Row],[Branch Name]],'Lookup Values'!G:G,'Lookup Values'!H:H,0)))</f>
        <v/>
      </c>
      <c r="B450" t="str">
        <f>IF(Table2429[[#This Row],[Branch Name]]="","",(_xlfn.XLOOKUP(Table2429[[#This Row],[Branch Name]],'Lookup Values'!G:G,'Lookup Values'!I:I,0)))</f>
        <v/>
      </c>
      <c r="C450" t="str">
        <f>IF(Table2429[[#This Row],[Journal Description (Service Description)]]="","",1)</f>
        <v/>
      </c>
      <c r="D450" s="2" t="str">
        <f>IF(Table2429[[#This Row],[Journal Description (Service Description)]]="","",VLOOKUP(Table2429[[#This Row],[Journal Description (Service Description)]],'Lookup Values'!$A:$B,2,FALSE))</f>
        <v/>
      </c>
    </row>
    <row r="451" spans="1:4" x14ac:dyDescent="0.35">
      <c r="A451" t="str">
        <f>IF(Table2429[[#This Row],[Branch Name]]="","",(_xlfn.XLOOKUP(Table2429[[#This Row],[Branch Name]],'Lookup Values'!G:G,'Lookup Values'!H:H,0)))</f>
        <v/>
      </c>
      <c r="B451" t="str">
        <f>IF(Table2429[[#This Row],[Branch Name]]="","",(_xlfn.XLOOKUP(Table2429[[#This Row],[Branch Name]],'Lookup Values'!G:G,'Lookup Values'!I:I,0)))</f>
        <v/>
      </c>
      <c r="C451" t="str">
        <f>IF(Table2429[[#This Row],[Journal Description (Service Description)]]="","",1)</f>
        <v/>
      </c>
      <c r="D451" s="2" t="str">
        <f>IF(Table2429[[#This Row],[Journal Description (Service Description)]]="","",VLOOKUP(Table2429[[#This Row],[Journal Description (Service Description)]],'Lookup Values'!$A:$B,2,FALSE))</f>
        <v/>
      </c>
    </row>
    <row r="452" spans="1:4" x14ac:dyDescent="0.35">
      <c r="A452" t="str">
        <f>IF(Table2429[[#This Row],[Branch Name]]="","",(_xlfn.XLOOKUP(Table2429[[#This Row],[Branch Name]],'Lookup Values'!G:G,'Lookup Values'!H:H,0)))</f>
        <v/>
      </c>
      <c r="B452" t="str">
        <f>IF(Table2429[[#This Row],[Branch Name]]="","",(_xlfn.XLOOKUP(Table2429[[#This Row],[Branch Name]],'Lookup Values'!G:G,'Lookup Values'!I:I,0)))</f>
        <v/>
      </c>
      <c r="C452" t="str">
        <f>IF(Table2429[[#This Row],[Journal Description (Service Description)]]="","",1)</f>
        <v/>
      </c>
      <c r="D452" s="2" t="str">
        <f>IF(Table2429[[#This Row],[Journal Description (Service Description)]]="","",VLOOKUP(Table2429[[#This Row],[Journal Description (Service Description)]],'Lookup Values'!$A:$B,2,FALSE))</f>
        <v/>
      </c>
    </row>
    <row r="453" spans="1:4" x14ac:dyDescent="0.35">
      <c r="A453" t="str">
        <f>IF(Table2429[[#This Row],[Branch Name]]="","",(_xlfn.XLOOKUP(Table2429[[#This Row],[Branch Name]],'Lookup Values'!G:G,'Lookup Values'!H:H,0)))</f>
        <v/>
      </c>
      <c r="B453" t="str">
        <f>IF(Table2429[[#This Row],[Branch Name]]="","",(_xlfn.XLOOKUP(Table2429[[#This Row],[Branch Name]],'Lookup Values'!G:G,'Lookup Values'!I:I,0)))</f>
        <v/>
      </c>
      <c r="C453" t="str">
        <f>IF(Table2429[[#This Row],[Journal Description (Service Description)]]="","",1)</f>
        <v/>
      </c>
      <c r="D453" s="2" t="str">
        <f>IF(Table2429[[#This Row],[Journal Description (Service Description)]]="","",VLOOKUP(Table2429[[#This Row],[Journal Description (Service Description)]],'Lookup Values'!$A:$B,2,FALSE))</f>
        <v/>
      </c>
    </row>
    <row r="454" spans="1:4" x14ac:dyDescent="0.35">
      <c r="A454" t="str">
        <f>IF(Table2429[[#This Row],[Branch Name]]="","",(_xlfn.XLOOKUP(Table2429[[#This Row],[Branch Name]],'Lookup Values'!G:G,'Lookup Values'!H:H,0)))</f>
        <v/>
      </c>
      <c r="B454" t="str">
        <f>IF(Table2429[[#This Row],[Branch Name]]="","",(_xlfn.XLOOKUP(Table2429[[#This Row],[Branch Name]],'Lookup Values'!G:G,'Lookup Values'!I:I,0)))</f>
        <v/>
      </c>
      <c r="C454" t="str">
        <f>IF(Table2429[[#This Row],[Journal Description (Service Description)]]="","",1)</f>
        <v/>
      </c>
      <c r="D454" s="2" t="str">
        <f>IF(Table2429[[#This Row],[Journal Description (Service Description)]]="","",VLOOKUP(Table2429[[#This Row],[Journal Description (Service Description)]],'Lookup Values'!$A:$B,2,FALSE))</f>
        <v/>
      </c>
    </row>
    <row r="455" spans="1:4" x14ac:dyDescent="0.35">
      <c r="A455" t="str">
        <f>IF(Table2429[[#This Row],[Branch Name]]="","",(_xlfn.XLOOKUP(Table2429[[#This Row],[Branch Name]],'Lookup Values'!G:G,'Lookup Values'!H:H,0)))</f>
        <v/>
      </c>
      <c r="B455" t="str">
        <f>IF(Table2429[[#This Row],[Branch Name]]="","",(_xlfn.XLOOKUP(Table2429[[#This Row],[Branch Name]],'Lookup Values'!G:G,'Lookup Values'!I:I,0)))</f>
        <v/>
      </c>
      <c r="C455" t="str">
        <f>IF(Table2429[[#This Row],[Journal Description (Service Description)]]="","",1)</f>
        <v/>
      </c>
      <c r="D455" s="2" t="str">
        <f>IF(Table2429[[#This Row],[Journal Description (Service Description)]]="","",VLOOKUP(Table2429[[#This Row],[Journal Description (Service Description)]],'Lookup Values'!$A:$B,2,FALSE))</f>
        <v/>
      </c>
    </row>
    <row r="456" spans="1:4" x14ac:dyDescent="0.35">
      <c r="A456" t="str">
        <f>IF(Table2429[[#This Row],[Branch Name]]="","",(_xlfn.XLOOKUP(Table2429[[#This Row],[Branch Name]],'Lookup Values'!G:G,'Lookup Values'!H:H,0)))</f>
        <v/>
      </c>
      <c r="B456" t="str">
        <f>IF(Table2429[[#This Row],[Branch Name]]="","",(_xlfn.XLOOKUP(Table2429[[#This Row],[Branch Name]],'Lookup Values'!G:G,'Lookup Values'!I:I,0)))</f>
        <v/>
      </c>
      <c r="C456" t="str">
        <f>IF(Table2429[[#This Row],[Journal Description (Service Description)]]="","",1)</f>
        <v/>
      </c>
      <c r="D456" s="2" t="str">
        <f>IF(Table2429[[#This Row],[Journal Description (Service Description)]]="","",VLOOKUP(Table2429[[#This Row],[Journal Description (Service Description)]],'Lookup Values'!$A:$B,2,FALSE))</f>
        <v/>
      </c>
    </row>
    <row r="457" spans="1:4" x14ac:dyDescent="0.35">
      <c r="A457" t="str">
        <f>IF(Table2429[[#This Row],[Branch Name]]="","",(_xlfn.XLOOKUP(Table2429[[#This Row],[Branch Name]],'Lookup Values'!G:G,'Lookup Values'!H:H,0)))</f>
        <v/>
      </c>
      <c r="B457" t="str">
        <f>IF(Table2429[[#This Row],[Branch Name]]="","",(_xlfn.XLOOKUP(Table2429[[#This Row],[Branch Name]],'Lookup Values'!G:G,'Lookup Values'!I:I,0)))</f>
        <v/>
      </c>
      <c r="C457" t="str">
        <f>IF(Table2429[[#This Row],[Journal Description (Service Description)]]="","",1)</f>
        <v/>
      </c>
      <c r="D457" s="2" t="str">
        <f>IF(Table2429[[#This Row],[Journal Description (Service Description)]]="","",VLOOKUP(Table2429[[#This Row],[Journal Description (Service Description)]],'Lookup Values'!$A:$B,2,FALSE))</f>
        <v/>
      </c>
    </row>
    <row r="458" spans="1:4" x14ac:dyDescent="0.35">
      <c r="A458" t="str">
        <f>IF(Table2429[[#This Row],[Branch Name]]="","",(_xlfn.XLOOKUP(Table2429[[#This Row],[Branch Name]],'Lookup Values'!G:G,'Lookup Values'!H:H,0)))</f>
        <v/>
      </c>
      <c r="B458" t="str">
        <f>IF(Table2429[[#This Row],[Branch Name]]="","",(_xlfn.XLOOKUP(Table2429[[#This Row],[Branch Name]],'Lookup Values'!G:G,'Lookup Values'!I:I,0)))</f>
        <v/>
      </c>
      <c r="C458" t="str">
        <f>IF(Table2429[[#This Row],[Journal Description (Service Description)]]="","",1)</f>
        <v/>
      </c>
      <c r="D458" s="2" t="str">
        <f>IF(Table2429[[#This Row],[Journal Description (Service Description)]]="","",VLOOKUP(Table2429[[#This Row],[Journal Description (Service Description)]],'Lookup Values'!$A:$B,2,FALSE))</f>
        <v/>
      </c>
    </row>
    <row r="459" spans="1:4" x14ac:dyDescent="0.35">
      <c r="A459" t="str">
        <f>IF(Table2429[[#This Row],[Branch Name]]="","",(_xlfn.XLOOKUP(Table2429[[#This Row],[Branch Name]],'Lookup Values'!G:G,'Lookup Values'!H:H,0)))</f>
        <v/>
      </c>
      <c r="B459" t="str">
        <f>IF(Table2429[[#This Row],[Branch Name]]="","",(_xlfn.XLOOKUP(Table2429[[#This Row],[Branch Name]],'Lookup Values'!G:G,'Lookup Values'!I:I,0)))</f>
        <v/>
      </c>
      <c r="C459" t="str">
        <f>IF(Table2429[[#This Row],[Journal Description (Service Description)]]="","",1)</f>
        <v/>
      </c>
      <c r="D459" s="2" t="str">
        <f>IF(Table2429[[#This Row],[Journal Description (Service Description)]]="","",VLOOKUP(Table2429[[#This Row],[Journal Description (Service Description)]],'Lookup Values'!$A:$B,2,FALSE))</f>
        <v/>
      </c>
    </row>
    <row r="460" spans="1:4" x14ac:dyDescent="0.35">
      <c r="A460" t="str">
        <f>IF(Table2429[[#This Row],[Branch Name]]="","",(_xlfn.XLOOKUP(Table2429[[#This Row],[Branch Name]],'Lookup Values'!G:G,'Lookup Values'!H:H,0)))</f>
        <v/>
      </c>
      <c r="B460" t="str">
        <f>IF(Table2429[[#This Row],[Branch Name]]="","",(_xlfn.XLOOKUP(Table2429[[#This Row],[Branch Name]],'Lookup Values'!G:G,'Lookup Values'!I:I,0)))</f>
        <v/>
      </c>
      <c r="C460" t="str">
        <f>IF(Table2429[[#This Row],[Journal Description (Service Description)]]="","",1)</f>
        <v/>
      </c>
      <c r="D460" s="2" t="str">
        <f>IF(Table2429[[#This Row],[Journal Description (Service Description)]]="","",VLOOKUP(Table2429[[#This Row],[Journal Description (Service Description)]],'Lookup Values'!$A:$B,2,FALSE))</f>
        <v/>
      </c>
    </row>
    <row r="461" spans="1:4" x14ac:dyDescent="0.35">
      <c r="A461" t="str">
        <f>IF(Table2429[[#This Row],[Branch Name]]="","",(_xlfn.XLOOKUP(Table2429[[#This Row],[Branch Name]],'Lookup Values'!G:G,'Lookup Values'!H:H,0)))</f>
        <v/>
      </c>
      <c r="B461" t="str">
        <f>IF(Table2429[[#This Row],[Branch Name]]="","",(_xlfn.XLOOKUP(Table2429[[#This Row],[Branch Name]],'Lookup Values'!G:G,'Lookup Values'!I:I,0)))</f>
        <v/>
      </c>
      <c r="C461" t="str">
        <f>IF(Table2429[[#This Row],[Journal Description (Service Description)]]="","",1)</f>
        <v/>
      </c>
      <c r="D461" s="2" t="str">
        <f>IF(Table2429[[#This Row],[Journal Description (Service Description)]]="","",VLOOKUP(Table2429[[#This Row],[Journal Description (Service Description)]],'Lookup Values'!$A:$B,2,FALSE))</f>
        <v/>
      </c>
    </row>
    <row r="462" spans="1:4" x14ac:dyDescent="0.35">
      <c r="A462" t="str">
        <f>IF(Table2429[[#This Row],[Branch Name]]="","",(_xlfn.XLOOKUP(Table2429[[#This Row],[Branch Name]],'Lookup Values'!G:G,'Lookup Values'!H:H,0)))</f>
        <v/>
      </c>
      <c r="B462" t="str">
        <f>IF(Table2429[[#This Row],[Branch Name]]="","",(_xlfn.XLOOKUP(Table2429[[#This Row],[Branch Name]],'Lookup Values'!G:G,'Lookup Values'!I:I,0)))</f>
        <v/>
      </c>
      <c r="C462" t="str">
        <f>IF(Table2429[[#This Row],[Journal Description (Service Description)]]="","",1)</f>
        <v/>
      </c>
      <c r="D462" s="2" t="str">
        <f>IF(Table2429[[#This Row],[Journal Description (Service Description)]]="","",VLOOKUP(Table2429[[#This Row],[Journal Description (Service Description)]],'Lookup Values'!$A:$B,2,FALSE))</f>
        <v/>
      </c>
    </row>
    <row r="463" spans="1:4" x14ac:dyDescent="0.35">
      <c r="A463" t="str">
        <f>IF(Table2429[[#This Row],[Branch Name]]="","",(_xlfn.XLOOKUP(Table2429[[#This Row],[Branch Name]],'Lookup Values'!G:G,'Lookup Values'!H:H,0)))</f>
        <v/>
      </c>
      <c r="B463" t="str">
        <f>IF(Table2429[[#This Row],[Branch Name]]="","",(_xlfn.XLOOKUP(Table2429[[#This Row],[Branch Name]],'Lookup Values'!G:G,'Lookup Values'!I:I,0)))</f>
        <v/>
      </c>
      <c r="C463" t="str">
        <f>IF(Table2429[[#This Row],[Journal Description (Service Description)]]="","",1)</f>
        <v/>
      </c>
      <c r="D463" s="2" t="str">
        <f>IF(Table2429[[#This Row],[Journal Description (Service Description)]]="","",VLOOKUP(Table2429[[#This Row],[Journal Description (Service Description)]],'Lookup Values'!$A:$B,2,FALSE))</f>
        <v/>
      </c>
    </row>
    <row r="464" spans="1:4" x14ac:dyDescent="0.35">
      <c r="A464" t="str">
        <f>IF(Table2429[[#This Row],[Branch Name]]="","",(_xlfn.XLOOKUP(Table2429[[#This Row],[Branch Name]],'Lookup Values'!G:G,'Lookup Values'!H:H,0)))</f>
        <v/>
      </c>
      <c r="B464" t="str">
        <f>IF(Table2429[[#This Row],[Branch Name]]="","",(_xlfn.XLOOKUP(Table2429[[#This Row],[Branch Name]],'Lookup Values'!G:G,'Lookup Values'!I:I,0)))</f>
        <v/>
      </c>
      <c r="C464" t="str">
        <f>IF(Table2429[[#This Row],[Journal Description (Service Description)]]="","",1)</f>
        <v/>
      </c>
      <c r="D464" s="2" t="str">
        <f>IF(Table2429[[#This Row],[Journal Description (Service Description)]]="","",VLOOKUP(Table2429[[#This Row],[Journal Description (Service Description)]],'Lookup Values'!$A:$B,2,FALSE))</f>
        <v/>
      </c>
    </row>
    <row r="465" spans="1:4" x14ac:dyDescent="0.35">
      <c r="A465" t="str">
        <f>IF(Table2429[[#This Row],[Branch Name]]="","",(_xlfn.XLOOKUP(Table2429[[#This Row],[Branch Name]],'Lookup Values'!G:G,'Lookup Values'!H:H,0)))</f>
        <v/>
      </c>
      <c r="B465" t="str">
        <f>IF(Table2429[[#This Row],[Branch Name]]="","",(_xlfn.XLOOKUP(Table2429[[#This Row],[Branch Name]],'Lookup Values'!G:G,'Lookup Values'!I:I,0)))</f>
        <v/>
      </c>
      <c r="C465" t="str">
        <f>IF(Table2429[[#This Row],[Journal Description (Service Description)]]="","",1)</f>
        <v/>
      </c>
      <c r="D465" s="2" t="str">
        <f>IF(Table2429[[#This Row],[Journal Description (Service Description)]]="","",VLOOKUP(Table2429[[#This Row],[Journal Description (Service Description)]],'Lookup Values'!$A:$B,2,FALSE))</f>
        <v/>
      </c>
    </row>
    <row r="466" spans="1:4" x14ac:dyDescent="0.35">
      <c r="A466" t="str">
        <f>IF(Table2429[[#This Row],[Branch Name]]="","",(_xlfn.XLOOKUP(Table2429[[#This Row],[Branch Name]],'Lookup Values'!G:G,'Lookup Values'!H:H,0)))</f>
        <v/>
      </c>
      <c r="B466" t="str">
        <f>IF(Table2429[[#This Row],[Branch Name]]="","",(_xlfn.XLOOKUP(Table2429[[#This Row],[Branch Name]],'Lookup Values'!G:G,'Lookup Values'!I:I,0)))</f>
        <v/>
      </c>
      <c r="C466" t="str">
        <f>IF(Table2429[[#This Row],[Journal Description (Service Description)]]="","",1)</f>
        <v/>
      </c>
      <c r="D466" s="2" t="str">
        <f>IF(Table2429[[#This Row],[Journal Description (Service Description)]]="","",VLOOKUP(Table2429[[#This Row],[Journal Description (Service Description)]],'Lookup Values'!$A:$B,2,FALSE))</f>
        <v/>
      </c>
    </row>
    <row r="467" spans="1:4" x14ac:dyDescent="0.35">
      <c r="A467" t="str">
        <f>IF(Table2429[[#This Row],[Branch Name]]="","",(_xlfn.XLOOKUP(Table2429[[#This Row],[Branch Name]],'Lookup Values'!G:G,'Lookup Values'!H:H,0)))</f>
        <v/>
      </c>
      <c r="B467" t="str">
        <f>IF(Table2429[[#This Row],[Branch Name]]="","",(_xlfn.XLOOKUP(Table2429[[#This Row],[Branch Name]],'Lookup Values'!G:G,'Lookup Values'!I:I,0)))</f>
        <v/>
      </c>
      <c r="C467" t="str">
        <f>IF(Table2429[[#This Row],[Journal Description (Service Description)]]="","",1)</f>
        <v/>
      </c>
      <c r="D467" s="2" t="str">
        <f>IF(Table2429[[#This Row],[Journal Description (Service Description)]]="","",VLOOKUP(Table2429[[#This Row],[Journal Description (Service Description)]],'Lookup Values'!$A:$B,2,FALSE))</f>
        <v/>
      </c>
    </row>
    <row r="468" spans="1:4" x14ac:dyDescent="0.35">
      <c r="A468" t="str">
        <f>IF(Table2429[[#This Row],[Branch Name]]="","",(_xlfn.XLOOKUP(Table2429[[#This Row],[Branch Name]],'Lookup Values'!G:G,'Lookup Values'!H:H,0)))</f>
        <v/>
      </c>
      <c r="B468" t="str">
        <f>IF(Table2429[[#This Row],[Branch Name]]="","",(_xlfn.XLOOKUP(Table2429[[#This Row],[Branch Name]],'Lookup Values'!G:G,'Lookup Values'!I:I,0)))</f>
        <v/>
      </c>
      <c r="C468" t="str">
        <f>IF(Table2429[[#This Row],[Journal Description (Service Description)]]="","",1)</f>
        <v/>
      </c>
      <c r="D468" s="2" t="str">
        <f>IF(Table2429[[#This Row],[Journal Description (Service Description)]]="","",VLOOKUP(Table2429[[#This Row],[Journal Description (Service Description)]],'Lookup Values'!$A:$B,2,FALSE))</f>
        <v/>
      </c>
    </row>
    <row r="469" spans="1:4" x14ac:dyDescent="0.35">
      <c r="A469" t="str">
        <f>IF(Table2429[[#This Row],[Branch Name]]="","",(_xlfn.XLOOKUP(Table2429[[#This Row],[Branch Name]],'Lookup Values'!G:G,'Lookup Values'!H:H,0)))</f>
        <v/>
      </c>
      <c r="B469" t="str">
        <f>IF(Table2429[[#This Row],[Branch Name]]="","",(_xlfn.XLOOKUP(Table2429[[#This Row],[Branch Name]],'Lookup Values'!G:G,'Lookup Values'!I:I,0)))</f>
        <v/>
      </c>
      <c r="C469" t="str">
        <f>IF(Table2429[[#This Row],[Journal Description (Service Description)]]="","",1)</f>
        <v/>
      </c>
      <c r="D469" s="2" t="str">
        <f>IF(Table2429[[#This Row],[Journal Description (Service Description)]]="","",VLOOKUP(Table2429[[#This Row],[Journal Description (Service Description)]],'Lookup Values'!$A:$B,2,FALSE))</f>
        <v/>
      </c>
    </row>
    <row r="470" spans="1:4" x14ac:dyDescent="0.35">
      <c r="A470" t="str">
        <f>IF(Table2429[[#This Row],[Branch Name]]="","",(_xlfn.XLOOKUP(Table2429[[#This Row],[Branch Name]],'Lookup Values'!G:G,'Lookup Values'!H:H,0)))</f>
        <v/>
      </c>
      <c r="B470" t="str">
        <f>IF(Table2429[[#This Row],[Branch Name]]="","",(_xlfn.XLOOKUP(Table2429[[#This Row],[Branch Name]],'Lookup Values'!G:G,'Lookup Values'!I:I,0)))</f>
        <v/>
      </c>
      <c r="C470" t="str">
        <f>IF(Table2429[[#This Row],[Journal Description (Service Description)]]="","",1)</f>
        <v/>
      </c>
      <c r="D470" s="2" t="str">
        <f>IF(Table2429[[#This Row],[Journal Description (Service Description)]]="","",VLOOKUP(Table2429[[#This Row],[Journal Description (Service Description)]],'Lookup Values'!$A:$B,2,FALSE))</f>
        <v/>
      </c>
    </row>
    <row r="471" spans="1:4" x14ac:dyDescent="0.35">
      <c r="A471" t="str">
        <f>IF(Table2429[[#This Row],[Branch Name]]="","",(_xlfn.XLOOKUP(Table2429[[#This Row],[Branch Name]],'Lookup Values'!G:G,'Lookup Values'!H:H,0)))</f>
        <v/>
      </c>
      <c r="B471" t="str">
        <f>IF(Table2429[[#This Row],[Branch Name]]="","",(_xlfn.XLOOKUP(Table2429[[#This Row],[Branch Name]],'Lookup Values'!G:G,'Lookup Values'!I:I,0)))</f>
        <v/>
      </c>
      <c r="C471" t="str">
        <f>IF(Table2429[[#This Row],[Journal Description (Service Description)]]="","",1)</f>
        <v/>
      </c>
      <c r="D471" s="2" t="str">
        <f>IF(Table2429[[#This Row],[Journal Description (Service Description)]]="","",VLOOKUP(Table2429[[#This Row],[Journal Description (Service Description)]],'Lookup Values'!$A:$B,2,FALSE))</f>
        <v/>
      </c>
    </row>
    <row r="472" spans="1:4" x14ac:dyDescent="0.35">
      <c r="A472" t="str">
        <f>IF(Table2429[[#This Row],[Branch Name]]="","",(_xlfn.XLOOKUP(Table2429[[#This Row],[Branch Name]],'Lookup Values'!G:G,'Lookup Values'!H:H,0)))</f>
        <v/>
      </c>
      <c r="B472" t="str">
        <f>IF(Table2429[[#This Row],[Branch Name]]="","",(_xlfn.XLOOKUP(Table2429[[#This Row],[Branch Name]],'Lookup Values'!G:G,'Lookup Values'!I:I,0)))</f>
        <v/>
      </c>
      <c r="C472" t="str">
        <f>IF(Table2429[[#This Row],[Journal Description (Service Description)]]="","",1)</f>
        <v/>
      </c>
      <c r="D472" s="2" t="str">
        <f>IF(Table2429[[#This Row],[Journal Description (Service Description)]]="","",VLOOKUP(Table2429[[#This Row],[Journal Description (Service Description)]],'Lookup Values'!$A:$B,2,FALSE))</f>
        <v/>
      </c>
    </row>
    <row r="473" spans="1:4" x14ac:dyDescent="0.35">
      <c r="A473" t="str">
        <f>IF(Table2429[[#This Row],[Branch Name]]="","",(_xlfn.XLOOKUP(Table2429[[#This Row],[Branch Name]],'Lookup Values'!G:G,'Lookup Values'!H:H,0)))</f>
        <v/>
      </c>
      <c r="B473" t="str">
        <f>IF(Table2429[[#This Row],[Branch Name]]="","",(_xlfn.XLOOKUP(Table2429[[#This Row],[Branch Name]],'Lookup Values'!G:G,'Lookup Values'!I:I,0)))</f>
        <v/>
      </c>
      <c r="C473" t="str">
        <f>IF(Table2429[[#This Row],[Journal Description (Service Description)]]="","",1)</f>
        <v/>
      </c>
      <c r="D473" s="2" t="str">
        <f>IF(Table2429[[#This Row],[Journal Description (Service Description)]]="","",VLOOKUP(Table2429[[#This Row],[Journal Description (Service Description)]],'Lookup Values'!$A:$B,2,FALSE))</f>
        <v/>
      </c>
    </row>
    <row r="474" spans="1:4" x14ac:dyDescent="0.35">
      <c r="A474" t="str">
        <f>IF(Table2429[[#This Row],[Branch Name]]="","",(_xlfn.XLOOKUP(Table2429[[#This Row],[Branch Name]],'Lookup Values'!G:G,'Lookup Values'!H:H,0)))</f>
        <v/>
      </c>
      <c r="B474" t="str">
        <f>IF(Table2429[[#This Row],[Branch Name]]="","",(_xlfn.XLOOKUP(Table2429[[#This Row],[Branch Name]],'Lookup Values'!G:G,'Lookup Values'!I:I,0)))</f>
        <v/>
      </c>
      <c r="C474" t="str">
        <f>IF(Table2429[[#This Row],[Journal Description (Service Description)]]="","",1)</f>
        <v/>
      </c>
      <c r="D474" s="2" t="str">
        <f>IF(Table2429[[#This Row],[Journal Description (Service Description)]]="","",VLOOKUP(Table2429[[#This Row],[Journal Description (Service Description)]],'Lookup Values'!$A:$B,2,FALSE))</f>
        <v/>
      </c>
    </row>
    <row r="475" spans="1:4" x14ac:dyDescent="0.35">
      <c r="A475" t="str">
        <f>IF(Table2429[[#This Row],[Branch Name]]="","",(_xlfn.XLOOKUP(Table2429[[#This Row],[Branch Name]],'Lookup Values'!G:G,'Lookup Values'!H:H,0)))</f>
        <v/>
      </c>
      <c r="B475" t="str">
        <f>IF(Table2429[[#This Row],[Branch Name]]="","",(_xlfn.XLOOKUP(Table2429[[#This Row],[Branch Name]],'Lookup Values'!G:G,'Lookup Values'!I:I,0)))</f>
        <v/>
      </c>
      <c r="C475" t="str">
        <f>IF(Table2429[[#This Row],[Journal Description (Service Description)]]="","",1)</f>
        <v/>
      </c>
      <c r="D475" s="2" t="str">
        <f>IF(Table2429[[#This Row],[Journal Description (Service Description)]]="","",VLOOKUP(Table2429[[#This Row],[Journal Description (Service Description)]],'Lookup Values'!$A:$B,2,FALSE))</f>
        <v/>
      </c>
    </row>
    <row r="476" spans="1:4" x14ac:dyDescent="0.35">
      <c r="A476" t="str">
        <f>IF(Table2429[[#This Row],[Branch Name]]="","",(_xlfn.XLOOKUP(Table2429[[#This Row],[Branch Name]],'Lookup Values'!G:G,'Lookup Values'!H:H,0)))</f>
        <v/>
      </c>
      <c r="B476" t="str">
        <f>IF(Table2429[[#This Row],[Branch Name]]="","",(_xlfn.XLOOKUP(Table2429[[#This Row],[Branch Name]],'Lookup Values'!G:G,'Lookup Values'!I:I,0)))</f>
        <v/>
      </c>
      <c r="C476" t="str">
        <f>IF(Table2429[[#This Row],[Journal Description (Service Description)]]="","",1)</f>
        <v/>
      </c>
      <c r="D476" s="2" t="str">
        <f>IF(Table2429[[#This Row],[Journal Description (Service Description)]]="","",VLOOKUP(Table2429[[#This Row],[Journal Description (Service Description)]],'Lookup Values'!$A:$B,2,FALSE))</f>
        <v/>
      </c>
    </row>
    <row r="477" spans="1:4" x14ac:dyDescent="0.35">
      <c r="A477" t="str">
        <f>IF(Table2429[[#This Row],[Branch Name]]="","",(_xlfn.XLOOKUP(Table2429[[#This Row],[Branch Name]],'Lookup Values'!G:G,'Lookup Values'!H:H,0)))</f>
        <v/>
      </c>
      <c r="B477" t="str">
        <f>IF(Table2429[[#This Row],[Branch Name]]="","",(_xlfn.XLOOKUP(Table2429[[#This Row],[Branch Name]],'Lookup Values'!G:G,'Lookup Values'!I:I,0)))</f>
        <v/>
      </c>
      <c r="C477" t="str">
        <f>IF(Table2429[[#This Row],[Journal Description (Service Description)]]="","",1)</f>
        <v/>
      </c>
      <c r="D477" s="2" t="str">
        <f>IF(Table2429[[#This Row],[Journal Description (Service Description)]]="","",VLOOKUP(Table2429[[#This Row],[Journal Description (Service Description)]],'Lookup Values'!$A:$B,2,FALSE))</f>
        <v/>
      </c>
    </row>
    <row r="478" spans="1:4" x14ac:dyDescent="0.35">
      <c r="A478" t="str">
        <f>IF(Table2429[[#This Row],[Branch Name]]="","",(_xlfn.XLOOKUP(Table2429[[#This Row],[Branch Name]],'Lookup Values'!G:G,'Lookup Values'!H:H,0)))</f>
        <v/>
      </c>
      <c r="B478" t="str">
        <f>IF(Table2429[[#This Row],[Branch Name]]="","",(_xlfn.XLOOKUP(Table2429[[#This Row],[Branch Name]],'Lookup Values'!G:G,'Lookup Values'!I:I,0)))</f>
        <v/>
      </c>
      <c r="C478" t="str">
        <f>IF(Table2429[[#This Row],[Journal Description (Service Description)]]="","",1)</f>
        <v/>
      </c>
      <c r="D478" s="2" t="str">
        <f>IF(Table2429[[#This Row],[Journal Description (Service Description)]]="","",VLOOKUP(Table2429[[#This Row],[Journal Description (Service Description)]],'Lookup Values'!$A:$B,2,FALSE))</f>
        <v/>
      </c>
    </row>
    <row r="479" spans="1:4" x14ac:dyDescent="0.35">
      <c r="A479" t="str">
        <f>IF(Table2429[[#This Row],[Branch Name]]="","",(_xlfn.XLOOKUP(Table2429[[#This Row],[Branch Name]],'Lookup Values'!G:G,'Lookup Values'!H:H,0)))</f>
        <v/>
      </c>
      <c r="B479" t="str">
        <f>IF(Table2429[[#This Row],[Branch Name]]="","",(_xlfn.XLOOKUP(Table2429[[#This Row],[Branch Name]],'Lookup Values'!G:G,'Lookup Values'!I:I,0)))</f>
        <v/>
      </c>
      <c r="C479" t="str">
        <f>IF(Table2429[[#This Row],[Journal Description (Service Description)]]="","",1)</f>
        <v/>
      </c>
      <c r="D479" s="2" t="str">
        <f>IF(Table2429[[#This Row],[Journal Description (Service Description)]]="","",VLOOKUP(Table2429[[#This Row],[Journal Description (Service Description)]],'Lookup Values'!$A:$B,2,FALSE))</f>
        <v/>
      </c>
    </row>
    <row r="480" spans="1:4" x14ac:dyDescent="0.35">
      <c r="A480" t="str">
        <f>IF(Table2429[[#This Row],[Branch Name]]="","",(_xlfn.XLOOKUP(Table2429[[#This Row],[Branch Name]],'Lookup Values'!G:G,'Lookup Values'!H:H,0)))</f>
        <v/>
      </c>
      <c r="B480" t="str">
        <f>IF(Table2429[[#This Row],[Branch Name]]="","",(_xlfn.XLOOKUP(Table2429[[#This Row],[Branch Name]],'Lookup Values'!G:G,'Lookup Values'!I:I,0)))</f>
        <v/>
      </c>
      <c r="C480" t="str">
        <f>IF(Table2429[[#This Row],[Journal Description (Service Description)]]="","",1)</f>
        <v/>
      </c>
      <c r="D480" s="2" t="str">
        <f>IF(Table2429[[#This Row],[Journal Description (Service Description)]]="","",VLOOKUP(Table2429[[#This Row],[Journal Description (Service Description)]],'Lookup Values'!$A:$B,2,FALSE))</f>
        <v/>
      </c>
    </row>
    <row r="481" spans="1:4" x14ac:dyDescent="0.35">
      <c r="A481" t="str">
        <f>IF(Table2429[[#This Row],[Branch Name]]="","",(_xlfn.XLOOKUP(Table2429[[#This Row],[Branch Name]],'Lookup Values'!G:G,'Lookup Values'!H:H,0)))</f>
        <v/>
      </c>
      <c r="B481" t="str">
        <f>IF(Table2429[[#This Row],[Branch Name]]="","",(_xlfn.XLOOKUP(Table2429[[#This Row],[Branch Name]],'Lookup Values'!G:G,'Lookup Values'!I:I,0)))</f>
        <v/>
      </c>
      <c r="C481" t="str">
        <f>IF(Table2429[[#This Row],[Journal Description (Service Description)]]="","",1)</f>
        <v/>
      </c>
      <c r="D481" s="2" t="str">
        <f>IF(Table2429[[#This Row],[Journal Description (Service Description)]]="","",VLOOKUP(Table2429[[#This Row],[Journal Description (Service Description)]],'Lookup Values'!$A:$B,2,FALSE))</f>
        <v/>
      </c>
    </row>
    <row r="482" spans="1:4" x14ac:dyDescent="0.35">
      <c r="A482" t="str">
        <f>IF(Table2429[[#This Row],[Branch Name]]="","",(_xlfn.XLOOKUP(Table2429[[#This Row],[Branch Name]],'Lookup Values'!G:G,'Lookup Values'!H:H,0)))</f>
        <v/>
      </c>
      <c r="B482" t="str">
        <f>IF(Table2429[[#This Row],[Branch Name]]="","",(_xlfn.XLOOKUP(Table2429[[#This Row],[Branch Name]],'Lookup Values'!G:G,'Lookup Values'!I:I,0)))</f>
        <v/>
      </c>
      <c r="C482" t="str">
        <f>IF(Table2429[[#This Row],[Journal Description (Service Description)]]="","",1)</f>
        <v/>
      </c>
      <c r="D482" s="2" t="str">
        <f>IF(Table2429[[#This Row],[Journal Description (Service Description)]]="","",VLOOKUP(Table2429[[#This Row],[Journal Description (Service Description)]],'Lookup Values'!$A:$B,2,FALSE))</f>
        <v/>
      </c>
    </row>
    <row r="483" spans="1:4" x14ac:dyDescent="0.35">
      <c r="A483" t="str">
        <f>IF(Table2429[[#This Row],[Branch Name]]="","",(_xlfn.XLOOKUP(Table2429[[#This Row],[Branch Name]],'Lookup Values'!G:G,'Lookup Values'!H:H,0)))</f>
        <v/>
      </c>
      <c r="B483" t="str">
        <f>IF(Table2429[[#This Row],[Branch Name]]="","",(_xlfn.XLOOKUP(Table2429[[#This Row],[Branch Name]],'Lookup Values'!G:G,'Lookup Values'!I:I,0)))</f>
        <v/>
      </c>
      <c r="C483" t="str">
        <f>IF(Table2429[[#This Row],[Journal Description (Service Description)]]="","",1)</f>
        <v/>
      </c>
      <c r="D483" s="2" t="str">
        <f>IF(Table2429[[#This Row],[Journal Description (Service Description)]]="","",VLOOKUP(Table2429[[#This Row],[Journal Description (Service Description)]],'Lookup Values'!$A:$B,2,FALSE))</f>
        <v/>
      </c>
    </row>
    <row r="484" spans="1:4" x14ac:dyDescent="0.35">
      <c r="A484" t="str">
        <f>IF(Table2429[[#This Row],[Branch Name]]="","",(_xlfn.XLOOKUP(Table2429[[#This Row],[Branch Name]],'Lookup Values'!G:G,'Lookup Values'!H:H,0)))</f>
        <v/>
      </c>
      <c r="B484" t="str">
        <f>IF(Table2429[[#This Row],[Branch Name]]="","",(_xlfn.XLOOKUP(Table2429[[#This Row],[Branch Name]],'Lookup Values'!G:G,'Lookup Values'!I:I,0)))</f>
        <v/>
      </c>
      <c r="C484" t="str">
        <f>IF(Table2429[[#This Row],[Journal Description (Service Description)]]="","",1)</f>
        <v/>
      </c>
      <c r="D484" s="2" t="str">
        <f>IF(Table2429[[#This Row],[Journal Description (Service Description)]]="","",VLOOKUP(Table2429[[#This Row],[Journal Description (Service Description)]],'Lookup Values'!$A:$B,2,FALSE))</f>
        <v/>
      </c>
    </row>
    <row r="485" spans="1:4" x14ac:dyDescent="0.35">
      <c r="A485" t="str">
        <f>IF(Table2429[[#This Row],[Branch Name]]="","",(_xlfn.XLOOKUP(Table2429[[#This Row],[Branch Name]],'Lookup Values'!G:G,'Lookup Values'!H:H,0)))</f>
        <v/>
      </c>
      <c r="B485" t="str">
        <f>IF(Table2429[[#This Row],[Branch Name]]="","",(_xlfn.XLOOKUP(Table2429[[#This Row],[Branch Name]],'Lookup Values'!G:G,'Lookup Values'!I:I,0)))</f>
        <v/>
      </c>
      <c r="C485" t="str">
        <f>IF(Table2429[[#This Row],[Journal Description (Service Description)]]="","",1)</f>
        <v/>
      </c>
      <c r="D485" s="2" t="str">
        <f>IF(Table2429[[#This Row],[Journal Description (Service Description)]]="","",VLOOKUP(Table2429[[#This Row],[Journal Description (Service Description)]],'Lookup Values'!$A:$B,2,FALSE))</f>
        <v/>
      </c>
    </row>
    <row r="486" spans="1:4" x14ac:dyDescent="0.35">
      <c r="A486" t="str">
        <f>IF(Table2429[[#This Row],[Branch Name]]="","",(_xlfn.XLOOKUP(Table2429[[#This Row],[Branch Name]],'Lookup Values'!G:G,'Lookup Values'!H:H,0)))</f>
        <v/>
      </c>
      <c r="B486" t="str">
        <f>IF(Table2429[[#This Row],[Branch Name]]="","",(_xlfn.XLOOKUP(Table2429[[#This Row],[Branch Name]],'Lookup Values'!G:G,'Lookup Values'!I:I,0)))</f>
        <v/>
      </c>
      <c r="C486" t="str">
        <f>IF(Table2429[[#This Row],[Journal Description (Service Description)]]="","",1)</f>
        <v/>
      </c>
      <c r="D486" s="2" t="str">
        <f>IF(Table2429[[#This Row],[Journal Description (Service Description)]]="","",VLOOKUP(Table2429[[#This Row],[Journal Description (Service Description)]],'Lookup Values'!$A:$B,2,FALSE))</f>
        <v/>
      </c>
    </row>
    <row r="487" spans="1:4" x14ac:dyDescent="0.35">
      <c r="A487" t="str">
        <f>IF(Table2429[[#This Row],[Branch Name]]="","",(_xlfn.XLOOKUP(Table2429[[#This Row],[Branch Name]],'Lookup Values'!G:G,'Lookup Values'!H:H,0)))</f>
        <v/>
      </c>
      <c r="B487" t="str">
        <f>IF(Table2429[[#This Row],[Branch Name]]="","",(_xlfn.XLOOKUP(Table2429[[#This Row],[Branch Name]],'Lookup Values'!G:G,'Lookup Values'!I:I,0)))</f>
        <v/>
      </c>
      <c r="C487" t="str">
        <f>IF(Table2429[[#This Row],[Journal Description (Service Description)]]="","",1)</f>
        <v/>
      </c>
      <c r="D487" s="2" t="str">
        <f>IF(Table2429[[#This Row],[Journal Description (Service Description)]]="","",VLOOKUP(Table2429[[#This Row],[Journal Description (Service Description)]],'Lookup Values'!$A:$B,2,FALSE))</f>
        <v/>
      </c>
    </row>
    <row r="488" spans="1:4" x14ac:dyDescent="0.35">
      <c r="A488" t="str">
        <f>IF(Table2429[[#This Row],[Branch Name]]="","",(_xlfn.XLOOKUP(Table2429[[#This Row],[Branch Name]],'Lookup Values'!G:G,'Lookup Values'!H:H,0)))</f>
        <v/>
      </c>
      <c r="B488" t="str">
        <f>IF(Table2429[[#This Row],[Branch Name]]="","",(_xlfn.XLOOKUP(Table2429[[#This Row],[Branch Name]],'Lookup Values'!G:G,'Lookup Values'!I:I,0)))</f>
        <v/>
      </c>
      <c r="C488" t="str">
        <f>IF(Table2429[[#This Row],[Journal Description (Service Description)]]="","",1)</f>
        <v/>
      </c>
      <c r="D488" s="2" t="str">
        <f>IF(Table2429[[#This Row],[Journal Description (Service Description)]]="","",VLOOKUP(Table2429[[#This Row],[Journal Description (Service Description)]],'Lookup Values'!$A:$B,2,FALSE))</f>
        <v/>
      </c>
    </row>
    <row r="489" spans="1:4" x14ac:dyDescent="0.35">
      <c r="A489" t="str">
        <f>IF(Table2429[[#This Row],[Branch Name]]="","",(_xlfn.XLOOKUP(Table2429[[#This Row],[Branch Name]],'Lookup Values'!G:G,'Lookup Values'!H:H,0)))</f>
        <v/>
      </c>
      <c r="B489" t="str">
        <f>IF(Table2429[[#This Row],[Branch Name]]="","",(_xlfn.XLOOKUP(Table2429[[#This Row],[Branch Name]],'Lookup Values'!G:G,'Lookup Values'!I:I,0)))</f>
        <v/>
      </c>
      <c r="C489" t="str">
        <f>IF(Table2429[[#This Row],[Journal Description (Service Description)]]="","",1)</f>
        <v/>
      </c>
      <c r="D489" s="2" t="str">
        <f>IF(Table2429[[#This Row],[Journal Description (Service Description)]]="","",VLOOKUP(Table2429[[#This Row],[Journal Description (Service Description)]],'Lookup Values'!$A:$B,2,FALSE))</f>
        <v/>
      </c>
    </row>
    <row r="490" spans="1:4" x14ac:dyDescent="0.35">
      <c r="A490" t="str">
        <f>IF(Table2429[[#This Row],[Branch Name]]="","",(_xlfn.XLOOKUP(Table2429[[#This Row],[Branch Name]],'Lookup Values'!G:G,'Lookup Values'!H:H,0)))</f>
        <v/>
      </c>
      <c r="B490" t="str">
        <f>IF(Table2429[[#This Row],[Branch Name]]="","",(_xlfn.XLOOKUP(Table2429[[#This Row],[Branch Name]],'Lookup Values'!G:G,'Lookup Values'!I:I,0)))</f>
        <v/>
      </c>
      <c r="C490" t="str">
        <f>IF(Table2429[[#This Row],[Journal Description (Service Description)]]="","",1)</f>
        <v/>
      </c>
      <c r="D490" s="2" t="str">
        <f>IF(Table2429[[#This Row],[Journal Description (Service Description)]]="","",VLOOKUP(Table2429[[#This Row],[Journal Description (Service Description)]],'Lookup Values'!$A:$B,2,FALSE))</f>
        <v/>
      </c>
    </row>
    <row r="491" spans="1:4" x14ac:dyDescent="0.35">
      <c r="A491" t="str">
        <f>IF(Table2429[[#This Row],[Branch Name]]="","",(_xlfn.XLOOKUP(Table2429[[#This Row],[Branch Name]],'Lookup Values'!G:G,'Lookup Values'!H:H,0)))</f>
        <v/>
      </c>
      <c r="B491" t="str">
        <f>IF(Table2429[[#This Row],[Branch Name]]="","",(_xlfn.XLOOKUP(Table2429[[#This Row],[Branch Name]],'Lookup Values'!G:G,'Lookup Values'!I:I,0)))</f>
        <v/>
      </c>
      <c r="C491" t="str">
        <f>IF(Table2429[[#This Row],[Journal Description (Service Description)]]="","",1)</f>
        <v/>
      </c>
      <c r="D491" s="2" t="str">
        <f>IF(Table2429[[#This Row],[Journal Description (Service Description)]]="","",VLOOKUP(Table2429[[#This Row],[Journal Description (Service Description)]],'Lookup Values'!$A:$B,2,FALSE))</f>
        <v/>
      </c>
    </row>
    <row r="492" spans="1:4" x14ac:dyDescent="0.35">
      <c r="A492" t="str">
        <f>IF(Table2429[[#This Row],[Branch Name]]="","",(_xlfn.XLOOKUP(Table2429[[#This Row],[Branch Name]],'Lookup Values'!G:G,'Lookup Values'!H:H,0)))</f>
        <v/>
      </c>
      <c r="B492" t="str">
        <f>IF(Table2429[[#This Row],[Branch Name]]="","",(_xlfn.XLOOKUP(Table2429[[#This Row],[Branch Name]],'Lookup Values'!G:G,'Lookup Values'!I:I,0)))</f>
        <v/>
      </c>
      <c r="C492" t="str">
        <f>IF(Table2429[[#This Row],[Journal Description (Service Description)]]="","",1)</f>
        <v/>
      </c>
      <c r="D492" s="2" t="str">
        <f>IF(Table2429[[#This Row],[Journal Description (Service Description)]]="","",VLOOKUP(Table2429[[#This Row],[Journal Description (Service Description)]],'Lookup Values'!$A:$B,2,FALSE))</f>
        <v/>
      </c>
    </row>
    <row r="493" spans="1:4" x14ac:dyDescent="0.35">
      <c r="A493" t="str">
        <f>IF(Table2429[[#This Row],[Branch Name]]="","",(_xlfn.XLOOKUP(Table2429[[#This Row],[Branch Name]],'Lookup Values'!G:G,'Lookup Values'!H:H,0)))</f>
        <v/>
      </c>
      <c r="B493" t="str">
        <f>IF(Table2429[[#This Row],[Branch Name]]="","",(_xlfn.XLOOKUP(Table2429[[#This Row],[Branch Name]],'Lookup Values'!G:G,'Lookup Values'!I:I,0)))</f>
        <v/>
      </c>
      <c r="C493" t="str">
        <f>IF(Table2429[[#This Row],[Journal Description (Service Description)]]="","",1)</f>
        <v/>
      </c>
      <c r="D493" s="2" t="str">
        <f>IF(Table2429[[#This Row],[Journal Description (Service Description)]]="","",VLOOKUP(Table2429[[#This Row],[Journal Description (Service Description)]],'Lookup Values'!$A:$B,2,FALSE))</f>
        <v/>
      </c>
    </row>
    <row r="494" spans="1:4" x14ac:dyDescent="0.35">
      <c r="A494" t="str">
        <f>IF(Table2429[[#This Row],[Branch Name]]="","",(_xlfn.XLOOKUP(Table2429[[#This Row],[Branch Name]],'Lookup Values'!G:G,'Lookup Values'!H:H,0)))</f>
        <v/>
      </c>
      <c r="B494" t="str">
        <f>IF(Table2429[[#This Row],[Branch Name]]="","",(_xlfn.XLOOKUP(Table2429[[#This Row],[Branch Name]],'Lookup Values'!G:G,'Lookup Values'!I:I,0)))</f>
        <v/>
      </c>
      <c r="C494" t="str">
        <f>IF(Table2429[[#This Row],[Journal Description (Service Description)]]="","",1)</f>
        <v/>
      </c>
      <c r="D494" s="2" t="str">
        <f>IF(Table2429[[#This Row],[Journal Description (Service Description)]]="","",VLOOKUP(Table2429[[#This Row],[Journal Description (Service Description)]],'Lookup Values'!$A:$B,2,FALSE))</f>
        <v/>
      </c>
    </row>
    <row r="495" spans="1:4" x14ac:dyDescent="0.35">
      <c r="A495" t="str">
        <f>IF(Table2429[[#This Row],[Branch Name]]="","",(_xlfn.XLOOKUP(Table2429[[#This Row],[Branch Name]],'Lookup Values'!G:G,'Lookup Values'!H:H,0)))</f>
        <v/>
      </c>
      <c r="B495" t="str">
        <f>IF(Table2429[[#This Row],[Branch Name]]="","",(_xlfn.XLOOKUP(Table2429[[#This Row],[Branch Name]],'Lookup Values'!G:G,'Lookup Values'!I:I,0)))</f>
        <v/>
      </c>
      <c r="C495" t="str">
        <f>IF(Table2429[[#This Row],[Journal Description (Service Description)]]="","",1)</f>
        <v/>
      </c>
      <c r="D495" s="2" t="str">
        <f>IF(Table2429[[#This Row],[Journal Description (Service Description)]]="","",VLOOKUP(Table2429[[#This Row],[Journal Description (Service Description)]],'Lookup Values'!$A:$B,2,FALSE))</f>
        <v/>
      </c>
    </row>
    <row r="496" spans="1:4" x14ac:dyDescent="0.35">
      <c r="A496" t="str">
        <f>IF(Table2429[[#This Row],[Branch Name]]="","",(_xlfn.XLOOKUP(Table2429[[#This Row],[Branch Name]],'Lookup Values'!G:G,'Lookup Values'!H:H,0)))</f>
        <v/>
      </c>
      <c r="B496" t="str">
        <f>IF(Table2429[[#This Row],[Branch Name]]="","",(_xlfn.XLOOKUP(Table2429[[#This Row],[Branch Name]],'Lookup Values'!G:G,'Lookup Values'!I:I,0)))</f>
        <v/>
      </c>
      <c r="C496" t="str">
        <f>IF(Table2429[[#This Row],[Journal Description (Service Description)]]="","",1)</f>
        <v/>
      </c>
      <c r="D496" s="2" t="str">
        <f>IF(Table2429[[#This Row],[Journal Description (Service Description)]]="","",VLOOKUP(Table2429[[#This Row],[Journal Description (Service Description)]],'Lookup Values'!$A:$B,2,FALSE))</f>
        <v/>
      </c>
    </row>
    <row r="497" spans="1:4" x14ac:dyDescent="0.35">
      <c r="A497" t="str">
        <f>IF(Table2429[[#This Row],[Branch Name]]="","",(_xlfn.XLOOKUP(Table2429[[#This Row],[Branch Name]],'Lookup Values'!G:G,'Lookup Values'!H:H,0)))</f>
        <v/>
      </c>
      <c r="B497" t="str">
        <f>IF(Table2429[[#This Row],[Branch Name]]="","",(_xlfn.XLOOKUP(Table2429[[#This Row],[Branch Name]],'Lookup Values'!G:G,'Lookup Values'!I:I,0)))</f>
        <v/>
      </c>
      <c r="C497" t="str">
        <f>IF(Table2429[[#This Row],[Journal Description (Service Description)]]="","",1)</f>
        <v/>
      </c>
      <c r="D497" s="2" t="str">
        <f>IF(Table2429[[#This Row],[Journal Description (Service Description)]]="","",VLOOKUP(Table2429[[#This Row],[Journal Description (Service Description)]],'Lookup Values'!$A:$B,2,FALSE))</f>
        <v/>
      </c>
    </row>
    <row r="498" spans="1:4" x14ac:dyDescent="0.35">
      <c r="A498" t="str">
        <f>IF(Table2429[[#This Row],[Branch Name]]="","",(_xlfn.XLOOKUP(Table2429[[#This Row],[Branch Name]],'Lookup Values'!G:G,'Lookup Values'!H:H,0)))</f>
        <v/>
      </c>
      <c r="B498" t="str">
        <f>IF(Table2429[[#This Row],[Branch Name]]="","",(_xlfn.XLOOKUP(Table2429[[#This Row],[Branch Name]],'Lookup Values'!G:G,'Lookup Values'!I:I,0)))</f>
        <v/>
      </c>
      <c r="C498" t="str">
        <f>IF(Table2429[[#This Row],[Journal Description (Service Description)]]="","",1)</f>
        <v/>
      </c>
      <c r="D498" s="2" t="str">
        <f>IF(Table2429[[#This Row],[Journal Description (Service Description)]]="","",VLOOKUP(Table2429[[#This Row],[Journal Description (Service Description)]],'Lookup Values'!$A:$B,2,FALSE))</f>
        <v/>
      </c>
    </row>
    <row r="499" spans="1:4" x14ac:dyDescent="0.35">
      <c r="A499" t="str">
        <f>IF(Table2429[[#This Row],[Branch Name]]="","",(_xlfn.XLOOKUP(Table2429[[#This Row],[Branch Name]],'Lookup Values'!G:G,'Lookup Values'!H:H,0)))</f>
        <v/>
      </c>
      <c r="B499" t="str">
        <f>IF(Table2429[[#This Row],[Branch Name]]="","",(_xlfn.XLOOKUP(Table2429[[#This Row],[Branch Name]],'Lookup Values'!G:G,'Lookup Values'!I:I,0)))</f>
        <v/>
      </c>
      <c r="C499" t="str">
        <f>IF(Table2429[[#This Row],[Journal Description (Service Description)]]="","",1)</f>
        <v/>
      </c>
      <c r="D499" s="2" t="str">
        <f>IF(Table2429[[#This Row],[Journal Description (Service Description)]]="","",VLOOKUP(Table2429[[#This Row],[Journal Description (Service Description)]],'Lookup Values'!$A:$B,2,FALSE))</f>
        <v/>
      </c>
    </row>
    <row r="500" spans="1:4" x14ac:dyDescent="0.35">
      <c r="A500" t="str">
        <f>IF(Table2429[[#This Row],[Branch Name]]="","",(_xlfn.XLOOKUP(Table2429[[#This Row],[Branch Name]],'Lookup Values'!G:G,'Lookup Values'!H:H,0)))</f>
        <v/>
      </c>
      <c r="B500" t="str">
        <f>IF(Table2429[[#This Row],[Branch Name]]="","",(_xlfn.XLOOKUP(Table2429[[#This Row],[Branch Name]],'Lookup Values'!G:G,'Lookup Values'!I:I,0)))</f>
        <v/>
      </c>
      <c r="C500" t="str">
        <f>IF(Table2429[[#This Row],[Journal Description (Service Description)]]="","",1)</f>
        <v/>
      </c>
      <c r="D500" s="2" t="str">
        <f>IF(Table2429[[#This Row],[Journal Description (Service Description)]]="","",VLOOKUP(Table2429[[#This Row],[Journal Description (Service Description)]],'Lookup Values'!$A:$B,2,FALSE))</f>
        <v/>
      </c>
    </row>
    <row r="501" spans="1:4" x14ac:dyDescent="0.35">
      <c r="A501" t="str">
        <f>IF(Table2429[[#This Row],[Branch Name]]="","",(_xlfn.XLOOKUP(Table2429[[#This Row],[Branch Name]],'Lookup Values'!G:G,'Lookup Values'!H:H,0)))</f>
        <v/>
      </c>
      <c r="B501" t="str">
        <f>IF(Table2429[[#This Row],[Branch Name]]="","",(_xlfn.XLOOKUP(Table2429[[#This Row],[Branch Name]],'Lookup Values'!G:G,'Lookup Values'!I:I,0)))</f>
        <v/>
      </c>
      <c r="C501" t="str">
        <f>IF(Table2429[[#This Row],[Journal Description (Service Description)]]="","",1)</f>
        <v/>
      </c>
      <c r="D501" s="2" t="str">
        <f>IF(Table2429[[#This Row],[Journal Description (Service Description)]]="","",VLOOKUP(Table2429[[#This Row],[Journal Description (Service Description)]],'Lookup Values'!$A:$B,2,FALSE))</f>
        <v/>
      </c>
    </row>
    <row r="502" spans="1:4" x14ac:dyDescent="0.35">
      <c r="A502" t="str">
        <f>IF(Table2429[[#This Row],[Branch Name]]="","",(_xlfn.XLOOKUP(Table2429[[#This Row],[Branch Name]],'Lookup Values'!G:G,'Lookup Values'!H:H,0)))</f>
        <v/>
      </c>
      <c r="B502" t="str">
        <f>IF(Table2429[[#This Row],[Branch Name]]="","",(_xlfn.XLOOKUP(Table2429[[#This Row],[Branch Name]],'Lookup Values'!G:G,'Lookup Values'!I:I,0)))</f>
        <v/>
      </c>
      <c r="C502" t="str">
        <f>IF(Table2429[[#This Row],[Journal Description (Service Description)]]="","",1)</f>
        <v/>
      </c>
      <c r="D502" s="2" t="str">
        <f>IF(Table2429[[#This Row],[Journal Description (Service Description)]]="","",VLOOKUP(Table2429[[#This Row],[Journal Description (Service Description)]],'Lookup Values'!$A:$B,2,FALSE))</f>
        <v/>
      </c>
    </row>
    <row r="503" spans="1:4" x14ac:dyDescent="0.35">
      <c r="A503" t="str">
        <f>IF(Table2429[[#This Row],[Branch Name]]="","",(_xlfn.XLOOKUP(Table2429[[#This Row],[Branch Name]],'Lookup Values'!G:G,'Lookup Values'!H:H,0)))</f>
        <v/>
      </c>
      <c r="B503" t="str">
        <f>IF(Table2429[[#This Row],[Branch Name]]="","",(_xlfn.XLOOKUP(Table2429[[#This Row],[Branch Name]],'Lookup Values'!G:G,'Lookup Values'!I:I,0)))</f>
        <v/>
      </c>
      <c r="C503" t="str">
        <f>IF(Table2429[[#This Row],[Journal Description (Service Description)]]="","",1)</f>
        <v/>
      </c>
      <c r="D503" s="2" t="str">
        <f>IF(Table2429[[#This Row],[Journal Description (Service Description)]]="","",VLOOKUP(Table2429[[#This Row],[Journal Description (Service Description)]],'Lookup Values'!$A:$B,2,FALSE))</f>
        <v/>
      </c>
    </row>
    <row r="504" spans="1:4" x14ac:dyDescent="0.35">
      <c r="A504" t="str">
        <f>IF(Table2429[[#This Row],[Branch Name]]="","",(_xlfn.XLOOKUP(Table2429[[#This Row],[Branch Name]],'Lookup Values'!G:G,'Lookup Values'!H:H,0)))</f>
        <v/>
      </c>
      <c r="B504" t="str">
        <f>IF(Table2429[[#This Row],[Branch Name]]="","",(_xlfn.XLOOKUP(Table2429[[#This Row],[Branch Name]],'Lookup Values'!G:G,'Lookup Values'!I:I,0)))</f>
        <v/>
      </c>
      <c r="C504" t="str">
        <f>IF(Table2429[[#This Row],[Journal Description (Service Description)]]="","",1)</f>
        <v/>
      </c>
      <c r="D504" s="2" t="str">
        <f>IF(Table2429[[#This Row],[Journal Description (Service Description)]]="","",VLOOKUP(Table2429[[#This Row],[Journal Description (Service Description)]],'Lookup Values'!$A:$B,2,FALSE))</f>
        <v/>
      </c>
    </row>
    <row r="505" spans="1:4" x14ac:dyDescent="0.35">
      <c r="A505" t="str">
        <f>IF(Table2429[[#This Row],[Branch Name]]="","",(_xlfn.XLOOKUP(Table2429[[#This Row],[Branch Name]],'Lookup Values'!G:G,'Lookup Values'!H:H,0)))</f>
        <v/>
      </c>
      <c r="B505" t="str">
        <f>IF(Table2429[[#This Row],[Branch Name]]="","",(_xlfn.XLOOKUP(Table2429[[#This Row],[Branch Name]],'Lookup Values'!G:G,'Lookup Values'!I:I,0)))</f>
        <v/>
      </c>
      <c r="C505" t="str">
        <f>IF(Table2429[[#This Row],[Journal Description (Service Description)]]="","",1)</f>
        <v/>
      </c>
      <c r="D505" s="2" t="str">
        <f>IF(Table2429[[#This Row],[Journal Description (Service Description)]]="","",VLOOKUP(Table2429[[#This Row],[Journal Description (Service Description)]],'Lookup Values'!$A:$B,2,FALSE))</f>
        <v/>
      </c>
    </row>
    <row r="506" spans="1:4" x14ac:dyDescent="0.35">
      <c r="A506" t="str">
        <f>IF(Table2429[[#This Row],[Branch Name]]="","",(_xlfn.XLOOKUP(Table2429[[#This Row],[Branch Name]],'Lookup Values'!G:G,'Lookup Values'!H:H,0)))</f>
        <v/>
      </c>
      <c r="B506" t="str">
        <f>IF(Table2429[[#This Row],[Branch Name]]="","",(_xlfn.XLOOKUP(Table2429[[#This Row],[Branch Name]],'Lookup Values'!G:G,'Lookup Values'!I:I,0)))</f>
        <v/>
      </c>
      <c r="C506" t="str">
        <f>IF(Table2429[[#This Row],[Journal Description (Service Description)]]="","",1)</f>
        <v/>
      </c>
      <c r="D506" s="2" t="str">
        <f>IF(Table2429[[#This Row],[Journal Description (Service Description)]]="","",VLOOKUP(Table2429[[#This Row],[Journal Description (Service Description)]],'Lookup Values'!$A:$B,2,FALSE))</f>
        <v/>
      </c>
    </row>
    <row r="507" spans="1:4" x14ac:dyDescent="0.35">
      <c r="A507" t="str">
        <f>IF(Table2429[[#This Row],[Branch Name]]="","",(_xlfn.XLOOKUP(Table2429[[#This Row],[Branch Name]],'Lookup Values'!G:G,'Lookup Values'!H:H,0)))</f>
        <v/>
      </c>
      <c r="B507" t="str">
        <f>IF(Table2429[[#This Row],[Branch Name]]="","",(_xlfn.XLOOKUP(Table2429[[#This Row],[Branch Name]],'Lookup Values'!G:G,'Lookup Values'!I:I,0)))</f>
        <v/>
      </c>
      <c r="C507" t="str">
        <f>IF(Table2429[[#This Row],[Journal Description (Service Description)]]="","",1)</f>
        <v/>
      </c>
      <c r="D507" s="2" t="str">
        <f>IF(Table2429[[#This Row],[Journal Description (Service Description)]]="","",VLOOKUP(Table2429[[#This Row],[Journal Description (Service Description)]],'Lookup Values'!$A:$B,2,FALSE))</f>
        <v/>
      </c>
    </row>
    <row r="508" spans="1:4" x14ac:dyDescent="0.35">
      <c r="A508" t="str">
        <f>IF(Table2429[[#This Row],[Branch Name]]="","",(_xlfn.XLOOKUP(Table2429[[#This Row],[Branch Name]],'Lookup Values'!G:G,'Lookup Values'!H:H,0)))</f>
        <v/>
      </c>
      <c r="B508" t="str">
        <f>IF(Table2429[[#This Row],[Branch Name]]="","",(_xlfn.XLOOKUP(Table2429[[#This Row],[Branch Name]],'Lookup Values'!G:G,'Lookup Values'!I:I,0)))</f>
        <v/>
      </c>
      <c r="C508" t="str">
        <f>IF(Table2429[[#This Row],[Journal Description (Service Description)]]="","",1)</f>
        <v/>
      </c>
      <c r="D508" s="2" t="str">
        <f>IF(Table2429[[#This Row],[Journal Description (Service Description)]]="","",VLOOKUP(Table2429[[#This Row],[Journal Description (Service Description)]],'Lookup Values'!$A:$B,2,FALSE))</f>
        <v/>
      </c>
    </row>
    <row r="509" spans="1:4" x14ac:dyDescent="0.35">
      <c r="A509" t="str">
        <f>IF(Table2429[[#This Row],[Branch Name]]="","",(_xlfn.XLOOKUP(Table2429[[#This Row],[Branch Name]],'Lookup Values'!G:G,'Lookup Values'!H:H,0)))</f>
        <v/>
      </c>
      <c r="B509" t="str">
        <f>IF(Table2429[[#This Row],[Branch Name]]="","",(_xlfn.XLOOKUP(Table2429[[#This Row],[Branch Name]],'Lookup Values'!G:G,'Lookup Values'!I:I,0)))</f>
        <v/>
      </c>
      <c r="C509" t="str">
        <f>IF(Table2429[[#This Row],[Journal Description (Service Description)]]="","",1)</f>
        <v/>
      </c>
      <c r="D509" s="2" t="str">
        <f>IF(Table2429[[#This Row],[Journal Description (Service Description)]]="","",VLOOKUP(Table2429[[#This Row],[Journal Description (Service Description)]],'Lookup Values'!$A:$B,2,FALSE))</f>
        <v/>
      </c>
    </row>
    <row r="510" spans="1:4" x14ac:dyDescent="0.35">
      <c r="A510" t="str">
        <f>IF(Table2429[[#This Row],[Branch Name]]="","",(_xlfn.XLOOKUP(Table2429[[#This Row],[Branch Name]],'Lookup Values'!G:G,'Lookup Values'!H:H,0)))</f>
        <v/>
      </c>
      <c r="B510" t="str">
        <f>IF(Table2429[[#This Row],[Branch Name]]="","",(_xlfn.XLOOKUP(Table2429[[#This Row],[Branch Name]],'Lookup Values'!G:G,'Lookup Values'!I:I,0)))</f>
        <v/>
      </c>
      <c r="C510" t="str">
        <f>IF(Table2429[[#This Row],[Journal Description (Service Description)]]="","",1)</f>
        <v/>
      </c>
      <c r="D510" s="2" t="str">
        <f>IF(Table2429[[#This Row],[Journal Description (Service Description)]]="","",VLOOKUP(Table2429[[#This Row],[Journal Description (Service Description)]],'Lookup Values'!$A:$B,2,FALSE))</f>
        <v/>
      </c>
    </row>
    <row r="511" spans="1:4" x14ac:dyDescent="0.35">
      <c r="A511" t="str">
        <f>IF(Table2429[[#This Row],[Branch Name]]="","",(_xlfn.XLOOKUP(Table2429[[#This Row],[Branch Name]],'Lookup Values'!G:G,'Lookup Values'!H:H,0)))</f>
        <v/>
      </c>
      <c r="B511" t="str">
        <f>IF(Table2429[[#This Row],[Branch Name]]="","",(_xlfn.XLOOKUP(Table2429[[#This Row],[Branch Name]],'Lookup Values'!G:G,'Lookup Values'!I:I,0)))</f>
        <v/>
      </c>
      <c r="C511" t="str">
        <f>IF(Table2429[[#This Row],[Journal Description (Service Description)]]="","",1)</f>
        <v/>
      </c>
      <c r="D511" s="2" t="str">
        <f>IF(Table2429[[#This Row],[Journal Description (Service Description)]]="","",VLOOKUP(Table2429[[#This Row],[Journal Description (Service Description)]],'Lookup Values'!$A:$B,2,FALSE))</f>
        <v/>
      </c>
    </row>
    <row r="512" spans="1:4" x14ac:dyDescent="0.35">
      <c r="A512" t="str">
        <f>IF(Table2429[[#This Row],[Branch Name]]="","",(_xlfn.XLOOKUP(Table2429[[#This Row],[Branch Name]],'Lookup Values'!G:G,'Lookup Values'!H:H,0)))</f>
        <v/>
      </c>
      <c r="B512" t="str">
        <f>IF(Table2429[[#This Row],[Branch Name]]="","",(_xlfn.XLOOKUP(Table2429[[#This Row],[Branch Name]],'Lookup Values'!G:G,'Lookup Values'!I:I,0)))</f>
        <v/>
      </c>
      <c r="C512" t="str">
        <f>IF(Table2429[[#This Row],[Journal Description (Service Description)]]="","",1)</f>
        <v/>
      </c>
      <c r="D512" s="2" t="str">
        <f>IF(Table2429[[#This Row],[Journal Description (Service Description)]]="","",VLOOKUP(Table2429[[#This Row],[Journal Description (Service Description)]],'Lookup Values'!$A:$B,2,FALSE))</f>
        <v/>
      </c>
    </row>
    <row r="513" spans="1:4" x14ac:dyDescent="0.35">
      <c r="A513" t="str">
        <f>IF(Table2429[[#This Row],[Branch Name]]="","",(_xlfn.XLOOKUP(Table2429[[#This Row],[Branch Name]],'Lookup Values'!G:G,'Lookup Values'!H:H,0)))</f>
        <v/>
      </c>
      <c r="B513" t="str">
        <f>IF(Table2429[[#This Row],[Branch Name]]="","",(_xlfn.XLOOKUP(Table2429[[#This Row],[Branch Name]],'Lookup Values'!G:G,'Lookup Values'!I:I,0)))</f>
        <v/>
      </c>
      <c r="C513" t="str">
        <f>IF(Table2429[[#This Row],[Journal Description (Service Description)]]="","",1)</f>
        <v/>
      </c>
      <c r="D513" s="2" t="str">
        <f>IF(Table2429[[#This Row],[Journal Description (Service Description)]]="","",VLOOKUP(Table2429[[#This Row],[Journal Description (Service Description)]],'Lookup Values'!$A:$B,2,FALSE))</f>
        <v/>
      </c>
    </row>
    <row r="514" spans="1:4" x14ac:dyDescent="0.35">
      <c r="A514" t="str">
        <f>IF(Table2429[[#This Row],[Branch Name]]="","",(_xlfn.XLOOKUP(Table2429[[#This Row],[Branch Name]],'Lookup Values'!G:G,'Lookup Values'!H:H,0)))</f>
        <v/>
      </c>
      <c r="B514" t="str">
        <f>IF(Table2429[[#This Row],[Branch Name]]="","",(_xlfn.XLOOKUP(Table2429[[#This Row],[Branch Name]],'Lookup Values'!G:G,'Lookup Values'!I:I,0)))</f>
        <v/>
      </c>
      <c r="C514" t="str">
        <f>IF(Table2429[[#This Row],[Journal Description (Service Description)]]="","",1)</f>
        <v/>
      </c>
      <c r="D514" s="2" t="str">
        <f>IF(Table2429[[#This Row],[Journal Description (Service Description)]]="","",VLOOKUP(Table2429[[#This Row],[Journal Description (Service Description)]],'Lookup Values'!$A:$B,2,FALSE))</f>
        <v/>
      </c>
    </row>
    <row r="515" spans="1:4" x14ac:dyDescent="0.35">
      <c r="A515" t="str">
        <f>IF(Table2429[[#This Row],[Branch Name]]="","",(_xlfn.XLOOKUP(Table2429[[#This Row],[Branch Name]],'Lookup Values'!G:G,'Lookup Values'!H:H,0)))</f>
        <v/>
      </c>
      <c r="B515" t="str">
        <f>IF(Table2429[[#This Row],[Branch Name]]="","",(_xlfn.XLOOKUP(Table2429[[#This Row],[Branch Name]],'Lookup Values'!G:G,'Lookup Values'!I:I,0)))</f>
        <v/>
      </c>
      <c r="C515" t="str">
        <f>IF(Table2429[[#This Row],[Journal Description (Service Description)]]="","",1)</f>
        <v/>
      </c>
      <c r="D515" s="2" t="str">
        <f>IF(Table2429[[#This Row],[Journal Description (Service Description)]]="","",VLOOKUP(Table2429[[#This Row],[Journal Description (Service Description)]],'Lookup Values'!$A:$B,2,FALSE))</f>
        <v/>
      </c>
    </row>
    <row r="516" spans="1:4" x14ac:dyDescent="0.35">
      <c r="A516" t="str">
        <f>IF(Table2429[[#This Row],[Branch Name]]="","",(_xlfn.XLOOKUP(Table2429[[#This Row],[Branch Name]],'Lookup Values'!G:G,'Lookup Values'!H:H,0)))</f>
        <v/>
      </c>
      <c r="B516" t="str">
        <f>IF(Table2429[[#This Row],[Branch Name]]="","",(_xlfn.XLOOKUP(Table2429[[#This Row],[Branch Name]],'Lookup Values'!G:G,'Lookup Values'!I:I,0)))</f>
        <v/>
      </c>
      <c r="C516" t="str">
        <f>IF(Table2429[[#This Row],[Journal Description (Service Description)]]="","",1)</f>
        <v/>
      </c>
      <c r="D516" s="2" t="str">
        <f>IF(Table2429[[#This Row],[Journal Description (Service Description)]]="","",VLOOKUP(Table2429[[#This Row],[Journal Description (Service Description)]],'Lookup Values'!$A:$B,2,FALSE))</f>
        <v/>
      </c>
    </row>
    <row r="517" spans="1:4" x14ac:dyDescent="0.35">
      <c r="A517" t="str">
        <f>IF(Table2429[[#This Row],[Branch Name]]="","",(_xlfn.XLOOKUP(Table2429[[#This Row],[Branch Name]],'Lookup Values'!G:G,'Lookup Values'!H:H,0)))</f>
        <v/>
      </c>
      <c r="B517" t="str">
        <f>IF(Table2429[[#This Row],[Branch Name]]="","",(_xlfn.XLOOKUP(Table2429[[#This Row],[Branch Name]],'Lookup Values'!G:G,'Lookup Values'!I:I,0)))</f>
        <v/>
      </c>
      <c r="C517" t="str">
        <f>IF(Table2429[[#This Row],[Journal Description (Service Description)]]="","",1)</f>
        <v/>
      </c>
      <c r="D517" s="2" t="str">
        <f>IF(Table2429[[#This Row],[Journal Description (Service Description)]]="","",VLOOKUP(Table2429[[#This Row],[Journal Description (Service Description)]],'Lookup Values'!$A:$B,2,FALSE))</f>
        <v/>
      </c>
    </row>
    <row r="518" spans="1:4" x14ac:dyDescent="0.35">
      <c r="A518" t="str">
        <f>IF(Table2429[[#This Row],[Branch Name]]="","",(_xlfn.XLOOKUP(Table2429[[#This Row],[Branch Name]],'Lookup Values'!G:G,'Lookup Values'!H:H,0)))</f>
        <v/>
      </c>
      <c r="B518" t="str">
        <f>IF(Table2429[[#This Row],[Branch Name]]="","",(_xlfn.XLOOKUP(Table2429[[#This Row],[Branch Name]],'Lookup Values'!G:G,'Lookup Values'!I:I,0)))</f>
        <v/>
      </c>
      <c r="C518" t="str">
        <f>IF(Table2429[[#This Row],[Journal Description (Service Description)]]="","",1)</f>
        <v/>
      </c>
      <c r="D518" s="2" t="str">
        <f>IF(Table2429[[#This Row],[Journal Description (Service Description)]]="","",VLOOKUP(Table2429[[#This Row],[Journal Description (Service Description)]],'Lookup Values'!$A:$B,2,FALSE))</f>
        <v/>
      </c>
    </row>
    <row r="519" spans="1:4" x14ac:dyDescent="0.35">
      <c r="A519" t="str">
        <f>IF(Table2429[[#This Row],[Branch Name]]="","",(_xlfn.XLOOKUP(Table2429[[#This Row],[Branch Name]],'Lookup Values'!G:G,'Lookup Values'!H:H,0)))</f>
        <v/>
      </c>
      <c r="B519" t="str">
        <f>IF(Table2429[[#This Row],[Branch Name]]="","",(_xlfn.XLOOKUP(Table2429[[#This Row],[Branch Name]],'Lookup Values'!G:G,'Lookup Values'!I:I,0)))</f>
        <v/>
      </c>
      <c r="C519" t="str">
        <f>IF(Table2429[[#This Row],[Journal Description (Service Description)]]="","",1)</f>
        <v/>
      </c>
      <c r="D519" s="2" t="str">
        <f>IF(Table2429[[#This Row],[Journal Description (Service Description)]]="","",VLOOKUP(Table2429[[#This Row],[Journal Description (Service Description)]],'Lookup Values'!$A:$B,2,FALSE))</f>
        <v/>
      </c>
    </row>
    <row r="520" spans="1:4" x14ac:dyDescent="0.35">
      <c r="A520" t="str">
        <f>IF(Table2429[[#This Row],[Branch Name]]="","",(_xlfn.XLOOKUP(Table2429[[#This Row],[Branch Name]],'Lookup Values'!G:G,'Lookup Values'!H:H,0)))</f>
        <v/>
      </c>
      <c r="B520" t="str">
        <f>IF(Table2429[[#This Row],[Branch Name]]="","",(_xlfn.XLOOKUP(Table2429[[#This Row],[Branch Name]],'Lookup Values'!G:G,'Lookup Values'!I:I,0)))</f>
        <v/>
      </c>
      <c r="C520" t="str">
        <f>IF(Table2429[[#This Row],[Journal Description (Service Description)]]="","",1)</f>
        <v/>
      </c>
      <c r="D520" s="2" t="str">
        <f>IF(Table2429[[#This Row],[Journal Description (Service Description)]]="","",VLOOKUP(Table2429[[#This Row],[Journal Description (Service Description)]],'Lookup Values'!$A:$B,2,FALSE))</f>
        <v/>
      </c>
    </row>
    <row r="521" spans="1:4" x14ac:dyDescent="0.35">
      <c r="A521" t="str">
        <f>IF(Table2429[[#This Row],[Branch Name]]="","",(_xlfn.XLOOKUP(Table2429[[#This Row],[Branch Name]],'Lookup Values'!G:G,'Lookup Values'!H:H,0)))</f>
        <v/>
      </c>
      <c r="B521" t="str">
        <f>IF(Table2429[[#This Row],[Branch Name]]="","",(_xlfn.XLOOKUP(Table2429[[#This Row],[Branch Name]],'Lookup Values'!G:G,'Lookup Values'!I:I,0)))</f>
        <v/>
      </c>
      <c r="C521" t="str">
        <f>IF(Table2429[[#This Row],[Journal Description (Service Description)]]="","",1)</f>
        <v/>
      </c>
      <c r="D521" s="2" t="str">
        <f>IF(Table2429[[#This Row],[Journal Description (Service Description)]]="","",VLOOKUP(Table2429[[#This Row],[Journal Description (Service Description)]],'Lookup Values'!$A:$B,2,FALSE))</f>
        <v/>
      </c>
    </row>
    <row r="522" spans="1:4" x14ac:dyDescent="0.35">
      <c r="A522" t="str">
        <f>IF(Table2429[[#This Row],[Branch Name]]="","",(_xlfn.XLOOKUP(Table2429[[#This Row],[Branch Name]],'Lookup Values'!G:G,'Lookup Values'!H:H,0)))</f>
        <v/>
      </c>
      <c r="B522" t="str">
        <f>IF(Table2429[[#This Row],[Branch Name]]="","",(_xlfn.XLOOKUP(Table2429[[#This Row],[Branch Name]],'Lookup Values'!G:G,'Lookup Values'!I:I,0)))</f>
        <v/>
      </c>
      <c r="C522" t="str">
        <f>IF(Table2429[[#This Row],[Journal Description (Service Description)]]="","",1)</f>
        <v/>
      </c>
      <c r="D522" s="2" t="str">
        <f>IF(Table2429[[#This Row],[Journal Description (Service Description)]]="","",VLOOKUP(Table2429[[#This Row],[Journal Description (Service Description)]],'Lookup Values'!$A:$B,2,FALSE))</f>
        <v/>
      </c>
    </row>
    <row r="523" spans="1:4" x14ac:dyDescent="0.35">
      <c r="A523" t="str">
        <f>IF(Table2429[[#This Row],[Branch Name]]="","",(_xlfn.XLOOKUP(Table2429[[#This Row],[Branch Name]],'Lookup Values'!G:G,'Lookup Values'!H:H,0)))</f>
        <v/>
      </c>
      <c r="B523" t="str">
        <f>IF(Table2429[[#This Row],[Branch Name]]="","",(_xlfn.XLOOKUP(Table2429[[#This Row],[Branch Name]],'Lookup Values'!G:G,'Lookup Values'!I:I,0)))</f>
        <v/>
      </c>
      <c r="C523" t="str">
        <f>IF(Table2429[[#This Row],[Journal Description (Service Description)]]="","",1)</f>
        <v/>
      </c>
      <c r="D523" s="2" t="str">
        <f>IF(Table2429[[#This Row],[Journal Description (Service Description)]]="","",VLOOKUP(Table2429[[#This Row],[Journal Description (Service Description)]],'Lookup Values'!$A:$B,2,FALSE))</f>
        <v/>
      </c>
    </row>
    <row r="524" spans="1:4" x14ac:dyDescent="0.35">
      <c r="A524" t="str">
        <f>IF(Table2429[[#This Row],[Branch Name]]="","",(_xlfn.XLOOKUP(Table2429[[#This Row],[Branch Name]],'Lookup Values'!G:G,'Lookup Values'!H:H,0)))</f>
        <v/>
      </c>
      <c r="B524" t="str">
        <f>IF(Table2429[[#This Row],[Branch Name]]="","",(_xlfn.XLOOKUP(Table2429[[#This Row],[Branch Name]],'Lookup Values'!G:G,'Lookup Values'!I:I,0)))</f>
        <v/>
      </c>
      <c r="C524" t="str">
        <f>IF(Table2429[[#This Row],[Journal Description (Service Description)]]="","",1)</f>
        <v/>
      </c>
      <c r="D524" s="2" t="str">
        <f>IF(Table2429[[#This Row],[Journal Description (Service Description)]]="","",VLOOKUP(Table2429[[#This Row],[Journal Description (Service Description)]],'Lookup Values'!$A:$B,2,FALSE))</f>
        <v/>
      </c>
    </row>
    <row r="525" spans="1:4" x14ac:dyDescent="0.35">
      <c r="A525" t="str">
        <f>IF(Table2429[[#This Row],[Branch Name]]="","",(_xlfn.XLOOKUP(Table2429[[#This Row],[Branch Name]],'Lookup Values'!G:G,'Lookup Values'!H:H,0)))</f>
        <v/>
      </c>
      <c r="B525" t="str">
        <f>IF(Table2429[[#This Row],[Branch Name]]="","",(_xlfn.XLOOKUP(Table2429[[#This Row],[Branch Name]],'Lookup Values'!G:G,'Lookup Values'!I:I,0)))</f>
        <v/>
      </c>
      <c r="C525" t="str">
        <f>IF(Table2429[[#This Row],[Journal Description (Service Description)]]="","",1)</f>
        <v/>
      </c>
      <c r="D525" s="2" t="str">
        <f>IF(Table2429[[#This Row],[Journal Description (Service Description)]]="","",VLOOKUP(Table2429[[#This Row],[Journal Description (Service Description)]],'Lookup Values'!$A:$B,2,FALSE))</f>
        <v/>
      </c>
    </row>
    <row r="526" spans="1:4" x14ac:dyDescent="0.35">
      <c r="A526" t="str">
        <f>IF(Table2429[[#This Row],[Branch Name]]="","",(_xlfn.XLOOKUP(Table2429[[#This Row],[Branch Name]],'Lookup Values'!G:G,'Lookup Values'!H:H,0)))</f>
        <v/>
      </c>
      <c r="B526" t="str">
        <f>IF(Table2429[[#This Row],[Branch Name]]="","",(_xlfn.XLOOKUP(Table2429[[#This Row],[Branch Name]],'Lookup Values'!G:G,'Lookup Values'!I:I,0)))</f>
        <v/>
      </c>
      <c r="C526" t="str">
        <f>IF(Table2429[[#This Row],[Journal Description (Service Description)]]="","",1)</f>
        <v/>
      </c>
      <c r="D526" s="2" t="str">
        <f>IF(Table2429[[#This Row],[Journal Description (Service Description)]]="","",VLOOKUP(Table2429[[#This Row],[Journal Description (Service Description)]],'Lookup Values'!$A:$B,2,FALSE))</f>
        <v/>
      </c>
    </row>
    <row r="527" spans="1:4" x14ac:dyDescent="0.35">
      <c r="A527" t="str">
        <f>IF(Table2429[[#This Row],[Branch Name]]="","",(_xlfn.XLOOKUP(Table2429[[#This Row],[Branch Name]],'Lookup Values'!G:G,'Lookup Values'!H:H,0)))</f>
        <v/>
      </c>
      <c r="B527" t="str">
        <f>IF(Table2429[[#This Row],[Branch Name]]="","",(_xlfn.XLOOKUP(Table2429[[#This Row],[Branch Name]],'Lookup Values'!G:G,'Lookup Values'!I:I,0)))</f>
        <v/>
      </c>
      <c r="C527" t="str">
        <f>IF(Table2429[[#This Row],[Journal Description (Service Description)]]="","",1)</f>
        <v/>
      </c>
      <c r="D527" s="2" t="str">
        <f>IF(Table2429[[#This Row],[Journal Description (Service Description)]]="","",VLOOKUP(Table2429[[#This Row],[Journal Description (Service Description)]],'Lookup Values'!$A:$B,2,FALSE))</f>
        <v/>
      </c>
    </row>
    <row r="528" spans="1:4" x14ac:dyDescent="0.35">
      <c r="A528" t="str">
        <f>IF(Table2429[[#This Row],[Branch Name]]="","",(_xlfn.XLOOKUP(Table2429[[#This Row],[Branch Name]],'Lookup Values'!G:G,'Lookup Values'!H:H,0)))</f>
        <v/>
      </c>
      <c r="B528" t="str">
        <f>IF(Table2429[[#This Row],[Branch Name]]="","",(_xlfn.XLOOKUP(Table2429[[#This Row],[Branch Name]],'Lookup Values'!G:G,'Lookup Values'!I:I,0)))</f>
        <v/>
      </c>
      <c r="C528" t="str">
        <f>IF(Table2429[[#This Row],[Journal Description (Service Description)]]="","",1)</f>
        <v/>
      </c>
      <c r="D528" s="2" t="str">
        <f>IF(Table2429[[#This Row],[Journal Description (Service Description)]]="","",VLOOKUP(Table2429[[#This Row],[Journal Description (Service Description)]],'Lookup Values'!$A:$B,2,FALSE))</f>
        <v/>
      </c>
    </row>
    <row r="529" spans="1:4" x14ac:dyDescent="0.35">
      <c r="A529" t="str">
        <f>IF(Table2429[[#This Row],[Branch Name]]="","",(_xlfn.XLOOKUP(Table2429[[#This Row],[Branch Name]],'Lookup Values'!G:G,'Lookup Values'!H:H,0)))</f>
        <v/>
      </c>
      <c r="B529" t="str">
        <f>IF(Table2429[[#This Row],[Branch Name]]="","",(_xlfn.XLOOKUP(Table2429[[#This Row],[Branch Name]],'Lookup Values'!G:G,'Lookup Values'!I:I,0)))</f>
        <v/>
      </c>
      <c r="C529" t="str">
        <f>IF(Table2429[[#This Row],[Journal Description (Service Description)]]="","",1)</f>
        <v/>
      </c>
      <c r="D529" s="2" t="str">
        <f>IF(Table2429[[#This Row],[Journal Description (Service Description)]]="","",VLOOKUP(Table2429[[#This Row],[Journal Description (Service Description)]],'Lookup Values'!$A:$B,2,FALSE))</f>
        <v/>
      </c>
    </row>
    <row r="530" spans="1:4" x14ac:dyDescent="0.35">
      <c r="A530" t="str">
        <f>IF(Table2429[[#This Row],[Branch Name]]="","",(_xlfn.XLOOKUP(Table2429[[#This Row],[Branch Name]],'Lookup Values'!G:G,'Lookup Values'!H:H,0)))</f>
        <v/>
      </c>
      <c r="B530" t="str">
        <f>IF(Table2429[[#This Row],[Branch Name]]="","",(_xlfn.XLOOKUP(Table2429[[#This Row],[Branch Name]],'Lookup Values'!G:G,'Lookup Values'!I:I,0)))</f>
        <v/>
      </c>
      <c r="C530" t="str">
        <f>IF(Table2429[[#This Row],[Journal Description (Service Description)]]="","",1)</f>
        <v/>
      </c>
      <c r="D530" s="2" t="str">
        <f>IF(Table2429[[#This Row],[Journal Description (Service Description)]]="","",VLOOKUP(Table2429[[#This Row],[Journal Description (Service Description)]],'Lookup Values'!$A:$B,2,FALSE))</f>
        <v/>
      </c>
    </row>
    <row r="531" spans="1:4" x14ac:dyDescent="0.35">
      <c r="A531" t="str">
        <f>IF(Table2429[[#This Row],[Branch Name]]="","",(_xlfn.XLOOKUP(Table2429[[#This Row],[Branch Name]],'Lookup Values'!G:G,'Lookup Values'!H:H,0)))</f>
        <v/>
      </c>
      <c r="B531" t="str">
        <f>IF(Table2429[[#This Row],[Branch Name]]="","",(_xlfn.XLOOKUP(Table2429[[#This Row],[Branch Name]],'Lookup Values'!G:G,'Lookup Values'!I:I,0)))</f>
        <v/>
      </c>
      <c r="C531" t="str">
        <f>IF(Table2429[[#This Row],[Journal Description (Service Description)]]="","",1)</f>
        <v/>
      </c>
      <c r="D531" s="2" t="str">
        <f>IF(Table2429[[#This Row],[Journal Description (Service Description)]]="","",VLOOKUP(Table2429[[#This Row],[Journal Description (Service Description)]],'Lookup Values'!$A:$B,2,FALSE))</f>
        <v/>
      </c>
    </row>
    <row r="532" spans="1:4" x14ac:dyDescent="0.35">
      <c r="A532" t="str">
        <f>IF(Table2429[[#This Row],[Branch Name]]="","",(_xlfn.XLOOKUP(Table2429[[#This Row],[Branch Name]],'Lookup Values'!G:G,'Lookup Values'!H:H,0)))</f>
        <v/>
      </c>
      <c r="B532" t="str">
        <f>IF(Table2429[[#This Row],[Branch Name]]="","",(_xlfn.XLOOKUP(Table2429[[#This Row],[Branch Name]],'Lookup Values'!G:G,'Lookup Values'!I:I,0)))</f>
        <v/>
      </c>
      <c r="C532" t="str">
        <f>IF(Table2429[[#This Row],[Journal Description (Service Description)]]="","",1)</f>
        <v/>
      </c>
      <c r="D532" s="2" t="str">
        <f>IF(Table2429[[#This Row],[Journal Description (Service Description)]]="","",VLOOKUP(Table2429[[#This Row],[Journal Description (Service Description)]],'Lookup Values'!$A:$B,2,FALSE))</f>
        <v/>
      </c>
    </row>
    <row r="533" spans="1:4" x14ac:dyDescent="0.35">
      <c r="A533" t="str">
        <f>IF(Table2429[[#This Row],[Branch Name]]="","",(_xlfn.XLOOKUP(Table2429[[#This Row],[Branch Name]],'Lookup Values'!G:G,'Lookup Values'!H:H,0)))</f>
        <v/>
      </c>
      <c r="B533" t="str">
        <f>IF(Table2429[[#This Row],[Branch Name]]="","",(_xlfn.XLOOKUP(Table2429[[#This Row],[Branch Name]],'Lookup Values'!G:G,'Lookup Values'!I:I,0)))</f>
        <v/>
      </c>
      <c r="C533" t="str">
        <f>IF(Table2429[[#This Row],[Journal Description (Service Description)]]="","",1)</f>
        <v/>
      </c>
      <c r="D533" s="2" t="str">
        <f>IF(Table2429[[#This Row],[Journal Description (Service Description)]]="","",VLOOKUP(Table2429[[#This Row],[Journal Description (Service Description)]],'Lookup Values'!$A:$B,2,FALSE))</f>
        <v/>
      </c>
    </row>
  </sheetData>
  <protectedRanges>
    <protectedRange sqref="D9:D533" name="Amount"/>
  </protectedRanges>
  <pageMargins left="0.7" right="0.7" top="0.75" bottom="0.75" header="0.3" footer="0.3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C976CF3-F51F-48B9-B579-C5F881989A06}">
          <x14:formula1>
            <xm:f>'Lookup Values'!$A$2:$A$7</xm:f>
          </x14:formula1>
          <xm:sqref>F525:F533</xm:sqref>
        </x14:dataValidation>
        <x14:dataValidation type="list" allowBlank="1" showInputMessage="1" showErrorMessage="1" xr:uid="{B9185D14-701C-4932-8142-8C3C79E41303}">
          <x14:formula1>
            <xm:f>'Lookup Values'!$A$2:$A$9</xm:f>
          </x14:formula1>
          <xm:sqref>F10:F26 F41:F126</xm:sqref>
        </x14:dataValidation>
        <x14:dataValidation type="list" allowBlank="1" showInputMessage="1" showErrorMessage="1" xr:uid="{F741D4F6-0C54-4349-BD62-A3561D2B1D5F}">
          <x14:formula1>
            <xm:f>'Lookup Values'!$A$2:$A$39</xm:f>
          </x14:formula1>
          <xm:sqref>F127:F524</xm:sqref>
        </x14:dataValidation>
        <x14:dataValidation type="list" allowBlank="1" showInputMessage="1" showErrorMessage="1" xr:uid="{3974FABB-7649-4A42-8631-893C1FDC8B27}">
          <x14:formula1>
            <xm:f>'Lookup Values'!$G$2:$G$35</xm:f>
          </x14:formula1>
          <xm:sqref>E10:E26 E41:E533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230A-1362-4AD4-B9A9-94E340822787}">
  <sheetPr codeName="Sheet16"/>
  <dimension ref="A1:I12"/>
  <sheetViews>
    <sheetView topLeftCell="C1" workbookViewId="0">
      <selection activeCell="A4" sqref="A4:I8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9" t="s">
        <v>73</v>
      </c>
      <c r="B4" s="44" t="s">
        <v>199</v>
      </c>
      <c r="C4" s="44" t="s">
        <v>159</v>
      </c>
      <c r="D4" t="s">
        <v>160</v>
      </c>
      <c r="E4">
        <v>1</v>
      </c>
      <c r="F4" s="81">
        <v>14</v>
      </c>
      <c r="G4" s="44" t="s">
        <v>56</v>
      </c>
      <c r="H4" s="44" t="s">
        <v>35</v>
      </c>
      <c r="I4" s="46" t="s">
        <v>120</v>
      </c>
    </row>
    <row r="5" spans="1:9" x14ac:dyDescent="0.35">
      <c r="A5" s="49" t="s">
        <v>73</v>
      </c>
      <c r="B5" s="44" t="s">
        <v>199</v>
      </c>
      <c r="C5" s="44" t="s">
        <v>159</v>
      </c>
      <c r="D5" t="s">
        <v>160</v>
      </c>
      <c r="E5">
        <v>1</v>
      </c>
      <c r="F5" s="68">
        <v>25</v>
      </c>
      <c r="G5" s="34" t="s">
        <v>56</v>
      </c>
      <c r="H5" s="34" t="s">
        <v>36</v>
      </c>
      <c r="I5" s="35" t="s">
        <v>99</v>
      </c>
    </row>
    <row r="6" spans="1:9" x14ac:dyDescent="0.35">
      <c r="A6" s="49" t="s">
        <v>73</v>
      </c>
      <c r="B6" s="44" t="s">
        <v>199</v>
      </c>
      <c r="C6" s="44" t="s">
        <v>159</v>
      </c>
      <c r="D6" t="s">
        <v>160</v>
      </c>
      <c r="E6">
        <v>1</v>
      </c>
      <c r="F6" s="68">
        <v>14</v>
      </c>
      <c r="G6" s="34" t="s">
        <v>56</v>
      </c>
      <c r="H6" s="34" t="s">
        <v>35</v>
      </c>
      <c r="I6" s="35" t="s">
        <v>99</v>
      </c>
    </row>
    <row r="7" spans="1:9" x14ac:dyDescent="0.35">
      <c r="A7" s="49" t="s">
        <v>73</v>
      </c>
      <c r="B7" s="44" t="s">
        <v>199</v>
      </c>
      <c r="C7" s="44" t="s">
        <v>159</v>
      </c>
      <c r="D7" t="s">
        <v>160</v>
      </c>
      <c r="E7">
        <v>1</v>
      </c>
      <c r="F7" s="68">
        <v>25</v>
      </c>
      <c r="G7" s="34" t="s">
        <v>56</v>
      </c>
      <c r="H7" s="34" t="s">
        <v>36</v>
      </c>
      <c r="I7" s="35" t="s">
        <v>341</v>
      </c>
    </row>
    <row r="8" spans="1:9" x14ac:dyDescent="0.35">
      <c r="A8" s="49" t="s">
        <v>73</v>
      </c>
      <c r="B8" s="44" t="s">
        <v>199</v>
      </c>
      <c r="C8" s="44" t="s">
        <v>159</v>
      </c>
      <c r="D8" t="s">
        <v>160</v>
      </c>
      <c r="E8">
        <v>1</v>
      </c>
      <c r="F8" s="68">
        <v>40</v>
      </c>
      <c r="G8" s="34" t="s">
        <v>56</v>
      </c>
      <c r="H8" s="34" t="s">
        <v>34</v>
      </c>
      <c r="I8" s="35" t="s">
        <v>343</v>
      </c>
    </row>
    <row r="9" spans="1:9" x14ac:dyDescent="0.35">
      <c r="A9" s="49"/>
      <c r="B9" s="50"/>
      <c r="C9" s="44"/>
      <c r="D9" s="44"/>
      <c r="E9" s="44"/>
      <c r="F9" s="60"/>
      <c r="G9" s="34"/>
      <c r="H9" s="27"/>
      <c r="I9" s="27"/>
    </row>
    <row r="10" spans="1:9" x14ac:dyDescent="0.35">
      <c r="A10" s="49"/>
      <c r="B10" s="50"/>
      <c r="C10" s="44"/>
      <c r="D10" s="44"/>
      <c r="E10" s="44"/>
      <c r="F10" s="60"/>
      <c r="G10" s="34"/>
      <c r="H10" s="27"/>
      <c r="I10" s="27"/>
    </row>
    <row r="11" spans="1:9" x14ac:dyDescent="0.35">
      <c r="A11" s="49"/>
      <c r="B11" s="44"/>
      <c r="C11" s="44"/>
      <c r="D11" s="44"/>
      <c r="E11" s="44"/>
      <c r="F11" s="60"/>
      <c r="G11" s="34"/>
      <c r="H11" s="27"/>
      <c r="I11" s="27"/>
    </row>
    <row r="12" spans="1:9" x14ac:dyDescent="0.35">
      <c r="A12" s="49"/>
      <c r="B12" s="44"/>
      <c r="C12" s="44"/>
      <c r="D12" s="44"/>
      <c r="E12" s="44"/>
      <c r="F12" s="60"/>
      <c r="G12" s="34"/>
      <c r="H12" s="27"/>
      <c r="I12" s="27"/>
    </row>
  </sheetData>
  <protectedRanges>
    <protectedRange sqref="F9:F12" name="Amount_8"/>
    <protectedRange sqref="F4" name="Amount_2"/>
    <protectedRange sqref="F5:F7" name="Amount_2_1"/>
    <protectedRange sqref="F8" name="Amount_2_2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718648-98FD-4F8C-87F1-7C0CABBE6EF1}">
          <x14:formula1>
            <xm:f>'Lookup Values'!$A$2:$A$9</xm:f>
          </x14:formula1>
          <xm:sqref>H4:H8</xm:sqref>
        </x14:dataValidation>
        <x14:dataValidation type="list" allowBlank="1" showInputMessage="1" showErrorMessage="1" xr:uid="{75BD33A8-F8BC-4280-803F-3417C6CFACF4}">
          <x14:formula1>
            <xm:f>'Lookup Values'!$G$2:$G$35</xm:f>
          </x14:formula1>
          <xm:sqref>G4:G8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1BBD5-98FA-4712-8950-16E79C951CB4}">
  <sheetPr codeName="Sheet17" filterMode="1"/>
  <dimension ref="A1:G62"/>
  <sheetViews>
    <sheetView topLeftCell="A28" zoomScale="70" zoomScaleNormal="70" workbookViewId="0">
      <selection activeCell="G57" sqref="A55:G57"/>
    </sheetView>
  </sheetViews>
  <sheetFormatPr defaultRowHeight="14.5" x14ac:dyDescent="0.35"/>
  <cols>
    <col min="1" max="1" width="23.81640625" customWidth="1"/>
    <col min="2" max="2" width="20.7265625" customWidth="1"/>
    <col min="3" max="3" width="19.81640625" customWidth="1"/>
    <col min="4" max="4" width="23.1796875" customWidth="1"/>
    <col min="5" max="5" width="29.453125" customWidth="1"/>
    <col min="6" max="6" width="40.7265625" customWidth="1"/>
    <col min="7" max="7" width="19" customWidth="1"/>
  </cols>
  <sheetData>
    <row r="1" spans="1:7" ht="26" x14ac:dyDescent="0.6">
      <c r="A1" s="4" t="s">
        <v>27</v>
      </c>
    </row>
    <row r="2" spans="1:7" ht="15" thickBot="1" x14ac:dyDescent="0.4"/>
    <row r="3" spans="1:7" x14ac:dyDescent="0.35">
      <c r="A3" s="6" t="s">
        <v>28</v>
      </c>
      <c r="B3" s="42" t="s">
        <v>438</v>
      </c>
    </row>
    <row r="4" spans="1:7" x14ac:dyDescent="0.35">
      <c r="A4" s="8" t="s">
        <v>29</v>
      </c>
      <c r="B4" s="9">
        <v>44650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77" t="s">
        <v>7</v>
      </c>
      <c r="C9" s="77">
        <f>IF(Table2429[[#This Row],[Journal Description (Service Description)]]="","",1)</f>
        <v>1</v>
      </c>
      <c r="D9" s="78">
        <f>-SUM(D10:D137)</f>
        <v>-3512</v>
      </c>
      <c r="E9" s="79" t="s">
        <v>12</v>
      </c>
      <c r="F9" s="79" t="s">
        <v>13</v>
      </c>
      <c r="G9" s="80">
        <v>44531</v>
      </c>
    </row>
    <row r="10" spans="1:7" hidden="1" x14ac:dyDescent="0.35">
      <c r="A10" s="76"/>
      <c r="B10" s="44" t="s">
        <v>163</v>
      </c>
      <c r="C10" s="77">
        <v>1</v>
      </c>
      <c r="D10" s="81">
        <v>14</v>
      </c>
      <c r="E10" s="44" t="s">
        <v>56</v>
      </c>
      <c r="F10" s="44" t="s">
        <v>35</v>
      </c>
      <c r="G10" s="46" t="s">
        <v>120</v>
      </c>
    </row>
    <row r="11" spans="1:7" x14ac:dyDescent="0.35">
      <c r="A11" s="76" t="s">
        <v>6</v>
      </c>
      <c r="B11" s="44" t="s">
        <v>86</v>
      </c>
      <c r="C11" s="77">
        <v>1</v>
      </c>
      <c r="D11" s="81">
        <v>14</v>
      </c>
      <c r="E11" s="34" t="s">
        <v>47</v>
      </c>
      <c r="F11" s="34" t="s">
        <v>35</v>
      </c>
      <c r="G11" s="35" t="s">
        <v>302</v>
      </c>
    </row>
    <row r="12" spans="1:7" x14ac:dyDescent="0.35">
      <c r="A12" s="76" t="s">
        <v>6</v>
      </c>
      <c r="B12" s="44" t="s">
        <v>86</v>
      </c>
      <c r="C12" s="77">
        <v>1</v>
      </c>
      <c r="D12" s="81">
        <v>25</v>
      </c>
      <c r="E12" s="34" t="s">
        <v>47</v>
      </c>
      <c r="F12" s="34" t="s">
        <v>36</v>
      </c>
      <c r="G12" s="35" t="s">
        <v>329</v>
      </c>
    </row>
    <row r="13" spans="1:7" x14ac:dyDescent="0.35">
      <c r="A13" s="76" t="s">
        <v>6</v>
      </c>
      <c r="B13" s="44" t="s">
        <v>86</v>
      </c>
      <c r="C13" s="77">
        <v>1</v>
      </c>
      <c r="D13" s="81">
        <v>25</v>
      </c>
      <c r="E13" s="34" t="s">
        <v>47</v>
      </c>
      <c r="F13" s="34" t="s">
        <v>36</v>
      </c>
      <c r="G13" s="35" t="s">
        <v>330</v>
      </c>
    </row>
    <row r="14" spans="1:7" x14ac:dyDescent="0.35">
      <c r="A14" s="76" t="s">
        <v>6</v>
      </c>
      <c r="B14" s="44" t="s">
        <v>86</v>
      </c>
      <c r="C14" s="77">
        <v>1</v>
      </c>
      <c r="D14" s="81">
        <v>25</v>
      </c>
      <c r="E14" s="34" t="s">
        <v>47</v>
      </c>
      <c r="F14" s="34" t="s">
        <v>36</v>
      </c>
      <c r="G14" s="35" t="s">
        <v>331</v>
      </c>
    </row>
    <row r="15" spans="1:7" x14ac:dyDescent="0.35">
      <c r="A15" s="76" t="s">
        <v>6</v>
      </c>
      <c r="B15" s="44" t="s">
        <v>86</v>
      </c>
      <c r="C15" s="77">
        <v>1</v>
      </c>
      <c r="D15" s="81">
        <v>120</v>
      </c>
      <c r="E15" s="44" t="s">
        <v>47</v>
      </c>
      <c r="F15" s="34" t="s">
        <v>90</v>
      </c>
      <c r="G15" s="35" t="s">
        <v>332</v>
      </c>
    </row>
    <row r="16" spans="1:7" x14ac:dyDescent="0.35">
      <c r="A16" s="76" t="s">
        <v>6</v>
      </c>
      <c r="B16" s="44" t="s">
        <v>86</v>
      </c>
      <c r="C16" s="77">
        <v>1</v>
      </c>
      <c r="D16" s="68">
        <v>151</v>
      </c>
      <c r="E16" s="34" t="s">
        <v>47</v>
      </c>
      <c r="F16" s="34" t="s">
        <v>91</v>
      </c>
      <c r="G16" s="35" t="s">
        <v>332</v>
      </c>
    </row>
    <row r="17" spans="1:7" x14ac:dyDescent="0.35">
      <c r="A17" s="76" t="s">
        <v>6</v>
      </c>
      <c r="B17" s="44" t="s">
        <v>211</v>
      </c>
      <c r="C17" s="77">
        <v>1</v>
      </c>
      <c r="D17" s="68">
        <v>25</v>
      </c>
      <c r="E17" s="34" t="s">
        <v>62</v>
      </c>
      <c r="F17" s="34" t="s">
        <v>36</v>
      </c>
      <c r="G17" s="35" t="s">
        <v>333</v>
      </c>
    </row>
    <row r="18" spans="1:7" x14ac:dyDescent="0.35">
      <c r="A18" s="76" t="s">
        <v>6</v>
      </c>
      <c r="B18" s="44" t="s">
        <v>211</v>
      </c>
      <c r="C18" s="77">
        <v>1</v>
      </c>
      <c r="D18" s="68">
        <v>40</v>
      </c>
      <c r="E18" s="34" t="s">
        <v>62</v>
      </c>
      <c r="F18" s="34" t="s">
        <v>34</v>
      </c>
      <c r="G18" s="35" t="s">
        <v>333</v>
      </c>
    </row>
    <row r="19" spans="1:7" x14ac:dyDescent="0.35">
      <c r="A19" s="76" t="s">
        <v>6</v>
      </c>
      <c r="B19" s="44" t="s">
        <v>211</v>
      </c>
      <c r="C19" s="77">
        <v>1</v>
      </c>
      <c r="D19" s="68">
        <v>25</v>
      </c>
      <c r="E19" s="34" t="s">
        <v>62</v>
      </c>
      <c r="F19" s="34" t="s">
        <v>36</v>
      </c>
      <c r="G19" s="35" t="s">
        <v>334</v>
      </c>
    </row>
    <row r="20" spans="1:7" x14ac:dyDescent="0.35">
      <c r="A20" s="76" t="s">
        <v>6</v>
      </c>
      <c r="B20" s="44" t="s">
        <v>211</v>
      </c>
      <c r="C20" s="77">
        <v>1</v>
      </c>
      <c r="D20" s="68">
        <v>40</v>
      </c>
      <c r="E20" s="34" t="s">
        <v>62</v>
      </c>
      <c r="F20" s="34" t="s">
        <v>34</v>
      </c>
      <c r="G20" s="35" t="s">
        <v>334</v>
      </c>
    </row>
    <row r="21" spans="1:7" x14ac:dyDescent="0.35">
      <c r="A21" s="76" t="s">
        <v>6</v>
      </c>
      <c r="B21" s="44" t="s">
        <v>211</v>
      </c>
      <c r="C21" s="77">
        <v>1</v>
      </c>
      <c r="D21" s="68">
        <v>14</v>
      </c>
      <c r="E21" s="34" t="s">
        <v>62</v>
      </c>
      <c r="F21" s="34" t="s">
        <v>35</v>
      </c>
      <c r="G21" s="35" t="s">
        <v>334</v>
      </c>
    </row>
    <row r="22" spans="1:7" x14ac:dyDescent="0.35">
      <c r="A22" s="76" t="s">
        <v>6</v>
      </c>
      <c r="B22" s="44" t="s">
        <v>86</v>
      </c>
      <c r="C22" s="77">
        <v>1</v>
      </c>
      <c r="D22" s="68">
        <v>14</v>
      </c>
      <c r="E22" s="34" t="s">
        <v>47</v>
      </c>
      <c r="F22" s="34" t="s">
        <v>35</v>
      </c>
      <c r="G22" s="35" t="s">
        <v>335</v>
      </c>
    </row>
    <row r="23" spans="1:7" x14ac:dyDescent="0.35">
      <c r="A23" s="76" t="s">
        <v>6</v>
      </c>
      <c r="B23" s="44" t="s">
        <v>211</v>
      </c>
      <c r="C23" s="77">
        <v>1</v>
      </c>
      <c r="D23" s="68">
        <v>14</v>
      </c>
      <c r="E23" s="34" t="s">
        <v>62</v>
      </c>
      <c r="F23" s="34" t="s">
        <v>35</v>
      </c>
      <c r="G23" s="35" t="s">
        <v>299</v>
      </c>
    </row>
    <row r="24" spans="1:7" x14ac:dyDescent="0.35">
      <c r="A24" s="76" t="s">
        <v>6</v>
      </c>
      <c r="B24" s="44" t="s">
        <v>72</v>
      </c>
      <c r="C24" s="77">
        <v>1</v>
      </c>
      <c r="D24" s="68">
        <v>40</v>
      </c>
      <c r="E24" s="34" t="s">
        <v>82</v>
      </c>
      <c r="F24" s="34" t="s">
        <v>34</v>
      </c>
      <c r="G24" s="35" t="s">
        <v>336</v>
      </c>
    </row>
    <row r="25" spans="1:7" x14ac:dyDescent="0.35">
      <c r="A25" s="76" t="s">
        <v>6</v>
      </c>
      <c r="B25" s="44" t="s">
        <v>72</v>
      </c>
      <c r="C25" s="77">
        <v>1</v>
      </c>
      <c r="D25" s="68">
        <v>14</v>
      </c>
      <c r="E25" s="34" t="s">
        <v>82</v>
      </c>
      <c r="F25" s="34" t="s">
        <v>35</v>
      </c>
      <c r="G25" s="35" t="s">
        <v>336</v>
      </c>
    </row>
    <row r="26" spans="1:7" x14ac:dyDescent="0.35">
      <c r="A26" s="76" t="s">
        <v>6</v>
      </c>
      <c r="B26" s="44" t="s">
        <v>219</v>
      </c>
      <c r="C26" s="77">
        <v>1</v>
      </c>
      <c r="D26" s="68">
        <v>40</v>
      </c>
      <c r="E26" s="34" t="s">
        <v>50</v>
      </c>
      <c r="F26" s="34" t="s">
        <v>34</v>
      </c>
      <c r="G26" s="35" t="s">
        <v>337</v>
      </c>
    </row>
    <row r="27" spans="1:7" x14ac:dyDescent="0.35">
      <c r="A27" s="76" t="s">
        <v>6</v>
      </c>
      <c r="B27" s="44" t="s">
        <v>219</v>
      </c>
      <c r="C27" s="77">
        <v>1</v>
      </c>
      <c r="D27" s="68">
        <v>14</v>
      </c>
      <c r="E27" s="34" t="s">
        <v>50</v>
      </c>
      <c r="F27" s="34" t="s">
        <v>35</v>
      </c>
      <c r="G27" s="35" t="s">
        <v>337</v>
      </c>
    </row>
    <row r="28" spans="1:7" x14ac:dyDescent="0.35">
      <c r="A28" s="76" t="s">
        <v>6</v>
      </c>
      <c r="B28" s="44" t="s">
        <v>72</v>
      </c>
      <c r="C28" s="77">
        <v>1</v>
      </c>
      <c r="D28" s="68">
        <v>14</v>
      </c>
      <c r="E28" s="34" t="s">
        <v>82</v>
      </c>
      <c r="F28" s="34" t="s">
        <v>35</v>
      </c>
      <c r="G28" s="35" t="s">
        <v>338</v>
      </c>
    </row>
    <row r="29" spans="1:7" x14ac:dyDescent="0.35">
      <c r="A29" s="76" t="s">
        <v>6</v>
      </c>
      <c r="B29" s="44" t="s">
        <v>219</v>
      </c>
      <c r="C29" s="77">
        <v>1</v>
      </c>
      <c r="D29" s="68">
        <v>14</v>
      </c>
      <c r="E29" s="34" t="s">
        <v>50</v>
      </c>
      <c r="F29" s="34" t="s">
        <v>35</v>
      </c>
      <c r="G29" s="35" t="s">
        <v>307</v>
      </c>
    </row>
    <row r="30" spans="1:7" x14ac:dyDescent="0.35">
      <c r="A30" s="76" t="s">
        <v>6</v>
      </c>
      <c r="B30" s="44" t="s">
        <v>89</v>
      </c>
      <c r="C30" s="77">
        <v>1</v>
      </c>
      <c r="D30" s="68">
        <v>14</v>
      </c>
      <c r="E30" s="34" t="s">
        <v>84</v>
      </c>
      <c r="F30" s="34" t="s">
        <v>35</v>
      </c>
      <c r="G30" s="35" t="s">
        <v>339</v>
      </c>
    </row>
    <row r="31" spans="1:7" x14ac:dyDescent="0.35">
      <c r="A31" s="76" t="s">
        <v>6</v>
      </c>
      <c r="B31" s="44" t="s">
        <v>142</v>
      </c>
      <c r="C31" s="77">
        <v>1</v>
      </c>
      <c r="D31" s="68">
        <v>25</v>
      </c>
      <c r="E31" s="34" t="s">
        <v>44</v>
      </c>
      <c r="F31" s="34" t="s">
        <v>36</v>
      </c>
      <c r="G31" s="35" t="s">
        <v>340</v>
      </c>
    </row>
    <row r="32" spans="1:7" hidden="1" x14ac:dyDescent="0.35">
      <c r="A32" s="76"/>
      <c r="B32" s="44" t="s">
        <v>163</v>
      </c>
      <c r="C32" s="77">
        <v>1</v>
      </c>
      <c r="D32" s="68">
        <v>25</v>
      </c>
      <c r="E32" s="34" t="s">
        <v>56</v>
      </c>
      <c r="F32" s="34" t="s">
        <v>36</v>
      </c>
      <c r="G32" s="35" t="s">
        <v>99</v>
      </c>
    </row>
    <row r="33" spans="1:7" hidden="1" x14ac:dyDescent="0.35">
      <c r="A33" s="76"/>
      <c r="B33" s="44" t="s">
        <v>163</v>
      </c>
      <c r="C33" s="77">
        <v>1</v>
      </c>
      <c r="D33" s="68">
        <v>14</v>
      </c>
      <c r="E33" s="34" t="s">
        <v>56</v>
      </c>
      <c r="F33" s="34" t="s">
        <v>35</v>
      </c>
      <c r="G33" s="35" t="s">
        <v>99</v>
      </c>
    </row>
    <row r="34" spans="1:7" hidden="1" x14ac:dyDescent="0.35">
      <c r="A34" s="76"/>
      <c r="B34" s="44" t="s">
        <v>163</v>
      </c>
      <c r="C34" s="77">
        <v>1</v>
      </c>
      <c r="D34" s="68">
        <v>25</v>
      </c>
      <c r="E34" s="34" t="s">
        <v>56</v>
      </c>
      <c r="F34" s="34" t="s">
        <v>36</v>
      </c>
      <c r="G34" s="35" t="s">
        <v>341</v>
      </c>
    </row>
    <row r="35" spans="1:7" x14ac:dyDescent="0.35">
      <c r="A35" s="76" t="s">
        <v>6</v>
      </c>
      <c r="B35" s="44" t="s">
        <v>244</v>
      </c>
      <c r="C35" s="77">
        <v>1</v>
      </c>
      <c r="D35" s="68">
        <v>25</v>
      </c>
      <c r="E35" s="34" t="s">
        <v>64</v>
      </c>
      <c r="F35" s="34" t="s">
        <v>36</v>
      </c>
      <c r="G35" s="35" t="s">
        <v>342</v>
      </c>
    </row>
    <row r="36" spans="1:7" x14ac:dyDescent="0.35">
      <c r="A36" s="76" t="s">
        <v>6</v>
      </c>
      <c r="B36" s="44" t="s">
        <v>244</v>
      </c>
      <c r="C36" s="77">
        <v>1</v>
      </c>
      <c r="D36" s="68">
        <v>14</v>
      </c>
      <c r="E36" s="34" t="s">
        <v>64</v>
      </c>
      <c r="F36" s="34" t="s">
        <v>35</v>
      </c>
      <c r="G36" s="35" t="s">
        <v>342</v>
      </c>
    </row>
    <row r="37" spans="1:7" hidden="1" x14ac:dyDescent="0.35">
      <c r="A37" s="76"/>
      <c r="B37" s="44" t="s">
        <v>163</v>
      </c>
      <c r="C37" s="77">
        <v>1</v>
      </c>
      <c r="D37" s="68">
        <v>40</v>
      </c>
      <c r="E37" s="34" t="s">
        <v>56</v>
      </c>
      <c r="F37" s="34" t="s">
        <v>34</v>
      </c>
      <c r="G37" s="35" t="s">
        <v>343</v>
      </c>
    </row>
    <row r="38" spans="1:7" x14ac:dyDescent="0.35">
      <c r="A38" s="76" t="s">
        <v>6</v>
      </c>
      <c r="B38" s="44" t="s">
        <v>142</v>
      </c>
      <c r="C38" s="82">
        <v>1</v>
      </c>
      <c r="D38" s="68">
        <v>120</v>
      </c>
      <c r="E38" s="34" t="s">
        <v>44</v>
      </c>
      <c r="F38" s="34" t="s">
        <v>90</v>
      </c>
      <c r="G38" s="35" t="s">
        <v>234</v>
      </c>
    </row>
    <row r="39" spans="1:7" x14ac:dyDescent="0.35">
      <c r="A39" s="76" t="s">
        <v>6</v>
      </c>
      <c r="B39" s="44" t="s">
        <v>142</v>
      </c>
      <c r="C39" s="82">
        <v>1</v>
      </c>
      <c r="D39" s="68">
        <v>120</v>
      </c>
      <c r="E39" s="34" t="s">
        <v>44</v>
      </c>
      <c r="F39" s="34" t="s">
        <v>90</v>
      </c>
      <c r="G39" s="35" t="s">
        <v>344</v>
      </c>
    </row>
    <row r="40" spans="1:7" x14ac:dyDescent="0.35">
      <c r="A40" s="76" t="s">
        <v>6</v>
      </c>
      <c r="B40" s="44" t="s">
        <v>142</v>
      </c>
      <c r="C40" s="82">
        <v>1</v>
      </c>
      <c r="D40" s="68">
        <v>151</v>
      </c>
      <c r="E40" s="34" t="s">
        <v>44</v>
      </c>
      <c r="F40" s="34" t="s">
        <v>91</v>
      </c>
      <c r="G40" s="35" t="s">
        <v>344</v>
      </c>
    </row>
    <row r="41" spans="1:7" x14ac:dyDescent="0.35">
      <c r="A41" s="76" t="s">
        <v>6</v>
      </c>
      <c r="B41" t="s">
        <v>350</v>
      </c>
      <c r="C41" s="82">
        <v>1</v>
      </c>
      <c r="D41" s="68">
        <v>120</v>
      </c>
      <c r="E41" s="34" t="s">
        <v>43</v>
      </c>
      <c r="F41" s="34" t="s">
        <v>90</v>
      </c>
      <c r="G41" s="35" t="s">
        <v>345</v>
      </c>
    </row>
    <row r="42" spans="1:7" x14ac:dyDescent="0.35">
      <c r="A42" s="76" t="s">
        <v>6</v>
      </c>
      <c r="B42" t="s">
        <v>350</v>
      </c>
      <c r="C42" s="82">
        <v>1</v>
      </c>
      <c r="D42" s="68">
        <v>151</v>
      </c>
      <c r="E42" s="34" t="s">
        <v>43</v>
      </c>
      <c r="F42" s="34" t="s">
        <v>91</v>
      </c>
      <c r="G42" s="35" t="s">
        <v>345</v>
      </c>
    </row>
    <row r="43" spans="1:7" x14ac:dyDescent="0.35">
      <c r="A43" s="76" t="s">
        <v>6</v>
      </c>
      <c r="B43" s="44" t="s">
        <v>219</v>
      </c>
      <c r="C43" s="77">
        <v>1</v>
      </c>
      <c r="D43" s="68">
        <v>120</v>
      </c>
      <c r="E43" s="34" t="s">
        <v>50</v>
      </c>
      <c r="F43" s="34" t="s">
        <v>90</v>
      </c>
      <c r="G43" s="35" t="s">
        <v>307</v>
      </c>
    </row>
    <row r="44" spans="1:7" x14ac:dyDescent="0.35">
      <c r="A44" s="76" t="s">
        <v>6</v>
      </c>
      <c r="B44" s="44" t="s">
        <v>219</v>
      </c>
      <c r="C44" s="77">
        <v>1</v>
      </c>
      <c r="D44" s="68">
        <v>151</v>
      </c>
      <c r="E44" s="34" t="s">
        <v>50</v>
      </c>
      <c r="F44" s="34" t="s">
        <v>91</v>
      </c>
      <c r="G44" s="35" t="s">
        <v>307</v>
      </c>
    </row>
    <row r="45" spans="1:7" x14ac:dyDescent="0.35">
      <c r="A45" s="76" t="s">
        <v>6</v>
      </c>
      <c r="B45" s="44" t="s">
        <v>142</v>
      </c>
      <c r="C45" s="77">
        <v>1</v>
      </c>
      <c r="D45" s="68">
        <v>120</v>
      </c>
      <c r="E45" s="34" t="s">
        <v>44</v>
      </c>
      <c r="F45" s="34" t="s">
        <v>90</v>
      </c>
      <c r="G45" s="35" t="s">
        <v>346</v>
      </c>
    </row>
    <row r="46" spans="1:7" x14ac:dyDescent="0.35">
      <c r="A46" s="76" t="s">
        <v>6</v>
      </c>
      <c r="B46" s="44" t="s">
        <v>142</v>
      </c>
      <c r="C46" s="77">
        <v>1</v>
      </c>
      <c r="D46" s="68">
        <v>151</v>
      </c>
      <c r="E46" s="34" t="s">
        <v>44</v>
      </c>
      <c r="F46" s="34" t="s">
        <v>91</v>
      </c>
      <c r="G46" s="35" t="s">
        <v>346</v>
      </c>
    </row>
    <row r="47" spans="1:7" x14ac:dyDescent="0.35">
      <c r="A47" s="76" t="s">
        <v>6</v>
      </c>
      <c r="B47" s="44" t="s">
        <v>219</v>
      </c>
      <c r="C47" s="77">
        <v>1</v>
      </c>
      <c r="D47" s="68">
        <v>120</v>
      </c>
      <c r="E47" s="34" t="s">
        <v>50</v>
      </c>
      <c r="F47" s="34" t="s">
        <v>90</v>
      </c>
      <c r="G47" s="35" t="s">
        <v>347</v>
      </c>
    </row>
    <row r="48" spans="1:7" x14ac:dyDescent="0.35">
      <c r="A48" s="76" t="s">
        <v>6</v>
      </c>
      <c r="B48" s="44" t="s">
        <v>219</v>
      </c>
      <c r="C48" s="77">
        <v>1</v>
      </c>
      <c r="D48" s="68">
        <v>151</v>
      </c>
      <c r="E48" s="34" t="s">
        <v>50</v>
      </c>
      <c r="F48" s="34" t="s">
        <v>91</v>
      </c>
      <c r="G48" s="35" t="s">
        <v>347</v>
      </c>
    </row>
    <row r="49" spans="1:7" x14ac:dyDescent="0.35">
      <c r="A49" s="76" t="s">
        <v>6</v>
      </c>
      <c r="B49" s="44" t="s">
        <v>219</v>
      </c>
      <c r="C49" s="77">
        <v>1</v>
      </c>
      <c r="D49" s="68">
        <v>151</v>
      </c>
      <c r="E49" s="34" t="s">
        <v>50</v>
      </c>
      <c r="F49" s="34" t="s">
        <v>91</v>
      </c>
      <c r="G49" s="35" t="s">
        <v>348</v>
      </c>
    </row>
    <row r="50" spans="1:7" x14ac:dyDescent="0.35">
      <c r="A50" s="76" t="s">
        <v>6</v>
      </c>
      <c r="B50" s="44" t="s">
        <v>219</v>
      </c>
      <c r="C50" s="77">
        <v>1</v>
      </c>
      <c r="D50" s="68">
        <v>120</v>
      </c>
      <c r="E50" s="34" t="s">
        <v>50</v>
      </c>
      <c r="F50" s="34" t="s">
        <v>90</v>
      </c>
      <c r="G50" s="35" t="s">
        <v>348</v>
      </c>
    </row>
    <row r="51" spans="1:7" x14ac:dyDescent="0.35">
      <c r="A51" s="76" t="s">
        <v>6</v>
      </c>
      <c r="B51" t="s">
        <v>350</v>
      </c>
      <c r="C51" s="82">
        <v>1</v>
      </c>
      <c r="D51" s="68">
        <v>120</v>
      </c>
      <c r="E51" s="34" t="s">
        <v>43</v>
      </c>
      <c r="F51" s="34" t="s">
        <v>90</v>
      </c>
      <c r="G51" s="35" t="s">
        <v>349</v>
      </c>
    </row>
    <row r="52" spans="1:7" x14ac:dyDescent="0.35">
      <c r="A52" s="76" t="s">
        <v>6</v>
      </c>
      <c r="B52" t="s">
        <v>350</v>
      </c>
      <c r="C52" s="82">
        <v>1</v>
      </c>
      <c r="D52" s="68">
        <v>151</v>
      </c>
      <c r="E52" s="34" t="s">
        <v>43</v>
      </c>
      <c r="F52" s="34" t="s">
        <v>91</v>
      </c>
      <c r="G52" s="35" t="s">
        <v>349</v>
      </c>
    </row>
    <row r="53" spans="1:7" x14ac:dyDescent="0.35">
      <c r="A53" s="76" t="s">
        <v>6</v>
      </c>
      <c r="B53" s="44" t="s">
        <v>142</v>
      </c>
      <c r="C53" s="82">
        <v>1</v>
      </c>
      <c r="D53" s="68">
        <v>120</v>
      </c>
      <c r="E53" s="34" t="s">
        <v>44</v>
      </c>
      <c r="F53" s="34" t="s">
        <v>90</v>
      </c>
      <c r="G53" s="35" t="s">
        <v>351</v>
      </c>
    </row>
    <row r="54" spans="1:7" x14ac:dyDescent="0.35">
      <c r="A54" s="76" t="s">
        <v>6</v>
      </c>
      <c r="B54" s="44" t="s">
        <v>142</v>
      </c>
      <c r="C54" s="82">
        <v>1</v>
      </c>
      <c r="D54" s="68">
        <v>151</v>
      </c>
      <c r="E54" s="34" t="s">
        <v>44</v>
      </c>
      <c r="F54" s="34" t="s">
        <v>91</v>
      </c>
      <c r="G54" s="35" t="s">
        <v>351</v>
      </c>
    </row>
    <row r="55" spans="1:7" x14ac:dyDescent="0.35">
      <c r="A55" s="76" t="s">
        <v>6</v>
      </c>
      <c r="B55" t="s">
        <v>211</v>
      </c>
      <c r="C55" s="82">
        <v>1</v>
      </c>
      <c r="D55" s="68">
        <v>120</v>
      </c>
      <c r="E55" s="34" t="s">
        <v>62</v>
      </c>
      <c r="F55" s="34" t="s">
        <v>90</v>
      </c>
      <c r="G55" s="35" t="s">
        <v>193</v>
      </c>
    </row>
    <row r="56" spans="1:7" x14ac:dyDescent="0.35">
      <c r="A56" s="76" t="s">
        <v>6</v>
      </c>
      <c r="B56" s="44" t="s">
        <v>219</v>
      </c>
      <c r="C56" s="82">
        <v>1</v>
      </c>
      <c r="D56" s="68">
        <v>120</v>
      </c>
      <c r="E56" s="34" t="s">
        <v>50</v>
      </c>
      <c r="F56" s="34" t="s">
        <v>90</v>
      </c>
      <c r="G56" s="35" t="s">
        <v>352</v>
      </c>
    </row>
    <row r="57" spans="1:7" x14ac:dyDescent="0.35">
      <c r="A57" s="76" t="s">
        <v>6</v>
      </c>
      <c r="B57" s="44" t="s">
        <v>219</v>
      </c>
      <c r="C57" s="82">
        <v>1</v>
      </c>
      <c r="D57" s="68">
        <v>120</v>
      </c>
      <c r="E57" s="34" t="s">
        <v>50</v>
      </c>
      <c r="F57" s="34" t="s">
        <v>90</v>
      </c>
      <c r="G57" s="35" t="s">
        <v>352</v>
      </c>
    </row>
    <row r="58" spans="1:7" x14ac:dyDescent="0.35">
      <c r="A58" s="76"/>
      <c r="B58" s="44"/>
      <c r="C58" s="34"/>
      <c r="D58" s="68"/>
      <c r="E58" s="34"/>
      <c r="F58" s="34"/>
      <c r="G58" s="35"/>
    </row>
    <row r="59" spans="1:7" x14ac:dyDescent="0.35">
      <c r="A59" s="76"/>
      <c r="B59" s="44"/>
      <c r="C59" s="34"/>
      <c r="D59" s="68"/>
      <c r="E59" s="34"/>
      <c r="F59" s="34"/>
      <c r="G59" s="35"/>
    </row>
    <row r="60" spans="1:7" x14ac:dyDescent="0.35">
      <c r="A60" s="76"/>
      <c r="B60" s="44"/>
      <c r="C60" s="34"/>
      <c r="D60" s="68"/>
      <c r="E60" s="34"/>
      <c r="F60" s="34"/>
      <c r="G60" s="35"/>
    </row>
    <row r="61" spans="1:7" x14ac:dyDescent="0.35">
      <c r="A61" s="76"/>
      <c r="B61" s="44"/>
      <c r="C61" s="34"/>
      <c r="D61" s="68"/>
      <c r="E61" s="34"/>
      <c r="F61" s="34"/>
      <c r="G61" s="35"/>
    </row>
    <row r="62" spans="1:7" x14ac:dyDescent="0.35">
      <c r="A62" s="76"/>
      <c r="B62" s="44"/>
      <c r="C62" s="34"/>
      <c r="D62" s="68"/>
      <c r="E62" s="34"/>
      <c r="F62" s="34"/>
      <c r="G62" s="35"/>
    </row>
  </sheetData>
  <protectedRanges>
    <protectedRange sqref="D9:D62" name="Amount_2"/>
  </protectedRanges>
  <autoFilter ref="A8:G57" xr:uid="{68755770-FFB3-4BED-BA00-BC51BE39E761}">
    <filterColumn colId="4">
      <filters>
        <filter val="2060000 - People &amp; Culture"/>
        <filter val="2070000 - Plant Fleet Services"/>
        <filter val="3020000 - Development Assessment"/>
        <filter val="3070000 - Health, Environment &amp; Waste - Admin"/>
        <filter val="3070000 - Health, Environment &amp; Waste - Waste"/>
        <filter val="4020000 - City Standards &amp; Animal Care"/>
        <filter val="6110000 - Water Service Delivery"/>
        <filter val="6130000 - Water Infrastructure Solutions"/>
        <filter val="HEW"/>
      </filters>
    </filterColumn>
  </autoFilter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5AAA544-76E9-4CAE-B040-6FC60E2D35F0}">
          <x14:formula1>
            <xm:f>'Lookup Values'!$A$2:$A$9</xm:f>
          </x14:formula1>
          <xm:sqref>F10:F62</xm:sqref>
        </x14:dataValidation>
        <x14:dataValidation type="list" allowBlank="1" showInputMessage="1" showErrorMessage="1" xr:uid="{912EDD3D-C94B-47BC-A77A-242FC3BE8AAD}">
          <x14:formula1>
            <xm:f>'Lookup Values'!$G$2:$G$35</xm:f>
          </x14:formula1>
          <xm:sqref>E10:E62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68ED4-8497-4B2D-8733-E1590A692CEB}">
  <sheetPr codeName="Sheet18"/>
  <dimension ref="A1:I12"/>
  <sheetViews>
    <sheetView workbookViewId="0">
      <selection activeCell="E19" sqref="E19"/>
    </sheetView>
  </sheetViews>
  <sheetFormatPr defaultColWidth="8.7265625" defaultRowHeight="14.5" x14ac:dyDescent="0.35"/>
  <cols>
    <col min="1" max="1" width="7.453125" customWidth="1"/>
    <col min="2" max="2" width="40.7265625" customWidth="1"/>
    <col min="3" max="3" width="15.26953125" bestFit="1" customWidth="1"/>
    <col min="4" max="4" width="14.26953125" bestFit="1" customWidth="1"/>
    <col min="5" max="5" width="8.453125" customWidth="1"/>
    <col min="6" max="6" width="17.7265625" bestFit="1" customWidth="1"/>
    <col min="7" max="7" width="12.7265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9" t="s">
        <v>73</v>
      </c>
      <c r="B4" s="44" t="s">
        <v>201</v>
      </c>
      <c r="C4" s="44" t="s">
        <v>159</v>
      </c>
      <c r="D4" t="s">
        <v>160</v>
      </c>
      <c r="E4">
        <v>1</v>
      </c>
      <c r="F4" s="81">
        <v>14</v>
      </c>
      <c r="G4" s="44" t="s">
        <v>56</v>
      </c>
      <c r="H4" s="44" t="s">
        <v>35</v>
      </c>
      <c r="I4" s="46" t="s">
        <v>112</v>
      </c>
    </row>
    <row r="5" spans="1:9" x14ac:dyDescent="0.35">
      <c r="A5" s="49" t="s">
        <v>73</v>
      </c>
      <c r="B5" s="44" t="s">
        <v>434</v>
      </c>
      <c r="C5" s="44" t="s">
        <v>159</v>
      </c>
      <c r="D5" t="s">
        <v>160</v>
      </c>
      <c r="E5">
        <v>1</v>
      </c>
      <c r="F5" s="81">
        <v>14</v>
      </c>
      <c r="G5" s="34" t="s">
        <v>56</v>
      </c>
      <c r="H5" s="34" t="s">
        <v>35</v>
      </c>
      <c r="I5" s="35" t="s">
        <v>99</v>
      </c>
    </row>
    <row r="6" spans="1:9" x14ac:dyDescent="0.35">
      <c r="A6" s="49" t="s">
        <v>73</v>
      </c>
      <c r="B6" s="44" t="s">
        <v>209</v>
      </c>
      <c r="C6" s="44" t="s">
        <v>159</v>
      </c>
      <c r="D6" t="s">
        <v>160</v>
      </c>
      <c r="E6">
        <v>1</v>
      </c>
      <c r="F6" s="81">
        <v>14</v>
      </c>
      <c r="G6" s="34" t="s">
        <v>56</v>
      </c>
      <c r="H6" s="34" t="s">
        <v>35</v>
      </c>
      <c r="I6" s="35" t="s">
        <v>314</v>
      </c>
    </row>
    <row r="7" spans="1:9" x14ac:dyDescent="0.35">
      <c r="A7" s="49" t="s">
        <v>73</v>
      </c>
      <c r="B7" s="44" t="s">
        <v>200</v>
      </c>
      <c r="C7" s="44" t="s">
        <v>159</v>
      </c>
      <c r="D7" t="s">
        <v>160</v>
      </c>
      <c r="E7">
        <v>1</v>
      </c>
      <c r="F7" s="81">
        <v>14</v>
      </c>
      <c r="G7" s="44" t="s">
        <v>56</v>
      </c>
      <c r="H7" s="34" t="s">
        <v>35</v>
      </c>
      <c r="I7" s="35" t="s">
        <v>120</v>
      </c>
    </row>
    <row r="8" spans="1:9" x14ac:dyDescent="0.35">
      <c r="A8" s="49" t="s">
        <v>73</v>
      </c>
      <c r="B8" s="44" t="s">
        <v>200</v>
      </c>
      <c r="C8" s="44" t="s">
        <v>159</v>
      </c>
      <c r="D8" t="s">
        <v>160</v>
      </c>
      <c r="E8">
        <v>1</v>
      </c>
      <c r="F8" s="68">
        <v>71.75</v>
      </c>
      <c r="G8" s="34" t="s">
        <v>56</v>
      </c>
      <c r="H8" s="34" t="s">
        <v>33</v>
      </c>
      <c r="I8" s="35" t="s">
        <v>112</v>
      </c>
    </row>
    <row r="9" spans="1:9" x14ac:dyDescent="0.35">
      <c r="A9" s="49" t="s">
        <v>73</v>
      </c>
      <c r="B9" s="44" t="s">
        <v>200</v>
      </c>
      <c r="C9" s="44" t="s">
        <v>159</v>
      </c>
      <c r="D9" t="s">
        <v>160</v>
      </c>
      <c r="E9">
        <v>1</v>
      </c>
      <c r="F9" s="68">
        <v>71.75</v>
      </c>
      <c r="G9" s="34" t="s">
        <v>56</v>
      </c>
      <c r="H9" s="34" t="s">
        <v>33</v>
      </c>
      <c r="I9" s="35" t="s">
        <v>122</v>
      </c>
    </row>
    <row r="10" spans="1:9" x14ac:dyDescent="0.35">
      <c r="A10" s="49" t="s">
        <v>73</v>
      </c>
      <c r="B10" s="44" t="s">
        <v>200</v>
      </c>
      <c r="C10" s="44" t="s">
        <v>159</v>
      </c>
      <c r="D10" t="s">
        <v>160</v>
      </c>
      <c r="E10">
        <v>1</v>
      </c>
      <c r="F10" s="68">
        <v>71.75</v>
      </c>
      <c r="G10" s="34" t="s">
        <v>56</v>
      </c>
      <c r="H10" s="34" t="s">
        <v>33</v>
      </c>
      <c r="I10" s="35" t="s">
        <v>313</v>
      </c>
    </row>
    <row r="11" spans="1:9" x14ac:dyDescent="0.35">
      <c r="A11" s="49" t="s">
        <v>73</v>
      </c>
      <c r="B11" s="44" t="s">
        <v>200</v>
      </c>
      <c r="C11" s="44" t="s">
        <v>159</v>
      </c>
      <c r="D11" t="s">
        <v>160</v>
      </c>
      <c r="E11">
        <v>1</v>
      </c>
      <c r="F11" s="68">
        <v>71.75</v>
      </c>
      <c r="G11" s="34" t="s">
        <v>56</v>
      </c>
      <c r="H11" s="34" t="s">
        <v>33</v>
      </c>
      <c r="I11" s="35" t="s">
        <v>366</v>
      </c>
    </row>
    <row r="12" spans="1:9" x14ac:dyDescent="0.35">
      <c r="A12" s="49"/>
      <c r="B12" s="44"/>
      <c r="C12" s="44"/>
      <c r="D12" s="44"/>
      <c r="E12" s="44"/>
      <c r="F12" s="60"/>
      <c r="G12" s="34"/>
      <c r="H12" s="27"/>
      <c r="I12" s="27"/>
    </row>
  </sheetData>
  <protectedRanges>
    <protectedRange sqref="F12" name="Amount_8"/>
    <protectedRange sqref="F4:F6" name="Amount_2_3"/>
    <protectedRange sqref="F7" name="Amount_2_4"/>
    <protectedRange sqref="F8" name="Amount_2_5"/>
    <protectedRange sqref="F9" name="Amount_2_6"/>
    <protectedRange sqref="F10" name="Amount_2_7"/>
    <protectedRange sqref="F11" name="Amount_2_8"/>
  </protectedRanges>
  <phoneticPr fontId="12" type="noConversion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9CD74D-1642-43F1-8DFA-E321D4ED2E49}">
          <x14:formula1>
            <xm:f>'Lookup Values'!$A$2:$A$9</xm:f>
          </x14:formula1>
          <xm:sqref>H4:H11</xm:sqref>
        </x14:dataValidation>
        <x14:dataValidation type="list" allowBlank="1" showInputMessage="1" showErrorMessage="1" xr:uid="{5D5A0054-3574-4E07-B74B-760FFFE773AC}">
          <x14:formula1>
            <xm:f>'Lookup Values'!$G$2:$G$35</xm:f>
          </x14:formula1>
          <xm:sqref>G4:G11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47EE5-ADB7-4B34-BD86-E23B4D568C4B}">
  <sheetPr codeName="Sheet19" filterMode="1"/>
  <dimension ref="A1:G67"/>
  <sheetViews>
    <sheetView zoomScale="70" zoomScaleNormal="70" workbookViewId="0">
      <selection activeCell="B3" sqref="B3"/>
    </sheetView>
  </sheetViews>
  <sheetFormatPr defaultColWidth="8.7265625" defaultRowHeight="14.5" x14ac:dyDescent="0.35"/>
  <cols>
    <col min="1" max="1" width="23.81640625" customWidth="1"/>
    <col min="2" max="2" width="20.7265625" customWidth="1"/>
    <col min="3" max="3" width="19.81640625" customWidth="1"/>
    <col min="4" max="4" width="23.1796875" customWidth="1"/>
    <col min="5" max="5" width="39.7265625" customWidth="1"/>
    <col min="6" max="6" width="40.7265625" customWidth="1"/>
    <col min="7" max="7" width="19" customWidth="1"/>
  </cols>
  <sheetData>
    <row r="1" spans="1:7" ht="26" x14ac:dyDescent="0.6">
      <c r="A1" s="4" t="s">
        <v>27</v>
      </c>
    </row>
    <row r="2" spans="1:7" ht="15" thickBot="1" x14ac:dyDescent="0.4"/>
    <row r="3" spans="1:7" x14ac:dyDescent="0.35">
      <c r="A3" s="6" t="s">
        <v>28</v>
      </c>
      <c r="B3" s="42" t="s">
        <v>437</v>
      </c>
    </row>
    <row r="4" spans="1:7" x14ac:dyDescent="0.35">
      <c r="A4" s="8" t="s">
        <v>29</v>
      </c>
      <c r="B4" s="9">
        <v>44650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77" t="s">
        <v>7</v>
      </c>
      <c r="C9" s="77">
        <f>IF(Table2429[[#This Row],[Journal Description (Service Description)]]="","",1)</f>
        <v>1</v>
      </c>
      <c r="D9" s="78">
        <f>-SUM(D10:D62)</f>
        <v>-5014.6499999999996</v>
      </c>
      <c r="E9" s="79" t="s">
        <v>12</v>
      </c>
      <c r="F9" s="79" t="s">
        <v>13</v>
      </c>
      <c r="G9" s="80">
        <v>44562</v>
      </c>
    </row>
    <row r="10" spans="1:7" hidden="1" x14ac:dyDescent="0.35">
      <c r="A10" s="76" t="s">
        <v>6</v>
      </c>
      <c r="B10" s="44" t="s">
        <v>74</v>
      </c>
      <c r="C10" s="77">
        <v>1</v>
      </c>
      <c r="D10" s="81">
        <v>14</v>
      </c>
      <c r="E10" s="44" t="s">
        <v>56</v>
      </c>
      <c r="F10" s="44" t="s">
        <v>35</v>
      </c>
      <c r="G10" s="46" t="s">
        <v>112</v>
      </c>
    </row>
    <row r="11" spans="1:7" hidden="1" x14ac:dyDescent="0.35">
      <c r="A11" s="76" t="s">
        <v>6</v>
      </c>
      <c r="B11" s="44" t="s">
        <v>353</v>
      </c>
      <c r="C11" s="77">
        <v>1</v>
      </c>
      <c r="D11" s="81">
        <v>14</v>
      </c>
      <c r="E11" s="34" t="s">
        <v>56</v>
      </c>
      <c r="F11" s="34" t="s">
        <v>35</v>
      </c>
      <c r="G11" s="35" t="s">
        <v>99</v>
      </c>
    </row>
    <row r="12" spans="1:7" hidden="1" x14ac:dyDescent="0.35">
      <c r="A12" s="76" t="s">
        <v>6</v>
      </c>
      <c r="B12" s="44" t="s">
        <v>165</v>
      </c>
      <c r="C12" s="77">
        <v>1</v>
      </c>
      <c r="D12" s="81">
        <v>14</v>
      </c>
      <c r="E12" s="34" t="s">
        <v>56</v>
      </c>
      <c r="F12" s="34" t="s">
        <v>35</v>
      </c>
      <c r="G12" s="35" t="s">
        <v>314</v>
      </c>
    </row>
    <row r="13" spans="1:7" x14ac:dyDescent="0.35">
      <c r="A13" s="76" t="s">
        <v>6</v>
      </c>
      <c r="B13" s="44" t="s">
        <v>206</v>
      </c>
      <c r="C13" s="77">
        <v>1</v>
      </c>
      <c r="D13" s="81">
        <v>25</v>
      </c>
      <c r="E13" s="34" t="s">
        <v>63</v>
      </c>
      <c r="F13" s="34" t="s">
        <v>36</v>
      </c>
      <c r="G13" s="35" t="s">
        <v>354</v>
      </c>
    </row>
    <row r="14" spans="1:7" x14ac:dyDescent="0.35">
      <c r="A14" s="76" t="s">
        <v>6</v>
      </c>
      <c r="B14" s="44" t="s">
        <v>435</v>
      </c>
      <c r="C14" s="77">
        <v>1</v>
      </c>
      <c r="D14" s="81">
        <v>14</v>
      </c>
      <c r="E14" s="34" t="s">
        <v>62</v>
      </c>
      <c r="F14" s="34" t="s">
        <v>35</v>
      </c>
      <c r="G14" s="35" t="s">
        <v>229</v>
      </c>
    </row>
    <row r="15" spans="1:7" hidden="1" x14ac:dyDescent="0.35">
      <c r="A15" s="76" t="s">
        <v>6</v>
      </c>
      <c r="B15" s="44" t="s">
        <v>164</v>
      </c>
      <c r="C15" s="77">
        <v>1</v>
      </c>
      <c r="D15" s="81">
        <v>14</v>
      </c>
      <c r="E15" s="44" t="s">
        <v>56</v>
      </c>
      <c r="F15" s="34" t="s">
        <v>35</v>
      </c>
      <c r="G15" s="35" t="s">
        <v>120</v>
      </c>
    </row>
    <row r="16" spans="1:7" x14ac:dyDescent="0.35">
      <c r="A16" s="76" t="s">
        <v>6</v>
      </c>
      <c r="B16" s="83" t="s">
        <v>154</v>
      </c>
      <c r="C16" s="77">
        <v>1</v>
      </c>
      <c r="D16" s="81">
        <v>132</v>
      </c>
      <c r="E16" s="44" t="s">
        <v>50</v>
      </c>
      <c r="F16" s="34" t="s">
        <v>90</v>
      </c>
      <c r="G16" s="35" t="s">
        <v>355</v>
      </c>
    </row>
    <row r="17" spans="1:7" x14ac:dyDescent="0.35">
      <c r="A17" s="76" t="s">
        <v>6</v>
      </c>
      <c r="B17" s="83" t="s">
        <v>154</v>
      </c>
      <c r="C17" s="77">
        <v>1</v>
      </c>
      <c r="D17" s="24">
        <v>166.1</v>
      </c>
      <c r="E17" s="44" t="s">
        <v>50</v>
      </c>
      <c r="F17" s="34" t="s">
        <v>91</v>
      </c>
      <c r="G17" s="35" t="s">
        <v>355</v>
      </c>
    </row>
    <row r="18" spans="1:7" x14ac:dyDescent="0.35">
      <c r="A18" s="76" t="s">
        <v>6</v>
      </c>
      <c r="B18" s="83" t="s">
        <v>154</v>
      </c>
      <c r="C18" s="77">
        <v>1</v>
      </c>
      <c r="D18" s="81">
        <v>71.75</v>
      </c>
      <c r="E18" s="44" t="s">
        <v>50</v>
      </c>
      <c r="F18" s="34" t="s">
        <v>33</v>
      </c>
      <c r="G18" s="35" t="s">
        <v>355</v>
      </c>
    </row>
    <row r="19" spans="1:7" x14ac:dyDescent="0.35">
      <c r="A19" s="76" t="s">
        <v>6</v>
      </c>
      <c r="B19" s="83" t="s">
        <v>154</v>
      </c>
      <c r="C19" s="77">
        <v>1</v>
      </c>
      <c r="D19" s="24">
        <v>166.1</v>
      </c>
      <c r="E19" s="44" t="s">
        <v>50</v>
      </c>
      <c r="F19" s="34" t="s">
        <v>91</v>
      </c>
      <c r="G19" s="35" t="s">
        <v>352</v>
      </c>
    </row>
    <row r="20" spans="1:7" x14ac:dyDescent="0.35">
      <c r="A20" s="76" t="s">
        <v>6</v>
      </c>
      <c r="B20" s="83" t="s">
        <v>154</v>
      </c>
      <c r="C20" s="77">
        <v>1</v>
      </c>
      <c r="D20" s="68">
        <v>71.75</v>
      </c>
      <c r="E20" s="44" t="s">
        <v>50</v>
      </c>
      <c r="F20" s="34" t="s">
        <v>33</v>
      </c>
      <c r="G20" s="35" t="s">
        <v>352</v>
      </c>
    </row>
    <row r="21" spans="1:7" x14ac:dyDescent="0.35">
      <c r="A21" s="76" t="s">
        <v>6</v>
      </c>
      <c r="B21" s="44" t="s">
        <v>142</v>
      </c>
      <c r="C21" s="77">
        <v>1</v>
      </c>
      <c r="D21" s="81">
        <v>132</v>
      </c>
      <c r="E21" s="34" t="s">
        <v>44</v>
      </c>
      <c r="F21" s="34" t="s">
        <v>90</v>
      </c>
      <c r="G21" s="35" t="s">
        <v>356</v>
      </c>
    </row>
    <row r="22" spans="1:7" x14ac:dyDescent="0.35">
      <c r="A22" s="76" t="s">
        <v>6</v>
      </c>
      <c r="B22" s="44" t="s">
        <v>142</v>
      </c>
      <c r="C22" s="77">
        <v>1</v>
      </c>
      <c r="D22" s="24">
        <v>166.1</v>
      </c>
      <c r="E22" s="34" t="s">
        <v>44</v>
      </c>
      <c r="F22" s="34" t="s">
        <v>91</v>
      </c>
      <c r="G22" s="35" t="s">
        <v>356</v>
      </c>
    </row>
    <row r="23" spans="1:7" x14ac:dyDescent="0.35">
      <c r="A23" s="76" t="s">
        <v>6</v>
      </c>
      <c r="B23" s="44" t="s">
        <v>142</v>
      </c>
      <c r="C23" s="77">
        <v>1</v>
      </c>
      <c r="D23" s="68">
        <v>71.75</v>
      </c>
      <c r="E23" s="34" t="s">
        <v>44</v>
      </c>
      <c r="F23" s="34" t="s">
        <v>33</v>
      </c>
      <c r="G23" s="35" t="s">
        <v>356</v>
      </c>
    </row>
    <row r="24" spans="1:7" x14ac:dyDescent="0.35">
      <c r="A24" s="76" t="s">
        <v>6</v>
      </c>
      <c r="B24" s="44" t="s">
        <v>142</v>
      </c>
      <c r="C24" s="77">
        <v>1</v>
      </c>
      <c r="D24" s="81">
        <v>132</v>
      </c>
      <c r="E24" s="34" t="s">
        <v>44</v>
      </c>
      <c r="F24" s="34" t="s">
        <v>90</v>
      </c>
      <c r="G24" s="35" t="s">
        <v>357</v>
      </c>
    </row>
    <row r="25" spans="1:7" x14ac:dyDescent="0.35">
      <c r="A25" s="76" t="s">
        <v>6</v>
      </c>
      <c r="B25" s="44" t="s">
        <v>142</v>
      </c>
      <c r="C25" s="77">
        <v>1</v>
      </c>
      <c r="D25" s="24">
        <v>166.1</v>
      </c>
      <c r="E25" s="34" t="s">
        <v>44</v>
      </c>
      <c r="F25" s="34" t="s">
        <v>91</v>
      </c>
      <c r="G25" s="35" t="s">
        <v>357</v>
      </c>
    </row>
    <row r="26" spans="1:7" x14ac:dyDescent="0.35">
      <c r="A26" s="76" t="s">
        <v>6</v>
      </c>
      <c r="B26" s="44" t="s">
        <v>142</v>
      </c>
      <c r="C26" s="77">
        <v>1</v>
      </c>
      <c r="D26" s="68">
        <v>71.75</v>
      </c>
      <c r="E26" s="34" t="s">
        <v>44</v>
      </c>
      <c r="F26" s="34" t="s">
        <v>33</v>
      </c>
      <c r="G26" s="35" t="s">
        <v>357</v>
      </c>
    </row>
    <row r="27" spans="1:7" x14ac:dyDescent="0.35">
      <c r="A27" s="76" t="s">
        <v>6</v>
      </c>
      <c r="B27" s="44" t="s">
        <v>142</v>
      </c>
      <c r="C27" s="77">
        <v>1</v>
      </c>
      <c r="D27" s="68">
        <v>132</v>
      </c>
      <c r="E27" s="34" t="s">
        <v>44</v>
      </c>
      <c r="F27" s="34" t="s">
        <v>90</v>
      </c>
      <c r="G27" s="35" t="s">
        <v>358</v>
      </c>
    </row>
    <row r="28" spans="1:7" x14ac:dyDescent="0.35">
      <c r="A28" s="76" t="s">
        <v>6</v>
      </c>
      <c r="B28" s="44" t="s">
        <v>142</v>
      </c>
      <c r="C28" s="77">
        <v>1</v>
      </c>
      <c r="D28" s="24">
        <v>166.1</v>
      </c>
      <c r="E28" s="34" t="s">
        <v>44</v>
      </c>
      <c r="F28" s="34" t="s">
        <v>91</v>
      </c>
      <c r="G28" s="35" t="s">
        <v>358</v>
      </c>
    </row>
    <row r="29" spans="1:7" x14ac:dyDescent="0.35">
      <c r="A29" s="76" t="s">
        <v>6</v>
      </c>
      <c r="B29" s="44" t="s">
        <v>142</v>
      </c>
      <c r="C29" s="77">
        <v>1</v>
      </c>
      <c r="D29" s="68">
        <v>71.75</v>
      </c>
      <c r="E29" s="34" t="s">
        <v>44</v>
      </c>
      <c r="F29" s="34" t="s">
        <v>33</v>
      </c>
      <c r="G29" s="35" t="s">
        <v>358</v>
      </c>
    </row>
    <row r="30" spans="1:7" x14ac:dyDescent="0.35">
      <c r="A30" s="76" t="s">
        <v>6</v>
      </c>
      <c r="B30" s="44" t="s">
        <v>142</v>
      </c>
      <c r="C30" s="77">
        <v>1</v>
      </c>
      <c r="D30" s="68">
        <v>132</v>
      </c>
      <c r="E30" s="34" t="s">
        <v>44</v>
      </c>
      <c r="F30" s="34" t="s">
        <v>90</v>
      </c>
      <c r="G30" s="35" t="s">
        <v>359</v>
      </c>
    </row>
    <row r="31" spans="1:7" x14ac:dyDescent="0.35">
      <c r="A31" s="76" t="s">
        <v>6</v>
      </c>
      <c r="B31" s="44" t="s">
        <v>142</v>
      </c>
      <c r="C31" s="77">
        <v>1</v>
      </c>
      <c r="D31" s="24">
        <v>166.1</v>
      </c>
      <c r="E31" s="34" t="s">
        <v>44</v>
      </c>
      <c r="F31" s="34" t="s">
        <v>91</v>
      </c>
      <c r="G31" s="35" t="s">
        <v>359</v>
      </c>
    </row>
    <row r="32" spans="1:7" x14ac:dyDescent="0.35">
      <c r="A32" s="76" t="s">
        <v>6</v>
      </c>
      <c r="B32" s="44" t="s">
        <v>142</v>
      </c>
      <c r="C32" s="77">
        <v>1</v>
      </c>
      <c r="D32" s="68">
        <v>71.75</v>
      </c>
      <c r="E32" s="34" t="s">
        <v>44</v>
      </c>
      <c r="F32" s="34" t="s">
        <v>33</v>
      </c>
      <c r="G32" s="35" t="s">
        <v>359</v>
      </c>
    </row>
    <row r="33" spans="1:7" x14ac:dyDescent="0.35">
      <c r="A33" s="76" t="s">
        <v>6</v>
      </c>
      <c r="B33" s="44" t="s">
        <v>142</v>
      </c>
      <c r="C33" s="77">
        <v>1</v>
      </c>
      <c r="D33" s="68">
        <v>132</v>
      </c>
      <c r="E33" s="34" t="s">
        <v>44</v>
      </c>
      <c r="F33" s="34" t="s">
        <v>90</v>
      </c>
      <c r="G33" s="35" t="s">
        <v>311</v>
      </c>
    </row>
    <row r="34" spans="1:7" x14ac:dyDescent="0.35">
      <c r="A34" s="76" t="s">
        <v>6</v>
      </c>
      <c r="B34" s="44" t="s">
        <v>142</v>
      </c>
      <c r="C34" s="77">
        <v>1</v>
      </c>
      <c r="D34" s="24">
        <v>166.1</v>
      </c>
      <c r="E34" s="34" t="s">
        <v>44</v>
      </c>
      <c r="F34" s="34" t="s">
        <v>91</v>
      </c>
      <c r="G34" s="35" t="s">
        <v>311</v>
      </c>
    </row>
    <row r="35" spans="1:7" x14ac:dyDescent="0.35">
      <c r="A35" s="76" t="s">
        <v>6</v>
      </c>
      <c r="B35" s="44" t="s">
        <v>142</v>
      </c>
      <c r="C35" s="77">
        <v>1</v>
      </c>
      <c r="D35" s="68">
        <v>71.75</v>
      </c>
      <c r="E35" s="34" t="s">
        <v>44</v>
      </c>
      <c r="F35" s="34" t="s">
        <v>33</v>
      </c>
      <c r="G35" s="35" t="s">
        <v>311</v>
      </c>
    </row>
    <row r="36" spans="1:7" x14ac:dyDescent="0.35">
      <c r="A36" s="76" t="s">
        <v>6</v>
      </c>
      <c r="B36" s="44" t="s">
        <v>142</v>
      </c>
      <c r="C36" s="77">
        <v>1</v>
      </c>
      <c r="D36" s="68">
        <v>132</v>
      </c>
      <c r="E36" s="34" t="s">
        <v>44</v>
      </c>
      <c r="F36" s="34" t="s">
        <v>90</v>
      </c>
      <c r="G36" s="35" t="s">
        <v>312</v>
      </c>
    </row>
    <row r="37" spans="1:7" x14ac:dyDescent="0.35">
      <c r="A37" s="76" t="s">
        <v>6</v>
      </c>
      <c r="B37" s="44" t="s">
        <v>142</v>
      </c>
      <c r="C37" s="77">
        <v>1</v>
      </c>
      <c r="D37" s="24">
        <v>166.1</v>
      </c>
      <c r="E37" s="34" t="s">
        <v>44</v>
      </c>
      <c r="F37" s="34" t="s">
        <v>91</v>
      </c>
      <c r="G37" s="35" t="s">
        <v>312</v>
      </c>
    </row>
    <row r="38" spans="1:7" x14ac:dyDescent="0.35">
      <c r="A38" s="76" t="s">
        <v>6</v>
      </c>
      <c r="B38" s="44" t="s">
        <v>142</v>
      </c>
      <c r="C38" s="77">
        <v>1</v>
      </c>
      <c r="D38" s="68">
        <v>71.75</v>
      </c>
      <c r="E38" s="34" t="s">
        <v>44</v>
      </c>
      <c r="F38" s="34" t="s">
        <v>33</v>
      </c>
      <c r="G38" s="35" t="s">
        <v>312</v>
      </c>
    </row>
    <row r="39" spans="1:7" x14ac:dyDescent="0.35">
      <c r="A39" s="76" t="s">
        <v>6</v>
      </c>
      <c r="B39" s="44" t="s">
        <v>142</v>
      </c>
      <c r="C39" s="77">
        <v>1</v>
      </c>
      <c r="D39" s="68">
        <v>132</v>
      </c>
      <c r="E39" s="34" t="s">
        <v>44</v>
      </c>
      <c r="F39" s="34" t="s">
        <v>90</v>
      </c>
      <c r="G39" s="35" t="s">
        <v>340</v>
      </c>
    </row>
    <row r="40" spans="1:7" x14ac:dyDescent="0.35">
      <c r="A40" s="76" t="s">
        <v>6</v>
      </c>
      <c r="B40" s="44" t="s">
        <v>142</v>
      </c>
      <c r="C40" s="77">
        <v>1</v>
      </c>
      <c r="D40" s="68">
        <v>151</v>
      </c>
      <c r="E40" s="34" t="s">
        <v>44</v>
      </c>
      <c r="F40" s="34" t="s">
        <v>91</v>
      </c>
      <c r="G40" s="35" t="s">
        <v>340</v>
      </c>
    </row>
    <row r="41" spans="1:7" x14ac:dyDescent="0.35">
      <c r="A41" s="76" t="s">
        <v>6</v>
      </c>
      <c r="B41" s="44" t="s">
        <v>142</v>
      </c>
      <c r="C41" s="77">
        <v>2</v>
      </c>
      <c r="D41" s="68">
        <v>143.5</v>
      </c>
      <c r="E41" s="34" t="s">
        <v>44</v>
      </c>
      <c r="F41" s="34" t="s">
        <v>33</v>
      </c>
      <c r="G41" s="35" t="s">
        <v>340</v>
      </c>
    </row>
    <row r="42" spans="1:7" ht="16.5" customHeight="1" x14ac:dyDescent="0.35">
      <c r="A42" s="76" t="s">
        <v>6</v>
      </c>
      <c r="B42" s="44" t="s">
        <v>350</v>
      </c>
      <c r="C42" s="82">
        <v>1</v>
      </c>
      <c r="D42" s="68">
        <v>132</v>
      </c>
      <c r="E42" s="34" t="s">
        <v>43</v>
      </c>
      <c r="F42" s="34" t="s">
        <v>90</v>
      </c>
      <c r="G42" s="35" t="s">
        <v>360</v>
      </c>
    </row>
    <row r="43" spans="1:7" x14ac:dyDescent="0.35">
      <c r="A43" s="76" t="s">
        <v>6</v>
      </c>
      <c r="B43" s="44" t="s">
        <v>350</v>
      </c>
      <c r="C43" s="82">
        <v>1</v>
      </c>
      <c r="D43" s="68">
        <v>71.75</v>
      </c>
      <c r="E43" s="34" t="s">
        <v>43</v>
      </c>
      <c r="F43" s="34" t="s">
        <v>33</v>
      </c>
      <c r="G43" s="35" t="s">
        <v>360</v>
      </c>
    </row>
    <row r="44" spans="1:7" x14ac:dyDescent="0.35">
      <c r="A44" s="76" t="s">
        <v>6</v>
      </c>
      <c r="B44" s="44" t="s">
        <v>211</v>
      </c>
      <c r="C44" s="82">
        <v>1</v>
      </c>
      <c r="D44" s="24">
        <v>166.1</v>
      </c>
      <c r="E44" s="34" t="s">
        <v>62</v>
      </c>
      <c r="F44" s="34" t="s">
        <v>91</v>
      </c>
      <c r="G44" s="35" t="s">
        <v>193</v>
      </c>
    </row>
    <row r="45" spans="1:7" x14ac:dyDescent="0.35">
      <c r="A45" s="76" t="s">
        <v>6</v>
      </c>
      <c r="B45" s="44" t="s">
        <v>211</v>
      </c>
      <c r="C45" s="82">
        <v>1</v>
      </c>
      <c r="D45" s="68">
        <v>71.75</v>
      </c>
      <c r="E45" s="34" t="s">
        <v>62</v>
      </c>
      <c r="F45" s="34" t="s">
        <v>33</v>
      </c>
      <c r="G45" s="35" t="s">
        <v>193</v>
      </c>
    </row>
    <row r="46" spans="1:7" x14ac:dyDescent="0.35">
      <c r="A46" s="76" t="s">
        <v>6</v>
      </c>
      <c r="B46" s="34" t="s">
        <v>143</v>
      </c>
      <c r="C46" s="82">
        <v>1</v>
      </c>
      <c r="D46" s="68">
        <v>71.75</v>
      </c>
      <c r="E46" s="34" t="s">
        <v>50</v>
      </c>
      <c r="F46" s="34" t="s">
        <v>33</v>
      </c>
      <c r="G46" s="35" t="s">
        <v>348</v>
      </c>
    </row>
    <row r="47" spans="1:7" x14ac:dyDescent="0.35">
      <c r="A47" s="76" t="s">
        <v>6</v>
      </c>
      <c r="B47" s="44" t="s">
        <v>304</v>
      </c>
      <c r="C47" s="82">
        <v>1</v>
      </c>
      <c r="D47" s="68">
        <v>71.75</v>
      </c>
      <c r="E47" s="34" t="s">
        <v>52</v>
      </c>
      <c r="F47" s="34" t="s">
        <v>33</v>
      </c>
      <c r="G47" s="35" t="s">
        <v>361</v>
      </c>
    </row>
    <row r="48" spans="1:7" x14ac:dyDescent="0.35">
      <c r="A48" s="76" t="s">
        <v>6</v>
      </c>
      <c r="B48" s="44" t="s">
        <v>86</v>
      </c>
      <c r="C48" s="77">
        <v>1</v>
      </c>
      <c r="D48" s="68">
        <v>71.75</v>
      </c>
      <c r="E48" s="34" t="s">
        <v>47</v>
      </c>
      <c r="F48" s="34" t="s">
        <v>33</v>
      </c>
      <c r="G48" s="35" t="s">
        <v>172</v>
      </c>
    </row>
    <row r="49" spans="1:7" x14ac:dyDescent="0.35">
      <c r="A49" s="76" t="s">
        <v>6</v>
      </c>
      <c r="B49" s="44" t="s">
        <v>244</v>
      </c>
      <c r="C49" s="77">
        <v>1</v>
      </c>
      <c r="D49" s="68">
        <v>71.75</v>
      </c>
      <c r="E49" s="34" t="s">
        <v>64</v>
      </c>
      <c r="F49" s="34" t="s">
        <v>33</v>
      </c>
      <c r="G49" s="35" t="s">
        <v>138</v>
      </c>
    </row>
    <row r="50" spans="1:7" x14ac:dyDescent="0.35">
      <c r="A50" s="76" t="s">
        <v>6</v>
      </c>
      <c r="B50" s="44" t="s">
        <v>244</v>
      </c>
      <c r="C50" s="77">
        <v>1</v>
      </c>
      <c r="D50" s="68">
        <v>71.75</v>
      </c>
      <c r="E50" s="34" t="s">
        <v>64</v>
      </c>
      <c r="F50" s="34" t="s">
        <v>33</v>
      </c>
      <c r="G50" s="35" t="s">
        <v>289</v>
      </c>
    </row>
    <row r="51" spans="1:7" x14ac:dyDescent="0.35">
      <c r="A51" s="76" t="s">
        <v>6</v>
      </c>
      <c r="B51" s="44" t="s">
        <v>206</v>
      </c>
      <c r="C51" s="77">
        <v>1</v>
      </c>
      <c r="D51" s="68">
        <v>71.75</v>
      </c>
      <c r="E51" s="34" t="s">
        <v>62</v>
      </c>
      <c r="F51" s="34" t="s">
        <v>33</v>
      </c>
      <c r="G51" s="35" t="s">
        <v>362</v>
      </c>
    </row>
    <row r="52" spans="1:7" hidden="1" x14ac:dyDescent="0.35">
      <c r="A52" s="76" t="s">
        <v>6</v>
      </c>
      <c r="B52" s="44" t="s">
        <v>164</v>
      </c>
      <c r="C52" s="77">
        <v>1</v>
      </c>
      <c r="D52" s="68">
        <v>71.75</v>
      </c>
      <c r="E52" s="34" t="s">
        <v>56</v>
      </c>
      <c r="F52" s="34" t="s">
        <v>33</v>
      </c>
      <c r="G52" s="35" t="s">
        <v>112</v>
      </c>
    </row>
    <row r="53" spans="1:7" x14ac:dyDescent="0.35">
      <c r="A53" s="76" t="s">
        <v>6</v>
      </c>
      <c r="B53" s="44" t="s">
        <v>86</v>
      </c>
      <c r="C53" s="77">
        <v>1</v>
      </c>
      <c r="D53" s="68">
        <v>71.75</v>
      </c>
      <c r="E53" s="34" t="s">
        <v>47</v>
      </c>
      <c r="F53" s="34" t="s">
        <v>33</v>
      </c>
      <c r="G53" s="35" t="s">
        <v>363</v>
      </c>
    </row>
    <row r="54" spans="1:7" hidden="1" x14ac:dyDescent="0.35">
      <c r="A54" s="76" t="s">
        <v>6</v>
      </c>
      <c r="B54" s="44" t="s">
        <v>164</v>
      </c>
      <c r="C54" s="77">
        <v>1</v>
      </c>
      <c r="D54" s="68">
        <v>71.75</v>
      </c>
      <c r="E54" s="34" t="s">
        <v>56</v>
      </c>
      <c r="F54" s="34" t="s">
        <v>33</v>
      </c>
      <c r="G54" s="35" t="s">
        <v>122</v>
      </c>
    </row>
    <row r="55" spans="1:7" x14ac:dyDescent="0.35">
      <c r="A55" s="76" t="s">
        <v>6</v>
      </c>
      <c r="B55" s="44" t="s">
        <v>86</v>
      </c>
      <c r="C55" s="77">
        <v>1</v>
      </c>
      <c r="D55" s="68">
        <v>71.75</v>
      </c>
      <c r="E55" s="34" t="s">
        <v>47</v>
      </c>
      <c r="F55" s="34" t="s">
        <v>33</v>
      </c>
      <c r="G55" s="35" t="s">
        <v>364</v>
      </c>
    </row>
    <row r="56" spans="1:7" hidden="1" x14ac:dyDescent="0.35">
      <c r="A56" s="76" t="s">
        <v>6</v>
      </c>
      <c r="B56" s="44" t="s">
        <v>164</v>
      </c>
      <c r="C56" s="77">
        <v>1</v>
      </c>
      <c r="D56" s="68">
        <v>71.75</v>
      </c>
      <c r="E56" s="34" t="s">
        <v>56</v>
      </c>
      <c r="F56" s="34" t="s">
        <v>33</v>
      </c>
      <c r="G56" s="35" t="s">
        <v>313</v>
      </c>
    </row>
    <row r="57" spans="1:7" x14ac:dyDescent="0.35">
      <c r="A57" s="76" t="s">
        <v>6</v>
      </c>
      <c r="B57" s="44" t="s">
        <v>206</v>
      </c>
      <c r="C57" s="77">
        <v>1</v>
      </c>
      <c r="D57" s="68">
        <v>71.75</v>
      </c>
      <c r="E57" s="34" t="s">
        <v>63</v>
      </c>
      <c r="F57" s="34" t="s">
        <v>33</v>
      </c>
      <c r="G57" s="35" t="s">
        <v>365</v>
      </c>
    </row>
    <row r="58" spans="1:7" hidden="1" x14ac:dyDescent="0.35">
      <c r="A58" s="76" t="s">
        <v>6</v>
      </c>
      <c r="B58" s="44" t="s">
        <v>164</v>
      </c>
      <c r="C58" s="77">
        <v>1</v>
      </c>
      <c r="D58" s="68">
        <v>71.75</v>
      </c>
      <c r="E58" s="34" t="s">
        <v>56</v>
      </c>
      <c r="F58" s="34" t="s">
        <v>33</v>
      </c>
      <c r="G58" s="35" t="s">
        <v>366</v>
      </c>
    </row>
    <row r="59" spans="1:7" x14ac:dyDescent="0.35">
      <c r="A59" s="76" t="s">
        <v>6</v>
      </c>
      <c r="B59" s="44" t="s">
        <v>142</v>
      </c>
      <c r="C59" s="82">
        <v>1</v>
      </c>
      <c r="D59" s="68">
        <v>71.75</v>
      </c>
      <c r="E59" s="34" t="s">
        <v>44</v>
      </c>
      <c r="F59" s="34" t="s">
        <v>33</v>
      </c>
      <c r="G59" s="35" t="s">
        <v>367</v>
      </c>
    </row>
    <row r="60" spans="1:7" x14ac:dyDescent="0.35">
      <c r="A60" s="76" t="s">
        <v>6</v>
      </c>
      <c r="B60" s="44" t="s">
        <v>72</v>
      </c>
      <c r="C60" s="82">
        <v>1</v>
      </c>
      <c r="D60" s="68">
        <v>72.75</v>
      </c>
      <c r="E60" s="34" t="s">
        <v>82</v>
      </c>
      <c r="F60" s="34" t="s">
        <v>33</v>
      </c>
      <c r="G60" s="35" t="s">
        <v>368</v>
      </c>
    </row>
    <row r="61" spans="1:7" x14ac:dyDescent="0.35">
      <c r="A61" s="76" t="s">
        <v>6</v>
      </c>
      <c r="B61" s="44" t="s">
        <v>72</v>
      </c>
      <c r="C61" s="82">
        <v>1</v>
      </c>
      <c r="D61" s="68">
        <v>73.75</v>
      </c>
      <c r="E61" s="34" t="s">
        <v>82</v>
      </c>
      <c r="F61" s="34" t="s">
        <v>33</v>
      </c>
      <c r="G61" s="35" t="s">
        <v>369</v>
      </c>
    </row>
    <row r="62" spans="1:7" x14ac:dyDescent="0.35">
      <c r="A62" s="76" t="s">
        <v>6</v>
      </c>
      <c r="B62" s="44" t="s">
        <v>72</v>
      </c>
      <c r="C62" s="82">
        <v>1</v>
      </c>
      <c r="D62" s="68">
        <v>73.75</v>
      </c>
      <c r="E62" s="34" t="s">
        <v>82</v>
      </c>
      <c r="F62" s="34" t="s">
        <v>33</v>
      </c>
      <c r="G62" s="35" t="s">
        <v>336</v>
      </c>
    </row>
    <row r="63" spans="1:7" x14ac:dyDescent="0.35">
      <c r="A63" s="76"/>
      <c r="B63" s="44"/>
      <c r="C63" s="34"/>
      <c r="D63" s="68"/>
      <c r="E63" s="34"/>
      <c r="F63" s="34"/>
      <c r="G63" s="35"/>
    </row>
    <row r="64" spans="1:7" x14ac:dyDescent="0.35">
      <c r="A64" s="76"/>
      <c r="B64" s="44"/>
      <c r="C64" s="34"/>
      <c r="D64" s="68"/>
      <c r="E64" s="34"/>
      <c r="F64" s="34"/>
      <c r="G64" s="35"/>
    </row>
    <row r="65" spans="1:7" x14ac:dyDescent="0.35">
      <c r="A65" s="76"/>
      <c r="B65" s="44"/>
      <c r="C65" s="34"/>
      <c r="D65" s="68"/>
      <c r="E65" s="34"/>
      <c r="F65" s="34"/>
      <c r="G65" s="35"/>
    </row>
    <row r="66" spans="1:7" x14ac:dyDescent="0.35">
      <c r="A66" s="76"/>
      <c r="B66" s="44"/>
      <c r="C66" s="34"/>
      <c r="D66" s="68"/>
      <c r="E66" s="34"/>
      <c r="F66" s="34"/>
      <c r="G66" s="35"/>
    </row>
    <row r="67" spans="1:7" x14ac:dyDescent="0.35">
      <c r="A67" s="76"/>
      <c r="B67" s="44"/>
      <c r="C67" s="34"/>
      <c r="D67" s="68"/>
      <c r="E67" s="34"/>
      <c r="F67" s="34"/>
      <c r="G67" s="35"/>
    </row>
  </sheetData>
  <protectedRanges>
    <protectedRange sqref="D9:D67" name="Amount_2"/>
  </protectedRanges>
  <autoFilter ref="A8:G62" xr:uid="{C8B47EE5-ADB7-4B34-BD86-E23B4D568C4B}">
    <filterColumn colId="4">
      <filters>
        <filter val="2060000 - People &amp; Culture"/>
        <filter val="2070000 - Plant Fleet Services"/>
        <filter val="3020000 - Development Assessment"/>
        <filter val="3070000 - Health, Environment &amp; Waste - Waste"/>
        <filter val="4020000 - City Standards &amp; Animal Care"/>
        <filter val="4050000 - Sport, Leisure &amp; Facilities"/>
        <filter val="6110000 - Water Service Delivery"/>
        <filter val="6120000 - Water Service Performance"/>
        <filter val="6130000 - Water Infrastructure Solutions"/>
        <filter val="HEW"/>
      </filters>
    </filterColumn>
  </autoFilter>
  <phoneticPr fontId="12" type="noConversion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2AF107E7-96FD-4533-9E7B-1A807613EF71}">
          <x14:formula1>
            <xm:f>'Lookup Values'!$A$2:$A$9</xm:f>
          </x14:formula1>
          <xm:sqref>F10:F67</xm:sqref>
        </x14:dataValidation>
        <x14:dataValidation type="list" allowBlank="1" showInputMessage="1" showErrorMessage="1" xr:uid="{54CC3E0C-BD5F-4847-8B9C-30DC703010A9}">
          <x14:formula1>
            <xm:f>'Lookup Values'!$G$2:$G$35</xm:f>
          </x14:formula1>
          <xm:sqref>E10:E67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BE0BC-9EC0-42F4-A0FC-E18680AAB6D5}">
  <sheetPr codeName="Sheet20"/>
  <dimension ref="A1:I17"/>
  <sheetViews>
    <sheetView topLeftCell="A2" workbookViewId="0">
      <selection activeCell="F4" sqref="F4:F17"/>
    </sheetView>
  </sheetViews>
  <sheetFormatPr defaultColWidth="8.7265625" defaultRowHeight="14.5" x14ac:dyDescent="0.35"/>
  <cols>
    <col min="1" max="1" width="7.453125" customWidth="1"/>
    <col min="2" max="2" width="10.1796875" bestFit="1" customWidth="1"/>
    <col min="3" max="3" width="15.26953125" bestFit="1" customWidth="1"/>
    <col min="4" max="4" width="13.26953125" bestFit="1" customWidth="1"/>
    <col min="5" max="5" width="3.81640625" bestFit="1" customWidth="1"/>
    <col min="6" max="6" width="15.453125" bestFit="1" customWidth="1"/>
    <col min="7" max="7" width="13.81640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49" t="s">
        <v>73</v>
      </c>
      <c r="B4" s="44" t="s">
        <v>209</v>
      </c>
      <c r="C4" s="44" t="s">
        <v>159</v>
      </c>
      <c r="D4" t="s">
        <v>160</v>
      </c>
      <c r="E4">
        <v>1</v>
      </c>
      <c r="F4" s="81">
        <v>14</v>
      </c>
      <c r="G4" s="34" t="s">
        <v>56</v>
      </c>
      <c r="H4" s="34" t="s">
        <v>35</v>
      </c>
      <c r="I4" s="35" t="s">
        <v>372</v>
      </c>
    </row>
    <row r="5" spans="1:9" x14ac:dyDescent="0.35">
      <c r="A5" s="49" t="s">
        <v>73</v>
      </c>
      <c r="B5" s="44" t="s">
        <v>209</v>
      </c>
      <c r="C5" s="44" t="s">
        <v>159</v>
      </c>
      <c r="D5" t="s">
        <v>160</v>
      </c>
      <c r="E5">
        <v>1</v>
      </c>
      <c r="F5" s="81">
        <v>40</v>
      </c>
      <c r="G5" s="34" t="s">
        <v>56</v>
      </c>
      <c r="H5" s="34" t="s">
        <v>34</v>
      </c>
      <c r="I5" s="35" t="s">
        <v>374</v>
      </c>
    </row>
    <row r="6" spans="1:9" x14ac:dyDescent="0.35">
      <c r="A6" s="49" t="s">
        <v>73</v>
      </c>
      <c r="B6" s="44" t="s">
        <v>209</v>
      </c>
      <c r="C6" s="44" t="s">
        <v>159</v>
      </c>
      <c r="D6" t="s">
        <v>160</v>
      </c>
      <c r="E6">
        <v>1</v>
      </c>
      <c r="F6" s="81">
        <v>14</v>
      </c>
      <c r="G6" s="44" t="s">
        <v>56</v>
      </c>
      <c r="H6" s="34" t="s">
        <v>35</v>
      </c>
      <c r="I6" s="35" t="s">
        <v>374</v>
      </c>
    </row>
    <row r="7" spans="1:9" x14ac:dyDescent="0.35">
      <c r="A7" s="49" t="s">
        <v>73</v>
      </c>
      <c r="B7" s="44" t="s">
        <v>209</v>
      </c>
      <c r="C7" s="44" t="s">
        <v>159</v>
      </c>
      <c r="D7" t="s">
        <v>160</v>
      </c>
      <c r="E7">
        <v>1</v>
      </c>
      <c r="F7" s="81">
        <v>14</v>
      </c>
      <c r="G7" s="44" t="s">
        <v>56</v>
      </c>
      <c r="H7" s="34" t="s">
        <v>35</v>
      </c>
      <c r="I7" s="35" t="s">
        <v>375</v>
      </c>
    </row>
    <row r="8" spans="1:9" x14ac:dyDescent="0.35">
      <c r="A8" s="49" t="s">
        <v>73</v>
      </c>
      <c r="B8" s="44" t="s">
        <v>209</v>
      </c>
      <c r="C8" s="44" t="s">
        <v>159</v>
      </c>
      <c r="D8" t="s">
        <v>160</v>
      </c>
      <c r="E8">
        <v>1</v>
      </c>
      <c r="F8" s="24">
        <v>132</v>
      </c>
      <c r="G8" s="44" t="s">
        <v>56</v>
      </c>
      <c r="H8" s="34" t="s">
        <v>90</v>
      </c>
      <c r="I8" s="35" t="s">
        <v>377</v>
      </c>
    </row>
    <row r="9" spans="1:9" x14ac:dyDescent="0.35">
      <c r="A9" s="49" t="s">
        <v>73</v>
      </c>
      <c r="B9" s="44" t="s">
        <v>209</v>
      </c>
      <c r="C9" s="44" t="s">
        <v>159</v>
      </c>
      <c r="D9" t="s">
        <v>160</v>
      </c>
      <c r="E9">
        <v>1</v>
      </c>
      <c r="F9" s="24">
        <v>40</v>
      </c>
      <c r="G9" s="34" t="s">
        <v>56</v>
      </c>
      <c r="H9" s="34" t="s">
        <v>34</v>
      </c>
      <c r="I9" s="35" t="s">
        <v>384</v>
      </c>
    </row>
    <row r="10" spans="1:9" x14ac:dyDescent="0.35">
      <c r="A10" s="49" t="s">
        <v>73</v>
      </c>
      <c r="B10" s="44" t="s">
        <v>209</v>
      </c>
      <c r="C10" s="44" t="s">
        <v>159</v>
      </c>
      <c r="D10" t="s">
        <v>160</v>
      </c>
      <c r="E10">
        <v>1</v>
      </c>
      <c r="F10" s="68">
        <v>14</v>
      </c>
      <c r="G10" s="34" t="s">
        <v>56</v>
      </c>
      <c r="H10" s="34" t="s">
        <v>35</v>
      </c>
      <c r="I10" s="35" t="s">
        <v>384</v>
      </c>
    </row>
    <row r="11" spans="1:9" x14ac:dyDescent="0.35">
      <c r="A11" s="49" t="s">
        <v>73</v>
      </c>
      <c r="B11" s="44" t="s">
        <v>209</v>
      </c>
      <c r="C11" s="44" t="s">
        <v>159</v>
      </c>
      <c r="D11" t="s">
        <v>160</v>
      </c>
      <c r="E11">
        <v>1</v>
      </c>
      <c r="F11" s="24">
        <v>166.1</v>
      </c>
      <c r="G11" s="34" t="s">
        <v>56</v>
      </c>
      <c r="H11" s="34" t="s">
        <v>91</v>
      </c>
      <c r="I11" s="35" t="s">
        <v>386</v>
      </c>
    </row>
    <row r="12" spans="1:9" x14ac:dyDescent="0.35">
      <c r="A12" s="49" t="s">
        <v>73</v>
      </c>
      <c r="B12" s="44" t="s">
        <v>209</v>
      </c>
      <c r="C12" s="44" t="s">
        <v>159</v>
      </c>
      <c r="D12" t="s">
        <v>160</v>
      </c>
      <c r="E12">
        <v>1</v>
      </c>
      <c r="F12" s="68">
        <v>14</v>
      </c>
      <c r="G12" s="34" t="s">
        <v>56</v>
      </c>
      <c r="H12" s="34" t="s">
        <v>35</v>
      </c>
      <c r="I12" s="35" t="s">
        <v>397</v>
      </c>
    </row>
    <row r="13" spans="1:9" x14ac:dyDescent="0.35">
      <c r="A13" s="49" t="s">
        <v>73</v>
      </c>
      <c r="B13" s="44" t="s">
        <v>209</v>
      </c>
      <c r="C13" s="44" t="s">
        <v>159</v>
      </c>
      <c r="D13" t="s">
        <v>160</v>
      </c>
      <c r="E13">
        <v>1</v>
      </c>
      <c r="F13" s="68">
        <v>71.75</v>
      </c>
      <c r="G13" s="34" t="s">
        <v>56</v>
      </c>
      <c r="H13" s="34" t="s">
        <v>33</v>
      </c>
      <c r="I13" s="35" t="s">
        <v>411</v>
      </c>
    </row>
    <row r="14" spans="1:9" x14ac:dyDescent="0.35">
      <c r="A14" s="49" t="s">
        <v>73</v>
      </c>
      <c r="B14" s="44" t="s">
        <v>209</v>
      </c>
      <c r="C14" s="44" t="s">
        <v>159</v>
      </c>
      <c r="D14" t="s">
        <v>160</v>
      </c>
      <c r="E14">
        <v>1</v>
      </c>
      <c r="F14" s="68">
        <v>71.75</v>
      </c>
      <c r="G14" s="34" t="s">
        <v>56</v>
      </c>
      <c r="H14" s="34" t="s">
        <v>33</v>
      </c>
      <c r="I14" s="35" t="s">
        <v>377</v>
      </c>
    </row>
    <row r="15" spans="1:9" x14ac:dyDescent="0.35">
      <c r="A15" s="49" t="s">
        <v>73</v>
      </c>
      <c r="B15" s="44" t="s">
        <v>209</v>
      </c>
      <c r="C15" s="44" t="s">
        <v>159</v>
      </c>
      <c r="D15" t="s">
        <v>160</v>
      </c>
      <c r="E15">
        <v>1</v>
      </c>
      <c r="F15" s="68">
        <v>71.75</v>
      </c>
      <c r="G15" s="34" t="s">
        <v>56</v>
      </c>
      <c r="H15" s="34" t="s">
        <v>33</v>
      </c>
      <c r="I15" s="35" t="s">
        <v>413</v>
      </c>
    </row>
    <row r="16" spans="1:9" x14ac:dyDescent="0.35">
      <c r="A16" s="49" t="s">
        <v>73</v>
      </c>
      <c r="B16" s="44" t="s">
        <v>209</v>
      </c>
      <c r="C16" s="44" t="s">
        <v>159</v>
      </c>
      <c r="D16" t="s">
        <v>160</v>
      </c>
      <c r="E16">
        <v>1</v>
      </c>
      <c r="F16" s="85">
        <v>14</v>
      </c>
      <c r="G16" s="34" t="s">
        <v>56</v>
      </c>
      <c r="H16" s="34" t="s">
        <v>35</v>
      </c>
      <c r="I16" s="84" t="s">
        <v>425</v>
      </c>
    </row>
    <row r="17" spans="1:9" x14ac:dyDescent="0.35">
      <c r="A17" s="49" t="s">
        <v>73</v>
      </c>
      <c r="B17" s="44" t="s">
        <v>209</v>
      </c>
      <c r="C17" s="44" t="s">
        <v>159</v>
      </c>
      <c r="D17" t="s">
        <v>160</v>
      </c>
      <c r="E17">
        <v>1</v>
      </c>
      <c r="F17" s="85">
        <v>40</v>
      </c>
      <c r="G17" s="34" t="s">
        <v>56</v>
      </c>
      <c r="H17" s="34" t="s">
        <v>34</v>
      </c>
      <c r="I17" s="84" t="s">
        <v>426</v>
      </c>
    </row>
  </sheetData>
  <protectedRanges>
    <protectedRange sqref="F4" name="Amount_2"/>
    <protectedRange sqref="F5:F7" name="Amount_2_1"/>
    <protectedRange sqref="F8" name="Amount_2_2"/>
    <protectedRange sqref="F9:F10" name="Amount_2_9"/>
    <protectedRange sqref="F11" name="Amount_2_10"/>
    <protectedRange sqref="F12" name="Amount_2_11"/>
    <protectedRange sqref="F13" name="Amount_2_12"/>
    <protectedRange sqref="F14" name="Amount_2_13"/>
    <protectedRange sqref="F15" name="Amount_2_14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A3865E-BAC7-43F2-9376-324568ADE30C}">
          <x14:formula1>
            <xm:f>'Lookup Values'!$A$2:$A$9</xm:f>
          </x14:formula1>
          <xm:sqref>H4:H17</xm:sqref>
        </x14:dataValidation>
        <x14:dataValidation type="list" allowBlank="1" showInputMessage="1" showErrorMessage="1" xr:uid="{41F7ACA7-205A-4AAC-BC0C-6D73BC9D7494}">
          <x14:formula1>
            <xm:f>'Lookup Values'!$G$2:$G$35</xm:f>
          </x14:formula1>
          <xm:sqref>G4:G17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0EBB2-FAE6-4A4E-99C1-3644763EA37F}">
  <sheetPr codeName="Sheet21" filterMode="1"/>
  <dimension ref="A1:G95"/>
  <sheetViews>
    <sheetView zoomScale="80" zoomScaleNormal="80" workbookViewId="0">
      <selection activeCell="E10" sqref="E10:E11"/>
    </sheetView>
  </sheetViews>
  <sheetFormatPr defaultColWidth="8.7265625" defaultRowHeight="14.5" x14ac:dyDescent="0.35"/>
  <cols>
    <col min="1" max="1" width="23.81640625" customWidth="1"/>
    <col min="2" max="2" width="20.7265625" customWidth="1"/>
    <col min="3" max="3" width="19.81640625" customWidth="1"/>
    <col min="4" max="4" width="23.1796875" customWidth="1"/>
    <col min="5" max="5" width="39.7265625" customWidth="1"/>
    <col min="6" max="6" width="47.1796875" bestFit="1" customWidth="1"/>
    <col min="7" max="7" width="34.26953125" bestFit="1" customWidth="1"/>
  </cols>
  <sheetData>
    <row r="1" spans="1:7" ht="26" x14ac:dyDescent="0.6">
      <c r="A1" s="4" t="s">
        <v>27</v>
      </c>
    </row>
    <row r="2" spans="1:7" ht="15" thickBot="1" x14ac:dyDescent="0.4"/>
    <row r="3" spans="1:7" x14ac:dyDescent="0.35">
      <c r="A3" s="6" t="s">
        <v>28</v>
      </c>
      <c r="B3" s="7" t="s">
        <v>439</v>
      </c>
    </row>
    <row r="4" spans="1:7" x14ac:dyDescent="0.35">
      <c r="A4" s="8" t="s">
        <v>29</v>
      </c>
      <c r="B4" s="9">
        <v>44650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77" t="s">
        <v>7</v>
      </c>
      <c r="C9" s="77">
        <f>IF(Table2429[[#This Row],[Journal Description (Service Description)]]="","",1)</f>
        <v>1</v>
      </c>
      <c r="D9" s="78">
        <f>-SUM(D10:D86)</f>
        <v>-5927.35</v>
      </c>
      <c r="E9" s="79" t="s">
        <v>12</v>
      </c>
      <c r="F9" s="79" t="s">
        <v>13</v>
      </c>
      <c r="G9" s="80">
        <v>44621</v>
      </c>
    </row>
    <row r="10" spans="1:7" x14ac:dyDescent="0.35">
      <c r="A10" s="76" t="s">
        <v>6</v>
      </c>
      <c r="B10" t="s">
        <v>206</v>
      </c>
      <c r="C10" s="77">
        <v>1</v>
      </c>
      <c r="D10" s="24">
        <v>132</v>
      </c>
      <c r="E10" s="44" t="s">
        <v>63</v>
      </c>
      <c r="F10" s="44" t="s">
        <v>90</v>
      </c>
      <c r="G10" s="46" t="s">
        <v>370</v>
      </c>
    </row>
    <row r="11" spans="1:7" x14ac:dyDescent="0.35">
      <c r="A11" s="76" t="s">
        <v>6</v>
      </c>
      <c r="B11" t="s">
        <v>211</v>
      </c>
      <c r="C11" s="77">
        <v>1</v>
      </c>
      <c r="D11" s="81">
        <v>14</v>
      </c>
      <c r="E11" s="44" t="s">
        <v>62</v>
      </c>
      <c r="F11" s="44" t="s">
        <v>35</v>
      </c>
      <c r="G11" s="46" t="s">
        <v>371</v>
      </c>
    </row>
    <row r="12" spans="1:7" hidden="1" x14ac:dyDescent="0.35">
      <c r="A12" s="76" t="s">
        <v>73</v>
      </c>
      <c r="B12" s="26" t="s">
        <v>433</v>
      </c>
      <c r="C12" s="77">
        <v>1</v>
      </c>
      <c r="D12" s="81">
        <v>14</v>
      </c>
      <c r="E12" s="34" t="s">
        <v>56</v>
      </c>
      <c r="F12" s="34" t="s">
        <v>35</v>
      </c>
      <c r="G12" s="35" t="s">
        <v>372</v>
      </c>
    </row>
    <row r="13" spans="1:7" x14ac:dyDescent="0.35">
      <c r="A13" s="76" t="s">
        <v>6</v>
      </c>
      <c r="B13" t="s">
        <v>211</v>
      </c>
      <c r="C13" s="77">
        <v>1</v>
      </c>
      <c r="D13" s="81">
        <v>14</v>
      </c>
      <c r="E13" s="34" t="s">
        <v>62</v>
      </c>
      <c r="F13" s="34" t="s">
        <v>35</v>
      </c>
      <c r="G13" s="35" t="s">
        <v>373</v>
      </c>
    </row>
    <row r="14" spans="1:7" hidden="1" x14ac:dyDescent="0.35">
      <c r="A14" s="76" t="s">
        <v>73</v>
      </c>
      <c r="B14" s="26" t="s">
        <v>433</v>
      </c>
      <c r="C14" s="77">
        <v>1</v>
      </c>
      <c r="D14" s="81">
        <v>40</v>
      </c>
      <c r="E14" s="34" t="s">
        <v>56</v>
      </c>
      <c r="F14" s="34" t="s">
        <v>34</v>
      </c>
      <c r="G14" s="35" t="s">
        <v>374</v>
      </c>
    </row>
    <row r="15" spans="1:7" hidden="1" x14ac:dyDescent="0.35">
      <c r="A15" s="76" t="s">
        <v>73</v>
      </c>
      <c r="B15" s="26" t="s">
        <v>433</v>
      </c>
      <c r="C15" s="77">
        <v>1</v>
      </c>
      <c r="D15" s="81">
        <v>14</v>
      </c>
      <c r="E15" s="44" t="s">
        <v>56</v>
      </c>
      <c r="F15" s="34" t="s">
        <v>35</v>
      </c>
      <c r="G15" s="35" t="s">
        <v>374</v>
      </c>
    </row>
    <row r="16" spans="1:7" hidden="1" x14ac:dyDescent="0.35">
      <c r="A16" s="76" t="s">
        <v>73</v>
      </c>
      <c r="B16" s="26" t="s">
        <v>433</v>
      </c>
      <c r="C16" s="77">
        <v>1</v>
      </c>
      <c r="D16" s="81">
        <v>14</v>
      </c>
      <c r="E16" s="44" t="s">
        <v>56</v>
      </c>
      <c r="F16" s="34" t="s">
        <v>35</v>
      </c>
      <c r="G16" s="35" t="s">
        <v>375</v>
      </c>
    </row>
    <row r="17" spans="1:7" x14ac:dyDescent="0.35">
      <c r="A17" s="76" t="s">
        <v>6</v>
      </c>
      <c r="B17" t="s">
        <v>211</v>
      </c>
      <c r="C17" s="77">
        <v>1</v>
      </c>
      <c r="D17" s="24">
        <v>132</v>
      </c>
      <c r="E17" s="44" t="s">
        <v>62</v>
      </c>
      <c r="F17" s="34" t="s">
        <v>90</v>
      </c>
      <c r="G17" s="35" t="s">
        <v>376</v>
      </c>
    </row>
    <row r="18" spans="1:7" hidden="1" x14ac:dyDescent="0.35">
      <c r="A18" s="76" t="s">
        <v>73</v>
      </c>
      <c r="B18" s="26" t="s">
        <v>433</v>
      </c>
      <c r="C18" s="77">
        <v>1</v>
      </c>
      <c r="D18" s="24">
        <v>132</v>
      </c>
      <c r="E18" s="44" t="s">
        <v>56</v>
      </c>
      <c r="F18" s="34" t="s">
        <v>90</v>
      </c>
      <c r="G18" s="35" t="s">
        <v>377</v>
      </c>
    </row>
    <row r="19" spans="1:7" x14ac:dyDescent="0.35">
      <c r="A19" s="76" t="s">
        <v>6</v>
      </c>
      <c r="B19" t="s">
        <v>206</v>
      </c>
      <c r="C19" s="77">
        <v>1</v>
      </c>
      <c r="D19" s="24">
        <v>132</v>
      </c>
      <c r="E19" s="44" t="s">
        <v>63</v>
      </c>
      <c r="F19" s="34" t="s">
        <v>90</v>
      </c>
      <c r="G19" s="35" t="s">
        <v>378</v>
      </c>
    </row>
    <row r="20" spans="1:7" x14ac:dyDescent="0.35">
      <c r="A20" s="76" t="s">
        <v>6</v>
      </c>
      <c r="B20" s="44" t="s">
        <v>86</v>
      </c>
      <c r="C20" s="77">
        <v>1</v>
      </c>
      <c r="D20" s="68">
        <v>25</v>
      </c>
      <c r="E20" s="44" t="s">
        <v>47</v>
      </c>
      <c r="F20" s="34" t="s">
        <v>36</v>
      </c>
      <c r="G20" s="35" t="s">
        <v>379</v>
      </c>
    </row>
    <row r="21" spans="1:7" x14ac:dyDescent="0.35">
      <c r="A21" s="76" t="s">
        <v>6</v>
      </c>
      <c r="B21" t="s">
        <v>142</v>
      </c>
      <c r="C21" s="77">
        <v>1</v>
      </c>
      <c r="D21" s="81">
        <v>14</v>
      </c>
      <c r="E21" s="34" t="s">
        <v>44</v>
      </c>
      <c r="F21" s="34" t="s">
        <v>35</v>
      </c>
      <c r="G21" s="35" t="s">
        <v>380</v>
      </c>
    </row>
    <row r="22" spans="1:7" x14ac:dyDescent="0.35">
      <c r="A22" s="76" t="s">
        <v>6</v>
      </c>
      <c r="B22" t="s">
        <v>211</v>
      </c>
      <c r="C22" s="77">
        <v>1</v>
      </c>
      <c r="D22" s="24">
        <v>14</v>
      </c>
      <c r="E22" s="34" t="s">
        <v>62</v>
      </c>
      <c r="F22" s="34" t="s">
        <v>35</v>
      </c>
      <c r="G22" s="35" t="s">
        <v>381</v>
      </c>
    </row>
    <row r="23" spans="1:7" x14ac:dyDescent="0.35">
      <c r="A23" s="76" t="s">
        <v>6</v>
      </c>
      <c r="B23" t="s">
        <v>206</v>
      </c>
      <c r="C23" s="77">
        <v>1</v>
      </c>
      <c r="D23" s="68">
        <v>14</v>
      </c>
      <c r="E23" s="34" t="s">
        <v>63</v>
      </c>
      <c r="F23" s="34" t="s">
        <v>35</v>
      </c>
      <c r="G23" s="35" t="s">
        <v>382</v>
      </c>
    </row>
    <row r="24" spans="1:7" x14ac:dyDescent="0.35">
      <c r="A24" s="76" t="s">
        <v>6</v>
      </c>
      <c r="B24" s="44" t="s">
        <v>86</v>
      </c>
      <c r="C24" s="77">
        <v>1</v>
      </c>
      <c r="D24" s="81">
        <v>14</v>
      </c>
      <c r="E24" s="34" t="s">
        <v>47</v>
      </c>
      <c r="F24" s="34" t="s">
        <v>35</v>
      </c>
      <c r="G24" s="35" t="s">
        <v>383</v>
      </c>
    </row>
    <row r="25" spans="1:7" hidden="1" x14ac:dyDescent="0.35">
      <c r="A25" s="76" t="s">
        <v>73</v>
      </c>
      <c r="B25" s="26" t="s">
        <v>433</v>
      </c>
      <c r="C25" s="77">
        <v>1</v>
      </c>
      <c r="D25" s="24">
        <v>40</v>
      </c>
      <c r="E25" s="34" t="s">
        <v>56</v>
      </c>
      <c r="F25" s="34" t="s">
        <v>34</v>
      </c>
      <c r="G25" s="35" t="s">
        <v>384</v>
      </c>
    </row>
    <row r="26" spans="1:7" hidden="1" x14ac:dyDescent="0.35">
      <c r="A26" s="76" t="s">
        <v>73</v>
      </c>
      <c r="B26" s="26" t="s">
        <v>433</v>
      </c>
      <c r="C26" s="77">
        <v>1</v>
      </c>
      <c r="D26" s="68">
        <v>14</v>
      </c>
      <c r="E26" s="34" t="s">
        <v>56</v>
      </c>
      <c r="F26" s="34" t="s">
        <v>35</v>
      </c>
      <c r="G26" s="35" t="s">
        <v>384</v>
      </c>
    </row>
    <row r="27" spans="1:7" x14ac:dyDescent="0.35">
      <c r="A27" s="76" t="s">
        <v>6</v>
      </c>
      <c r="B27" t="s">
        <v>211</v>
      </c>
      <c r="C27" s="77">
        <v>1</v>
      </c>
      <c r="D27" s="24">
        <v>166.1</v>
      </c>
      <c r="E27" s="34" t="s">
        <v>62</v>
      </c>
      <c r="F27" s="34" t="s">
        <v>91</v>
      </c>
      <c r="G27" s="35" t="s">
        <v>385</v>
      </c>
    </row>
    <row r="28" spans="1:7" hidden="1" x14ac:dyDescent="0.35">
      <c r="A28" s="76" t="s">
        <v>73</v>
      </c>
      <c r="B28" s="26" t="s">
        <v>433</v>
      </c>
      <c r="C28" s="77">
        <v>1</v>
      </c>
      <c r="D28" s="24">
        <v>166.1</v>
      </c>
      <c r="E28" s="34" t="s">
        <v>56</v>
      </c>
      <c r="F28" s="34" t="s">
        <v>91</v>
      </c>
      <c r="G28" s="35" t="s">
        <v>386</v>
      </c>
    </row>
    <row r="29" spans="1:7" x14ac:dyDescent="0.35">
      <c r="A29" s="76" t="s">
        <v>6</v>
      </c>
      <c r="B29" t="s">
        <v>211</v>
      </c>
      <c r="C29" s="77">
        <v>1</v>
      </c>
      <c r="D29" s="24">
        <v>132</v>
      </c>
      <c r="E29" s="34" t="s">
        <v>62</v>
      </c>
      <c r="F29" s="34" t="s">
        <v>90</v>
      </c>
      <c r="G29" s="35" t="s">
        <v>387</v>
      </c>
    </row>
    <row r="30" spans="1:7" x14ac:dyDescent="0.35">
      <c r="A30" s="76" t="s">
        <v>6</v>
      </c>
      <c r="B30" t="s">
        <v>211</v>
      </c>
      <c r="C30" s="77">
        <v>1</v>
      </c>
      <c r="D30" s="24">
        <v>166.1</v>
      </c>
      <c r="E30" s="34" t="s">
        <v>62</v>
      </c>
      <c r="F30" s="34" t="s">
        <v>91</v>
      </c>
      <c r="G30" s="35" t="s">
        <v>388</v>
      </c>
    </row>
    <row r="31" spans="1:7" x14ac:dyDescent="0.35">
      <c r="A31" s="76" t="s">
        <v>6</v>
      </c>
      <c r="B31" t="s">
        <v>211</v>
      </c>
      <c r="C31" s="77">
        <v>1</v>
      </c>
      <c r="D31" s="24">
        <v>14</v>
      </c>
      <c r="E31" s="34" t="s">
        <v>62</v>
      </c>
      <c r="F31" s="34" t="s">
        <v>35</v>
      </c>
      <c r="G31" s="35" t="s">
        <v>389</v>
      </c>
    </row>
    <row r="32" spans="1:7" x14ac:dyDescent="0.35">
      <c r="A32" s="76" t="s">
        <v>6</v>
      </c>
      <c r="B32" t="s">
        <v>142</v>
      </c>
      <c r="C32" s="77">
        <v>1</v>
      </c>
      <c r="D32" s="68">
        <v>14</v>
      </c>
      <c r="E32" s="34" t="s">
        <v>44</v>
      </c>
      <c r="F32" s="34" t="s">
        <v>35</v>
      </c>
      <c r="G32" s="35" t="s">
        <v>390</v>
      </c>
    </row>
    <row r="33" spans="1:7" x14ac:dyDescent="0.35">
      <c r="A33" s="76" t="s">
        <v>6</v>
      </c>
      <c r="B33" t="s">
        <v>72</v>
      </c>
      <c r="C33" s="77">
        <v>1</v>
      </c>
      <c r="D33" s="68">
        <v>14</v>
      </c>
      <c r="E33" s="34" t="s">
        <v>82</v>
      </c>
      <c r="F33" s="34" t="s">
        <v>35</v>
      </c>
      <c r="G33" s="35" t="s">
        <v>391</v>
      </c>
    </row>
    <row r="34" spans="1:7" x14ac:dyDescent="0.35">
      <c r="A34" s="76" t="s">
        <v>6</v>
      </c>
      <c r="B34" s="44" t="s">
        <v>86</v>
      </c>
      <c r="C34" s="77">
        <v>1</v>
      </c>
      <c r="D34" s="24">
        <v>40</v>
      </c>
      <c r="E34" s="34" t="s">
        <v>47</v>
      </c>
      <c r="F34" s="34" t="s">
        <v>34</v>
      </c>
      <c r="G34" s="35" t="s">
        <v>392</v>
      </c>
    </row>
    <row r="35" spans="1:7" x14ac:dyDescent="0.35">
      <c r="A35" s="76" t="s">
        <v>6</v>
      </c>
      <c r="B35" s="44" t="s">
        <v>86</v>
      </c>
      <c r="C35" s="77">
        <v>1</v>
      </c>
      <c r="D35" s="68">
        <v>14</v>
      </c>
      <c r="E35" s="34" t="s">
        <v>47</v>
      </c>
      <c r="F35" s="34" t="s">
        <v>35</v>
      </c>
      <c r="G35" s="35" t="s">
        <v>392</v>
      </c>
    </row>
    <row r="36" spans="1:7" x14ac:dyDescent="0.35">
      <c r="A36" s="76" t="s">
        <v>6</v>
      </c>
      <c r="B36" s="44" t="s">
        <v>86</v>
      </c>
      <c r="C36" s="77">
        <v>1</v>
      </c>
      <c r="D36" s="68">
        <v>25</v>
      </c>
      <c r="E36" s="34" t="s">
        <v>47</v>
      </c>
      <c r="F36" s="34" t="s">
        <v>36</v>
      </c>
      <c r="G36" s="35" t="s">
        <v>393</v>
      </c>
    </row>
    <row r="37" spans="1:7" x14ac:dyDescent="0.35">
      <c r="A37" s="76" t="s">
        <v>6</v>
      </c>
      <c r="B37" t="s">
        <v>211</v>
      </c>
      <c r="C37" s="77">
        <v>1</v>
      </c>
      <c r="D37" s="24">
        <v>166.1</v>
      </c>
      <c r="E37" s="34" t="s">
        <v>62</v>
      </c>
      <c r="F37" s="34" t="s">
        <v>91</v>
      </c>
      <c r="G37" s="35" t="s">
        <v>394</v>
      </c>
    </row>
    <row r="38" spans="1:7" x14ac:dyDescent="0.35">
      <c r="A38" s="76" t="s">
        <v>6</v>
      </c>
      <c r="B38" t="s">
        <v>211</v>
      </c>
      <c r="C38" s="77">
        <v>1</v>
      </c>
      <c r="D38" s="24">
        <v>132</v>
      </c>
      <c r="E38" s="34" t="s">
        <v>62</v>
      </c>
      <c r="F38" s="34" t="s">
        <v>90</v>
      </c>
      <c r="G38" s="35" t="s">
        <v>395</v>
      </c>
    </row>
    <row r="39" spans="1:7" x14ac:dyDescent="0.35">
      <c r="A39" s="76" t="s">
        <v>6</v>
      </c>
      <c r="B39" t="s">
        <v>211</v>
      </c>
      <c r="C39" s="77">
        <v>1</v>
      </c>
      <c r="D39" s="68">
        <v>40</v>
      </c>
      <c r="E39" s="34" t="s">
        <v>62</v>
      </c>
      <c r="F39" s="34" t="s">
        <v>34</v>
      </c>
      <c r="G39" s="35" t="s">
        <v>396</v>
      </c>
    </row>
    <row r="40" spans="1:7" hidden="1" x14ac:dyDescent="0.35">
      <c r="A40" s="76" t="s">
        <v>73</v>
      </c>
      <c r="B40" s="26" t="s">
        <v>433</v>
      </c>
      <c r="C40" s="77">
        <v>1</v>
      </c>
      <c r="D40" s="68">
        <v>14</v>
      </c>
      <c r="E40" s="34" t="s">
        <v>56</v>
      </c>
      <c r="F40" s="34" t="s">
        <v>35</v>
      </c>
      <c r="G40" s="35" t="s">
        <v>397</v>
      </c>
    </row>
    <row r="41" spans="1:7" x14ac:dyDescent="0.35">
      <c r="A41" s="76" t="s">
        <v>6</v>
      </c>
      <c r="B41" t="s">
        <v>206</v>
      </c>
      <c r="C41" s="77">
        <v>1</v>
      </c>
      <c r="D41" s="24">
        <v>166.1</v>
      </c>
      <c r="E41" s="34" t="s">
        <v>63</v>
      </c>
      <c r="F41" s="34" t="s">
        <v>91</v>
      </c>
      <c r="G41" s="35" t="s">
        <v>398</v>
      </c>
    </row>
    <row r="42" spans="1:7" ht="16.5" customHeight="1" x14ac:dyDescent="0.35">
      <c r="A42" s="76" t="s">
        <v>6</v>
      </c>
      <c r="B42" t="s">
        <v>219</v>
      </c>
      <c r="C42" s="77">
        <v>1</v>
      </c>
      <c r="D42" s="24">
        <v>132</v>
      </c>
      <c r="E42" s="34" t="s">
        <v>50</v>
      </c>
      <c r="F42" s="34" t="s">
        <v>90</v>
      </c>
      <c r="G42" s="35" t="s">
        <v>399</v>
      </c>
    </row>
    <row r="43" spans="1:7" x14ac:dyDescent="0.35">
      <c r="A43" s="76" t="s">
        <v>6</v>
      </c>
      <c r="B43" s="44" t="s">
        <v>86</v>
      </c>
      <c r="C43" s="77">
        <v>1</v>
      </c>
      <c r="D43" s="24">
        <v>166.1</v>
      </c>
      <c r="E43" s="34" t="s">
        <v>47</v>
      </c>
      <c r="F43" s="34" t="s">
        <v>91</v>
      </c>
      <c r="G43" s="35" t="s">
        <v>400</v>
      </c>
    </row>
    <row r="44" spans="1:7" x14ac:dyDescent="0.35">
      <c r="A44" s="76" t="s">
        <v>6</v>
      </c>
      <c r="B44" t="s">
        <v>244</v>
      </c>
      <c r="C44" s="77">
        <v>1</v>
      </c>
      <c r="D44" s="24">
        <v>166.1</v>
      </c>
      <c r="E44" s="34" t="s">
        <v>64</v>
      </c>
      <c r="F44" s="34" t="s">
        <v>91</v>
      </c>
      <c r="G44" s="35" t="s">
        <v>401</v>
      </c>
    </row>
    <row r="45" spans="1:7" x14ac:dyDescent="0.35">
      <c r="A45" s="76" t="s">
        <v>6</v>
      </c>
      <c r="B45" t="s">
        <v>244</v>
      </c>
      <c r="C45" s="77">
        <v>1</v>
      </c>
      <c r="D45" s="24">
        <v>132</v>
      </c>
      <c r="E45" s="34" t="s">
        <v>64</v>
      </c>
      <c r="F45" s="34" t="s">
        <v>90</v>
      </c>
      <c r="G45" s="35" t="s">
        <v>402</v>
      </c>
    </row>
    <row r="46" spans="1:7" x14ac:dyDescent="0.35">
      <c r="A46" s="76" t="s">
        <v>6</v>
      </c>
      <c r="B46" t="s">
        <v>219</v>
      </c>
      <c r="C46" s="77">
        <v>1</v>
      </c>
      <c r="D46" s="24">
        <v>166.1</v>
      </c>
      <c r="E46" s="34" t="s">
        <v>50</v>
      </c>
      <c r="F46" s="34" t="s">
        <v>91</v>
      </c>
      <c r="G46" s="35" t="s">
        <v>403</v>
      </c>
    </row>
    <row r="47" spans="1:7" x14ac:dyDescent="0.35">
      <c r="A47" s="76" t="s">
        <v>6</v>
      </c>
      <c r="B47" t="s">
        <v>219</v>
      </c>
      <c r="C47" s="77">
        <v>1</v>
      </c>
      <c r="D47" s="24">
        <v>132</v>
      </c>
      <c r="E47" s="34" t="s">
        <v>50</v>
      </c>
      <c r="F47" s="34" t="s">
        <v>90</v>
      </c>
      <c r="G47" s="35" t="s">
        <v>404</v>
      </c>
    </row>
    <row r="48" spans="1:7" x14ac:dyDescent="0.35">
      <c r="A48" s="76" t="s">
        <v>6</v>
      </c>
      <c r="B48" s="44" t="s">
        <v>86</v>
      </c>
      <c r="C48" s="77">
        <v>1</v>
      </c>
      <c r="D48" s="24">
        <v>132</v>
      </c>
      <c r="E48" s="34" t="s">
        <v>47</v>
      </c>
      <c r="F48" s="34" t="s">
        <v>90</v>
      </c>
      <c r="G48" s="35" t="s">
        <v>405</v>
      </c>
    </row>
    <row r="49" spans="1:7" x14ac:dyDescent="0.35">
      <c r="A49" s="76" t="s">
        <v>6</v>
      </c>
      <c r="B49" t="s">
        <v>219</v>
      </c>
      <c r="C49" s="77">
        <v>1</v>
      </c>
      <c r="D49" s="68">
        <v>71.75</v>
      </c>
      <c r="E49" s="34" t="s">
        <v>50</v>
      </c>
      <c r="F49" s="34" t="s">
        <v>33</v>
      </c>
      <c r="G49" s="35" t="s">
        <v>406</v>
      </c>
    </row>
    <row r="50" spans="1:7" x14ac:dyDescent="0.35">
      <c r="A50" s="76" t="s">
        <v>6</v>
      </c>
      <c r="B50" t="s">
        <v>219</v>
      </c>
      <c r="C50" s="77">
        <v>1</v>
      </c>
      <c r="D50" s="68">
        <v>71.75</v>
      </c>
      <c r="E50" s="34" t="s">
        <v>50</v>
      </c>
      <c r="F50" s="34" t="s">
        <v>33</v>
      </c>
      <c r="G50" s="35" t="s">
        <v>407</v>
      </c>
    </row>
    <row r="51" spans="1:7" x14ac:dyDescent="0.35">
      <c r="A51" s="76" t="s">
        <v>6</v>
      </c>
      <c r="B51" t="s">
        <v>206</v>
      </c>
      <c r="C51" s="77">
        <v>1</v>
      </c>
      <c r="D51" s="68">
        <v>71.75</v>
      </c>
      <c r="E51" s="34" t="s">
        <v>63</v>
      </c>
      <c r="F51" s="34" t="s">
        <v>33</v>
      </c>
      <c r="G51" s="35" t="s">
        <v>408</v>
      </c>
    </row>
    <row r="52" spans="1:7" x14ac:dyDescent="0.35">
      <c r="A52" s="76" t="s">
        <v>6</v>
      </c>
      <c r="B52" t="s">
        <v>219</v>
      </c>
      <c r="C52" s="77">
        <v>1</v>
      </c>
      <c r="D52" s="68">
        <v>71.75</v>
      </c>
      <c r="E52" s="34" t="s">
        <v>50</v>
      </c>
      <c r="F52" s="34" t="s">
        <v>33</v>
      </c>
      <c r="G52" s="35" t="s">
        <v>409</v>
      </c>
    </row>
    <row r="53" spans="1:7" x14ac:dyDescent="0.35">
      <c r="A53" s="76" t="s">
        <v>6</v>
      </c>
      <c r="B53" t="s">
        <v>244</v>
      </c>
      <c r="C53" s="77">
        <v>1</v>
      </c>
      <c r="D53" s="68">
        <v>71.75</v>
      </c>
      <c r="E53" s="34" t="s">
        <v>64</v>
      </c>
      <c r="F53" s="34" t="s">
        <v>33</v>
      </c>
      <c r="G53" s="35" t="s">
        <v>410</v>
      </c>
    </row>
    <row r="54" spans="1:7" x14ac:dyDescent="0.35">
      <c r="A54" s="76" t="s">
        <v>6</v>
      </c>
      <c r="B54" t="s">
        <v>206</v>
      </c>
      <c r="C54" s="77">
        <v>1</v>
      </c>
      <c r="D54" s="68">
        <v>71.75</v>
      </c>
      <c r="E54" s="34" t="s">
        <v>63</v>
      </c>
      <c r="F54" s="34" t="s">
        <v>33</v>
      </c>
      <c r="G54" s="35" t="s">
        <v>370</v>
      </c>
    </row>
    <row r="55" spans="1:7" hidden="1" x14ac:dyDescent="0.35">
      <c r="A55" s="76" t="s">
        <v>73</v>
      </c>
      <c r="B55" s="26" t="s">
        <v>433</v>
      </c>
      <c r="C55" s="77">
        <v>1</v>
      </c>
      <c r="D55" s="68">
        <v>71.75</v>
      </c>
      <c r="E55" s="34" t="s">
        <v>56</v>
      </c>
      <c r="F55" s="34" t="s">
        <v>33</v>
      </c>
      <c r="G55" s="35" t="s">
        <v>411</v>
      </c>
    </row>
    <row r="56" spans="1:7" x14ac:dyDescent="0.35">
      <c r="A56" s="76" t="s">
        <v>6</v>
      </c>
      <c r="B56" s="44" t="s">
        <v>86</v>
      </c>
      <c r="C56" s="77">
        <v>1</v>
      </c>
      <c r="D56" s="68">
        <v>71.75</v>
      </c>
      <c r="E56" s="34" t="s">
        <v>47</v>
      </c>
      <c r="F56" s="34" t="s">
        <v>33</v>
      </c>
      <c r="G56" s="35" t="s">
        <v>379</v>
      </c>
    </row>
    <row r="57" spans="1:7" x14ac:dyDescent="0.35">
      <c r="A57" s="76" t="s">
        <v>6</v>
      </c>
      <c r="B57" t="s">
        <v>211</v>
      </c>
      <c r="C57" s="77">
        <v>1</v>
      </c>
      <c r="D57" s="68">
        <v>71.75</v>
      </c>
      <c r="E57" s="34" t="s">
        <v>62</v>
      </c>
      <c r="F57" s="34" t="s">
        <v>33</v>
      </c>
      <c r="G57" s="35" t="s">
        <v>376</v>
      </c>
    </row>
    <row r="58" spans="1:7" hidden="1" x14ac:dyDescent="0.35">
      <c r="A58" s="76" t="s">
        <v>73</v>
      </c>
      <c r="B58" s="26" t="s">
        <v>433</v>
      </c>
      <c r="C58" s="77">
        <v>1</v>
      </c>
      <c r="D58" s="68">
        <v>71.75</v>
      </c>
      <c r="E58" s="34" t="s">
        <v>56</v>
      </c>
      <c r="F58" s="34" t="s">
        <v>33</v>
      </c>
      <c r="G58" s="35" t="s">
        <v>377</v>
      </c>
    </row>
    <row r="59" spans="1:7" x14ac:dyDescent="0.35">
      <c r="A59" s="76" t="s">
        <v>6</v>
      </c>
      <c r="B59" t="s">
        <v>88</v>
      </c>
      <c r="C59" s="77">
        <v>1</v>
      </c>
      <c r="D59" s="68">
        <v>71.75</v>
      </c>
      <c r="E59" s="34" t="s">
        <v>83</v>
      </c>
      <c r="F59" s="34" t="s">
        <v>33</v>
      </c>
      <c r="G59" s="35" t="s">
        <v>412</v>
      </c>
    </row>
    <row r="60" spans="1:7" hidden="1" x14ac:dyDescent="0.35">
      <c r="A60" s="76" t="s">
        <v>73</v>
      </c>
      <c r="B60" s="26" t="s">
        <v>433</v>
      </c>
      <c r="C60" s="77">
        <v>1</v>
      </c>
      <c r="D60" s="68">
        <v>71.75</v>
      </c>
      <c r="E60" s="34" t="s">
        <v>56</v>
      </c>
      <c r="F60" s="34" t="s">
        <v>33</v>
      </c>
      <c r="G60" s="35" t="s">
        <v>413</v>
      </c>
    </row>
    <row r="61" spans="1:7" x14ac:dyDescent="0.35">
      <c r="A61" s="76" t="s">
        <v>6</v>
      </c>
      <c r="B61" t="s">
        <v>211</v>
      </c>
      <c r="C61" s="77">
        <v>1</v>
      </c>
      <c r="D61" s="68">
        <v>71.75</v>
      </c>
      <c r="E61" s="34" t="s">
        <v>62</v>
      </c>
      <c r="F61" s="34" t="s">
        <v>33</v>
      </c>
      <c r="G61" s="35" t="s">
        <v>402</v>
      </c>
    </row>
    <row r="62" spans="1:7" x14ac:dyDescent="0.35">
      <c r="A62" s="76" t="s">
        <v>6</v>
      </c>
      <c r="B62" t="s">
        <v>219</v>
      </c>
      <c r="C62" s="77">
        <v>1</v>
      </c>
      <c r="D62" s="68">
        <v>71.75</v>
      </c>
      <c r="E62" s="34" t="s">
        <v>50</v>
      </c>
      <c r="F62" s="34" t="s">
        <v>33</v>
      </c>
      <c r="G62" s="35" t="s">
        <v>404</v>
      </c>
    </row>
    <row r="63" spans="1:7" x14ac:dyDescent="0.35">
      <c r="A63" s="76" t="s">
        <v>6</v>
      </c>
      <c r="B63" t="s">
        <v>219</v>
      </c>
      <c r="C63" s="77">
        <v>1</v>
      </c>
      <c r="D63" s="68">
        <v>71.75</v>
      </c>
      <c r="E63" s="34" t="s">
        <v>50</v>
      </c>
      <c r="F63" s="34" t="s">
        <v>33</v>
      </c>
      <c r="G63" s="35" t="s">
        <v>414</v>
      </c>
    </row>
    <row r="64" spans="1:7" x14ac:dyDescent="0.35">
      <c r="A64" s="76" t="s">
        <v>6</v>
      </c>
      <c r="B64" t="s">
        <v>206</v>
      </c>
      <c r="C64" s="77">
        <v>1</v>
      </c>
      <c r="D64" s="68">
        <v>71.75</v>
      </c>
      <c r="E64" s="34" t="s">
        <v>63</v>
      </c>
      <c r="F64" s="34" t="s">
        <v>33</v>
      </c>
      <c r="G64" s="35" t="s">
        <v>378</v>
      </c>
    </row>
    <row r="65" spans="1:7" x14ac:dyDescent="0.35">
      <c r="A65" s="76" t="s">
        <v>6</v>
      </c>
      <c r="B65" t="s">
        <v>211</v>
      </c>
      <c r="C65" s="77">
        <v>1</v>
      </c>
      <c r="D65" s="68">
        <v>71.75</v>
      </c>
      <c r="E65" s="34" t="s">
        <v>62</v>
      </c>
      <c r="F65" s="34" t="s">
        <v>33</v>
      </c>
      <c r="G65" s="35" t="s">
        <v>387</v>
      </c>
    </row>
    <row r="66" spans="1:7" x14ac:dyDescent="0.35">
      <c r="A66" s="76" t="s">
        <v>6</v>
      </c>
      <c r="B66" s="44" t="s">
        <v>86</v>
      </c>
      <c r="C66" s="77">
        <v>1</v>
      </c>
      <c r="D66" s="68">
        <v>71.75</v>
      </c>
      <c r="E66" s="34" t="s">
        <v>47</v>
      </c>
      <c r="F66" s="34" t="s">
        <v>33</v>
      </c>
      <c r="G66" s="35" t="s">
        <v>393</v>
      </c>
    </row>
    <row r="67" spans="1:7" x14ac:dyDescent="0.35">
      <c r="A67" s="76" t="s">
        <v>6</v>
      </c>
      <c r="B67" t="s">
        <v>211</v>
      </c>
      <c r="C67" s="77">
        <v>1</v>
      </c>
      <c r="D67" s="68">
        <v>71.75</v>
      </c>
      <c r="E67" s="34" t="s">
        <v>62</v>
      </c>
      <c r="F67" s="34" t="s">
        <v>33</v>
      </c>
      <c r="G67" s="35" t="s">
        <v>415</v>
      </c>
    </row>
    <row r="68" spans="1:7" x14ac:dyDescent="0.35">
      <c r="A68" s="76" t="s">
        <v>6</v>
      </c>
      <c r="B68" s="44" t="s">
        <v>86</v>
      </c>
      <c r="C68" s="77">
        <v>1</v>
      </c>
      <c r="D68" s="68">
        <v>71.75</v>
      </c>
      <c r="E68" s="34" t="s">
        <v>47</v>
      </c>
      <c r="F68" s="34" t="s">
        <v>33</v>
      </c>
      <c r="G68" s="84" t="s">
        <v>405</v>
      </c>
    </row>
    <row r="69" spans="1:7" x14ac:dyDescent="0.35">
      <c r="A69" s="76" t="s">
        <v>6</v>
      </c>
      <c r="B69" t="s">
        <v>211</v>
      </c>
      <c r="C69" s="77">
        <v>1</v>
      </c>
      <c r="D69" s="68">
        <v>71.75</v>
      </c>
      <c r="E69" s="34" t="s">
        <v>62</v>
      </c>
      <c r="F69" s="34" t="s">
        <v>33</v>
      </c>
      <c r="G69" s="84" t="s">
        <v>416</v>
      </c>
    </row>
    <row r="70" spans="1:7" x14ac:dyDescent="0.35">
      <c r="A70" s="76" t="s">
        <v>6</v>
      </c>
      <c r="B70" t="s">
        <v>211</v>
      </c>
      <c r="C70" s="77">
        <v>1</v>
      </c>
      <c r="D70" s="68">
        <v>71.75</v>
      </c>
      <c r="E70" s="34" t="s">
        <v>62</v>
      </c>
      <c r="F70" s="34" t="s">
        <v>33</v>
      </c>
      <c r="G70" s="84" t="s">
        <v>417</v>
      </c>
    </row>
    <row r="71" spans="1:7" x14ac:dyDescent="0.35">
      <c r="A71" s="76" t="s">
        <v>6</v>
      </c>
      <c r="B71" t="s">
        <v>211</v>
      </c>
      <c r="C71" s="77">
        <v>1</v>
      </c>
      <c r="D71" s="68">
        <v>71.75</v>
      </c>
      <c r="E71" s="34" t="s">
        <v>62</v>
      </c>
      <c r="F71" s="34" t="s">
        <v>33</v>
      </c>
      <c r="G71" s="84" t="s">
        <v>418</v>
      </c>
    </row>
    <row r="72" spans="1:7" x14ac:dyDescent="0.35">
      <c r="A72" s="76" t="s">
        <v>6</v>
      </c>
      <c r="B72" t="s">
        <v>219</v>
      </c>
      <c r="C72" s="77">
        <v>1</v>
      </c>
      <c r="D72" s="68">
        <v>25</v>
      </c>
      <c r="E72" s="34" t="s">
        <v>50</v>
      </c>
      <c r="F72" s="34" t="s">
        <v>36</v>
      </c>
      <c r="G72" s="84" t="s">
        <v>419</v>
      </c>
    </row>
    <row r="73" spans="1:7" x14ac:dyDescent="0.35">
      <c r="A73" s="76" t="s">
        <v>6</v>
      </c>
      <c r="B73" s="26" t="s">
        <v>436</v>
      </c>
      <c r="C73" s="12">
        <v>1</v>
      </c>
      <c r="D73" s="85">
        <v>25</v>
      </c>
      <c r="E73" s="34" t="s">
        <v>53</v>
      </c>
      <c r="F73" s="34" t="s">
        <v>36</v>
      </c>
      <c r="G73" s="84" t="s">
        <v>420</v>
      </c>
    </row>
    <row r="74" spans="1:7" x14ac:dyDescent="0.35">
      <c r="A74" s="76" t="s">
        <v>6</v>
      </c>
      <c r="B74" t="s">
        <v>88</v>
      </c>
      <c r="C74" s="12">
        <v>1</v>
      </c>
      <c r="D74" s="85">
        <v>25</v>
      </c>
      <c r="E74" s="34" t="s">
        <v>83</v>
      </c>
      <c r="F74" s="34" t="s">
        <v>36</v>
      </c>
      <c r="G74" s="84" t="s">
        <v>421</v>
      </c>
    </row>
    <row r="75" spans="1:7" x14ac:dyDescent="0.35">
      <c r="A75" s="76" t="s">
        <v>6</v>
      </c>
      <c r="B75" t="s">
        <v>211</v>
      </c>
      <c r="C75" s="12">
        <v>1</v>
      </c>
      <c r="D75" s="85">
        <v>25</v>
      </c>
      <c r="E75" s="34" t="s">
        <v>62</v>
      </c>
      <c r="F75" s="34" t="s">
        <v>36</v>
      </c>
      <c r="G75" s="84" t="s">
        <v>422</v>
      </c>
    </row>
    <row r="76" spans="1:7" x14ac:dyDescent="0.35">
      <c r="A76" s="76" t="s">
        <v>6</v>
      </c>
      <c r="B76" t="s">
        <v>211</v>
      </c>
      <c r="C76" s="12">
        <v>1</v>
      </c>
      <c r="D76" s="85">
        <v>14</v>
      </c>
      <c r="E76" s="34" t="s">
        <v>62</v>
      </c>
      <c r="F76" s="34" t="s">
        <v>35</v>
      </c>
      <c r="G76" s="84" t="s">
        <v>423</v>
      </c>
    </row>
    <row r="77" spans="1:7" x14ac:dyDescent="0.35">
      <c r="A77" s="76" t="s">
        <v>6</v>
      </c>
      <c r="B77" t="s">
        <v>86</v>
      </c>
      <c r="C77" s="12">
        <v>1</v>
      </c>
      <c r="D77" s="85">
        <v>14</v>
      </c>
      <c r="E77" s="34" t="s">
        <v>47</v>
      </c>
      <c r="F77" s="34" t="s">
        <v>35</v>
      </c>
      <c r="G77" s="84" t="s">
        <v>424</v>
      </c>
    </row>
    <row r="78" spans="1:7" hidden="1" x14ac:dyDescent="0.35">
      <c r="A78" s="76" t="s">
        <v>73</v>
      </c>
      <c r="B78" s="26" t="s">
        <v>433</v>
      </c>
      <c r="C78" s="12">
        <v>1</v>
      </c>
      <c r="D78" s="85">
        <v>14</v>
      </c>
      <c r="E78" s="34" t="s">
        <v>56</v>
      </c>
      <c r="F78" s="34" t="s">
        <v>35</v>
      </c>
      <c r="G78" s="84" t="s">
        <v>425</v>
      </c>
    </row>
    <row r="79" spans="1:7" hidden="1" x14ac:dyDescent="0.35">
      <c r="A79" s="76" t="s">
        <v>73</v>
      </c>
      <c r="B79" s="26" t="s">
        <v>433</v>
      </c>
      <c r="C79" s="12">
        <v>1</v>
      </c>
      <c r="D79" s="85">
        <v>40</v>
      </c>
      <c r="E79" s="34" t="s">
        <v>56</v>
      </c>
      <c r="F79" s="34" t="s">
        <v>34</v>
      </c>
      <c r="G79" s="84" t="s">
        <v>426</v>
      </c>
    </row>
    <row r="80" spans="1:7" x14ac:dyDescent="0.35">
      <c r="A80" s="76" t="s">
        <v>6</v>
      </c>
      <c r="B80" t="s">
        <v>211</v>
      </c>
      <c r="C80" s="12">
        <v>1</v>
      </c>
      <c r="D80" s="85">
        <v>132</v>
      </c>
      <c r="E80" s="34" t="s">
        <v>62</v>
      </c>
      <c r="F80" s="34" t="s">
        <v>90</v>
      </c>
      <c r="G80" s="84" t="s">
        <v>427</v>
      </c>
    </row>
    <row r="81" spans="1:7" x14ac:dyDescent="0.35">
      <c r="A81" s="76" t="s">
        <v>6</v>
      </c>
      <c r="B81" t="s">
        <v>211</v>
      </c>
      <c r="C81" s="12">
        <v>1</v>
      </c>
      <c r="D81" s="85">
        <v>132</v>
      </c>
      <c r="E81" s="34" t="s">
        <v>62</v>
      </c>
      <c r="F81" s="34" t="s">
        <v>90</v>
      </c>
      <c r="G81" s="84" t="s">
        <v>428</v>
      </c>
    </row>
    <row r="82" spans="1:7" x14ac:dyDescent="0.35">
      <c r="A82" s="76" t="s">
        <v>6</v>
      </c>
      <c r="B82" t="s">
        <v>211</v>
      </c>
      <c r="C82" s="12">
        <v>1</v>
      </c>
      <c r="D82" s="85">
        <v>132</v>
      </c>
      <c r="E82" s="34" t="s">
        <v>62</v>
      </c>
      <c r="F82" s="34" t="s">
        <v>90</v>
      </c>
      <c r="G82" s="84" t="s">
        <v>429</v>
      </c>
    </row>
    <row r="83" spans="1:7" x14ac:dyDescent="0.35">
      <c r="A83" s="76" t="s">
        <v>6</v>
      </c>
      <c r="B83" t="s">
        <v>219</v>
      </c>
      <c r="C83" s="12">
        <v>1</v>
      </c>
      <c r="D83" s="85">
        <v>132</v>
      </c>
      <c r="E83" s="34" t="s">
        <v>50</v>
      </c>
      <c r="F83" s="34" t="s">
        <v>90</v>
      </c>
      <c r="G83" s="84" t="s">
        <v>430</v>
      </c>
    </row>
    <row r="84" spans="1:7" x14ac:dyDescent="0.35">
      <c r="A84" s="76" t="s">
        <v>6</v>
      </c>
      <c r="B84" t="s">
        <v>211</v>
      </c>
      <c r="C84" s="12">
        <v>1</v>
      </c>
      <c r="D84" s="85">
        <v>166.1</v>
      </c>
      <c r="E84" s="34" t="s">
        <v>62</v>
      </c>
      <c r="F84" s="34" t="s">
        <v>91</v>
      </c>
      <c r="G84" s="84" t="s">
        <v>431</v>
      </c>
    </row>
    <row r="85" spans="1:7" x14ac:dyDescent="0.35">
      <c r="A85" s="76" t="s">
        <v>6</v>
      </c>
      <c r="B85" t="s">
        <v>211</v>
      </c>
      <c r="C85" s="12">
        <v>1</v>
      </c>
      <c r="D85" s="85">
        <v>166.1</v>
      </c>
      <c r="E85" s="34" t="s">
        <v>62</v>
      </c>
      <c r="F85" s="34" t="s">
        <v>91</v>
      </c>
      <c r="G85" s="84" t="s">
        <v>432</v>
      </c>
    </row>
    <row r="86" spans="1:7" x14ac:dyDescent="0.35">
      <c r="A86" s="76" t="s">
        <v>6</v>
      </c>
      <c r="B86" t="s">
        <v>219</v>
      </c>
      <c r="C86" s="12">
        <v>1</v>
      </c>
      <c r="D86" s="85">
        <v>166.1</v>
      </c>
      <c r="E86" s="34" t="s">
        <v>50</v>
      </c>
      <c r="F86" s="34" t="s">
        <v>91</v>
      </c>
      <c r="G86" s="84" t="s">
        <v>430</v>
      </c>
    </row>
    <row r="87" spans="1:7" x14ac:dyDescent="0.35">
      <c r="E87" s="34"/>
    </row>
    <row r="88" spans="1:7" x14ac:dyDescent="0.35">
      <c r="E88" s="34"/>
    </row>
    <row r="89" spans="1:7" x14ac:dyDescent="0.35">
      <c r="E89" s="34"/>
    </row>
    <row r="90" spans="1:7" x14ac:dyDescent="0.35">
      <c r="D90">
        <v>717.35</v>
      </c>
      <c r="E90" s="34"/>
    </row>
    <row r="91" spans="1:7" x14ac:dyDescent="0.35">
      <c r="E91" s="34"/>
    </row>
    <row r="92" spans="1:7" x14ac:dyDescent="0.35">
      <c r="E92" s="34"/>
    </row>
    <row r="93" spans="1:7" x14ac:dyDescent="0.35">
      <c r="E93" s="34"/>
    </row>
    <row r="94" spans="1:7" x14ac:dyDescent="0.35">
      <c r="E94" s="34"/>
    </row>
    <row r="95" spans="1:7" x14ac:dyDescent="0.35">
      <c r="E95" s="34"/>
    </row>
  </sheetData>
  <protectedRanges>
    <protectedRange sqref="D10:D72" name="Amount_2"/>
    <protectedRange sqref="D9" name="Amount_2_1"/>
  </protectedRanges>
  <autoFilter ref="A8:G86" xr:uid="{31D0EBB2-FAE6-4A4E-99C1-3644763EA37F}">
    <filterColumn colId="4">
      <filters>
        <filter val="2070000 - Plant Fleet Services"/>
        <filter val="3020000 - Development Assessment"/>
        <filter val="3070000 - Health, Environment &amp; Waste - NES"/>
        <filter val="3070000 - Health, Environment &amp; Waste - Waste"/>
        <filter val="4020000 - City Standards &amp; Animal Care"/>
        <filter val="4060000 - Community Services"/>
        <filter val="6110000 - Water Service Delivery"/>
        <filter val="6120000 - Water Service Performance"/>
        <filter val="6130000 - Water Infrastructure Solutions"/>
        <filter val="HEW"/>
      </filters>
    </filterColumn>
  </autoFilter>
  <phoneticPr fontId="12" type="noConversion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8911DE6-096B-4FEF-9451-6842310052FB}">
          <x14:formula1>
            <xm:f>'Lookup Values'!$A$2:$A$9</xm:f>
          </x14:formula1>
          <xm:sqref>F10:F86</xm:sqref>
        </x14:dataValidation>
        <x14:dataValidation type="list" allowBlank="1" showInputMessage="1" showErrorMessage="1" xr:uid="{CDA10BC0-DC47-4D5D-82A4-F6534F982113}">
          <x14:formula1>
            <xm:f>'Lookup Values'!$G$2:$G$35</xm:f>
          </x14:formula1>
          <xm:sqref>E10:E95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86E28-43D4-4B4B-B2C0-E69BAD9403AD}">
  <sheetPr codeName="Sheet22"/>
  <dimension ref="A1:I12"/>
  <sheetViews>
    <sheetView workbookViewId="0">
      <selection activeCell="H9" sqref="H9"/>
    </sheetView>
  </sheetViews>
  <sheetFormatPr defaultColWidth="8.7265625" defaultRowHeight="14.5" x14ac:dyDescent="0.35"/>
  <cols>
    <col min="1" max="1" width="7.453125" customWidth="1"/>
    <col min="2" max="2" width="10.1796875" bestFit="1" customWidth="1"/>
    <col min="3" max="3" width="15.26953125" bestFit="1" customWidth="1"/>
    <col min="4" max="4" width="13.26953125" bestFit="1" customWidth="1"/>
    <col min="5" max="5" width="3.81640625" bestFit="1" customWidth="1"/>
    <col min="6" max="6" width="15.453125" bestFit="1" customWidth="1"/>
    <col min="7" max="7" width="13.81640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86">
        <v>25</v>
      </c>
      <c r="G4" s="44" t="s">
        <v>56</v>
      </c>
      <c r="H4" s="44" t="s">
        <v>36</v>
      </c>
      <c r="I4" s="46" t="s">
        <v>448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86">
        <v>40</v>
      </c>
      <c r="G5" s="44" t="s">
        <v>56</v>
      </c>
      <c r="H5" s="44" t="s">
        <v>34</v>
      </c>
      <c r="I5" s="46" t="s">
        <v>449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86">
        <v>71.75</v>
      </c>
      <c r="G6" s="44" t="s">
        <v>56</v>
      </c>
      <c r="H6" s="44" t="s">
        <v>33</v>
      </c>
      <c r="I6" s="46" t="s">
        <v>457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86">
        <v>71.75</v>
      </c>
      <c r="G7" s="44" t="s">
        <v>56</v>
      </c>
      <c r="H7" s="44" t="s">
        <v>33</v>
      </c>
      <c r="I7" s="46" t="s">
        <v>458</v>
      </c>
    </row>
    <row r="8" spans="1:9" x14ac:dyDescent="0.3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86">
        <v>71.75</v>
      </c>
      <c r="G8" s="44" t="s">
        <v>56</v>
      </c>
      <c r="H8" s="44" t="s">
        <v>33</v>
      </c>
      <c r="I8" s="46" t="s">
        <v>467</v>
      </c>
    </row>
    <row r="9" spans="1:9" x14ac:dyDescent="0.3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86">
        <v>40</v>
      </c>
      <c r="G9" s="44" t="s">
        <v>56</v>
      </c>
      <c r="H9" s="44" t="s">
        <v>34</v>
      </c>
      <c r="I9" s="46" t="s">
        <v>468</v>
      </c>
    </row>
    <row r="10" spans="1:9" x14ac:dyDescent="0.3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86">
        <v>14</v>
      </c>
      <c r="G10" s="44" t="s">
        <v>56</v>
      </c>
      <c r="H10" s="44" t="s">
        <v>35</v>
      </c>
      <c r="I10" s="46" t="s">
        <v>468</v>
      </c>
    </row>
    <row r="11" spans="1:9" x14ac:dyDescent="0.3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86">
        <v>25</v>
      </c>
      <c r="G11" s="44" t="s">
        <v>56</v>
      </c>
      <c r="H11" s="44" t="s">
        <v>36</v>
      </c>
      <c r="I11" s="46" t="s">
        <v>467</v>
      </c>
    </row>
    <row r="12" spans="1:9" x14ac:dyDescent="0.3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86">
        <v>14</v>
      </c>
      <c r="G12" s="44" t="s">
        <v>56</v>
      </c>
      <c r="H12" s="44" t="s">
        <v>35</v>
      </c>
      <c r="I12" s="46" t="s">
        <v>473</v>
      </c>
    </row>
  </sheetData>
  <protectedRanges>
    <protectedRange sqref="F4:F5" name="Amount_2_2_1"/>
    <protectedRange sqref="F6:F7" name="Amount_2_2_2"/>
    <protectedRange sqref="F8:F11" name="Amount_2_2_3"/>
    <protectedRange sqref="F12" name="Amount_2_2_4"/>
  </protectedRanges>
  <pageMargins left="0.7" right="0.7" top="0.75" bottom="0.75" header="0.3" footer="0.3"/>
  <pageSetup paperSize="9"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D5CE3-C774-4FDF-8AD1-578B5BA80519}">
  <sheetPr codeName="Sheet23" filterMode="1"/>
  <dimension ref="A1:G52"/>
  <sheetViews>
    <sheetView workbookViewId="0">
      <selection activeCell="A18" sqref="A18:B47"/>
    </sheetView>
  </sheetViews>
  <sheetFormatPr defaultColWidth="8.7265625" defaultRowHeight="14.5" x14ac:dyDescent="0.35"/>
  <cols>
    <col min="1" max="1" width="16.54296875" customWidth="1"/>
    <col min="2" max="2" width="16.7265625" bestFit="1" customWidth="1"/>
    <col min="4" max="4" width="17.7265625" bestFit="1" customWidth="1"/>
    <col min="5" max="5" width="41.7265625" bestFit="1" customWidth="1"/>
    <col min="6" max="6" width="47.1796875" bestFit="1" customWidth="1"/>
    <col min="7" max="7" width="31.179687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</row>
    <row r="2" spans="1:7" ht="15" thickBot="1" x14ac:dyDescent="0.4"/>
    <row r="3" spans="1:7" x14ac:dyDescent="0.35">
      <c r="A3" s="6" t="s">
        <v>28</v>
      </c>
      <c r="B3" s="7" t="s">
        <v>479</v>
      </c>
    </row>
    <row r="4" spans="1:7" x14ac:dyDescent="0.35">
      <c r="A4" s="8" t="s">
        <v>29</v>
      </c>
      <c r="B4" s="9">
        <v>44684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87" t="s">
        <v>2</v>
      </c>
      <c r="E8" s="73" t="s">
        <v>4</v>
      </c>
      <c r="F8" s="73" t="s">
        <v>81</v>
      </c>
      <c r="G8" s="75" t="s">
        <v>77</v>
      </c>
    </row>
    <row r="9" spans="1:7" hidden="1" x14ac:dyDescent="0.35">
      <c r="A9" s="1" t="s">
        <v>6</v>
      </c>
      <c r="B9" s="77" t="s">
        <v>7</v>
      </c>
      <c r="C9" s="77" t="e">
        <f>IF([5]!Table2429[[#This Row],[Journal Description (Service Description)]]="","",1)</f>
        <v>#REF!</v>
      </c>
      <c r="D9" s="88">
        <f>-SUM(D10:D77)</f>
        <v>-3764.5999999999995</v>
      </c>
      <c r="E9" s="79" t="s">
        <v>12</v>
      </c>
      <c r="F9" s="79" t="s">
        <v>13</v>
      </c>
      <c r="G9" s="80">
        <v>44652</v>
      </c>
    </row>
    <row r="10" spans="1:7" hidden="1" x14ac:dyDescent="0.35">
      <c r="A10" s="1" t="s">
        <v>6</v>
      </c>
      <c r="B10" t="s">
        <v>211</v>
      </c>
      <c r="C10" s="77">
        <v>1</v>
      </c>
      <c r="D10" s="86">
        <v>132</v>
      </c>
      <c r="E10" s="44" t="s">
        <v>62</v>
      </c>
      <c r="F10" s="44" t="s">
        <v>90</v>
      </c>
      <c r="G10" s="46" t="s">
        <v>440</v>
      </c>
    </row>
    <row r="11" spans="1:7" hidden="1" x14ac:dyDescent="0.35">
      <c r="A11" s="1" t="s">
        <v>6</v>
      </c>
      <c r="B11" t="s">
        <v>211</v>
      </c>
      <c r="C11" s="77">
        <v>1</v>
      </c>
      <c r="D11" s="86">
        <v>132</v>
      </c>
      <c r="E11" s="44" t="s">
        <v>62</v>
      </c>
      <c r="F11" s="44" t="s">
        <v>90</v>
      </c>
      <c r="G11" s="46" t="s">
        <v>441</v>
      </c>
    </row>
    <row r="12" spans="1:7" hidden="1" x14ac:dyDescent="0.35">
      <c r="A12" s="1" t="s">
        <v>6</v>
      </c>
      <c r="B12" t="s">
        <v>211</v>
      </c>
      <c r="C12" s="77">
        <v>1</v>
      </c>
      <c r="D12" s="86">
        <v>132</v>
      </c>
      <c r="E12" s="44" t="s">
        <v>62</v>
      </c>
      <c r="F12" s="44" t="s">
        <v>90</v>
      </c>
      <c r="G12" s="46" t="s">
        <v>442</v>
      </c>
    </row>
    <row r="13" spans="1:7" hidden="1" x14ac:dyDescent="0.35">
      <c r="A13" s="1" t="s">
        <v>6</v>
      </c>
      <c r="B13" t="s">
        <v>211</v>
      </c>
      <c r="C13" s="77">
        <v>1</v>
      </c>
      <c r="D13" s="86">
        <v>166.1</v>
      </c>
      <c r="E13" s="44" t="s">
        <v>62</v>
      </c>
      <c r="F13" s="44" t="s">
        <v>91</v>
      </c>
      <c r="G13" s="46" t="s">
        <v>443</v>
      </c>
    </row>
    <row r="14" spans="1:7" hidden="1" x14ac:dyDescent="0.35">
      <c r="A14" s="1" t="s">
        <v>6</v>
      </c>
      <c r="B14" t="s">
        <v>88</v>
      </c>
      <c r="C14" s="77">
        <v>1</v>
      </c>
      <c r="D14" s="86">
        <v>40</v>
      </c>
      <c r="E14" s="44" t="s">
        <v>83</v>
      </c>
      <c r="F14" s="44" t="s">
        <v>34</v>
      </c>
      <c r="G14" s="46" t="s">
        <v>444</v>
      </c>
    </row>
    <row r="15" spans="1:7" hidden="1" x14ac:dyDescent="0.35">
      <c r="A15" s="1" t="s">
        <v>6</v>
      </c>
      <c r="B15" t="s">
        <v>142</v>
      </c>
      <c r="C15" s="77">
        <v>1</v>
      </c>
      <c r="D15" s="86">
        <v>166.1</v>
      </c>
      <c r="E15" s="44" t="s">
        <v>44</v>
      </c>
      <c r="F15" s="44" t="s">
        <v>91</v>
      </c>
      <c r="G15" s="46" t="s">
        <v>445</v>
      </c>
    </row>
    <row r="16" spans="1:7" hidden="1" x14ac:dyDescent="0.35">
      <c r="A16" s="1" t="s">
        <v>6</v>
      </c>
      <c r="B16" t="s">
        <v>142</v>
      </c>
      <c r="C16" s="77">
        <v>1</v>
      </c>
      <c r="D16" s="86">
        <v>132</v>
      </c>
      <c r="E16" s="44" t="s">
        <v>44</v>
      </c>
      <c r="F16" s="44" t="s">
        <v>90</v>
      </c>
      <c r="G16" s="46" t="s">
        <v>446</v>
      </c>
    </row>
    <row r="17" spans="1:7" hidden="1" x14ac:dyDescent="0.35">
      <c r="A17" s="1" t="s">
        <v>6</v>
      </c>
      <c r="B17" t="s">
        <v>211</v>
      </c>
      <c r="C17" s="77">
        <v>1</v>
      </c>
      <c r="D17" s="86">
        <v>132</v>
      </c>
      <c r="E17" s="44" t="s">
        <v>62</v>
      </c>
      <c r="F17" s="44" t="s">
        <v>90</v>
      </c>
      <c r="G17" s="46" t="s">
        <v>447</v>
      </c>
    </row>
    <row r="18" spans="1:7" x14ac:dyDescent="0.35">
      <c r="A18" s="1" t="s">
        <v>6</v>
      </c>
      <c r="B18" t="s">
        <v>163</v>
      </c>
      <c r="C18" s="77">
        <v>1</v>
      </c>
      <c r="D18" s="86">
        <v>25</v>
      </c>
      <c r="E18" s="44" t="s">
        <v>56</v>
      </c>
      <c r="F18" s="44" t="s">
        <v>36</v>
      </c>
      <c r="G18" s="46" t="s">
        <v>448</v>
      </c>
    </row>
    <row r="19" spans="1:7" x14ac:dyDescent="0.35">
      <c r="A19" s="1" t="s">
        <v>6</v>
      </c>
      <c r="B19" t="s">
        <v>163</v>
      </c>
      <c r="C19" s="77">
        <v>1</v>
      </c>
      <c r="D19" s="86">
        <v>40</v>
      </c>
      <c r="E19" s="44" t="s">
        <v>56</v>
      </c>
      <c r="F19" s="44" t="s">
        <v>34</v>
      </c>
      <c r="G19" s="46" t="s">
        <v>449</v>
      </c>
    </row>
    <row r="20" spans="1:7" hidden="1" x14ac:dyDescent="0.35">
      <c r="A20" s="1" t="s">
        <v>6</v>
      </c>
      <c r="B20" t="s">
        <v>219</v>
      </c>
      <c r="C20" s="77">
        <v>1</v>
      </c>
      <c r="D20" s="86">
        <v>71.75</v>
      </c>
      <c r="E20" s="44" t="s">
        <v>50</v>
      </c>
      <c r="F20" s="44" t="s">
        <v>33</v>
      </c>
      <c r="G20" s="46" t="s">
        <v>450</v>
      </c>
    </row>
    <row r="21" spans="1:7" hidden="1" x14ac:dyDescent="0.35">
      <c r="A21" s="1" t="s">
        <v>6</v>
      </c>
      <c r="B21" t="s">
        <v>219</v>
      </c>
      <c r="C21" s="77">
        <v>1</v>
      </c>
      <c r="D21" s="86">
        <v>71.75</v>
      </c>
      <c r="E21" s="44" t="s">
        <v>50</v>
      </c>
      <c r="F21" s="44" t="s">
        <v>33</v>
      </c>
      <c r="G21" s="46" t="s">
        <v>451</v>
      </c>
    </row>
    <row r="22" spans="1:7" hidden="1" x14ac:dyDescent="0.35">
      <c r="A22" s="1" t="s">
        <v>6</v>
      </c>
      <c r="B22" t="s">
        <v>219</v>
      </c>
      <c r="C22" s="77">
        <v>1</v>
      </c>
      <c r="D22" s="86">
        <v>71.75</v>
      </c>
      <c r="E22" s="44" t="s">
        <v>50</v>
      </c>
      <c r="F22" s="44" t="s">
        <v>33</v>
      </c>
      <c r="G22" s="46" t="s">
        <v>453</v>
      </c>
    </row>
    <row r="23" spans="1:7" hidden="1" x14ac:dyDescent="0.35">
      <c r="A23" s="1" t="s">
        <v>6</v>
      </c>
      <c r="B23" t="s">
        <v>219</v>
      </c>
      <c r="C23" s="77">
        <v>1</v>
      </c>
      <c r="D23" s="86">
        <v>71.75</v>
      </c>
      <c r="E23" s="44" t="s">
        <v>50</v>
      </c>
      <c r="F23" s="44" t="s">
        <v>33</v>
      </c>
      <c r="G23" s="46" t="s">
        <v>452</v>
      </c>
    </row>
    <row r="24" spans="1:7" hidden="1" x14ac:dyDescent="0.35">
      <c r="A24" s="1" t="s">
        <v>6</v>
      </c>
      <c r="B24" t="s">
        <v>211</v>
      </c>
      <c r="C24" s="77">
        <v>1</v>
      </c>
      <c r="D24" s="86">
        <v>71.75</v>
      </c>
      <c r="E24" s="44" t="s">
        <v>62</v>
      </c>
      <c r="F24" s="44" t="s">
        <v>33</v>
      </c>
      <c r="G24" s="46" t="s">
        <v>454</v>
      </c>
    </row>
    <row r="25" spans="1:7" hidden="1" x14ac:dyDescent="0.35">
      <c r="A25" s="1" t="s">
        <v>6</v>
      </c>
      <c r="B25" t="s">
        <v>211</v>
      </c>
      <c r="C25" s="77">
        <v>1</v>
      </c>
      <c r="D25" s="86">
        <v>71.75</v>
      </c>
      <c r="E25" s="44" t="s">
        <v>62</v>
      </c>
      <c r="F25" s="44" t="s">
        <v>33</v>
      </c>
      <c r="G25" s="46" t="s">
        <v>455</v>
      </c>
    </row>
    <row r="26" spans="1:7" hidden="1" x14ac:dyDescent="0.35">
      <c r="A26" s="1" t="s">
        <v>6</v>
      </c>
      <c r="B26" t="s">
        <v>211</v>
      </c>
      <c r="C26" s="77">
        <v>1</v>
      </c>
      <c r="D26" s="86">
        <v>71.75</v>
      </c>
      <c r="E26" s="44" t="s">
        <v>62</v>
      </c>
      <c r="F26" s="44" t="s">
        <v>33</v>
      </c>
      <c r="G26" s="46" t="s">
        <v>456</v>
      </c>
    </row>
    <row r="27" spans="1:7" x14ac:dyDescent="0.35">
      <c r="A27" s="1" t="s">
        <v>6</v>
      </c>
      <c r="B27" t="s">
        <v>163</v>
      </c>
      <c r="C27" s="77">
        <v>1</v>
      </c>
      <c r="D27" s="86">
        <v>71.75</v>
      </c>
      <c r="E27" s="44" t="s">
        <v>56</v>
      </c>
      <c r="F27" s="44" t="s">
        <v>33</v>
      </c>
      <c r="G27" s="46" t="s">
        <v>457</v>
      </c>
    </row>
    <row r="28" spans="1:7" x14ac:dyDescent="0.35">
      <c r="A28" s="1" t="s">
        <v>6</v>
      </c>
      <c r="B28" t="s">
        <v>163</v>
      </c>
      <c r="C28" s="77">
        <v>1</v>
      </c>
      <c r="D28" s="86">
        <v>71.75</v>
      </c>
      <c r="E28" s="44" t="s">
        <v>56</v>
      </c>
      <c r="F28" s="44" t="s">
        <v>33</v>
      </c>
      <c r="G28" s="46" t="s">
        <v>458</v>
      </c>
    </row>
    <row r="29" spans="1:7" hidden="1" x14ac:dyDescent="0.35">
      <c r="A29" s="1" t="s">
        <v>6</v>
      </c>
      <c r="B29" t="s">
        <v>211</v>
      </c>
      <c r="C29" s="77">
        <v>1</v>
      </c>
      <c r="D29" s="86">
        <v>71.75</v>
      </c>
      <c r="E29" s="44" t="s">
        <v>62</v>
      </c>
      <c r="F29" s="44" t="s">
        <v>33</v>
      </c>
      <c r="G29" s="46" t="s">
        <v>459</v>
      </c>
    </row>
    <row r="30" spans="1:7" hidden="1" x14ac:dyDescent="0.35">
      <c r="A30" s="1" t="s">
        <v>6</v>
      </c>
      <c r="B30" t="s">
        <v>304</v>
      </c>
      <c r="C30" s="77">
        <v>1</v>
      </c>
      <c r="D30" s="86">
        <v>71.75</v>
      </c>
      <c r="E30" s="44" t="s">
        <v>52</v>
      </c>
      <c r="F30" s="44" t="s">
        <v>33</v>
      </c>
      <c r="G30" s="46" t="s">
        <v>460</v>
      </c>
    </row>
    <row r="31" spans="1:7" hidden="1" x14ac:dyDescent="0.35">
      <c r="A31" s="1" t="s">
        <v>6</v>
      </c>
      <c r="B31" t="s">
        <v>219</v>
      </c>
      <c r="C31" s="77">
        <v>1</v>
      </c>
      <c r="D31" s="86">
        <v>71.75</v>
      </c>
      <c r="E31" s="44" t="s">
        <v>50</v>
      </c>
      <c r="F31" s="44" t="s">
        <v>33</v>
      </c>
      <c r="G31" s="46" t="s">
        <v>450</v>
      </c>
    </row>
    <row r="32" spans="1:7" hidden="1" x14ac:dyDescent="0.35">
      <c r="A32" s="1" t="s">
        <v>6</v>
      </c>
      <c r="B32" t="s">
        <v>211</v>
      </c>
      <c r="C32" s="77">
        <v>1</v>
      </c>
      <c r="D32" s="86">
        <v>71.75</v>
      </c>
      <c r="E32" s="44" t="s">
        <v>62</v>
      </c>
      <c r="F32" s="44" t="s">
        <v>33</v>
      </c>
      <c r="G32" s="46" t="s">
        <v>461</v>
      </c>
    </row>
    <row r="33" spans="1:7" hidden="1" x14ac:dyDescent="0.35">
      <c r="A33" s="1" t="s">
        <v>6</v>
      </c>
      <c r="B33" t="s">
        <v>211</v>
      </c>
      <c r="C33" s="77">
        <v>1</v>
      </c>
      <c r="D33" s="86">
        <v>71.75</v>
      </c>
      <c r="E33" s="44" t="s">
        <v>62</v>
      </c>
      <c r="F33" s="44" t="s">
        <v>33</v>
      </c>
      <c r="G33" s="46" t="s">
        <v>462</v>
      </c>
    </row>
    <row r="34" spans="1:7" hidden="1" x14ac:dyDescent="0.35">
      <c r="A34" s="1" t="s">
        <v>6</v>
      </c>
      <c r="B34" t="s">
        <v>211</v>
      </c>
      <c r="C34" s="77">
        <v>1</v>
      </c>
      <c r="D34" s="86">
        <v>71.75</v>
      </c>
      <c r="E34" s="44" t="s">
        <v>62</v>
      </c>
      <c r="F34" s="44" t="s">
        <v>33</v>
      </c>
      <c r="G34" s="46" t="s">
        <v>463</v>
      </c>
    </row>
    <row r="35" spans="1:7" hidden="1" x14ac:dyDescent="0.35">
      <c r="A35" s="1" t="s">
        <v>6</v>
      </c>
      <c r="B35" t="s">
        <v>211</v>
      </c>
      <c r="C35" s="77">
        <v>1</v>
      </c>
      <c r="D35" s="86">
        <v>71.75</v>
      </c>
      <c r="E35" s="44" t="s">
        <v>62</v>
      </c>
      <c r="F35" s="44" t="s">
        <v>33</v>
      </c>
      <c r="G35" s="46" t="s">
        <v>464</v>
      </c>
    </row>
    <row r="36" spans="1:7" hidden="1" x14ac:dyDescent="0.35">
      <c r="A36" s="1" t="s">
        <v>6</v>
      </c>
      <c r="B36" t="s">
        <v>304</v>
      </c>
      <c r="C36" s="77">
        <v>1</v>
      </c>
      <c r="D36" s="86">
        <v>71.75</v>
      </c>
      <c r="E36" s="44" t="s">
        <v>52</v>
      </c>
      <c r="F36" s="44" t="s">
        <v>33</v>
      </c>
      <c r="G36" s="46" t="s">
        <v>465</v>
      </c>
    </row>
    <row r="37" spans="1:7" hidden="1" x14ac:dyDescent="0.35">
      <c r="A37" s="1" t="s">
        <v>6</v>
      </c>
      <c r="B37" t="s">
        <v>211</v>
      </c>
      <c r="C37" s="77">
        <v>1</v>
      </c>
      <c r="D37" s="86">
        <v>71.75</v>
      </c>
      <c r="E37" s="44" t="s">
        <v>62</v>
      </c>
      <c r="F37" s="44" t="s">
        <v>33</v>
      </c>
      <c r="G37" s="46" t="s">
        <v>459</v>
      </c>
    </row>
    <row r="38" spans="1:7" hidden="1" x14ac:dyDescent="0.35">
      <c r="A38" s="1" t="s">
        <v>6</v>
      </c>
      <c r="B38" t="s">
        <v>142</v>
      </c>
      <c r="C38" s="77">
        <v>1</v>
      </c>
      <c r="D38" s="86">
        <v>71.75</v>
      </c>
      <c r="E38" s="44" t="s">
        <v>44</v>
      </c>
      <c r="F38" s="44" t="s">
        <v>33</v>
      </c>
      <c r="G38" s="46" t="s">
        <v>466</v>
      </c>
    </row>
    <row r="39" spans="1:7" x14ac:dyDescent="0.35">
      <c r="A39" s="1" t="s">
        <v>6</v>
      </c>
      <c r="B39" t="s">
        <v>163</v>
      </c>
      <c r="C39" s="77">
        <v>1</v>
      </c>
      <c r="D39" s="86">
        <v>71.75</v>
      </c>
      <c r="E39" s="44" t="s">
        <v>56</v>
      </c>
      <c r="F39" s="44" t="s">
        <v>33</v>
      </c>
      <c r="G39" s="46" t="s">
        <v>467</v>
      </c>
    </row>
    <row r="40" spans="1:7" x14ac:dyDescent="0.35">
      <c r="A40" s="1" t="s">
        <v>6</v>
      </c>
      <c r="B40" t="s">
        <v>163</v>
      </c>
      <c r="C40" s="77">
        <v>1</v>
      </c>
      <c r="D40" s="86">
        <v>40</v>
      </c>
      <c r="E40" s="44" t="s">
        <v>56</v>
      </c>
      <c r="F40" s="44" t="s">
        <v>34</v>
      </c>
      <c r="G40" s="46" t="s">
        <v>468</v>
      </c>
    </row>
    <row r="41" spans="1:7" x14ac:dyDescent="0.35">
      <c r="A41" s="1" t="s">
        <v>6</v>
      </c>
      <c r="B41" t="s">
        <v>163</v>
      </c>
      <c r="C41" s="77">
        <v>1</v>
      </c>
      <c r="D41" s="86">
        <v>14</v>
      </c>
      <c r="E41" s="44" t="s">
        <v>56</v>
      </c>
      <c r="F41" s="44" t="s">
        <v>35</v>
      </c>
      <c r="G41" s="46" t="s">
        <v>468</v>
      </c>
    </row>
    <row r="42" spans="1:7" x14ac:dyDescent="0.35">
      <c r="A42" s="1" t="s">
        <v>6</v>
      </c>
      <c r="B42" t="s">
        <v>163</v>
      </c>
      <c r="C42" s="77">
        <v>1</v>
      </c>
      <c r="D42" s="86">
        <v>25</v>
      </c>
      <c r="E42" s="44" t="s">
        <v>56</v>
      </c>
      <c r="F42" s="44" t="s">
        <v>36</v>
      </c>
      <c r="G42" s="46" t="s">
        <v>467</v>
      </c>
    </row>
    <row r="43" spans="1:7" hidden="1" x14ac:dyDescent="0.35">
      <c r="A43" s="1" t="s">
        <v>6</v>
      </c>
      <c r="B43" t="s">
        <v>142</v>
      </c>
      <c r="C43" s="77">
        <v>1</v>
      </c>
      <c r="D43" s="86">
        <v>166.1</v>
      </c>
      <c r="E43" s="44" t="s">
        <v>44</v>
      </c>
      <c r="F43" s="44" t="s">
        <v>91</v>
      </c>
      <c r="G43" s="46" t="s">
        <v>469</v>
      </c>
    </row>
    <row r="44" spans="1:7" hidden="1" x14ac:dyDescent="0.35">
      <c r="A44" s="1" t="s">
        <v>6</v>
      </c>
      <c r="B44" t="s">
        <v>142</v>
      </c>
      <c r="C44" s="77">
        <v>1</v>
      </c>
      <c r="D44" s="86">
        <v>132</v>
      </c>
      <c r="E44" s="44" t="s">
        <v>44</v>
      </c>
      <c r="F44" s="44" t="s">
        <v>90</v>
      </c>
      <c r="G44" s="46" t="s">
        <v>470</v>
      </c>
    </row>
    <row r="45" spans="1:7" hidden="1" x14ac:dyDescent="0.35">
      <c r="A45" s="1" t="s">
        <v>6</v>
      </c>
      <c r="B45" t="s">
        <v>142</v>
      </c>
      <c r="C45" s="77">
        <v>1</v>
      </c>
      <c r="D45" s="86">
        <v>166.1</v>
      </c>
      <c r="E45" s="44" t="s">
        <v>50</v>
      </c>
      <c r="F45" s="44" t="s">
        <v>91</v>
      </c>
      <c r="G45" s="46" t="s">
        <v>471</v>
      </c>
    </row>
    <row r="46" spans="1:7" hidden="1" x14ac:dyDescent="0.35">
      <c r="A46" s="1" t="s">
        <v>6</v>
      </c>
      <c r="B46" t="s">
        <v>142</v>
      </c>
      <c r="C46" s="77">
        <v>1</v>
      </c>
      <c r="D46" s="86">
        <v>132</v>
      </c>
      <c r="E46" s="44" t="s">
        <v>50</v>
      </c>
      <c r="F46" s="44" t="s">
        <v>90</v>
      </c>
      <c r="G46" s="46" t="s">
        <v>472</v>
      </c>
    </row>
    <row r="47" spans="1:7" x14ac:dyDescent="0.35">
      <c r="A47" s="1" t="s">
        <v>6</v>
      </c>
      <c r="B47" t="s">
        <v>163</v>
      </c>
      <c r="C47" s="77">
        <v>1</v>
      </c>
      <c r="D47" s="86">
        <v>14</v>
      </c>
      <c r="E47" s="44" t="s">
        <v>56</v>
      </c>
      <c r="F47" s="44" t="s">
        <v>35</v>
      </c>
      <c r="G47" s="46" t="s">
        <v>473</v>
      </c>
    </row>
    <row r="48" spans="1:7" hidden="1" x14ac:dyDescent="0.35">
      <c r="A48" s="1" t="s">
        <v>6</v>
      </c>
      <c r="B48" t="s">
        <v>211</v>
      </c>
      <c r="C48" s="77">
        <v>1</v>
      </c>
      <c r="D48" s="86">
        <v>166.1</v>
      </c>
      <c r="E48" s="44" t="s">
        <v>62</v>
      </c>
      <c r="F48" s="44" t="s">
        <v>91</v>
      </c>
      <c r="G48" s="46" t="s">
        <v>474</v>
      </c>
    </row>
    <row r="49" spans="1:7" hidden="1" x14ac:dyDescent="0.35">
      <c r="A49" s="1" t="s">
        <v>6</v>
      </c>
      <c r="B49" t="s">
        <v>211</v>
      </c>
      <c r="C49" s="77">
        <v>1</v>
      </c>
      <c r="D49" s="86">
        <v>166.1</v>
      </c>
      <c r="E49" s="44" t="s">
        <v>62</v>
      </c>
      <c r="F49" s="44" t="s">
        <v>91</v>
      </c>
      <c r="G49" s="46" t="s">
        <v>475</v>
      </c>
    </row>
    <row r="50" spans="1:7" hidden="1" x14ac:dyDescent="0.35">
      <c r="A50" s="1" t="s">
        <v>6</v>
      </c>
      <c r="B50" t="s">
        <v>211</v>
      </c>
      <c r="C50" s="77">
        <v>1</v>
      </c>
      <c r="D50" s="86">
        <v>132</v>
      </c>
      <c r="E50" s="44" t="s">
        <v>62</v>
      </c>
      <c r="F50" s="44" t="s">
        <v>90</v>
      </c>
      <c r="G50" s="46" t="s">
        <v>476</v>
      </c>
    </row>
    <row r="51" spans="1:7" hidden="1" x14ac:dyDescent="0.35">
      <c r="A51" s="1" t="s">
        <v>6</v>
      </c>
      <c r="B51" t="s">
        <v>142</v>
      </c>
      <c r="C51" s="77">
        <v>1</v>
      </c>
      <c r="D51" s="86">
        <v>25</v>
      </c>
      <c r="E51" s="44" t="s">
        <v>44</v>
      </c>
      <c r="F51" s="44" t="s">
        <v>36</v>
      </c>
      <c r="G51" s="46" t="s">
        <v>477</v>
      </c>
    </row>
    <row r="52" spans="1:7" hidden="1" x14ac:dyDescent="0.35">
      <c r="A52" s="1" t="s">
        <v>6</v>
      </c>
      <c r="B52" t="s">
        <v>304</v>
      </c>
      <c r="C52" s="77">
        <v>1</v>
      </c>
      <c r="D52" s="86">
        <v>54</v>
      </c>
      <c r="E52" s="44" t="s">
        <v>52</v>
      </c>
      <c r="F52" s="44" t="s">
        <v>20</v>
      </c>
      <c r="G52" s="46" t="s">
        <v>478</v>
      </c>
    </row>
  </sheetData>
  <protectedRanges>
    <protectedRange sqref="D10:D52" name="Amount_2_2"/>
    <protectedRange sqref="D9" name="Amount_2_1_1"/>
  </protectedRanges>
  <autoFilter ref="A8:G52" xr:uid="{BA30BAE6-0516-4BD2-874C-2217E483B8D2}">
    <filterColumn colId="4">
      <filters>
        <filter val="4090000 - Parks"/>
      </filters>
    </filterColumn>
  </autoFilter>
  <mergeCells count="1">
    <mergeCell ref="A1:F1"/>
  </mergeCell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494D-7FC3-45E8-865F-8FD3E4129818}">
  <sheetPr codeName="Sheet24"/>
  <dimension ref="A1:I38"/>
  <sheetViews>
    <sheetView workbookViewId="0">
      <selection activeCell="A5" sqref="A5"/>
    </sheetView>
  </sheetViews>
  <sheetFormatPr defaultColWidth="8.7265625" defaultRowHeight="14.5" x14ac:dyDescent="0.35"/>
  <cols>
    <col min="1" max="1" width="7.453125" customWidth="1"/>
    <col min="2" max="2" width="10.1796875" bestFit="1" customWidth="1"/>
    <col min="3" max="3" width="15.26953125" bestFit="1" customWidth="1"/>
    <col min="4" max="4" width="13.26953125" bestFit="1" customWidth="1"/>
    <col min="5" max="5" width="3.81640625" hidden="1" customWidth="1"/>
    <col min="6" max="6" width="15.453125" bestFit="1" customWidth="1"/>
    <col min="7" max="7" width="13.81640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81">
        <v>132</v>
      </c>
      <c r="G4" s="44" t="s">
        <v>56</v>
      </c>
      <c r="H4" s="44" t="s">
        <v>90</v>
      </c>
      <c r="I4" s="46" t="s">
        <v>480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24">
        <v>40</v>
      </c>
      <c r="G5" s="44" t="s">
        <v>56</v>
      </c>
      <c r="H5" s="34" t="s">
        <v>34</v>
      </c>
      <c r="I5" s="35" t="s">
        <v>483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68">
        <v>14</v>
      </c>
      <c r="G6" s="44" t="s">
        <v>56</v>
      </c>
      <c r="H6" s="34" t="s">
        <v>35</v>
      </c>
      <c r="I6" s="35" t="s">
        <v>483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68">
        <v>14</v>
      </c>
      <c r="G7" s="44" t="s">
        <v>56</v>
      </c>
      <c r="H7" s="34" t="s">
        <v>35</v>
      </c>
      <c r="I7" s="35" t="s">
        <v>485</v>
      </c>
    </row>
    <row r="8" spans="1:9" x14ac:dyDescent="0.3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68">
        <v>40</v>
      </c>
      <c r="G8" s="44" t="s">
        <v>56</v>
      </c>
      <c r="H8" s="34" t="s">
        <v>34</v>
      </c>
      <c r="I8" s="35" t="s">
        <v>486</v>
      </c>
    </row>
    <row r="9" spans="1:9" x14ac:dyDescent="0.3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68">
        <v>14</v>
      </c>
      <c r="G9" s="44" t="s">
        <v>56</v>
      </c>
      <c r="H9" s="34" t="s">
        <v>35</v>
      </c>
      <c r="I9" s="35" t="s">
        <v>486</v>
      </c>
    </row>
    <row r="10" spans="1:9" x14ac:dyDescent="0.3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68">
        <v>25</v>
      </c>
      <c r="G10" s="44" t="s">
        <v>56</v>
      </c>
      <c r="H10" s="34" t="s">
        <v>36</v>
      </c>
      <c r="I10" s="35" t="s">
        <v>489</v>
      </c>
    </row>
    <row r="11" spans="1:9" x14ac:dyDescent="0.3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68">
        <v>25</v>
      </c>
      <c r="G11" s="44" t="s">
        <v>56</v>
      </c>
      <c r="H11" s="34" t="s">
        <v>36</v>
      </c>
      <c r="I11" s="35" t="s">
        <v>490</v>
      </c>
    </row>
    <row r="12" spans="1:9" x14ac:dyDescent="0.3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68">
        <v>79</v>
      </c>
      <c r="G12" s="44" t="s">
        <v>56</v>
      </c>
      <c r="H12" s="34" t="s">
        <v>69</v>
      </c>
      <c r="I12" s="35" t="s">
        <v>493</v>
      </c>
    </row>
    <row r="13" spans="1:9" x14ac:dyDescent="0.35">
      <c r="A13" s="1" t="s">
        <v>73</v>
      </c>
      <c r="B13" t="s">
        <v>199</v>
      </c>
      <c r="C13" s="44" t="s">
        <v>159</v>
      </c>
      <c r="D13" t="s">
        <v>160</v>
      </c>
      <c r="E13" s="77">
        <v>1</v>
      </c>
      <c r="F13" s="68">
        <v>54</v>
      </c>
      <c r="G13" s="44" t="s">
        <v>56</v>
      </c>
      <c r="H13" s="34" t="s">
        <v>20</v>
      </c>
      <c r="I13" s="35" t="s">
        <v>495</v>
      </c>
    </row>
    <row r="14" spans="1:9" x14ac:dyDescent="0.35">
      <c r="A14" s="1" t="s">
        <v>73</v>
      </c>
      <c r="B14" t="s">
        <v>199</v>
      </c>
      <c r="C14" s="44" t="s">
        <v>159</v>
      </c>
      <c r="D14" t="s">
        <v>160</v>
      </c>
      <c r="E14" s="77">
        <v>1</v>
      </c>
      <c r="F14" s="68">
        <v>14</v>
      </c>
      <c r="G14" s="44" t="s">
        <v>56</v>
      </c>
      <c r="H14" s="34" t="s">
        <v>35</v>
      </c>
      <c r="I14" s="35" t="s">
        <v>496</v>
      </c>
    </row>
    <row r="15" spans="1:9" x14ac:dyDescent="0.35">
      <c r="A15" s="1" t="s">
        <v>73</v>
      </c>
      <c r="B15" t="s">
        <v>199</v>
      </c>
      <c r="C15" s="44" t="s">
        <v>159</v>
      </c>
      <c r="D15" t="s">
        <v>160</v>
      </c>
      <c r="E15" s="77">
        <v>1</v>
      </c>
      <c r="F15" s="68">
        <v>54</v>
      </c>
      <c r="G15" s="44" t="s">
        <v>56</v>
      </c>
      <c r="H15" s="34" t="s">
        <v>20</v>
      </c>
      <c r="I15" s="35" t="s">
        <v>497</v>
      </c>
    </row>
    <row r="16" spans="1:9" x14ac:dyDescent="0.35">
      <c r="A16" s="1" t="s">
        <v>73</v>
      </c>
      <c r="B16" t="s">
        <v>199</v>
      </c>
      <c r="C16" s="44" t="s">
        <v>159</v>
      </c>
      <c r="D16" t="s">
        <v>160</v>
      </c>
      <c r="E16" s="77">
        <v>1</v>
      </c>
      <c r="F16" s="68">
        <v>14</v>
      </c>
      <c r="G16" s="44" t="s">
        <v>56</v>
      </c>
      <c r="H16" s="34" t="s">
        <v>35</v>
      </c>
      <c r="I16" s="35" t="s">
        <v>498</v>
      </c>
    </row>
    <row r="17" spans="1:9" x14ac:dyDescent="0.35">
      <c r="A17" s="1" t="s">
        <v>73</v>
      </c>
      <c r="B17" t="s">
        <v>199</v>
      </c>
      <c r="C17" s="44" t="s">
        <v>159</v>
      </c>
      <c r="D17" t="s">
        <v>160</v>
      </c>
      <c r="E17" s="77">
        <v>1</v>
      </c>
      <c r="F17" s="68">
        <v>54</v>
      </c>
      <c r="G17" s="44" t="s">
        <v>56</v>
      </c>
      <c r="H17" s="34" t="s">
        <v>20</v>
      </c>
      <c r="I17" s="35" t="s">
        <v>499</v>
      </c>
    </row>
    <row r="18" spans="1:9" x14ac:dyDescent="0.35">
      <c r="A18" s="1" t="s">
        <v>73</v>
      </c>
      <c r="B18" t="s">
        <v>199</v>
      </c>
      <c r="C18" s="44" t="s">
        <v>159</v>
      </c>
      <c r="D18" t="s">
        <v>160</v>
      </c>
      <c r="E18" s="77">
        <v>1</v>
      </c>
      <c r="F18" s="68">
        <v>54</v>
      </c>
      <c r="G18" s="44" t="s">
        <v>56</v>
      </c>
      <c r="H18" s="34" t="s">
        <v>20</v>
      </c>
      <c r="I18" s="35" t="s">
        <v>500</v>
      </c>
    </row>
    <row r="19" spans="1:9" x14ac:dyDescent="0.35">
      <c r="A19" s="1" t="s">
        <v>73</v>
      </c>
      <c r="B19" t="s">
        <v>199</v>
      </c>
      <c r="C19" s="44" t="s">
        <v>159</v>
      </c>
      <c r="D19" t="s">
        <v>160</v>
      </c>
      <c r="E19" s="77">
        <v>1</v>
      </c>
      <c r="F19" s="68">
        <v>14</v>
      </c>
      <c r="G19" s="44" t="s">
        <v>56</v>
      </c>
      <c r="H19" s="34" t="s">
        <v>35</v>
      </c>
      <c r="I19" s="35" t="s">
        <v>501</v>
      </c>
    </row>
    <row r="20" spans="1:9" x14ac:dyDescent="0.35">
      <c r="A20" s="1" t="s">
        <v>73</v>
      </c>
      <c r="B20" t="s">
        <v>199</v>
      </c>
      <c r="C20" s="44" t="s">
        <v>159</v>
      </c>
      <c r="D20" t="s">
        <v>160</v>
      </c>
      <c r="E20" s="77">
        <v>1</v>
      </c>
      <c r="F20" s="68">
        <v>40</v>
      </c>
      <c r="G20" s="44" t="s">
        <v>56</v>
      </c>
      <c r="H20" s="34" t="s">
        <v>34</v>
      </c>
      <c r="I20" s="35" t="s">
        <v>503</v>
      </c>
    </row>
    <row r="21" spans="1:9" x14ac:dyDescent="0.35">
      <c r="A21" s="1" t="s">
        <v>73</v>
      </c>
      <c r="B21" t="s">
        <v>199</v>
      </c>
      <c r="C21" s="44" t="s">
        <v>159</v>
      </c>
      <c r="D21" t="s">
        <v>160</v>
      </c>
      <c r="E21" s="77">
        <v>1</v>
      </c>
      <c r="F21" s="68">
        <v>14</v>
      </c>
      <c r="G21" s="44" t="s">
        <v>56</v>
      </c>
      <c r="H21" s="34" t="s">
        <v>35</v>
      </c>
      <c r="I21" s="35" t="s">
        <v>504</v>
      </c>
    </row>
    <row r="22" spans="1:9" x14ac:dyDescent="0.35">
      <c r="A22" s="1" t="s">
        <v>73</v>
      </c>
      <c r="B22" t="s">
        <v>199</v>
      </c>
      <c r="C22" s="44" t="s">
        <v>159</v>
      </c>
      <c r="D22" t="s">
        <v>160</v>
      </c>
      <c r="E22" s="77">
        <v>1</v>
      </c>
      <c r="F22" s="68">
        <v>25</v>
      </c>
      <c r="G22" s="44" t="s">
        <v>56</v>
      </c>
      <c r="H22" s="34" t="s">
        <v>36</v>
      </c>
      <c r="I22" s="35" t="s">
        <v>505</v>
      </c>
    </row>
    <row r="23" spans="1:9" x14ac:dyDescent="0.35">
      <c r="A23" s="1" t="s">
        <v>73</v>
      </c>
      <c r="B23" t="s">
        <v>199</v>
      </c>
      <c r="C23" s="44" t="s">
        <v>159</v>
      </c>
      <c r="D23" t="s">
        <v>160</v>
      </c>
      <c r="E23" s="77">
        <v>1</v>
      </c>
      <c r="F23" s="68">
        <v>132</v>
      </c>
      <c r="G23" s="44" t="s">
        <v>56</v>
      </c>
      <c r="H23" s="34" t="s">
        <v>90</v>
      </c>
      <c r="I23" s="35" t="s">
        <v>495</v>
      </c>
    </row>
    <row r="24" spans="1:9" x14ac:dyDescent="0.35">
      <c r="A24" s="1" t="s">
        <v>73</v>
      </c>
      <c r="B24" t="s">
        <v>199</v>
      </c>
      <c r="C24" s="44" t="s">
        <v>159</v>
      </c>
      <c r="D24" t="s">
        <v>160</v>
      </c>
      <c r="E24" s="77">
        <v>1</v>
      </c>
      <c r="F24" s="68">
        <v>166.1</v>
      </c>
      <c r="G24" s="44" t="s">
        <v>56</v>
      </c>
      <c r="H24" s="34" t="s">
        <v>91</v>
      </c>
      <c r="I24" s="35" t="s">
        <v>506</v>
      </c>
    </row>
    <row r="25" spans="1:9" x14ac:dyDescent="0.35">
      <c r="A25" s="1" t="s">
        <v>73</v>
      </c>
      <c r="B25" t="s">
        <v>199</v>
      </c>
      <c r="C25" s="44" t="s">
        <v>159</v>
      </c>
      <c r="D25" t="s">
        <v>160</v>
      </c>
      <c r="E25" s="77">
        <v>1</v>
      </c>
      <c r="F25" s="68">
        <v>132</v>
      </c>
      <c r="G25" s="44" t="s">
        <v>56</v>
      </c>
      <c r="H25" s="34" t="s">
        <v>90</v>
      </c>
      <c r="I25" s="35" t="s">
        <v>507</v>
      </c>
    </row>
    <row r="26" spans="1:9" x14ac:dyDescent="0.35">
      <c r="A26" s="1" t="s">
        <v>73</v>
      </c>
      <c r="B26" t="s">
        <v>199</v>
      </c>
      <c r="C26" s="44" t="s">
        <v>159</v>
      </c>
      <c r="D26" t="s">
        <v>160</v>
      </c>
      <c r="E26" s="77">
        <v>1</v>
      </c>
      <c r="F26" s="68">
        <v>116.1</v>
      </c>
      <c r="G26" s="44" t="s">
        <v>56</v>
      </c>
      <c r="H26" s="34" t="s">
        <v>91</v>
      </c>
      <c r="I26" s="35" t="s">
        <v>508</v>
      </c>
    </row>
    <row r="27" spans="1:9" x14ac:dyDescent="0.35">
      <c r="A27" s="1" t="s">
        <v>73</v>
      </c>
      <c r="B27" t="s">
        <v>199</v>
      </c>
      <c r="C27" s="44" t="s">
        <v>159</v>
      </c>
      <c r="D27" t="s">
        <v>160</v>
      </c>
      <c r="E27" s="77">
        <v>1</v>
      </c>
      <c r="F27" s="68">
        <v>71.75</v>
      </c>
      <c r="G27" s="44" t="s">
        <v>56</v>
      </c>
      <c r="H27" s="34" t="s">
        <v>33</v>
      </c>
      <c r="I27" s="35" t="s">
        <v>515</v>
      </c>
    </row>
    <row r="28" spans="1:9" x14ac:dyDescent="0.35">
      <c r="A28" s="1" t="s">
        <v>73</v>
      </c>
      <c r="B28" t="s">
        <v>199</v>
      </c>
      <c r="C28" s="44" t="s">
        <v>159</v>
      </c>
      <c r="D28" t="s">
        <v>160</v>
      </c>
      <c r="E28" s="77">
        <v>1</v>
      </c>
      <c r="F28" s="68">
        <v>71.75</v>
      </c>
      <c r="G28" s="44" t="s">
        <v>56</v>
      </c>
      <c r="H28" s="34" t="s">
        <v>33</v>
      </c>
      <c r="I28" s="35" t="s">
        <v>516</v>
      </c>
    </row>
    <row r="29" spans="1:9" x14ac:dyDescent="0.35">
      <c r="A29" s="1" t="s">
        <v>73</v>
      </c>
      <c r="B29" t="s">
        <v>199</v>
      </c>
      <c r="C29" s="44" t="s">
        <v>159</v>
      </c>
      <c r="D29" t="s">
        <v>160</v>
      </c>
      <c r="E29" s="77">
        <v>1</v>
      </c>
      <c r="F29" s="68">
        <v>71.75</v>
      </c>
      <c r="G29" s="44" t="s">
        <v>56</v>
      </c>
      <c r="H29" s="34" t="s">
        <v>33</v>
      </c>
      <c r="I29" s="35" t="s">
        <v>517</v>
      </c>
    </row>
    <row r="30" spans="1:9" x14ac:dyDescent="0.35">
      <c r="A30" s="1" t="s">
        <v>73</v>
      </c>
      <c r="B30" t="s">
        <v>199</v>
      </c>
      <c r="C30" s="44" t="s">
        <v>159</v>
      </c>
      <c r="D30" t="s">
        <v>160</v>
      </c>
      <c r="E30" s="77">
        <v>1</v>
      </c>
      <c r="F30" s="68">
        <v>71.75</v>
      </c>
      <c r="G30" s="44" t="s">
        <v>56</v>
      </c>
      <c r="H30" s="34" t="s">
        <v>33</v>
      </c>
      <c r="I30" s="35" t="s">
        <v>518</v>
      </c>
    </row>
    <row r="31" spans="1:9" x14ac:dyDescent="0.35">
      <c r="A31" s="1" t="s">
        <v>73</v>
      </c>
      <c r="B31" t="s">
        <v>199</v>
      </c>
      <c r="C31" s="44" t="s">
        <v>159</v>
      </c>
      <c r="D31" t="s">
        <v>160</v>
      </c>
      <c r="E31" s="77">
        <v>1</v>
      </c>
      <c r="F31" s="68">
        <v>71.75</v>
      </c>
      <c r="G31" s="44" t="s">
        <v>56</v>
      </c>
      <c r="H31" s="34" t="s">
        <v>33</v>
      </c>
      <c r="I31" s="35" t="s">
        <v>480</v>
      </c>
    </row>
    <row r="32" spans="1:9" x14ac:dyDescent="0.35">
      <c r="A32" s="1" t="s">
        <v>73</v>
      </c>
      <c r="B32" t="s">
        <v>199</v>
      </c>
      <c r="C32" s="44" t="s">
        <v>159</v>
      </c>
      <c r="D32" t="s">
        <v>160</v>
      </c>
      <c r="E32" s="77">
        <v>1</v>
      </c>
      <c r="F32" s="68">
        <v>71.75</v>
      </c>
      <c r="G32" s="44" t="s">
        <v>56</v>
      </c>
      <c r="H32" s="34" t="s">
        <v>33</v>
      </c>
      <c r="I32" s="35" t="s">
        <v>519</v>
      </c>
    </row>
    <row r="33" spans="1:9" x14ac:dyDescent="0.35">
      <c r="A33" s="1" t="s">
        <v>73</v>
      </c>
      <c r="B33" t="s">
        <v>199</v>
      </c>
      <c r="C33" s="44" t="s">
        <v>159</v>
      </c>
      <c r="D33" t="s">
        <v>160</v>
      </c>
      <c r="E33" s="77">
        <v>1</v>
      </c>
      <c r="F33" s="68">
        <v>71.75</v>
      </c>
      <c r="G33" s="44" t="s">
        <v>56</v>
      </c>
      <c r="H33" s="34" t="s">
        <v>33</v>
      </c>
      <c r="I33" s="35" t="s">
        <v>520</v>
      </c>
    </row>
    <row r="34" spans="1:9" x14ac:dyDescent="0.35">
      <c r="A34" s="1" t="s">
        <v>73</v>
      </c>
      <c r="B34" t="s">
        <v>199</v>
      </c>
      <c r="C34" s="44" t="s">
        <v>159</v>
      </c>
      <c r="D34" t="s">
        <v>160</v>
      </c>
      <c r="E34" s="77">
        <v>1</v>
      </c>
      <c r="F34" s="68">
        <v>71.75</v>
      </c>
      <c r="G34" s="44" t="s">
        <v>56</v>
      </c>
      <c r="H34" s="34" t="s">
        <v>33</v>
      </c>
      <c r="I34" s="35" t="s">
        <v>521</v>
      </c>
    </row>
    <row r="35" spans="1:9" x14ac:dyDescent="0.35">
      <c r="A35" s="1" t="s">
        <v>73</v>
      </c>
      <c r="B35" t="s">
        <v>199</v>
      </c>
      <c r="C35" s="44" t="s">
        <v>159</v>
      </c>
      <c r="D35" t="s">
        <v>160</v>
      </c>
      <c r="E35" s="77">
        <v>1</v>
      </c>
      <c r="F35" s="68">
        <v>71.75</v>
      </c>
      <c r="G35" s="44" t="s">
        <v>56</v>
      </c>
      <c r="H35" s="34" t="s">
        <v>33</v>
      </c>
      <c r="I35" s="35" t="s">
        <v>522</v>
      </c>
    </row>
    <row r="36" spans="1:9" x14ac:dyDescent="0.35">
      <c r="A36" s="1" t="s">
        <v>73</v>
      </c>
      <c r="B36" t="s">
        <v>199</v>
      </c>
      <c r="C36" s="44" t="s">
        <v>159</v>
      </c>
      <c r="D36" t="s">
        <v>160</v>
      </c>
      <c r="E36" s="77">
        <v>1</v>
      </c>
      <c r="F36" s="68">
        <v>71.75</v>
      </c>
      <c r="G36" s="44" t="s">
        <v>56</v>
      </c>
      <c r="H36" s="34" t="s">
        <v>33</v>
      </c>
      <c r="I36" s="35" t="s">
        <v>523</v>
      </c>
    </row>
    <row r="37" spans="1:9" x14ac:dyDescent="0.35">
      <c r="A37" s="1" t="s">
        <v>73</v>
      </c>
      <c r="B37" t="s">
        <v>199</v>
      </c>
      <c r="C37" s="44" t="s">
        <v>159</v>
      </c>
      <c r="D37" t="s">
        <v>160</v>
      </c>
      <c r="E37" s="77">
        <v>1</v>
      </c>
      <c r="F37" s="68">
        <v>71.75</v>
      </c>
      <c r="G37" s="44" t="s">
        <v>56</v>
      </c>
      <c r="H37" s="34" t="s">
        <v>33</v>
      </c>
      <c r="I37" s="35" t="s">
        <v>524</v>
      </c>
    </row>
    <row r="38" spans="1:9" x14ac:dyDescent="0.35">
      <c r="A38" s="1" t="s">
        <v>73</v>
      </c>
      <c r="B38" t="s">
        <v>199</v>
      </c>
      <c r="C38" s="44" t="s">
        <v>159</v>
      </c>
      <c r="D38" t="s">
        <v>160</v>
      </c>
      <c r="E38" s="77">
        <v>1</v>
      </c>
      <c r="F38" s="68">
        <v>71.75</v>
      </c>
      <c r="G38" s="44" t="s">
        <v>56</v>
      </c>
      <c r="H38" s="34" t="s">
        <v>33</v>
      </c>
      <c r="I38" s="35" t="s">
        <v>525</v>
      </c>
    </row>
  </sheetData>
  <protectedRanges>
    <protectedRange sqref="F4" name="Amount_2"/>
    <protectedRange sqref="F5:F6" name="Amount_2_4"/>
    <protectedRange sqref="F7:F9" name="Amount_2_4_1"/>
    <protectedRange sqref="F10:F11" name="Amount_2_4_2"/>
    <protectedRange sqref="F12" name="Amount_2_4_3"/>
    <protectedRange sqref="F13:F19" name="Amount_2_4_4"/>
    <protectedRange sqref="F20:F26" name="Amount_2_4_5"/>
    <protectedRange sqref="F27:F38" name="Amount_2_4_6"/>
  </protectedRanges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BF1A-4588-463D-A42E-E038D72A07D9}">
  <sheetPr codeName="Sheet25" filterMode="1"/>
  <dimension ref="A1:G76"/>
  <sheetViews>
    <sheetView zoomScaleNormal="100" workbookViewId="0">
      <selection activeCell="E71" sqref="E71"/>
    </sheetView>
  </sheetViews>
  <sheetFormatPr defaultColWidth="8.7265625" defaultRowHeight="14.5" x14ac:dyDescent="0.35"/>
  <cols>
    <col min="1" max="1" width="19.7265625" customWidth="1"/>
    <col min="2" max="2" width="16.7265625" bestFit="1" customWidth="1"/>
    <col min="3" max="3" width="4.1796875" hidden="1" customWidth="1"/>
    <col min="4" max="4" width="17.7265625" bestFit="1" customWidth="1"/>
    <col min="5" max="5" width="34.54296875" bestFit="1" customWidth="1"/>
    <col min="6" max="6" width="47.1796875" bestFit="1" customWidth="1"/>
    <col min="7" max="7" width="29.45312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590</v>
      </c>
    </row>
    <row r="4" spans="1:7" x14ac:dyDescent="0.35">
      <c r="A4" s="8" t="s">
        <v>29</v>
      </c>
      <c r="B4" s="9">
        <v>44754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77" t="s">
        <v>7</v>
      </c>
      <c r="C9" s="77">
        <v>1</v>
      </c>
      <c r="D9" s="78">
        <f>-SUM(D10:D70)</f>
        <v>-4169.5999999999995</v>
      </c>
      <c r="E9" s="79" t="s">
        <v>12</v>
      </c>
      <c r="F9" s="79" t="s">
        <v>13</v>
      </c>
      <c r="G9" s="80">
        <v>44682</v>
      </c>
    </row>
    <row r="10" spans="1:7" x14ac:dyDescent="0.35">
      <c r="A10" s="76" t="s">
        <v>6</v>
      </c>
      <c r="B10" t="s">
        <v>142</v>
      </c>
      <c r="C10" s="77">
        <v>1</v>
      </c>
      <c r="D10" s="24">
        <v>132</v>
      </c>
      <c r="E10" s="44" t="s">
        <v>44</v>
      </c>
      <c r="F10" s="44" t="s">
        <v>90</v>
      </c>
      <c r="G10" s="46" t="s">
        <v>477</v>
      </c>
    </row>
    <row r="11" spans="1:7" hidden="1" x14ac:dyDescent="0.35">
      <c r="A11" s="76" t="s">
        <v>73</v>
      </c>
      <c r="B11" t="s">
        <v>163</v>
      </c>
      <c r="C11" s="77">
        <v>1</v>
      </c>
      <c r="D11" s="81">
        <v>132</v>
      </c>
      <c r="E11" s="44" t="s">
        <v>56</v>
      </c>
      <c r="F11" s="44" t="s">
        <v>90</v>
      </c>
      <c r="G11" s="46" t="s">
        <v>480</v>
      </c>
    </row>
    <row r="12" spans="1:7" x14ac:dyDescent="0.35">
      <c r="A12" s="76" t="s">
        <v>6</v>
      </c>
      <c r="B12" t="s">
        <v>219</v>
      </c>
      <c r="C12" s="77">
        <v>1</v>
      </c>
      <c r="D12" s="81">
        <v>132</v>
      </c>
      <c r="E12" s="34" t="s">
        <v>50</v>
      </c>
      <c r="F12" s="34" t="s">
        <v>90</v>
      </c>
      <c r="G12" s="35" t="s">
        <v>481</v>
      </c>
    </row>
    <row r="13" spans="1:7" x14ac:dyDescent="0.35">
      <c r="A13" s="76" t="s">
        <v>6</v>
      </c>
      <c r="B13" t="s">
        <v>219</v>
      </c>
      <c r="C13" s="77">
        <v>1</v>
      </c>
      <c r="D13" s="24">
        <v>166.1</v>
      </c>
      <c r="E13" s="44" t="s">
        <v>50</v>
      </c>
      <c r="F13" s="34" t="s">
        <v>91</v>
      </c>
      <c r="G13" s="35" t="s">
        <v>482</v>
      </c>
    </row>
    <row r="14" spans="1:7" hidden="1" x14ac:dyDescent="0.35">
      <c r="A14" s="76" t="s">
        <v>73</v>
      </c>
      <c r="B14" t="s">
        <v>163</v>
      </c>
      <c r="C14" s="77">
        <v>1</v>
      </c>
      <c r="D14" s="24">
        <v>40</v>
      </c>
      <c r="E14" s="44" t="s">
        <v>56</v>
      </c>
      <c r="F14" s="34" t="s">
        <v>34</v>
      </c>
      <c r="G14" s="35" t="s">
        <v>483</v>
      </c>
    </row>
    <row r="15" spans="1:7" hidden="1" x14ac:dyDescent="0.35">
      <c r="A15" s="76" t="s">
        <v>73</v>
      </c>
      <c r="B15" t="s">
        <v>163</v>
      </c>
      <c r="C15" s="77">
        <v>1</v>
      </c>
      <c r="D15" s="68">
        <v>14</v>
      </c>
      <c r="E15" s="44" t="s">
        <v>56</v>
      </c>
      <c r="F15" s="34" t="s">
        <v>35</v>
      </c>
      <c r="G15" s="35" t="s">
        <v>483</v>
      </c>
    </row>
    <row r="16" spans="1:7" x14ac:dyDescent="0.35">
      <c r="A16" s="76" t="s">
        <v>6</v>
      </c>
      <c r="B16" t="s">
        <v>219</v>
      </c>
      <c r="C16" s="77">
        <v>1</v>
      </c>
      <c r="D16" s="81">
        <v>40</v>
      </c>
      <c r="E16" s="34" t="s">
        <v>50</v>
      </c>
      <c r="F16" s="34" t="s">
        <v>34</v>
      </c>
      <c r="G16" s="35" t="s">
        <v>484</v>
      </c>
    </row>
    <row r="17" spans="1:7" x14ac:dyDescent="0.35">
      <c r="A17" s="76" t="s">
        <v>6</v>
      </c>
      <c r="B17" t="s">
        <v>219</v>
      </c>
      <c r="C17" s="77">
        <v>1</v>
      </c>
      <c r="D17" s="24">
        <v>14</v>
      </c>
      <c r="E17" s="34" t="s">
        <v>50</v>
      </c>
      <c r="F17" s="34" t="s">
        <v>35</v>
      </c>
      <c r="G17" s="35" t="s">
        <v>484</v>
      </c>
    </row>
    <row r="18" spans="1:7" hidden="1" x14ac:dyDescent="0.35">
      <c r="A18" s="76" t="s">
        <v>73</v>
      </c>
      <c r="B18" t="s">
        <v>163</v>
      </c>
      <c r="C18" s="77">
        <v>1</v>
      </c>
      <c r="D18" s="68">
        <v>14</v>
      </c>
      <c r="E18" s="34" t="s">
        <v>56</v>
      </c>
      <c r="F18" s="34" t="s">
        <v>35</v>
      </c>
      <c r="G18" s="35" t="s">
        <v>485</v>
      </c>
    </row>
    <row r="19" spans="1:7" hidden="1" x14ac:dyDescent="0.35">
      <c r="A19" s="76" t="s">
        <v>73</v>
      </c>
      <c r="B19" t="s">
        <v>163</v>
      </c>
      <c r="C19" s="77">
        <v>1</v>
      </c>
      <c r="D19" s="68">
        <v>40</v>
      </c>
      <c r="E19" s="34" t="s">
        <v>56</v>
      </c>
      <c r="F19" s="34" t="s">
        <v>34</v>
      </c>
      <c r="G19" s="35" t="s">
        <v>486</v>
      </c>
    </row>
    <row r="20" spans="1:7" hidden="1" x14ac:dyDescent="0.35">
      <c r="A20" s="76" t="s">
        <v>73</v>
      </c>
      <c r="B20" t="s">
        <v>163</v>
      </c>
      <c r="C20" s="77">
        <v>1</v>
      </c>
      <c r="D20" s="68">
        <v>14</v>
      </c>
      <c r="E20" s="34" t="s">
        <v>56</v>
      </c>
      <c r="F20" s="34" t="s">
        <v>35</v>
      </c>
      <c r="G20" s="35" t="s">
        <v>486</v>
      </c>
    </row>
    <row r="21" spans="1:7" x14ac:dyDescent="0.35">
      <c r="A21" s="76" t="s">
        <v>23</v>
      </c>
      <c r="B21" t="s">
        <v>211</v>
      </c>
      <c r="C21" s="77">
        <v>1</v>
      </c>
      <c r="D21" s="68">
        <v>14</v>
      </c>
      <c r="E21" s="34" t="s">
        <v>62</v>
      </c>
      <c r="F21" s="34" t="s">
        <v>35</v>
      </c>
      <c r="G21" s="35" t="s">
        <v>487</v>
      </c>
    </row>
    <row r="22" spans="1:7" x14ac:dyDescent="0.35">
      <c r="A22" s="76" t="s">
        <v>23</v>
      </c>
      <c r="B22" t="s">
        <v>211</v>
      </c>
      <c r="C22" s="77">
        <v>1</v>
      </c>
      <c r="D22" s="68">
        <v>40</v>
      </c>
      <c r="E22" s="34" t="s">
        <v>62</v>
      </c>
      <c r="F22" s="34" t="s">
        <v>34</v>
      </c>
      <c r="G22" s="35" t="s">
        <v>488</v>
      </c>
    </row>
    <row r="23" spans="1:7" x14ac:dyDescent="0.35">
      <c r="A23" s="76" t="s">
        <v>23</v>
      </c>
      <c r="B23" t="s">
        <v>211</v>
      </c>
      <c r="C23" s="77">
        <v>1</v>
      </c>
      <c r="D23" s="68">
        <v>14</v>
      </c>
      <c r="E23" s="34" t="s">
        <v>62</v>
      </c>
      <c r="F23" s="34" t="s">
        <v>35</v>
      </c>
      <c r="G23" s="35" t="s">
        <v>488</v>
      </c>
    </row>
    <row r="24" spans="1:7" hidden="1" x14ac:dyDescent="0.35">
      <c r="A24" s="76" t="s">
        <v>73</v>
      </c>
      <c r="B24" t="s">
        <v>163</v>
      </c>
      <c r="C24" s="77">
        <v>1</v>
      </c>
      <c r="D24" s="68">
        <v>25</v>
      </c>
      <c r="E24" s="34" t="s">
        <v>56</v>
      </c>
      <c r="F24" s="34" t="s">
        <v>36</v>
      </c>
      <c r="G24" s="35" t="s">
        <v>489</v>
      </c>
    </row>
    <row r="25" spans="1:7" hidden="1" x14ac:dyDescent="0.35">
      <c r="A25" s="76" t="s">
        <v>73</v>
      </c>
      <c r="B25" t="s">
        <v>163</v>
      </c>
      <c r="C25" s="77">
        <v>1</v>
      </c>
      <c r="D25" s="68">
        <v>25</v>
      </c>
      <c r="E25" s="34" t="s">
        <v>56</v>
      </c>
      <c r="F25" s="34" t="s">
        <v>36</v>
      </c>
      <c r="G25" s="35" t="s">
        <v>490</v>
      </c>
    </row>
    <row r="26" spans="1:7" x14ac:dyDescent="0.35">
      <c r="A26" s="76" t="s">
        <v>23</v>
      </c>
      <c r="B26" t="s">
        <v>211</v>
      </c>
      <c r="C26" s="77">
        <v>1</v>
      </c>
      <c r="D26" s="68">
        <v>14</v>
      </c>
      <c r="E26" s="34" t="s">
        <v>62</v>
      </c>
      <c r="F26" s="34" t="s">
        <v>35</v>
      </c>
      <c r="G26" s="35" t="s">
        <v>491</v>
      </c>
    </row>
    <row r="27" spans="1:7" x14ac:dyDescent="0.35">
      <c r="A27" s="76" t="s">
        <v>23</v>
      </c>
      <c r="B27" t="s">
        <v>211</v>
      </c>
      <c r="C27" s="77">
        <v>1</v>
      </c>
      <c r="D27" s="68">
        <v>14</v>
      </c>
      <c r="E27" s="34" t="s">
        <v>62</v>
      </c>
      <c r="F27" s="34" t="s">
        <v>35</v>
      </c>
      <c r="G27" s="35" t="s">
        <v>492</v>
      </c>
    </row>
    <row r="28" spans="1:7" hidden="1" x14ac:dyDescent="0.35">
      <c r="A28" s="76" t="s">
        <v>73</v>
      </c>
      <c r="B28" t="s">
        <v>163</v>
      </c>
      <c r="C28" s="77">
        <v>1</v>
      </c>
      <c r="D28" s="68">
        <v>79</v>
      </c>
      <c r="E28" s="34" t="s">
        <v>56</v>
      </c>
      <c r="F28" s="34" t="s">
        <v>69</v>
      </c>
      <c r="G28" s="35" t="s">
        <v>493</v>
      </c>
    </row>
    <row r="29" spans="1:7" x14ac:dyDescent="0.35">
      <c r="A29" s="76" t="s">
        <v>6</v>
      </c>
      <c r="B29" t="s">
        <v>219</v>
      </c>
      <c r="C29" s="77">
        <v>1</v>
      </c>
      <c r="D29" s="68">
        <v>54</v>
      </c>
      <c r="E29" s="34" t="s">
        <v>50</v>
      </c>
      <c r="F29" s="34" t="s">
        <v>20</v>
      </c>
      <c r="G29" s="35" t="s">
        <v>494</v>
      </c>
    </row>
    <row r="30" spans="1:7" hidden="1" x14ac:dyDescent="0.35">
      <c r="A30" s="76" t="s">
        <v>73</v>
      </c>
      <c r="B30" t="s">
        <v>163</v>
      </c>
      <c r="C30" s="77">
        <v>1</v>
      </c>
      <c r="D30" s="68">
        <v>54</v>
      </c>
      <c r="E30" s="34" t="s">
        <v>56</v>
      </c>
      <c r="F30" s="34" t="s">
        <v>20</v>
      </c>
      <c r="G30" s="35" t="s">
        <v>495</v>
      </c>
    </row>
    <row r="31" spans="1:7" hidden="1" x14ac:dyDescent="0.35">
      <c r="A31" s="76" t="s">
        <v>73</v>
      </c>
      <c r="B31" t="s">
        <v>163</v>
      </c>
      <c r="C31" s="77">
        <v>1</v>
      </c>
      <c r="D31" s="68">
        <v>14</v>
      </c>
      <c r="E31" s="34" t="s">
        <v>56</v>
      </c>
      <c r="F31" s="34" t="s">
        <v>35</v>
      </c>
      <c r="G31" s="35" t="s">
        <v>496</v>
      </c>
    </row>
    <row r="32" spans="1:7" hidden="1" x14ac:dyDescent="0.35">
      <c r="A32" s="76" t="s">
        <v>73</v>
      </c>
      <c r="B32" t="s">
        <v>163</v>
      </c>
      <c r="C32" s="77">
        <v>1</v>
      </c>
      <c r="D32" s="68">
        <v>54</v>
      </c>
      <c r="E32" s="34" t="s">
        <v>56</v>
      </c>
      <c r="F32" s="34" t="s">
        <v>20</v>
      </c>
      <c r="G32" s="35" t="s">
        <v>497</v>
      </c>
    </row>
    <row r="33" spans="1:7" hidden="1" x14ac:dyDescent="0.35">
      <c r="A33" s="76" t="s">
        <v>73</v>
      </c>
      <c r="B33" t="s">
        <v>163</v>
      </c>
      <c r="C33" s="77">
        <v>1</v>
      </c>
      <c r="D33" s="68">
        <v>14</v>
      </c>
      <c r="E33" s="34" t="s">
        <v>56</v>
      </c>
      <c r="F33" s="34" t="s">
        <v>35</v>
      </c>
      <c r="G33" s="35" t="s">
        <v>498</v>
      </c>
    </row>
    <row r="34" spans="1:7" hidden="1" x14ac:dyDescent="0.35">
      <c r="A34" s="76" t="s">
        <v>73</v>
      </c>
      <c r="B34" t="s">
        <v>163</v>
      </c>
      <c r="C34" s="77">
        <v>1</v>
      </c>
      <c r="D34" s="68">
        <v>54</v>
      </c>
      <c r="E34" s="34" t="s">
        <v>56</v>
      </c>
      <c r="F34" s="34" t="s">
        <v>20</v>
      </c>
      <c r="G34" s="35" t="s">
        <v>499</v>
      </c>
    </row>
    <row r="35" spans="1:7" hidden="1" x14ac:dyDescent="0.35">
      <c r="A35" s="76" t="s">
        <v>73</v>
      </c>
      <c r="B35" t="s">
        <v>163</v>
      </c>
      <c r="C35" s="77">
        <v>1</v>
      </c>
      <c r="D35" s="68">
        <v>54</v>
      </c>
      <c r="E35" s="34" t="s">
        <v>56</v>
      </c>
      <c r="F35" s="34" t="s">
        <v>20</v>
      </c>
      <c r="G35" s="35" t="s">
        <v>500</v>
      </c>
    </row>
    <row r="36" spans="1:7" hidden="1" x14ac:dyDescent="0.35">
      <c r="A36" s="76" t="s">
        <v>73</v>
      </c>
      <c r="B36" t="s">
        <v>163</v>
      </c>
      <c r="C36" s="77">
        <v>1</v>
      </c>
      <c r="D36" s="68">
        <v>14</v>
      </c>
      <c r="E36" s="34" t="s">
        <v>56</v>
      </c>
      <c r="F36" s="34" t="s">
        <v>35</v>
      </c>
      <c r="G36" s="35" t="s">
        <v>501</v>
      </c>
    </row>
    <row r="37" spans="1:7" x14ac:dyDescent="0.35">
      <c r="A37" s="76" t="s">
        <v>6</v>
      </c>
      <c r="B37" t="s">
        <v>88</v>
      </c>
      <c r="C37" s="77">
        <v>1</v>
      </c>
      <c r="D37" s="68">
        <v>40</v>
      </c>
      <c r="E37" s="34" t="s">
        <v>83</v>
      </c>
      <c r="F37" s="34" t="s">
        <v>34</v>
      </c>
      <c r="G37" s="35" t="s">
        <v>502</v>
      </c>
    </row>
    <row r="38" spans="1:7" hidden="1" x14ac:dyDescent="0.35">
      <c r="A38" s="76" t="s">
        <v>73</v>
      </c>
      <c r="B38" t="s">
        <v>163</v>
      </c>
      <c r="C38" s="77">
        <v>1</v>
      </c>
      <c r="D38" s="68">
        <v>40</v>
      </c>
      <c r="E38" s="34" t="s">
        <v>56</v>
      </c>
      <c r="F38" s="34" t="s">
        <v>34</v>
      </c>
      <c r="G38" s="35" t="s">
        <v>503</v>
      </c>
    </row>
    <row r="39" spans="1:7" hidden="1" x14ac:dyDescent="0.35">
      <c r="A39" s="76" t="s">
        <v>73</v>
      </c>
      <c r="B39" t="s">
        <v>163</v>
      </c>
      <c r="C39" s="77">
        <v>1</v>
      </c>
      <c r="D39" s="68">
        <v>14</v>
      </c>
      <c r="E39" s="34" t="s">
        <v>56</v>
      </c>
      <c r="F39" s="34" t="s">
        <v>35</v>
      </c>
      <c r="G39" s="35" t="s">
        <v>504</v>
      </c>
    </row>
    <row r="40" spans="1:7" hidden="1" x14ac:dyDescent="0.35">
      <c r="A40" s="76" t="s">
        <v>73</v>
      </c>
      <c r="B40" t="s">
        <v>163</v>
      </c>
      <c r="C40" s="77">
        <v>1</v>
      </c>
      <c r="D40" s="68">
        <v>25</v>
      </c>
      <c r="E40" s="34" t="s">
        <v>56</v>
      </c>
      <c r="F40" s="34" t="s">
        <v>36</v>
      </c>
      <c r="G40" s="35" t="s">
        <v>505</v>
      </c>
    </row>
    <row r="41" spans="1:7" hidden="1" x14ac:dyDescent="0.35">
      <c r="A41" s="76" t="s">
        <v>73</v>
      </c>
      <c r="B41" t="s">
        <v>163</v>
      </c>
      <c r="C41" s="77">
        <v>1</v>
      </c>
      <c r="D41" s="68">
        <v>132</v>
      </c>
      <c r="E41" s="34" t="s">
        <v>56</v>
      </c>
      <c r="F41" s="34" t="s">
        <v>90</v>
      </c>
      <c r="G41" s="35" t="s">
        <v>495</v>
      </c>
    </row>
    <row r="42" spans="1:7" hidden="1" x14ac:dyDescent="0.35">
      <c r="A42" s="76" t="s">
        <v>73</v>
      </c>
      <c r="B42" t="s">
        <v>163</v>
      </c>
      <c r="C42" s="77">
        <v>1</v>
      </c>
      <c r="D42" s="68">
        <v>166.1</v>
      </c>
      <c r="E42" s="34" t="s">
        <v>56</v>
      </c>
      <c r="F42" s="34" t="s">
        <v>91</v>
      </c>
      <c r="G42" s="35" t="s">
        <v>506</v>
      </c>
    </row>
    <row r="43" spans="1:7" hidden="1" x14ac:dyDescent="0.35">
      <c r="A43" s="76" t="s">
        <v>73</v>
      </c>
      <c r="B43" t="s">
        <v>163</v>
      </c>
      <c r="C43" s="77">
        <v>1</v>
      </c>
      <c r="D43" s="68">
        <v>132</v>
      </c>
      <c r="E43" s="34" t="s">
        <v>56</v>
      </c>
      <c r="F43" s="34" t="s">
        <v>90</v>
      </c>
      <c r="G43" s="35" t="s">
        <v>507</v>
      </c>
    </row>
    <row r="44" spans="1:7" hidden="1" x14ac:dyDescent="0.35">
      <c r="A44" s="76" t="s">
        <v>73</v>
      </c>
      <c r="B44" t="s">
        <v>163</v>
      </c>
      <c r="C44" s="77">
        <v>1</v>
      </c>
      <c r="D44" s="68">
        <v>116.1</v>
      </c>
      <c r="E44" s="34" t="s">
        <v>56</v>
      </c>
      <c r="F44" s="34" t="s">
        <v>91</v>
      </c>
      <c r="G44" s="35" t="s">
        <v>508</v>
      </c>
    </row>
    <row r="45" spans="1:7" x14ac:dyDescent="0.35">
      <c r="A45" s="76" t="s">
        <v>6</v>
      </c>
      <c r="B45" t="s">
        <v>219</v>
      </c>
      <c r="C45" s="77">
        <v>1</v>
      </c>
      <c r="D45" s="68">
        <v>132</v>
      </c>
      <c r="E45" s="34" t="s">
        <v>50</v>
      </c>
      <c r="F45" s="34" t="s">
        <v>90</v>
      </c>
      <c r="G45" s="35" t="s">
        <v>509</v>
      </c>
    </row>
    <row r="46" spans="1:7" x14ac:dyDescent="0.35">
      <c r="A46" s="76" t="s">
        <v>6</v>
      </c>
      <c r="B46" t="s">
        <v>219</v>
      </c>
      <c r="C46" s="77">
        <v>1</v>
      </c>
      <c r="D46" s="68">
        <v>116.1</v>
      </c>
      <c r="E46" s="34" t="s">
        <v>50</v>
      </c>
      <c r="F46" s="34" t="s">
        <v>91</v>
      </c>
      <c r="G46" s="35" t="s">
        <v>510</v>
      </c>
    </row>
    <row r="47" spans="1:7" x14ac:dyDescent="0.35">
      <c r="A47" s="76" t="s">
        <v>23</v>
      </c>
      <c r="B47" t="s">
        <v>244</v>
      </c>
      <c r="C47" s="77">
        <v>1</v>
      </c>
      <c r="D47" s="68">
        <v>132</v>
      </c>
      <c r="E47" s="34" t="s">
        <v>64</v>
      </c>
      <c r="F47" s="34" t="s">
        <v>90</v>
      </c>
      <c r="G47" s="35" t="s">
        <v>511</v>
      </c>
    </row>
    <row r="48" spans="1:7" x14ac:dyDescent="0.35">
      <c r="A48" s="76" t="s">
        <v>23</v>
      </c>
      <c r="B48" t="s">
        <v>244</v>
      </c>
      <c r="C48" s="77">
        <v>1</v>
      </c>
      <c r="D48" s="68">
        <v>116.1</v>
      </c>
      <c r="E48" s="34" t="s">
        <v>64</v>
      </c>
      <c r="F48" s="34" t="s">
        <v>91</v>
      </c>
      <c r="G48" s="35" t="s">
        <v>512</v>
      </c>
    </row>
    <row r="49" spans="1:7" x14ac:dyDescent="0.35">
      <c r="A49" s="76" t="s">
        <v>6</v>
      </c>
      <c r="B49" t="s">
        <v>219</v>
      </c>
      <c r="C49" s="77">
        <v>1</v>
      </c>
      <c r="D49" s="68">
        <v>166.1</v>
      </c>
      <c r="E49" s="34" t="s">
        <v>50</v>
      </c>
      <c r="F49" s="34" t="s">
        <v>91</v>
      </c>
      <c r="G49" s="35" t="s">
        <v>513</v>
      </c>
    </row>
    <row r="50" spans="1:7" x14ac:dyDescent="0.35">
      <c r="A50" s="76" t="s">
        <v>6</v>
      </c>
      <c r="B50" t="s">
        <v>219</v>
      </c>
      <c r="C50" s="77">
        <v>1</v>
      </c>
      <c r="D50" s="68">
        <v>132</v>
      </c>
      <c r="E50" s="34" t="s">
        <v>50</v>
      </c>
      <c r="F50" s="34" t="s">
        <v>90</v>
      </c>
      <c r="G50" s="35" t="s">
        <v>514</v>
      </c>
    </row>
    <row r="51" spans="1:7" hidden="1" x14ac:dyDescent="0.35">
      <c r="A51" s="76" t="s">
        <v>73</v>
      </c>
      <c r="B51" t="s">
        <v>163</v>
      </c>
      <c r="C51" s="77">
        <v>1</v>
      </c>
      <c r="D51" s="68">
        <v>71.75</v>
      </c>
      <c r="E51" s="34" t="s">
        <v>56</v>
      </c>
      <c r="F51" s="34" t="s">
        <v>33</v>
      </c>
      <c r="G51" s="35" t="s">
        <v>515</v>
      </c>
    </row>
    <row r="52" spans="1:7" hidden="1" x14ac:dyDescent="0.35">
      <c r="A52" s="76" t="s">
        <v>73</v>
      </c>
      <c r="B52" t="s">
        <v>163</v>
      </c>
      <c r="C52" s="77">
        <v>1</v>
      </c>
      <c r="D52" s="68">
        <v>71.75</v>
      </c>
      <c r="E52" s="34" t="s">
        <v>56</v>
      </c>
      <c r="F52" s="34" t="s">
        <v>33</v>
      </c>
      <c r="G52" s="35" t="s">
        <v>516</v>
      </c>
    </row>
    <row r="53" spans="1:7" hidden="1" x14ac:dyDescent="0.35">
      <c r="A53" s="76" t="s">
        <v>73</v>
      </c>
      <c r="B53" t="s">
        <v>163</v>
      </c>
      <c r="C53" s="77">
        <v>1</v>
      </c>
      <c r="D53" s="68">
        <v>71.75</v>
      </c>
      <c r="E53" s="34" t="s">
        <v>56</v>
      </c>
      <c r="F53" s="34" t="s">
        <v>33</v>
      </c>
      <c r="G53" s="35" t="s">
        <v>517</v>
      </c>
    </row>
    <row r="54" spans="1:7" hidden="1" x14ac:dyDescent="0.35">
      <c r="A54" s="76" t="s">
        <v>73</v>
      </c>
      <c r="B54" t="s">
        <v>163</v>
      </c>
      <c r="C54" s="77">
        <v>1</v>
      </c>
      <c r="D54" s="68">
        <v>71.75</v>
      </c>
      <c r="E54" s="34" t="s">
        <v>56</v>
      </c>
      <c r="F54" s="34" t="s">
        <v>33</v>
      </c>
      <c r="G54" s="35" t="s">
        <v>518</v>
      </c>
    </row>
    <row r="55" spans="1:7" hidden="1" x14ac:dyDescent="0.35">
      <c r="A55" s="76" t="s">
        <v>73</v>
      </c>
      <c r="B55" t="s">
        <v>163</v>
      </c>
      <c r="C55" s="77">
        <v>1</v>
      </c>
      <c r="D55" s="68">
        <v>71.75</v>
      </c>
      <c r="E55" s="34" t="s">
        <v>56</v>
      </c>
      <c r="F55" s="34" t="s">
        <v>33</v>
      </c>
      <c r="G55" s="35" t="s">
        <v>480</v>
      </c>
    </row>
    <row r="56" spans="1:7" hidden="1" x14ac:dyDescent="0.35">
      <c r="A56" s="76" t="s">
        <v>73</v>
      </c>
      <c r="B56" t="s">
        <v>163</v>
      </c>
      <c r="C56" s="77">
        <v>1</v>
      </c>
      <c r="D56" s="68">
        <v>71.75</v>
      </c>
      <c r="E56" s="34" t="s">
        <v>56</v>
      </c>
      <c r="F56" s="34" t="s">
        <v>33</v>
      </c>
      <c r="G56" s="35" t="s">
        <v>519</v>
      </c>
    </row>
    <row r="57" spans="1:7" hidden="1" x14ac:dyDescent="0.35">
      <c r="A57" s="76" t="s">
        <v>73</v>
      </c>
      <c r="B57" t="s">
        <v>163</v>
      </c>
      <c r="C57" s="77">
        <v>1</v>
      </c>
      <c r="D57" s="68">
        <v>71.75</v>
      </c>
      <c r="E57" s="34" t="s">
        <v>56</v>
      </c>
      <c r="F57" s="34" t="s">
        <v>33</v>
      </c>
      <c r="G57" s="35" t="s">
        <v>520</v>
      </c>
    </row>
    <row r="58" spans="1:7" hidden="1" x14ac:dyDescent="0.35">
      <c r="A58" s="76" t="s">
        <v>73</v>
      </c>
      <c r="B58" t="s">
        <v>163</v>
      </c>
      <c r="C58" s="77">
        <v>1</v>
      </c>
      <c r="D58" s="68">
        <v>71.75</v>
      </c>
      <c r="E58" s="34" t="s">
        <v>56</v>
      </c>
      <c r="F58" s="34" t="s">
        <v>33</v>
      </c>
      <c r="G58" s="35" t="s">
        <v>521</v>
      </c>
    </row>
    <row r="59" spans="1:7" hidden="1" x14ac:dyDescent="0.35">
      <c r="A59" s="76" t="s">
        <v>73</v>
      </c>
      <c r="B59" t="s">
        <v>163</v>
      </c>
      <c r="C59" s="77">
        <v>1</v>
      </c>
      <c r="D59" s="68">
        <v>71.75</v>
      </c>
      <c r="E59" s="34" t="s">
        <v>56</v>
      </c>
      <c r="F59" s="34" t="s">
        <v>33</v>
      </c>
      <c r="G59" s="35" t="s">
        <v>522</v>
      </c>
    </row>
    <row r="60" spans="1:7" hidden="1" x14ac:dyDescent="0.35">
      <c r="A60" s="76" t="s">
        <v>73</v>
      </c>
      <c r="B60" t="s">
        <v>163</v>
      </c>
      <c r="C60" s="77">
        <v>1</v>
      </c>
      <c r="D60" s="68">
        <v>71.75</v>
      </c>
      <c r="E60" s="34" t="s">
        <v>56</v>
      </c>
      <c r="F60" s="34" t="s">
        <v>33</v>
      </c>
      <c r="G60" s="35" t="s">
        <v>523</v>
      </c>
    </row>
    <row r="61" spans="1:7" hidden="1" x14ac:dyDescent="0.35">
      <c r="A61" s="76" t="s">
        <v>73</v>
      </c>
      <c r="B61" t="s">
        <v>163</v>
      </c>
      <c r="C61" s="77">
        <v>1</v>
      </c>
      <c r="D61" s="68">
        <v>71.75</v>
      </c>
      <c r="E61" s="34" t="s">
        <v>56</v>
      </c>
      <c r="F61" s="34" t="s">
        <v>33</v>
      </c>
      <c r="G61" s="35" t="s">
        <v>524</v>
      </c>
    </row>
    <row r="62" spans="1:7" hidden="1" x14ac:dyDescent="0.35">
      <c r="A62" s="76" t="s">
        <v>73</v>
      </c>
      <c r="B62" t="s">
        <v>163</v>
      </c>
      <c r="C62" s="77">
        <v>1</v>
      </c>
      <c r="D62" s="68">
        <v>71.75</v>
      </c>
      <c r="E62" s="34" t="s">
        <v>56</v>
      </c>
      <c r="F62" s="34" t="s">
        <v>33</v>
      </c>
      <c r="G62" s="35" t="s">
        <v>525</v>
      </c>
    </row>
    <row r="63" spans="1:7" x14ac:dyDescent="0.35">
      <c r="A63" s="76" t="s">
        <v>6</v>
      </c>
      <c r="B63" t="s">
        <v>142</v>
      </c>
      <c r="C63" s="77">
        <v>1</v>
      </c>
      <c r="D63" s="68">
        <v>71.75</v>
      </c>
      <c r="E63" s="34" t="s">
        <v>44</v>
      </c>
      <c r="F63" s="34" t="s">
        <v>33</v>
      </c>
      <c r="G63" s="35" t="s">
        <v>470</v>
      </c>
    </row>
    <row r="64" spans="1:7" x14ac:dyDescent="0.35">
      <c r="A64" s="76" t="s">
        <v>6</v>
      </c>
      <c r="B64" t="s">
        <v>219</v>
      </c>
      <c r="C64" s="77">
        <v>1</v>
      </c>
      <c r="D64" s="68">
        <v>71.75</v>
      </c>
      <c r="E64" s="34" t="s">
        <v>50</v>
      </c>
      <c r="F64" s="34" t="s">
        <v>33</v>
      </c>
      <c r="G64" s="35" t="s">
        <v>514</v>
      </c>
    </row>
    <row r="65" spans="1:7" x14ac:dyDescent="0.35">
      <c r="A65" s="76" t="s">
        <v>6</v>
      </c>
      <c r="B65" t="s">
        <v>219</v>
      </c>
      <c r="C65" s="77">
        <v>1</v>
      </c>
      <c r="D65" s="68">
        <v>71.75</v>
      </c>
      <c r="E65" s="34" t="s">
        <v>50</v>
      </c>
      <c r="F65" s="34" t="s">
        <v>33</v>
      </c>
      <c r="G65" s="35" t="s">
        <v>526</v>
      </c>
    </row>
    <row r="66" spans="1:7" x14ac:dyDescent="0.35">
      <c r="A66" s="76" t="s">
        <v>6</v>
      </c>
      <c r="B66" t="s">
        <v>219</v>
      </c>
      <c r="C66" s="77">
        <v>1</v>
      </c>
      <c r="D66" s="68">
        <v>71.75</v>
      </c>
      <c r="E66" s="34" t="s">
        <v>50</v>
      </c>
      <c r="F66" s="34" t="s">
        <v>33</v>
      </c>
      <c r="G66" s="35" t="s">
        <v>481</v>
      </c>
    </row>
    <row r="67" spans="1:7" x14ac:dyDescent="0.35">
      <c r="A67" s="76" t="s">
        <v>6</v>
      </c>
      <c r="B67" t="s">
        <v>142</v>
      </c>
      <c r="C67" s="77">
        <v>1</v>
      </c>
      <c r="D67" s="68">
        <v>71.75</v>
      </c>
      <c r="E67" s="34" t="s">
        <v>44</v>
      </c>
      <c r="F67" s="34" t="s">
        <v>33</v>
      </c>
      <c r="G67" s="35" t="s">
        <v>477</v>
      </c>
    </row>
    <row r="68" spans="1:7" x14ac:dyDescent="0.35">
      <c r="A68" s="76" t="s">
        <v>23</v>
      </c>
      <c r="B68" t="s">
        <v>211</v>
      </c>
      <c r="C68" s="77">
        <v>1</v>
      </c>
      <c r="D68" s="68">
        <v>71.75</v>
      </c>
      <c r="E68" s="34" t="s">
        <v>62</v>
      </c>
      <c r="F68" s="34" t="s">
        <v>33</v>
      </c>
      <c r="G68" s="35" t="s">
        <v>527</v>
      </c>
    </row>
    <row r="69" spans="1:7" x14ac:dyDescent="0.35">
      <c r="A69" s="76" t="s">
        <v>23</v>
      </c>
      <c r="B69" t="s">
        <v>244</v>
      </c>
      <c r="C69" s="77">
        <v>1</v>
      </c>
      <c r="D69" s="68">
        <v>71.75</v>
      </c>
      <c r="E69" s="34" t="s">
        <v>64</v>
      </c>
      <c r="F69" s="34" t="s">
        <v>33</v>
      </c>
      <c r="G69" s="35" t="s">
        <v>511</v>
      </c>
    </row>
    <row r="70" spans="1:7" x14ac:dyDescent="0.35">
      <c r="A70" s="76" t="s">
        <v>6</v>
      </c>
      <c r="B70" t="s">
        <v>88</v>
      </c>
      <c r="C70" s="77">
        <v>1</v>
      </c>
      <c r="D70" s="68">
        <v>71.75</v>
      </c>
      <c r="E70" s="34" t="s">
        <v>83</v>
      </c>
      <c r="F70" s="34" t="s">
        <v>33</v>
      </c>
      <c r="G70" s="35" t="s">
        <v>528</v>
      </c>
    </row>
    <row r="71" spans="1:7" x14ac:dyDescent="0.35">
      <c r="A71" s="76"/>
      <c r="C71" s="77"/>
      <c r="D71" s="68"/>
      <c r="E71" s="34"/>
      <c r="F71" s="34"/>
      <c r="G71" s="35"/>
    </row>
    <row r="72" spans="1:7" x14ac:dyDescent="0.35">
      <c r="A72" s="76"/>
      <c r="C72" s="77"/>
      <c r="D72" s="68"/>
      <c r="E72" s="34"/>
      <c r="F72" s="34"/>
      <c r="G72" s="35"/>
    </row>
    <row r="73" spans="1:7" x14ac:dyDescent="0.35">
      <c r="A73" s="76"/>
      <c r="C73" s="77"/>
      <c r="D73" s="68"/>
      <c r="E73" s="34"/>
      <c r="F73" s="34"/>
      <c r="G73" s="35"/>
    </row>
    <row r="74" spans="1:7" x14ac:dyDescent="0.35">
      <c r="A74" s="76"/>
      <c r="C74" s="77"/>
      <c r="D74" s="68"/>
      <c r="E74" s="34"/>
      <c r="F74" s="34"/>
      <c r="G74" s="35"/>
    </row>
    <row r="75" spans="1:7" x14ac:dyDescent="0.35">
      <c r="A75" s="76"/>
      <c r="C75" s="77"/>
      <c r="D75" s="68"/>
      <c r="E75" s="34"/>
      <c r="F75" s="34"/>
      <c r="G75" s="35"/>
    </row>
    <row r="76" spans="1:7" x14ac:dyDescent="0.35">
      <c r="F76" s="34"/>
    </row>
  </sheetData>
  <protectedRanges>
    <protectedRange sqref="D10:D11" name="Amount_2"/>
    <protectedRange sqref="D9" name="Amount_2_1"/>
    <protectedRange sqref="D12" name="Amount_2_2"/>
    <protectedRange sqref="D13" name="Amount_2_3"/>
    <protectedRange sqref="D14:D75" name="Amount_2_4"/>
  </protectedRanges>
  <autoFilter ref="A8:G75" xr:uid="{CD76E474-B6BE-4517-BADD-4C94D658B0BD}">
    <filterColumn colId="0">
      <filters blank="1">
        <filter val="PS"/>
        <filter val="SL"/>
      </filters>
    </filterColumn>
  </autoFilter>
  <mergeCells count="1">
    <mergeCell ref="A1:G1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7380-2F36-4866-BAB4-E168FF753B6D}">
  <sheetPr codeName="Sheet26"/>
  <dimension ref="A1:I14"/>
  <sheetViews>
    <sheetView workbookViewId="0">
      <selection activeCell="A4" sqref="A4:I4"/>
    </sheetView>
  </sheetViews>
  <sheetFormatPr defaultColWidth="8.7265625" defaultRowHeight="14.5" x14ac:dyDescent="0.35"/>
  <cols>
    <col min="1" max="1" width="7.453125" customWidth="1"/>
    <col min="2" max="2" width="10.1796875" bestFit="1" customWidth="1"/>
    <col min="3" max="3" width="15.26953125" bestFit="1" customWidth="1"/>
    <col min="4" max="4" width="13.26953125" bestFit="1" customWidth="1"/>
    <col min="5" max="5" width="3.81640625" hidden="1" customWidth="1"/>
    <col min="6" max="6" width="15.453125" bestFit="1" customWidth="1"/>
    <col min="7" max="7" width="13.81640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54</v>
      </c>
      <c r="G4" s="44" t="s">
        <v>56</v>
      </c>
      <c r="H4" s="45" t="s">
        <v>20</v>
      </c>
      <c r="I4" s="45" t="s">
        <v>530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54</v>
      </c>
      <c r="G5" s="44" t="s">
        <v>56</v>
      </c>
      <c r="H5" s="45" t="s">
        <v>20</v>
      </c>
      <c r="I5" s="45" t="s">
        <v>531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0">
        <v>132</v>
      </c>
      <c r="G6" s="44" t="s">
        <v>56</v>
      </c>
      <c r="H6" s="45" t="s">
        <v>90</v>
      </c>
      <c r="I6" s="45" t="s">
        <v>536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0">
        <v>166.1</v>
      </c>
      <c r="G7" s="44" t="s">
        <v>56</v>
      </c>
      <c r="H7" s="45" t="s">
        <v>91</v>
      </c>
      <c r="I7" s="45" t="s">
        <v>537</v>
      </c>
    </row>
    <row r="8" spans="1:9" x14ac:dyDescent="0.3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0">
        <v>132</v>
      </c>
      <c r="G8" s="44" t="s">
        <v>56</v>
      </c>
      <c r="H8" s="45" t="s">
        <v>90</v>
      </c>
      <c r="I8" s="45" t="s">
        <v>545</v>
      </c>
    </row>
    <row r="9" spans="1:9" x14ac:dyDescent="0.3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90">
        <v>166.1</v>
      </c>
      <c r="G9" s="44" t="s">
        <v>56</v>
      </c>
      <c r="H9" s="45" t="s">
        <v>91</v>
      </c>
      <c r="I9" s="45" t="s">
        <v>544</v>
      </c>
    </row>
    <row r="10" spans="1:9" x14ac:dyDescent="0.3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90">
        <v>14</v>
      </c>
      <c r="G10" s="44" t="s">
        <v>56</v>
      </c>
      <c r="H10" s="45" t="s">
        <v>35</v>
      </c>
      <c r="I10" s="45" t="s">
        <v>567</v>
      </c>
    </row>
    <row r="11" spans="1:9" x14ac:dyDescent="0.3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90">
        <v>25</v>
      </c>
      <c r="G11" s="44" t="s">
        <v>56</v>
      </c>
      <c r="H11" s="45" t="s">
        <v>36</v>
      </c>
      <c r="I11" s="45" t="s">
        <v>568</v>
      </c>
    </row>
    <row r="12" spans="1:9" x14ac:dyDescent="0.3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94">
        <v>25</v>
      </c>
      <c r="G12" s="44" t="s">
        <v>56</v>
      </c>
      <c r="H12" s="45" t="s">
        <v>36</v>
      </c>
      <c r="I12" s="95" t="s">
        <v>583</v>
      </c>
    </row>
    <row r="13" spans="1:9" x14ac:dyDescent="0.35">
      <c r="A13" s="1" t="s">
        <v>73</v>
      </c>
      <c r="B13" t="s">
        <v>199</v>
      </c>
      <c r="C13" s="44" t="s">
        <v>159</v>
      </c>
      <c r="D13" t="s">
        <v>160</v>
      </c>
      <c r="E13" s="77">
        <v>1</v>
      </c>
      <c r="F13" s="94">
        <v>40</v>
      </c>
      <c r="G13" s="44" t="s">
        <v>56</v>
      </c>
      <c r="H13" s="45" t="s">
        <v>34</v>
      </c>
      <c r="I13" s="95" t="s">
        <v>583</v>
      </c>
    </row>
    <row r="14" spans="1:9" x14ac:dyDescent="0.35">
      <c r="A14" s="1" t="s">
        <v>73</v>
      </c>
      <c r="B14" t="s">
        <v>199</v>
      </c>
      <c r="C14" s="44" t="s">
        <v>159</v>
      </c>
      <c r="D14" t="s">
        <v>160</v>
      </c>
      <c r="E14" s="77">
        <v>1</v>
      </c>
      <c r="F14" s="94">
        <v>14</v>
      </c>
      <c r="G14" s="44" t="s">
        <v>56</v>
      </c>
      <c r="H14" s="45" t="s">
        <v>35</v>
      </c>
      <c r="I14" s="95" t="s">
        <v>583</v>
      </c>
    </row>
  </sheetData>
  <protectedRanges>
    <protectedRange sqref="F4" name="Amount_2_1"/>
    <protectedRange sqref="F5" name="Amount_2_2"/>
    <protectedRange sqref="F7" name="Amount_2_2_1"/>
    <protectedRange sqref="F6" name="Amount_2_3"/>
    <protectedRange sqref="F9" name="Amount_2_2_2"/>
    <protectedRange sqref="F8" name="Amount_2_3_1"/>
    <protectedRange sqref="F10" name="Amount_2_2_3"/>
    <protectedRange sqref="F11" name="Amount_2_2_4"/>
  </protectedRanges>
  <pageMargins left="0.7" right="0.7" top="0.75" bottom="0.75" header="0.3" footer="0.3"/>
  <pageSetup paperSize="9" orientation="portrait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F0A74-47D7-4512-870D-24187F3C899C}">
  <sheetPr codeName="Sheet27" filterMode="1"/>
  <dimension ref="A1:G52"/>
  <sheetViews>
    <sheetView workbookViewId="0">
      <selection activeCell="A9" sqref="A9"/>
    </sheetView>
  </sheetViews>
  <sheetFormatPr defaultColWidth="8.7265625" defaultRowHeight="14.5" x14ac:dyDescent="0.35"/>
  <cols>
    <col min="1" max="1" width="12.54296875" bestFit="1" customWidth="1"/>
    <col min="2" max="2" width="15.26953125" bestFit="1" customWidth="1"/>
    <col min="3" max="3" width="8.7265625" customWidth="1"/>
    <col min="4" max="4" width="11.54296875" customWidth="1"/>
    <col min="5" max="5" width="36" bestFit="1" customWidth="1"/>
    <col min="6" max="6" width="51.54296875" customWidth="1"/>
    <col min="7" max="7" width="28.2695312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591</v>
      </c>
    </row>
    <row r="4" spans="1:7" x14ac:dyDescent="0.35">
      <c r="A4" s="8" t="s">
        <v>29</v>
      </c>
      <c r="B4" s="9">
        <v>44754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89" t="s">
        <v>7</v>
      </c>
      <c r="C9" s="89">
        <v>1</v>
      </c>
      <c r="D9" s="91">
        <f>-SUM(D10:D46)</f>
        <v>-3725.9999999999991</v>
      </c>
      <c r="E9" s="76" t="s">
        <v>12</v>
      </c>
      <c r="F9" s="76" t="s">
        <v>13</v>
      </c>
      <c r="G9" s="92">
        <v>44713</v>
      </c>
    </row>
    <row r="10" spans="1:7" x14ac:dyDescent="0.35">
      <c r="A10" s="1" t="s">
        <v>6</v>
      </c>
      <c r="B10" t="s">
        <v>86</v>
      </c>
      <c r="C10" s="89">
        <v>1</v>
      </c>
      <c r="D10" s="90">
        <v>54</v>
      </c>
      <c r="E10" s="45" t="s">
        <v>47</v>
      </c>
      <c r="F10" s="45" t="s">
        <v>20</v>
      </c>
      <c r="G10" s="45" t="s">
        <v>529</v>
      </c>
    </row>
    <row r="11" spans="1:7" hidden="1" x14ac:dyDescent="0.35">
      <c r="A11" s="76" t="s">
        <v>73</v>
      </c>
      <c r="B11" t="s">
        <v>163</v>
      </c>
      <c r="C11" s="89">
        <v>1</v>
      </c>
      <c r="D11" s="90">
        <v>54</v>
      </c>
      <c r="E11" s="45" t="s">
        <v>56</v>
      </c>
      <c r="F11" s="45" t="s">
        <v>20</v>
      </c>
      <c r="G11" s="45" t="s">
        <v>530</v>
      </c>
    </row>
    <row r="12" spans="1:7" hidden="1" x14ac:dyDescent="0.35">
      <c r="A12" s="76" t="s">
        <v>73</v>
      </c>
      <c r="B12" t="s">
        <v>163</v>
      </c>
      <c r="C12" s="89">
        <v>1</v>
      </c>
      <c r="D12" s="90">
        <v>54</v>
      </c>
      <c r="E12" s="45" t="s">
        <v>56</v>
      </c>
      <c r="F12" s="45" t="s">
        <v>20</v>
      </c>
      <c r="G12" s="45" t="s">
        <v>531</v>
      </c>
    </row>
    <row r="13" spans="1:7" x14ac:dyDescent="0.35">
      <c r="A13" s="1" t="s">
        <v>23</v>
      </c>
      <c r="B13" t="s">
        <v>211</v>
      </c>
      <c r="C13" s="89">
        <v>1</v>
      </c>
      <c r="D13" s="90">
        <v>54</v>
      </c>
      <c r="E13" s="45" t="s">
        <v>62</v>
      </c>
      <c r="F13" s="45" t="s">
        <v>20</v>
      </c>
      <c r="G13" s="45" t="s">
        <v>532</v>
      </c>
    </row>
    <row r="14" spans="1:7" x14ac:dyDescent="0.35">
      <c r="A14" s="1" t="s">
        <v>6</v>
      </c>
      <c r="B14" t="s">
        <v>86</v>
      </c>
      <c r="C14" s="89">
        <v>1</v>
      </c>
      <c r="D14" s="90">
        <v>14</v>
      </c>
      <c r="E14" s="45" t="s">
        <v>47</v>
      </c>
      <c r="F14" s="45" t="s">
        <v>35</v>
      </c>
      <c r="G14" s="45" t="s">
        <v>533</v>
      </c>
    </row>
    <row r="15" spans="1:7" x14ac:dyDescent="0.35">
      <c r="A15" s="1" t="s">
        <v>6</v>
      </c>
      <c r="B15" t="s">
        <v>219</v>
      </c>
      <c r="C15" s="89">
        <v>1</v>
      </c>
      <c r="D15" s="24">
        <v>132</v>
      </c>
      <c r="E15" s="45" t="s">
        <v>50</v>
      </c>
      <c r="F15" s="45" t="s">
        <v>90</v>
      </c>
      <c r="G15" s="45" t="s">
        <v>534</v>
      </c>
    </row>
    <row r="16" spans="1:7" x14ac:dyDescent="0.35">
      <c r="A16" s="1" t="s">
        <v>6</v>
      </c>
      <c r="B16" t="s">
        <v>219</v>
      </c>
      <c r="C16" s="89">
        <v>1</v>
      </c>
      <c r="D16" s="24">
        <v>166.1</v>
      </c>
      <c r="E16" s="45" t="s">
        <v>50</v>
      </c>
      <c r="F16" s="45" t="s">
        <v>91</v>
      </c>
      <c r="G16" s="45" t="s">
        <v>535</v>
      </c>
    </row>
    <row r="17" spans="1:7" hidden="1" x14ac:dyDescent="0.35">
      <c r="A17" s="76" t="s">
        <v>73</v>
      </c>
      <c r="B17" t="s">
        <v>163</v>
      </c>
      <c r="C17" s="89">
        <v>1</v>
      </c>
      <c r="D17" s="90">
        <v>132</v>
      </c>
      <c r="E17" s="45" t="s">
        <v>56</v>
      </c>
      <c r="F17" s="45" t="s">
        <v>90</v>
      </c>
      <c r="G17" s="45" t="s">
        <v>536</v>
      </c>
    </row>
    <row r="18" spans="1:7" hidden="1" x14ac:dyDescent="0.35">
      <c r="A18" s="76" t="s">
        <v>73</v>
      </c>
      <c r="B18" t="s">
        <v>163</v>
      </c>
      <c r="C18" s="89">
        <v>1</v>
      </c>
      <c r="D18" s="90">
        <v>166.1</v>
      </c>
      <c r="E18" s="45" t="s">
        <v>56</v>
      </c>
      <c r="F18" s="45" t="s">
        <v>91</v>
      </c>
      <c r="G18" s="45" t="s">
        <v>537</v>
      </c>
    </row>
    <row r="19" spans="1:7" x14ac:dyDescent="0.35">
      <c r="A19" s="1" t="s">
        <v>6</v>
      </c>
      <c r="B19" t="s">
        <v>219</v>
      </c>
      <c r="C19" s="89">
        <v>1</v>
      </c>
      <c r="D19" s="90">
        <v>132</v>
      </c>
      <c r="E19" s="45" t="s">
        <v>50</v>
      </c>
      <c r="F19" s="45" t="s">
        <v>90</v>
      </c>
      <c r="G19" s="45" t="s">
        <v>538</v>
      </c>
    </row>
    <row r="20" spans="1:7" x14ac:dyDescent="0.35">
      <c r="A20" s="1" t="s">
        <v>6</v>
      </c>
      <c r="B20" t="s">
        <v>219</v>
      </c>
      <c r="C20" s="89">
        <v>1</v>
      </c>
      <c r="D20" s="90">
        <v>166.1</v>
      </c>
      <c r="E20" s="45" t="s">
        <v>50</v>
      </c>
      <c r="F20" s="45" t="s">
        <v>91</v>
      </c>
      <c r="G20" s="45" t="s">
        <v>539</v>
      </c>
    </row>
    <row r="21" spans="1:7" x14ac:dyDescent="0.35">
      <c r="A21" s="1" t="s">
        <v>23</v>
      </c>
      <c r="B21" t="s">
        <v>211</v>
      </c>
      <c r="C21" s="89">
        <v>1</v>
      </c>
      <c r="D21" s="90">
        <v>132</v>
      </c>
      <c r="E21" s="45" t="s">
        <v>62</v>
      </c>
      <c r="F21" s="45" t="s">
        <v>90</v>
      </c>
      <c r="G21" s="45" t="s">
        <v>540</v>
      </c>
    </row>
    <row r="22" spans="1:7" x14ac:dyDescent="0.35">
      <c r="A22" s="1" t="s">
        <v>23</v>
      </c>
      <c r="B22" t="s">
        <v>211</v>
      </c>
      <c r="C22" s="89">
        <v>1</v>
      </c>
      <c r="D22" s="90">
        <v>166.1</v>
      </c>
      <c r="E22" s="45" t="s">
        <v>62</v>
      </c>
      <c r="F22" s="45" t="s">
        <v>91</v>
      </c>
      <c r="G22" s="45" t="s">
        <v>541</v>
      </c>
    </row>
    <row r="23" spans="1:7" x14ac:dyDescent="0.35">
      <c r="A23" s="1" t="s">
        <v>23</v>
      </c>
      <c r="B23" t="s">
        <v>244</v>
      </c>
      <c r="C23" s="89">
        <v>1</v>
      </c>
      <c r="D23" s="90">
        <v>132</v>
      </c>
      <c r="E23" s="45" t="s">
        <v>64</v>
      </c>
      <c r="F23" s="45" t="s">
        <v>90</v>
      </c>
      <c r="G23" s="45" t="s">
        <v>542</v>
      </c>
    </row>
    <row r="24" spans="1:7" x14ac:dyDescent="0.35">
      <c r="A24" s="1" t="s">
        <v>23</v>
      </c>
      <c r="B24" t="s">
        <v>244</v>
      </c>
      <c r="C24" s="89">
        <v>1</v>
      </c>
      <c r="D24" s="90">
        <v>166.1</v>
      </c>
      <c r="E24" s="45" t="s">
        <v>64</v>
      </c>
      <c r="F24" s="45" t="s">
        <v>91</v>
      </c>
      <c r="G24" s="45" t="s">
        <v>543</v>
      </c>
    </row>
    <row r="25" spans="1:7" hidden="1" x14ac:dyDescent="0.35">
      <c r="A25" s="76" t="s">
        <v>73</v>
      </c>
      <c r="B25" t="s">
        <v>163</v>
      </c>
      <c r="C25" s="89">
        <v>1</v>
      </c>
      <c r="D25" s="90">
        <v>132</v>
      </c>
      <c r="E25" s="45" t="s">
        <v>56</v>
      </c>
      <c r="F25" s="45" t="s">
        <v>90</v>
      </c>
      <c r="G25" s="45" t="s">
        <v>545</v>
      </c>
    </row>
    <row r="26" spans="1:7" hidden="1" x14ac:dyDescent="0.35">
      <c r="A26" s="76" t="s">
        <v>73</v>
      </c>
      <c r="B26" t="s">
        <v>163</v>
      </c>
      <c r="C26" s="89">
        <v>1</v>
      </c>
      <c r="D26" s="90">
        <v>166.1</v>
      </c>
      <c r="E26" s="45" t="s">
        <v>56</v>
      </c>
      <c r="F26" s="45" t="s">
        <v>91</v>
      </c>
      <c r="G26" s="45" t="s">
        <v>544</v>
      </c>
    </row>
    <row r="27" spans="1:7" x14ac:dyDescent="0.35">
      <c r="A27" s="1" t="s">
        <v>23</v>
      </c>
      <c r="B27" t="s">
        <v>211</v>
      </c>
      <c r="C27" s="89">
        <v>1</v>
      </c>
      <c r="D27" s="90">
        <v>132</v>
      </c>
      <c r="E27" s="45" t="s">
        <v>62</v>
      </c>
      <c r="F27" s="45" t="s">
        <v>90</v>
      </c>
      <c r="G27" s="45" t="s">
        <v>546</v>
      </c>
    </row>
    <row r="28" spans="1:7" x14ac:dyDescent="0.35">
      <c r="A28" s="1" t="s">
        <v>6</v>
      </c>
      <c r="B28" t="s">
        <v>86</v>
      </c>
      <c r="C28" s="89">
        <v>1</v>
      </c>
      <c r="D28" s="90">
        <v>132</v>
      </c>
      <c r="E28" s="45" t="s">
        <v>47</v>
      </c>
      <c r="F28" s="45" t="s">
        <v>90</v>
      </c>
      <c r="G28" s="45" t="s">
        <v>547</v>
      </c>
    </row>
    <row r="29" spans="1:7" x14ac:dyDescent="0.35">
      <c r="A29" s="76" t="s">
        <v>23</v>
      </c>
      <c r="B29" t="s">
        <v>211</v>
      </c>
      <c r="C29" s="89">
        <v>1</v>
      </c>
      <c r="D29" s="90">
        <v>14</v>
      </c>
      <c r="E29" s="45" t="s">
        <v>62</v>
      </c>
      <c r="F29" s="45" t="s">
        <v>35</v>
      </c>
      <c r="G29" s="45" t="s">
        <v>566</v>
      </c>
    </row>
    <row r="30" spans="1:7" hidden="1" x14ac:dyDescent="0.35">
      <c r="A30" s="76" t="s">
        <v>73</v>
      </c>
      <c r="B30" t="s">
        <v>163</v>
      </c>
      <c r="C30" s="89">
        <v>1</v>
      </c>
      <c r="D30" s="90">
        <v>14</v>
      </c>
      <c r="E30" s="45" t="s">
        <v>56</v>
      </c>
      <c r="F30" s="45" t="s">
        <v>35</v>
      </c>
      <c r="G30" s="45" t="s">
        <v>567</v>
      </c>
    </row>
    <row r="31" spans="1:7" x14ac:dyDescent="0.35">
      <c r="A31" s="1" t="s">
        <v>23</v>
      </c>
      <c r="B31" t="s">
        <v>211</v>
      </c>
      <c r="C31" s="89">
        <v>1</v>
      </c>
      <c r="D31" s="90">
        <v>14</v>
      </c>
      <c r="E31" s="45" t="s">
        <v>62</v>
      </c>
      <c r="F31" s="45" t="s">
        <v>35</v>
      </c>
      <c r="G31" s="45" t="s">
        <v>565</v>
      </c>
    </row>
    <row r="32" spans="1:7" x14ac:dyDescent="0.35">
      <c r="A32" s="1" t="s">
        <v>23</v>
      </c>
      <c r="B32" t="s">
        <v>211</v>
      </c>
      <c r="C32" s="89">
        <v>1</v>
      </c>
      <c r="D32" s="90">
        <v>40</v>
      </c>
      <c r="E32" s="45" t="s">
        <v>62</v>
      </c>
      <c r="F32" s="45" t="s">
        <v>34</v>
      </c>
      <c r="G32" s="45" t="s">
        <v>565</v>
      </c>
    </row>
    <row r="33" spans="1:7" x14ac:dyDescent="0.35">
      <c r="A33" s="76" t="s">
        <v>23</v>
      </c>
      <c r="B33" t="s">
        <v>211</v>
      </c>
      <c r="C33" s="89">
        <v>1</v>
      </c>
      <c r="D33" s="90">
        <v>40</v>
      </c>
      <c r="E33" s="45" t="s">
        <v>62</v>
      </c>
      <c r="F33" s="45" t="s">
        <v>34</v>
      </c>
      <c r="G33" s="45" t="s">
        <v>569</v>
      </c>
    </row>
    <row r="34" spans="1:7" hidden="1" x14ac:dyDescent="0.35">
      <c r="A34" s="76" t="s">
        <v>73</v>
      </c>
      <c r="B34" t="s">
        <v>163</v>
      </c>
      <c r="C34" s="89">
        <v>1</v>
      </c>
      <c r="D34" s="90">
        <v>25</v>
      </c>
      <c r="E34" s="45" t="s">
        <v>56</v>
      </c>
      <c r="F34" s="45" t="s">
        <v>36</v>
      </c>
      <c r="G34" s="45" t="s">
        <v>568</v>
      </c>
    </row>
    <row r="35" spans="1:7" x14ac:dyDescent="0.35">
      <c r="A35" s="76" t="s">
        <v>6</v>
      </c>
      <c r="B35" t="s">
        <v>219</v>
      </c>
      <c r="C35" s="89">
        <v>1</v>
      </c>
      <c r="D35" s="90">
        <v>132</v>
      </c>
      <c r="E35" s="45" t="s">
        <v>50</v>
      </c>
      <c r="F35" s="45" t="s">
        <v>90</v>
      </c>
      <c r="G35" s="45" t="s">
        <v>570</v>
      </c>
    </row>
    <row r="36" spans="1:7" x14ac:dyDescent="0.35">
      <c r="A36" s="76" t="s">
        <v>6</v>
      </c>
      <c r="B36" t="s">
        <v>219</v>
      </c>
      <c r="C36" s="89">
        <v>1</v>
      </c>
      <c r="D36" s="90">
        <v>166.1</v>
      </c>
      <c r="E36" s="45" t="s">
        <v>50</v>
      </c>
      <c r="F36" s="45" t="s">
        <v>91</v>
      </c>
      <c r="G36" s="45" t="s">
        <v>571</v>
      </c>
    </row>
    <row r="37" spans="1:7" x14ac:dyDescent="0.35">
      <c r="A37" s="76" t="s">
        <v>23</v>
      </c>
      <c r="B37" t="s">
        <v>211</v>
      </c>
      <c r="C37" s="89">
        <v>1</v>
      </c>
      <c r="D37" s="90">
        <v>132</v>
      </c>
      <c r="E37" s="45" t="s">
        <v>62</v>
      </c>
      <c r="F37" s="45" t="s">
        <v>90</v>
      </c>
      <c r="G37" s="45" t="s">
        <v>573</v>
      </c>
    </row>
    <row r="38" spans="1:7" x14ac:dyDescent="0.35">
      <c r="A38" s="76" t="s">
        <v>6</v>
      </c>
      <c r="B38" t="s">
        <v>219</v>
      </c>
      <c r="C38" s="89">
        <v>1</v>
      </c>
      <c r="D38" s="90">
        <v>132</v>
      </c>
      <c r="E38" s="45" t="s">
        <v>50</v>
      </c>
      <c r="F38" s="45" t="s">
        <v>90</v>
      </c>
      <c r="G38" s="45" t="s">
        <v>472</v>
      </c>
    </row>
    <row r="39" spans="1:7" x14ac:dyDescent="0.35">
      <c r="A39" s="76" t="s">
        <v>6</v>
      </c>
      <c r="B39" t="s">
        <v>219</v>
      </c>
      <c r="C39" s="89">
        <v>1</v>
      </c>
      <c r="D39" s="90">
        <v>166.1</v>
      </c>
      <c r="E39" s="45" t="s">
        <v>50</v>
      </c>
      <c r="F39" s="45" t="s">
        <v>91</v>
      </c>
      <c r="G39" s="45" t="s">
        <v>471</v>
      </c>
    </row>
    <row r="40" spans="1:7" x14ac:dyDescent="0.35">
      <c r="A40" s="76" t="s">
        <v>6</v>
      </c>
      <c r="B40" s="45" t="s">
        <v>86</v>
      </c>
      <c r="C40" s="89">
        <v>1</v>
      </c>
      <c r="D40" s="90">
        <v>25</v>
      </c>
      <c r="E40" s="45" t="s">
        <v>47</v>
      </c>
      <c r="F40" s="45" t="s">
        <v>36</v>
      </c>
      <c r="G40" s="45" t="s">
        <v>582</v>
      </c>
    </row>
    <row r="41" spans="1:7" hidden="1" x14ac:dyDescent="0.35">
      <c r="A41" s="76" t="s">
        <v>73</v>
      </c>
      <c r="B41" t="s">
        <v>163</v>
      </c>
      <c r="C41" s="89">
        <v>1</v>
      </c>
      <c r="D41" s="94">
        <v>25</v>
      </c>
      <c r="E41" s="45" t="s">
        <v>56</v>
      </c>
      <c r="F41" s="45" t="s">
        <v>36</v>
      </c>
      <c r="G41" s="95" t="s">
        <v>583</v>
      </c>
    </row>
    <row r="42" spans="1:7" hidden="1" x14ac:dyDescent="0.35">
      <c r="A42" s="76" t="s">
        <v>73</v>
      </c>
      <c r="B42" t="s">
        <v>163</v>
      </c>
      <c r="C42" s="89">
        <v>1</v>
      </c>
      <c r="D42" s="94">
        <v>40</v>
      </c>
      <c r="E42" s="45" t="s">
        <v>56</v>
      </c>
      <c r="F42" s="45" t="s">
        <v>34</v>
      </c>
      <c r="G42" s="95" t="s">
        <v>583</v>
      </c>
    </row>
    <row r="43" spans="1:7" hidden="1" x14ac:dyDescent="0.35">
      <c r="A43" s="76" t="s">
        <v>73</v>
      </c>
      <c r="B43" t="s">
        <v>163</v>
      </c>
      <c r="C43" s="89">
        <v>1</v>
      </c>
      <c r="D43" s="94">
        <v>14</v>
      </c>
      <c r="E43" s="45" t="s">
        <v>56</v>
      </c>
      <c r="F43" s="45" t="s">
        <v>35</v>
      </c>
      <c r="G43" s="95" t="s">
        <v>583</v>
      </c>
    </row>
    <row r="44" spans="1:7" x14ac:dyDescent="0.35">
      <c r="A44" s="1" t="s">
        <v>23</v>
      </c>
      <c r="B44" t="s">
        <v>211</v>
      </c>
      <c r="C44" s="89">
        <v>1</v>
      </c>
      <c r="D44" s="90">
        <v>132</v>
      </c>
      <c r="E44" s="45" t="s">
        <v>62</v>
      </c>
      <c r="F44" s="45" t="s">
        <v>90</v>
      </c>
      <c r="G44" s="95" t="s">
        <v>584</v>
      </c>
    </row>
    <row r="45" spans="1:7" x14ac:dyDescent="0.35">
      <c r="A45" s="76" t="s">
        <v>6</v>
      </c>
      <c r="B45" s="45" t="s">
        <v>86</v>
      </c>
      <c r="C45" s="89">
        <v>1</v>
      </c>
      <c r="D45" s="90">
        <v>166.1</v>
      </c>
      <c r="E45" s="45" t="s">
        <v>47</v>
      </c>
      <c r="F45" s="45" t="s">
        <v>91</v>
      </c>
      <c r="G45" s="95" t="s">
        <v>585</v>
      </c>
    </row>
    <row r="46" spans="1:7" x14ac:dyDescent="0.35">
      <c r="A46" s="1" t="s">
        <v>23</v>
      </c>
      <c r="B46" t="s">
        <v>211</v>
      </c>
      <c r="C46" s="89">
        <v>1</v>
      </c>
      <c r="D46" s="94">
        <v>166.1</v>
      </c>
      <c r="E46" s="45" t="s">
        <v>62</v>
      </c>
      <c r="F46" s="45" t="s">
        <v>91</v>
      </c>
      <c r="G46" s="95" t="s">
        <v>586</v>
      </c>
    </row>
    <row r="52" spans="4:4" x14ac:dyDescent="0.35">
      <c r="D52" s="96"/>
    </row>
  </sheetData>
  <protectedRanges>
    <protectedRange sqref="D10:D11" name="Amount_2"/>
    <protectedRange sqref="D9" name="Amount_2_1"/>
    <protectedRange sqref="D12 D14 D16 D18 D20 D22 D24 D26 D28 D30 D34 D36 D38 D40 D45" name="Amount_2_2"/>
    <protectedRange sqref="D13 D15 D17 D19 D21 D23 D25 D27 D29 D31:D33 D35 D37 D39 D44" name="Amount_2_3"/>
  </protectedRanges>
  <autoFilter ref="A8:G46" xr:uid="{A6CACFE8-228A-410C-BCC9-D54F12EFBE92}">
    <filterColumn colId="4">
      <filters>
        <filter val="3020000 - Development Assessment"/>
        <filter val="4020000 - City Standards &amp; Animal Care"/>
        <filter val="6110000 - Water Service Delivery"/>
        <filter val="6130000 - Water Infrastructure Solutions"/>
        <filter val="HEW"/>
      </filters>
    </filterColumn>
  </autoFilter>
  <mergeCells count="1">
    <mergeCell ref="A1:G1"/>
  </mergeCell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AD8CC-4421-4FB2-AE14-07DB87DA6C6B}">
  <sheetPr codeName="Sheet28"/>
  <dimension ref="A1:I6"/>
  <sheetViews>
    <sheetView workbookViewId="0">
      <selection activeCell="A4" sqref="A4:I6"/>
    </sheetView>
  </sheetViews>
  <sheetFormatPr defaultColWidth="8.7265625" defaultRowHeight="14.5" x14ac:dyDescent="0.35"/>
  <cols>
    <col min="1" max="1" width="7.453125" customWidth="1"/>
    <col min="2" max="2" width="10.1796875" bestFit="1" customWidth="1"/>
    <col min="3" max="3" width="15.26953125" bestFit="1" customWidth="1"/>
    <col min="4" max="4" width="13.26953125" bestFit="1" customWidth="1"/>
    <col min="5" max="5" width="13.81640625" customWidth="1"/>
    <col min="6" max="6" width="15.453125" bestFit="1" customWidth="1"/>
    <col min="7" max="7" width="13.81640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40</v>
      </c>
      <c r="G4" s="44" t="s">
        <v>56</v>
      </c>
      <c r="H4" s="44" t="s">
        <v>34</v>
      </c>
      <c r="I4" s="35" t="s">
        <v>596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15</v>
      </c>
      <c r="G5" s="44" t="s">
        <v>56</v>
      </c>
      <c r="H5" s="44" t="s">
        <v>35</v>
      </c>
      <c r="I5" s="35" t="s">
        <v>598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0">
        <v>15</v>
      </c>
      <c r="G6" s="44" t="s">
        <v>56</v>
      </c>
      <c r="H6" s="44" t="s">
        <v>35</v>
      </c>
      <c r="I6" s="35" t="s">
        <v>601</v>
      </c>
    </row>
  </sheetData>
  <protectedRanges>
    <protectedRange sqref="F4" name="Amount_2_8"/>
    <protectedRange sqref="F5" name="Amount_2_8_1"/>
    <protectedRange sqref="F6" name="Amount_2_8_2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75D7ED-683B-4399-AF6B-2DC485491273}">
          <x14:formula1>
            <xm:f>'Lookup Values'!$A$2:$A$9</xm:f>
          </x14:formula1>
          <xm:sqref>H4:H6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E6BF2-DC9C-4C41-B48F-5E200E2B56CD}">
  <sheetPr codeName="Sheet29"/>
  <dimension ref="A1:G38"/>
  <sheetViews>
    <sheetView workbookViewId="0">
      <selection activeCell="C6" sqref="C6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17.7265625" bestFit="1" customWidth="1"/>
    <col min="4" max="4" width="19.26953125" customWidth="1"/>
    <col min="5" max="5" width="47.1796875" bestFit="1" customWidth="1"/>
    <col min="6" max="6" width="37.7265625" bestFit="1" customWidth="1"/>
    <col min="7" max="7" width="26.5429687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621</v>
      </c>
    </row>
    <row r="5" spans="1:7" x14ac:dyDescent="0.35">
      <c r="A5" s="8" t="s">
        <v>29</v>
      </c>
      <c r="B5" s="9">
        <v>44809</v>
      </c>
    </row>
    <row r="6" spans="1:7" ht="15" thickBot="1" x14ac:dyDescent="0.4">
      <c r="A6" s="10" t="s">
        <v>30</v>
      </c>
      <c r="B6" s="11" t="s">
        <v>213</v>
      </c>
    </row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35">
      <c r="A10" s="76" t="s">
        <v>6</v>
      </c>
      <c r="B10" s="77" t="s">
        <v>7</v>
      </c>
      <c r="C10" s="77">
        <v>1</v>
      </c>
      <c r="D10" s="78">
        <f>-SUM(D11:D35)-SUM('Parks Journal input July 22'!F4:F6)</f>
        <v>-327</v>
      </c>
      <c r="E10" s="79" t="s">
        <v>12</v>
      </c>
      <c r="F10" s="79" t="s">
        <v>13</v>
      </c>
      <c r="G10" s="80">
        <v>44743</v>
      </c>
    </row>
    <row r="11" spans="1:7" x14ac:dyDescent="0.35">
      <c r="A11" s="76" t="s">
        <v>6</v>
      </c>
      <c r="B11" s="45" t="s">
        <v>86</v>
      </c>
      <c r="C11" s="89">
        <v>1</v>
      </c>
      <c r="D11" s="90">
        <v>54</v>
      </c>
      <c r="E11" s="44" t="s">
        <v>47</v>
      </c>
      <c r="F11" s="44" t="s">
        <v>20</v>
      </c>
      <c r="G11" s="46" t="s">
        <v>593</v>
      </c>
    </row>
    <row r="12" spans="1:7" x14ac:dyDescent="0.35">
      <c r="A12" s="76" t="s">
        <v>23</v>
      </c>
      <c r="B12" s="45" t="s">
        <v>211</v>
      </c>
      <c r="C12" s="89">
        <v>1</v>
      </c>
      <c r="D12" s="90">
        <v>25</v>
      </c>
      <c r="E12" s="44" t="s">
        <v>62</v>
      </c>
      <c r="F12" s="44" t="s">
        <v>36</v>
      </c>
      <c r="G12" s="46" t="s">
        <v>594</v>
      </c>
    </row>
    <row r="13" spans="1:7" x14ac:dyDescent="0.35">
      <c r="A13" s="76" t="s">
        <v>6</v>
      </c>
      <c r="B13" s="45" t="s">
        <v>142</v>
      </c>
      <c r="C13" s="89">
        <v>1</v>
      </c>
      <c r="D13" s="90">
        <v>54</v>
      </c>
      <c r="E13" s="44" t="s">
        <v>44</v>
      </c>
      <c r="F13" s="44" t="s">
        <v>20</v>
      </c>
      <c r="G13" s="35" t="s">
        <v>595</v>
      </c>
    </row>
    <row r="14" spans="1:7" x14ac:dyDescent="0.35">
      <c r="A14" s="76" t="s">
        <v>23</v>
      </c>
      <c r="B14" s="45" t="s">
        <v>211</v>
      </c>
      <c r="C14" s="89">
        <v>1</v>
      </c>
      <c r="D14" s="90">
        <v>15</v>
      </c>
      <c r="E14" s="44" t="s">
        <v>62</v>
      </c>
      <c r="F14" s="44" t="s">
        <v>35</v>
      </c>
      <c r="G14" s="35" t="s">
        <v>597</v>
      </c>
    </row>
    <row r="15" spans="1:7" x14ac:dyDescent="0.35">
      <c r="A15" s="76" t="s">
        <v>23</v>
      </c>
      <c r="B15" s="45" t="s">
        <v>211</v>
      </c>
      <c r="C15" s="89">
        <v>1</v>
      </c>
      <c r="D15" s="90">
        <v>40</v>
      </c>
      <c r="E15" s="44" t="s">
        <v>62</v>
      </c>
      <c r="F15" s="44" t="s">
        <v>34</v>
      </c>
      <c r="G15" s="35" t="s">
        <v>599</v>
      </c>
    </row>
    <row r="16" spans="1:7" x14ac:dyDescent="0.35">
      <c r="A16" s="76" t="s">
        <v>6</v>
      </c>
      <c r="B16" s="45" t="s">
        <v>219</v>
      </c>
      <c r="C16" s="89">
        <v>1</v>
      </c>
      <c r="D16" s="90">
        <v>69</v>
      </c>
      <c r="E16" s="44" t="s">
        <v>50</v>
      </c>
      <c r="F16" s="44" t="s">
        <v>214</v>
      </c>
      <c r="G16" s="35" t="s">
        <v>600</v>
      </c>
    </row>
    <row r="17" spans="1:7" x14ac:dyDescent="0.35">
      <c r="A17" s="76"/>
      <c r="B17" s="45"/>
      <c r="C17" s="89"/>
      <c r="D17" s="90"/>
      <c r="E17" s="44"/>
      <c r="F17" s="44"/>
      <c r="G17" s="35"/>
    </row>
    <row r="18" spans="1:7" x14ac:dyDescent="0.35">
      <c r="A18" s="76"/>
      <c r="B18" s="45"/>
      <c r="C18" s="89"/>
      <c r="D18" s="90"/>
      <c r="E18" s="44"/>
      <c r="F18" s="44"/>
      <c r="G18" s="35"/>
    </row>
    <row r="19" spans="1:7" x14ac:dyDescent="0.35">
      <c r="A19" s="76"/>
      <c r="B19" s="45"/>
      <c r="C19" s="89"/>
      <c r="D19" s="90"/>
      <c r="E19" s="44"/>
      <c r="F19" s="44"/>
      <c r="G19" s="35"/>
    </row>
    <row r="20" spans="1:7" x14ac:dyDescent="0.35">
      <c r="A20" s="76"/>
      <c r="B20" s="45"/>
      <c r="C20" s="89"/>
      <c r="D20" s="90"/>
      <c r="E20" s="44"/>
      <c r="F20" s="44"/>
      <c r="G20" s="35"/>
    </row>
    <row r="21" spans="1:7" x14ac:dyDescent="0.35">
      <c r="A21" s="76"/>
      <c r="B21" s="45"/>
      <c r="C21" s="89"/>
      <c r="D21" s="90"/>
      <c r="E21" s="44"/>
      <c r="F21" s="44"/>
      <c r="G21" s="35"/>
    </row>
    <row r="22" spans="1:7" x14ac:dyDescent="0.35">
      <c r="A22" s="76"/>
      <c r="B22" s="45"/>
      <c r="C22" s="89"/>
      <c r="D22" s="90"/>
      <c r="E22" s="44"/>
      <c r="F22" s="44"/>
      <c r="G22" s="35"/>
    </row>
    <row r="23" spans="1:7" x14ac:dyDescent="0.35">
      <c r="A23" s="76"/>
      <c r="B23" s="45"/>
      <c r="C23" s="89"/>
      <c r="D23" s="90"/>
      <c r="E23" s="44"/>
      <c r="F23" s="44"/>
      <c r="G23" s="35"/>
    </row>
    <row r="24" spans="1:7" x14ac:dyDescent="0.35">
      <c r="A24" s="76"/>
      <c r="B24" s="45"/>
      <c r="C24" s="89"/>
      <c r="D24" s="90"/>
      <c r="E24" s="44"/>
      <c r="F24" s="44"/>
      <c r="G24" s="35"/>
    </row>
    <row r="25" spans="1:7" x14ac:dyDescent="0.35">
      <c r="A25" s="76"/>
      <c r="B25" s="45"/>
      <c r="C25" s="89"/>
      <c r="D25" s="90"/>
      <c r="E25" s="44"/>
      <c r="F25" s="44"/>
      <c r="G25" s="35"/>
    </row>
    <row r="26" spans="1:7" x14ac:dyDescent="0.35">
      <c r="A26" s="76"/>
      <c r="B26" s="45"/>
      <c r="C26" s="89"/>
      <c r="D26" s="90"/>
      <c r="E26" s="44"/>
      <c r="F26" s="44"/>
      <c r="G26" s="35"/>
    </row>
    <row r="27" spans="1:7" x14ac:dyDescent="0.35">
      <c r="A27" s="76"/>
      <c r="B27" s="45"/>
      <c r="C27" s="89"/>
      <c r="D27" s="90"/>
      <c r="E27" s="44"/>
      <c r="F27" s="44"/>
      <c r="G27" s="35"/>
    </row>
    <row r="28" spans="1:7" x14ac:dyDescent="0.35">
      <c r="A28" s="76"/>
      <c r="B28" s="45"/>
      <c r="C28" s="89"/>
      <c r="D28" s="90"/>
      <c r="E28" s="44"/>
      <c r="F28" s="44"/>
      <c r="G28" s="35"/>
    </row>
    <row r="29" spans="1:7" x14ac:dyDescent="0.35">
      <c r="A29" s="76"/>
      <c r="B29" s="45"/>
      <c r="C29" s="89"/>
      <c r="D29" s="90"/>
      <c r="E29" s="44"/>
      <c r="F29" s="44"/>
      <c r="G29" s="35"/>
    </row>
    <row r="30" spans="1:7" x14ac:dyDescent="0.35">
      <c r="A30" s="76"/>
      <c r="B30" s="45"/>
      <c r="C30" s="89"/>
      <c r="D30" s="90"/>
      <c r="E30" s="44"/>
      <c r="F30" s="44"/>
      <c r="G30" s="35"/>
    </row>
    <row r="31" spans="1:7" x14ac:dyDescent="0.35">
      <c r="A31" s="76"/>
      <c r="B31" s="45"/>
      <c r="C31" s="89"/>
      <c r="D31" s="90"/>
      <c r="E31" s="44"/>
      <c r="F31" s="44"/>
      <c r="G31" s="35"/>
    </row>
    <row r="32" spans="1:7" x14ac:dyDescent="0.35">
      <c r="A32" s="76"/>
      <c r="B32" s="45"/>
      <c r="C32" s="89"/>
      <c r="D32" s="90"/>
      <c r="E32" s="44"/>
      <c r="F32" s="44"/>
      <c r="G32" s="35"/>
    </row>
    <row r="33" spans="1:7" x14ac:dyDescent="0.35">
      <c r="A33" s="76"/>
      <c r="B33" s="45"/>
      <c r="C33" s="89"/>
      <c r="D33" s="90"/>
      <c r="E33" s="44"/>
      <c r="F33" s="44"/>
      <c r="G33" s="35"/>
    </row>
    <row r="34" spans="1:7" x14ac:dyDescent="0.35">
      <c r="A34" s="76"/>
      <c r="B34" s="45"/>
      <c r="C34" s="89"/>
      <c r="D34" s="90"/>
      <c r="E34" s="44"/>
      <c r="F34" s="44"/>
      <c r="G34" s="35"/>
    </row>
    <row r="35" spans="1:7" x14ac:dyDescent="0.35">
      <c r="A35" s="76"/>
      <c r="B35" s="45"/>
      <c r="C35" s="89"/>
      <c r="D35" s="90"/>
      <c r="E35" s="44"/>
      <c r="F35" s="44"/>
      <c r="G35" s="35"/>
    </row>
    <row r="36" spans="1:7" x14ac:dyDescent="0.35">
      <c r="A36" s="76"/>
      <c r="B36" s="45"/>
      <c r="C36" s="89"/>
      <c r="D36" s="90"/>
      <c r="E36" s="44"/>
      <c r="F36" s="44"/>
      <c r="G36" s="35"/>
    </row>
    <row r="37" spans="1:7" x14ac:dyDescent="0.35">
      <c r="A37" s="1"/>
      <c r="F37" s="44"/>
    </row>
    <row r="38" spans="1:7" x14ac:dyDescent="0.35">
      <c r="A38" s="1"/>
    </row>
  </sheetData>
  <protectedRanges>
    <protectedRange sqref="C15 C17 C19" name="Amount_2_2_1"/>
    <protectedRange sqref="C16 C18" name="Amount_2_3_1"/>
    <protectedRange sqref="C21" name="Amount_2_2_2"/>
    <protectedRange sqref="C20 C22" name="Amount_2_3_2"/>
    <protectedRange sqref="C23:C25" name="Amount_2_3_3"/>
    <protectedRange sqref="D11:D36" name="Amount_2_8"/>
    <protectedRange sqref="D10" name="Amount_2_1_2"/>
  </protectedRanges>
  <autoFilter ref="A9:G17" xr:uid="{C36E6BF2-DC9C-4C41-B48F-5E200E2B56CD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EBB2EF-A029-4B02-A2F8-5D9B5245DF66}">
          <x14:formula1>
            <xm:f>'Lookup Values'!$A$2:$A$9</xm:f>
          </x14:formula1>
          <xm:sqref>F11:F37</xm:sqref>
        </x14:dataValidation>
        <x14:dataValidation type="list" allowBlank="1" showInputMessage="1" showErrorMessage="1" xr:uid="{909D3CCB-83D1-4428-942A-ECC027DF623A}">
          <x14:formula1>
            <xm:f>'Lookup Values'!$G$2:$G$35</xm:f>
          </x14:formula1>
          <xm:sqref>E11:E36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863F-F0A6-4C80-B653-FE1D682A0E66}">
  <sheetPr codeName="Sheet33"/>
  <dimension ref="A1:I7"/>
  <sheetViews>
    <sheetView workbookViewId="0">
      <selection activeCell="A4" sqref="A4:I4"/>
    </sheetView>
  </sheetViews>
  <sheetFormatPr defaultColWidth="8.7265625" defaultRowHeight="14.5" x14ac:dyDescent="0.35"/>
  <cols>
    <col min="1" max="1" width="7.453125" customWidth="1"/>
    <col min="2" max="2" width="10.1796875" bestFit="1" customWidth="1"/>
    <col min="3" max="3" width="15.26953125" bestFit="1" customWidth="1"/>
    <col min="4" max="4" width="13.26953125" bestFit="1" customWidth="1"/>
    <col min="5" max="5" width="3.81640625" customWidth="1"/>
    <col min="6" max="6" width="15.453125" bestFit="1" customWidth="1"/>
    <col min="7" max="7" width="13.81640625" bestFit="1" customWidth="1"/>
    <col min="8" max="8" width="37.7265625" bestFit="1" customWidth="1"/>
    <col min="9" max="9" width="25.81640625" bestFit="1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84</v>
      </c>
      <c r="G4" s="44" t="s">
        <v>56</v>
      </c>
      <c r="H4" s="44" t="s">
        <v>69</v>
      </c>
      <c r="I4" s="35" t="s">
        <v>604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132</v>
      </c>
      <c r="G5" s="44" t="s">
        <v>56</v>
      </c>
      <c r="H5" s="44" t="s">
        <v>90</v>
      </c>
      <c r="I5" s="35" t="s">
        <v>605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132</v>
      </c>
      <c r="G6" s="44" t="s">
        <v>56</v>
      </c>
      <c r="H6" s="44" t="s">
        <v>90</v>
      </c>
      <c r="I6" s="44" t="s">
        <v>606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0">
        <v>166.1</v>
      </c>
      <c r="G7" s="44" t="s">
        <v>56</v>
      </c>
      <c r="H7" s="44" t="s">
        <v>91</v>
      </c>
      <c r="I7" s="44" t="s">
        <v>607</v>
      </c>
    </row>
  </sheetData>
  <protectedRanges>
    <protectedRange sqref="F4:F7" name="Amount_2_8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5740FD-2ED5-4EF3-AEC9-2B8B3D715348}">
          <x14:formula1>
            <xm:f>'Lookup Values'!$A$2:$A$9</xm:f>
          </x14:formula1>
          <xm:sqref>H4:H7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1F6FB-DC36-43D9-9A95-156A76E5D9DF}">
  <sheetPr codeName="Sheet30"/>
  <dimension ref="A1:G25"/>
  <sheetViews>
    <sheetView workbookViewId="0">
      <selection activeCell="A14" sqref="A14:G14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4.1796875" bestFit="1" customWidth="1"/>
    <col min="4" max="4" width="17.7265625" bestFit="1" customWidth="1"/>
    <col min="5" max="5" width="44" bestFit="1" customWidth="1"/>
    <col min="6" max="6" width="47.1796875" bestFit="1" customWidth="1"/>
    <col min="7" max="7" width="26.5429687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620</v>
      </c>
    </row>
    <row r="5" spans="1:7" x14ac:dyDescent="0.35">
      <c r="A5" s="8" t="s">
        <v>29</v>
      </c>
      <c r="B5" s="9">
        <v>44809</v>
      </c>
    </row>
    <row r="6" spans="1:7" ht="15" thickBot="1" x14ac:dyDescent="0.4">
      <c r="A6" s="10" t="s">
        <v>30</v>
      </c>
      <c r="B6" s="11" t="s">
        <v>213</v>
      </c>
    </row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35">
      <c r="A10" s="76" t="s">
        <v>6</v>
      </c>
      <c r="B10" s="77" t="s">
        <v>7</v>
      </c>
      <c r="C10" s="77">
        <v>-1</v>
      </c>
      <c r="D10" s="78">
        <f>-SUM(D11:D23)+-SUM('Parks Journal input August 22'!F4:F7)</f>
        <v>-1215.2</v>
      </c>
      <c r="E10" s="79" t="s">
        <v>12</v>
      </c>
      <c r="F10" s="79" t="s">
        <v>13</v>
      </c>
      <c r="G10" s="80">
        <v>44774</v>
      </c>
    </row>
    <row r="11" spans="1:7" x14ac:dyDescent="0.35">
      <c r="A11" s="45" t="s">
        <v>6</v>
      </c>
      <c r="B11" s="76" t="s">
        <v>72</v>
      </c>
      <c r="C11" s="89">
        <v>1</v>
      </c>
      <c r="D11" s="90">
        <v>69</v>
      </c>
      <c r="E11" s="44" t="s">
        <v>82</v>
      </c>
      <c r="F11" s="44" t="s">
        <v>214</v>
      </c>
      <c r="G11" s="46" t="s">
        <v>602</v>
      </c>
    </row>
    <row r="12" spans="1:7" x14ac:dyDescent="0.35">
      <c r="A12" s="45" t="s">
        <v>6</v>
      </c>
      <c r="B12" s="76" t="s">
        <v>142</v>
      </c>
      <c r="C12" s="89">
        <v>1</v>
      </c>
      <c r="D12" s="90">
        <v>55</v>
      </c>
      <c r="E12" s="44" t="s">
        <v>44</v>
      </c>
      <c r="F12" s="44" t="s">
        <v>20</v>
      </c>
      <c r="G12" s="46" t="s">
        <v>603</v>
      </c>
    </row>
    <row r="13" spans="1:7" x14ac:dyDescent="0.35">
      <c r="A13" s="45" t="s">
        <v>6</v>
      </c>
      <c r="B13" s="76" t="s">
        <v>219</v>
      </c>
      <c r="C13" s="89">
        <v>1</v>
      </c>
      <c r="D13" s="90">
        <v>132</v>
      </c>
      <c r="E13" s="44" t="s">
        <v>50</v>
      </c>
      <c r="F13" s="44" t="s">
        <v>90</v>
      </c>
      <c r="G13" s="35" t="s">
        <v>608</v>
      </c>
    </row>
    <row r="14" spans="1:7" x14ac:dyDescent="0.35">
      <c r="A14" s="45" t="s">
        <v>6</v>
      </c>
      <c r="B14" s="76" t="s">
        <v>219</v>
      </c>
      <c r="C14" s="89">
        <v>1</v>
      </c>
      <c r="D14" s="90">
        <v>166.1</v>
      </c>
      <c r="E14" s="44" t="s">
        <v>50</v>
      </c>
      <c r="F14" s="44" t="s">
        <v>91</v>
      </c>
      <c r="G14" s="35" t="s">
        <v>609</v>
      </c>
    </row>
    <row r="15" spans="1:7" x14ac:dyDescent="0.35">
      <c r="A15" s="45" t="s">
        <v>6</v>
      </c>
      <c r="B15" s="76" t="s">
        <v>72</v>
      </c>
      <c r="C15" s="89">
        <v>1</v>
      </c>
      <c r="D15" s="90">
        <v>15</v>
      </c>
      <c r="E15" s="44" t="s">
        <v>82</v>
      </c>
      <c r="F15" s="44" t="s">
        <v>35</v>
      </c>
      <c r="G15" s="35" t="s">
        <v>610</v>
      </c>
    </row>
    <row r="16" spans="1:7" x14ac:dyDescent="0.35">
      <c r="A16" s="45" t="s">
        <v>6</v>
      </c>
      <c r="B16" s="76" t="s">
        <v>72</v>
      </c>
      <c r="C16" s="89">
        <v>1</v>
      </c>
      <c r="D16" s="90">
        <v>15</v>
      </c>
      <c r="E16" s="44" t="s">
        <v>82</v>
      </c>
      <c r="F16" s="44" t="s">
        <v>35</v>
      </c>
      <c r="G16" s="35" t="s">
        <v>611</v>
      </c>
    </row>
    <row r="17" spans="1:7" x14ac:dyDescent="0.35">
      <c r="A17" s="76" t="s">
        <v>6</v>
      </c>
      <c r="B17" s="45" t="s">
        <v>8</v>
      </c>
      <c r="C17" s="89">
        <v>1</v>
      </c>
      <c r="D17" s="97">
        <v>15</v>
      </c>
      <c r="E17" s="44" t="s">
        <v>61</v>
      </c>
      <c r="F17" s="44" t="s">
        <v>35</v>
      </c>
      <c r="G17" s="35" t="s">
        <v>612</v>
      </c>
    </row>
    <row r="18" spans="1:7" x14ac:dyDescent="0.35">
      <c r="A18" s="76" t="s">
        <v>6</v>
      </c>
      <c r="B18" s="45" t="s">
        <v>86</v>
      </c>
      <c r="C18" s="89">
        <v>1</v>
      </c>
      <c r="D18" s="97">
        <v>40</v>
      </c>
      <c r="E18" s="44" t="s">
        <v>47</v>
      </c>
      <c r="F18" s="44" t="s">
        <v>34</v>
      </c>
      <c r="G18" s="35" t="s">
        <v>613</v>
      </c>
    </row>
    <row r="19" spans="1:7" x14ac:dyDescent="0.35">
      <c r="A19" s="76" t="s">
        <v>6</v>
      </c>
      <c r="B19" s="45" t="s">
        <v>72</v>
      </c>
      <c r="C19" s="89">
        <v>1</v>
      </c>
      <c r="D19" s="97">
        <v>55</v>
      </c>
      <c r="E19" s="44" t="s">
        <v>82</v>
      </c>
      <c r="F19" s="44" t="s">
        <v>20</v>
      </c>
      <c r="G19" s="35" t="s">
        <v>614</v>
      </c>
    </row>
    <row r="20" spans="1:7" x14ac:dyDescent="0.35">
      <c r="A20" s="76" t="s">
        <v>6</v>
      </c>
      <c r="B20" s="45" t="s">
        <v>219</v>
      </c>
      <c r="C20" s="89">
        <v>1</v>
      </c>
      <c r="D20" s="97">
        <v>55</v>
      </c>
      <c r="E20" s="44" t="s">
        <v>50</v>
      </c>
      <c r="F20" s="44" t="s">
        <v>20</v>
      </c>
      <c r="G20" s="35" t="s">
        <v>615</v>
      </c>
    </row>
    <row r="21" spans="1:7" x14ac:dyDescent="0.35">
      <c r="A21" s="76" t="s">
        <v>6</v>
      </c>
      <c r="B21" s="45" t="s">
        <v>72</v>
      </c>
      <c r="C21" s="89">
        <v>1</v>
      </c>
      <c r="D21" s="24">
        <v>29</v>
      </c>
      <c r="E21" s="44" t="s">
        <v>82</v>
      </c>
      <c r="F21" s="44" t="s">
        <v>36</v>
      </c>
      <c r="G21" s="35" t="s">
        <v>616</v>
      </c>
    </row>
    <row r="22" spans="1:7" x14ac:dyDescent="0.35">
      <c r="A22" s="76" t="s">
        <v>6</v>
      </c>
      <c r="B22" s="45" t="s">
        <v>86</v>
      </c>
      <c r="C22" s="89">
        <v>1</v>
      </c>
      <c r="D22" s="97">
        <v>40</v>
      </c>
      <c r="E22" s="44" t="s">
        <v>47</v>
      </c>
      <c r="F22" s="44" t="s">
        <v>34</v>
      </c>
      <c r="G22" s="35" t="s">
        <v>617</v>
      </c>
    </row>
    <row r="23" spans="1:7" x14ac:dyDescent="0.35">
      <c r="A23" s="76" t="s">
        <v>6</v>
      </c>
      <c r="B23" s="45" t="s">
        <v>618</v>
      </c>
      <c r="C23" s="89">
        <v>2</v>
      </c>
      <c r="D23" s="90">
        <v>15</v>
      </c>
      <c r="E23" s="44" t="s">
        <v>47</v>
      </c>
      <c r="F23" s="44" t="s">
        <v>35</v>
      </c>
      <c r="G23" s="35" t="s">
        <v>617</v>
      </c>
    </row>
    <row r="24" spans="1:7" x14ac:dyDescent="0.35">
      <c r="A24" s="76"/>
      <c r="B24" s="45"/>
      <c r="C24" s="89"/>
      <c r="D24" s="90"/>
      <c r="E24" s="44"/>
      <c r="F24" s="44"/>
      <c r="G24" s="35"/>
    </row>
    <row r="25" spans="1:7" x14ac:dyDescent="0.35">
      <c r="A25" s="76"/>
      <c r="B25" s="45"/>
      <c r="C25" s="89"/>
      <c r="D25" s="90"/>
      <c r="E25" s="44"/>
      <c r="F25" s="44"/>
      <c r="G25" s="35"/>
    </row>
  </sheetData>
  <protectedRanges>
    <protectedRange sqref="D11:D12 D13:D25" name="Amount_2_8"/>
    <protectedRange sqref="D10" name="Amount_2_1_2"/>
  </protectedRanges>
  <autoFilter ref="A10:G23" xr:uid="{6A81F6FB-DC36-43D9-9A95-156A76E5D9DF}"/>
  <mergeCells count="1">
    <mergeCell ref="A1:G1"/>
  </mergeCells>
  <phoneticPr fontId="1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5740FD-2ED5-4EF3-AEC9-2B8B3D715348}">
          <x14:formula1>
            <xm:f>'Lookup Values'!$A$2:$A$9</xm:f>
          </x14:formula1>
          <xm:sqref>F11:F25</xm:sqref>
        </x14:dataValidation>
        <x14:dataValidation type="list" allowBlank="1" showInputMessage="1" showErrorMessage="1" xr:uid="{3FB9DD62-6114-4165-B447-D9B0B939B9B9}">
          <x14:formula1>
            <xm:f>'Lookup Values'!$G$2:$G$35</xm:f>
          </x14:formula1>
          <xm:sqref>E11:E25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CFD04-E941-4461-92BA-C01D692C35FC}">
  <sheetPr codeName="Sheet31"/>
  <dimension ref="A1:G17"/>
  <sheetViews>
    <sheetView workbookViewId="0">
      <selection activeCell="F30" sqref="F30"/>
    </sheetView>
  </sheetViews>
  <sheetFormatPr defaultRowHeight="14.5" x14ac:dyDescent="0.35"/>
  <cols>
    <col min="1" max="1" width="12.54296875" bestFit="1" customWidth="1"/>
    <col min="2" max="2" width="15.26953125" bestFit="1" customWidth="1"/>
    <col min="3" max="3" width="4.1796875" bestFit="1" customWidth="1"/>
    <col min="4" max="4" width="17.7265625" bestFit="1" customWidth="1"/>
    <col min="5" max="5" width="33.453125" bestFit="1" customWidth="1"/>
    <col min="6" max="6" width="37.7265625" bestFit="1" customWidth="1"/>
    <col min="7" max="7" width="40.453125" bestFit="1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592</v>
      </c>
    </row>
    <row r="4" spans="1:7" x14ac:dyDescent="0.35">
      <c r="A4" s="8" t="s">
        <v>29</v>
      </c>
      <c r="B4" s="9">
        <v>44760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89" t="s">
        <v>549</v>
      </c>
      <c r="C9" s="89">
        <v>1</v>
      </c>
      <c r="D9" s="91">
        <f>SUM(D10:D49)</f>
        <v>3363.75</v>
      </c>
      <c r="E9" s="76" t="s">
        <v>12</v>
      </c>
      <c r="F9" s="76" t="s">
        <v>551</v>
      </c>
      <c r="G9" s="92">
        <v>44713</v>
      </c>
    </row>
    <row r="10" spans="1:7" x14ac:dyDescent="0.35">
      <c r="A10" s="1" t="s">
        <v>6</v>
      </c>
      <c r="B10" t="s">
        <v>578</v>
      </c>
      <c r="C10" s="89">
        <v>1</v>
      </c>
      <c r="D10" s="90">
        <v>420</v>
      </c>
      <c r="E10" s="45" t="s">
        <v>52</v>
      </c>
      <c r="F10" t="s">
        <v>552</v>
      </c>
      <c r="G10" s="45" t="s">
        <v>554</v>
      </c>
    </row>
    <row r="11" spans="1:7" x14ac:dyDescent="0.35">
      <c r="A11" s="76" t="s">
        <v>6</v>
      </c>
      <c r="B11" t="s">
        <v>579</v>
      </c>
      <c r="C11" s="89">
        <v>1</v>
      </c>
      <c r="D11" s="90">
        <v>420</v>
      </c>
      <c r="E11" s="45" t="s">
        <v>52</v>
      </c>
      <c r="F11" t="s">
        <v>552</v>
      </c>
      <c r="G11" s="45" t="s">
        <v>553</v>
      </c>
    </row>
    <row r="12" spans="1:7" x14ac:dyDescent="0.35">
      <c r="A12" s="1" t="s">
        <v>6</v>
      </c>
      <c r="B12" t="s">
        <v>580</v>
      </c>
      <c r="C12" s="12">
        <v>1</v>
      </c>
      <c r="D12" s="90">
        <v>420</v>
      </c>
      <c r="E12" s="45" t="s">
        <v>52</v>
      </c>
      <c r="F12" t="s">
        <v>552</v>
      </c>
      <c r="G12" t="s">
        <v>555</v>
      </c>
    </row>
    <row r="13" spans="1:7" x14ac:dyDescent="0.35">
      <c r="A13" s="1" t="s">
        <v>572</v>
      </c>
      <c r="B13" s="93" t="s">
        <v>564</v>
      </c>
      <c r="C13" s="12">
        <v>1</v>
      </c>
      <c r="D13" s="90">
        <v>108.5</v>
      </c>
      <c r="E13" s="45" t="s">
        <v>62</v>
      </c>
      <c r="F13" t="s">
        <v>552</v>
      </c>
      <c r="G13" t="s">
        <v>556</v>
      </c>
    </row>
    <row r="14" spans="1:7" x14ac:dyDescent="0.35">
      <c r="A14" s="1" t="s">
        <v>572</v>
      </c>
      <c r="B14" s="93" t="s">
        <v>564</v>
      </c>
      <c r="C14" s="12">
        <v>1</v>
      </c>
      <c r="D14" s="90">
        <v>108.5</v>
      </c>
      <c r="E14" s="45" t="s">
        <v>62</v>
      </c>
      <c r="F14" t="s">
        <v>552</v>
      </c>
      <c r="G14" t="s">
        <v>557</v>
      </c>
    </row>
    <row r="15" spans="1:7" x14ac:dyDescent="0.35">
      <c r="A15" s="1" t="s">
        <v>6</v>
      </c>
      <c r="B15" t="s">
        <v>581</v>
      </c>
      <c r="C15" s="12">
        <v>1</v>
      </c>
      <c r="D15" s="90">
        <v>397.5</v>
      </c>
      <c r="E15" s="45" t="s">
        <v>52</v>
      </c>
      <c r="F15" t="s">
        <v>552</v>
      </c>
      <c r="G15" t="s">
        <v>558</v>
      </c>
    </row>
    <row r="16" spans="1:7" x14ac:dyDescent="0.35">
      <c r="A16" s="1" t="s">
        <v>6</v>
      </c>
      <c r="B16" t="s">
        <v>589</v>
      </c>
      <c r="C16" s="12">
        <v>1</v>
      </c>
      <c r="D16" s="90">
        <v>481.25</v>
      </c>
      <c r="E16" s="45" t="s">
        <v>48</v>
      </c>
      <c r="F16" t="s">
        <v>588</v>
      </c>
      <c r="G16" t="s">
        <v>587</v>
      </c>
    </row>
    <row r="17" spans="1:7" x14ac:dyDescent="0.35">
      <c r="A17" s="107" t="s">
        <v>6</v>
      </c>
      <c r="B17" s="108" t="s">
        <v>723</v>
      </c>
      <c r="C17" s="109">
        <v>1</v>
      </c>
      <c r="D17" s="110">
        <v>1008</v>
      </c>
      <c r="E17" s="111" t="s">
        <v>51</v>
      </c>
      <c r="F17" s="108" t="s">
        <v>588</v>
      </c>
      <c r="G17" s="108" t="s">
        <v>722</v>
      </c>
    </row>
  </sheetData>
  <protectedRanges>
    <protectedRange sqref="D10:D15" name="Amount_2"/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1EB4BA-9A87-4E8E-A77D-BDEF85E38C0F}">
          <x14:formula1>
            <xm:f>'Lookup Values'!$G$2:$G$35</xm:f>
          </x14:formula1>
          <xm:sqref>E10:E17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8A58A-F963-41EC-9BE8-594D5244B154}">
  <dimension ref="A1:G11"/>
  <sheetViews>
    <sheetView zoomScaleNormal="100" workbookViewId="0">
      <selection activeCell="F30" sqref="F30"/>
    </sheetView>
  </sheetViews>
  <sheetFormatPr defaultRowHeight="14.5" x14ac:dyDescent="0.35"/>
  <cols>
    <col min="1" max="1" width="12.54296875" bestFit="1" customWidth="1"/>
    <col min="2" max="2" width="13.7265625" bestFit="1" customWidth="1"/>
    <col min="3" max="3" width="4.1796875" bestFit="1" customWidth="1"/>
    <col min="4" max="4" width="17.7265625" bestFit="1" customWidth="1"/>
    <col min="5" max="5" width="41.1796875" bestFit="1" customWidth="1"/>
    <col min="6" max="6" width="37.7265625" bestFit="1" customWidth="1"/>
    <col min="7" max="7" width="45.54296875" bestFit="1" customWidth="1"/>
  </cols>
  <sheetData>
    <row r="1" spans="1:7" ht="26" x14ac:dyDescent="0.6">
      <c r="A1" s="253" t="s">
        <v>724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725</v>
      </c>
    </row>
    <row r="4" spans="1:7" x14ac:dyDescent="0.35">
      <c r="A4" s="8" t="s">
        <v>29</v>
      </c>
      <c r="B4" s="9">
        <v>44893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89" t="s">
        <v>549</v>
      </c>
      <c r="C9" s="89">
        <v>1</v>
      </c>
      <c r="D9" s="91">
        <f>SUM(D10:D42)</f>
        <v>2624</v>
      </c>
      <c r="E9" s="76" t="s">
        <v>12</v>
      </c>
      <c r="F9" s="76" t="s">
        <v>551</v>
      </c>
      <c r="G9" s="92">
        <v>44713</v>
      </c>
    </row>
    <row r="10" spans="1:7" x14ac:dyDescent="0.35">
      <c r="A10" s="1" t="s">
        <v>6</v>
      </c>
      <c r="B10" t="s">
        <v>723</v>
      </c>
      <c r="C10" s="12">
        <v>1</v>
      </c>
      <c r="D10" s="94">
        <v>1008</v>
      </c>
      <c r="E10" s="45" t="s">
        <v>51</v>
      </c>
      <c r="F10" t="s">
        <v>588</v>
      </c>
      <c r="G10" t="s">
        <v>722</v>
      </c>
    </row>
    <row r="11" spans="1:7" x14ac:dyDescent="0.35">
      <c r="A11" t="s">
        <v>6</v>
      </c>
      <c r="B11" t="s">
        <v>737</v>
      </c>
      <c r="C11">
        <v>1</v>
      </c>
      <c r="D11" s="94">
        <v>1616</v>
      </c>
      <c r="E11" s="45" t="s">
        <v>52</v>
      </c>
      <c r="F11" t="s">
        <v>738</v>
      </c>
      <c r="G11" t="s">
        <v>739</v>
      </c>
    </row>
  </sheetData>
  <protectedRanges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D954ED-F79C-4137-8867-8D756E3E71F2}">
          <x14:formula1>
            <xm:f>'Lookup Values'!$G$2:$G$35</xm:f>
          </x14:formula1>
          <xm:sqref>E10:E11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6E614-B2BA-423A-BCF3-A00AB3DE31D8}">
  <sheetPr codeName="Sheet32"/>
  <dimension ref="A1:G13"/>
  <sheetViews>
    <sheetView workbookViewId="0">
      <selection activeCell="F30" sqref="F30"/>
    </sheetView>
  </sheetViews>
  <sheetFormatPr defaultRowHeight="14.5" x14ac:dyDescent="0.35"/>
  <cols>
    <col min="1" max="1" width="12.54296875" bestFit="1" customWidth="1"/>
    <col min="2" max="2" width="13.7265625" bestFit="1" customWidth="1"/>
    <col min="3" max="3" width="4.1796875" bestFit="1" customWidth="1"/>
    <col min="4" max="4" width="17.7265625" bestFit="1" customWidth="1"/>
    <col min="5" max="5" width="32.54296875" bestFit="1" customWidth="1"/>
    <col min="6" max="6" width="37.7265625" bestFit="1" customWidth="1"/>
    <col min="7" max="7" width="13.7265625" bestFit="1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619</v>
      </c>
    </row>
    <row r="4" spans="1:7" x14ac:dyDescent="0.35">
      <c r="A4" s="8" t="s">
        <v>29</v>
      </c>
      <c r="B4" s="9">
        <v>44809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89" t="s">
        <v>550</v>
      </c>
      <c r="C9" s="89">
        <v>1</v>
      </c>
      <c r="D9" s="91">
        <f>SUM(D10:D49)</f>
        <v>856</v>
      </c>
      <c r="E9" s="76" t="s">
        <v>12</v>
      </c>
      <c r="F9" s="76" t="s">
        <v>551</v>
      </c>
      <c r="G9" s="92">
        <v>44713</v>
      </c>
    </row>
    <row r="10" spans="1:7" x14ac:dyDescent="0.35">
      <c r="A10" s="1" t="s">
        <v>6</v>
      </c>
      <c r="B10" t="s">
        <v>574</v>
      </c>
      <c r="C10" s="89">
        <v>1</v>
      </c>
      <c r="D10" s="90">
        <v>214</v>
      </c>
      <c r="E10" s="45" t="s">
        <v>52</v>
      </c>
      <c r="F10" t="s">
        <v>559</v>
      </c>
      <c r="G10" s="45" t="s">
        <v>560</v>
      </c>
    </row>
    <row r="11" spans="1:7" x14ac:dyDescent="0.35">
      <c r="A11" s="76" t="s">
        <v>6</v>
      </c>
      <c r="B11" t="s">
        <v>575</v>
      </c>
      <c r="C11" s="89">
        <v>1</v>
      </c>
      <c r="D11" s="90">
        <v>214</v>
      </c>
      <c r="E11" s="45" t="s">
        <v>52</v>
      </c>
      <c r="F11" t="s">
        <v>559</v>
      </c>
      <c r="G11" s="45" t="s">
        <v>561</v>
      </c>
    </row>
    <row r="12" spans="1:7" x14ac:dyDescent="0.35">
      <c r="A12" s="1" t="s">
        <v>6</v>
      </c>
      <c r="B12" t="s">
        <v>576</v>
      </c>
      <c r="C12" s="89">
        <v>1</v>
      </c>
      <c r="D12" s="90">
        <v>214</v>
      </c>
      <c r="E12" s="45" t="s">
        <v>52</v>
      </c>
      <c r="F12" t="s">
        <v>559</v>
      </c>
      <c r="G12" s="45" t="s">
        <v>562</v>
      </c>
    </row>
    <row r="13" spans="1:7" x14ac:dyDescent="0.35">
      <c r="A13" s="1" t="s">
        <v>6</v>
      </c>
      <c r="B13" t="s">
        <v>577</v>
      </c>
      <c r="C13" s="89">
        <v>1</v>
      </c>
      <c r="D13" s="90">
        <v>214</v>
      </c>
      <c r="E13" s="45" t="s">
        <v>52</v>
      </c>
      <c r="F13" t="s">
        <v>559</v>
      </c>
      <c r="G13" s="45" t="s">
        <v>563</v>
      </c>
    </row>
  </sheetData>
  <protectedRanges>
    <protectedRange sqref="D10:D13" name="Amount_2"/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3373BC-8166-40BF-AF6C-1A2764E9847F}">
          <x14:formula1>
            <xm:f>'Lookup Values'!$G$2:$G$35</xm:f>
          </x14:formula1>
          <xm:sqref>E10:E13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22314-5422-4747-ADF9-4A2427D547C8}">
  <sheetPr codeName="Sheet34"/>
  <dimension ref="A1:I14"/>
  <sheetViews>
    <sheetView workbookViewId="0">
      <selection activeCell="A4" sqref="A4:I4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6">
        <v>166.1</v>
      </c>
      <c r="G4" s="44" t="s">
        <v>56</v>
      </c>
      <c r="H4" s="44" t="s">
        <v>91</v>
      </c>
      <c r="I4" t="s">
        <v>629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6">
        <v>166.1</v>
      </c>
      <c r="G5" s="44" t="s">
        <v>56</v>
      </c>
      <c r="H5" s="44" t="s">
        <v>91</v>
      </c>
      <c r="I5" t="s">
        <v>631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6">
        <v>166.1</v>
      </c>
      <c r="G6" s="44" t="s">
        <v>56</v>
      </c>
      <c r="H6" s="44" t="s">
        <v>91</v>
      </c>
      <c r="I6" t="s">
        <v>636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6">
        <v>132</v>
      </c>
      <c r="G7" s="44" t="s">
        <v>56</v>
      </c>
      <c r="H7" s="44" t="s">
        <v>90</v>
      </c>
      <c r="I7" t="s">
        <v>637</v>
      </c>
    </row>
    <row r="8" spans="1:9" x14ac:dyDescent="0.3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6">
        <v>132</v>
      </c>
      <c r="G8" s="44" t="s">
        <v>56</v>
      </c>
      <c r="H8" s="44" t="s">
        <v>90</v>
      </c>
      <c r="I8" t="s">
        <v>643</v>
      </c>
    </row>
    <row r="9" spans="1:9" x14ac:dyDescent="0.3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96">
        <v>15</v>
      </c>
      <c r="G9" s="44" t="s">
        <v>56</v>
      </c>
      <c r="H9" s="44" t="s">
        <v>35</v>
      </c>
      <c r="I9" t="s">
        <v>647</v>
      </c>
    </row>
    <row r="10" spans="1:9" x14ac:dyDescent="0.35">
      <c r="A10" s="1" t="s">
        <v>73</v>
      </c>
      <c r="B10" t="s">
        <v>199</v>
      </c>
      <c r="C10" s="44" t="s">
        <v>159</v>
      </c>
      <c r="D10" t="s">
        <v>160</v>
      </c>
      <c r="E10" s="77">
        <v>1</v>
      </c>
      <c r="F10" s="96">
        <v>132</v>
      </c>
      <c r="G10" s="44" t="s">
        <v>56</v>
      </c>
      <c r="H10" s="44" t="s">
        <v>90</v>
      </c>
      <c r="I10" t="s">
        <v>652</v>
      </c>
    </row>
    <row r="11" spans="1:9" x14ac:dyDescent="0.35">
      <c r="A11" s="1" t="s">
        <v>73</v>
      </c>
      <c r="B11" t="s">
        <v>199</v>
      </c>
      <c r="C11" s="44" t="s">
        <v>159</v>
      </c>
      <c r="D11" t="s">
        <v>160</v>
      </c>
      <c r="E11" s="77">
        <v>1</v>
      </c>
      <c r="F11" s="96">
        <v>132</v>
      </c>
      <c r="G11" s="44" t="s">
        <v>56</v>
      </c>
      <c r="H11" s="44" t="s">
        <v>90</v>
      </c>
      <c r="I11" t="s">
        <v>637</v>
      </c>
    </row>
    <row r="12" spans="1:9" x14ac:dyDescent="0.35">
      <c r="A12" s="1" t="s">
        <v>73</v>
      </c>
      <c r="B12" t="s">
        <v>199</v>
      </c>
      <c r="C12" s="44" t="s">
        <v>159</v>
      </c>
      <c r="D12" t="s">
        <v>160</v>
      </c>
      <c r="E12" s="77">
        <v>1</v>
      </c>
      <c r="F12" s="96">
        <v>166.1</v>
      </c>
      <c r="G12" s="44" t="s">
        <v>56</v>
      </c>
      <c r="H12" s="44" t="s">
        <v>91</v>
      </c>
      <c r="I12" t="s">
        <v>636</v>
      </c>
    </row>
    <row r="13" spans="1:9" x14ac:dyDescent="0.35">
      <c r="A13" s="1" t="s">
        <v>73</v>
      </c>
      <c r="B13" t="s">
        <v>199</v>
      </c>
      <c r="C13" s="44" t="s">
        <v>159</v>
      </c>
      <c r="D13" t="s">
        <v>160</v>
      </c>
      <c r="E13" s="77">
        <v>1</v>
      </c>
      <c r="F13" s="96">
        <v>132</v>
      </c>
      <c r="G13" s="44" t="s">
        <v>56</v>
      </c>
      <c r="H13" s="44" t="s">
        <v>90</v>
      </c>
      <c r="I13" t="s">
        <v>653</v>
      </c>
    </row>
    <row r="14" spans="1:9" x14ac:dyDescent="0.35">
      <c r="A14" s="1" t="s">
        <v>73</v>
      </c>
      <c r="B14" t="s">
        <v>199</v>
      </c>
      <c r="C14" s="44" t="s">
        <v>159</v>
      </c>
      <c r="D14" t="s">
        <v>160</v>
      </c>
      <c r="E14" s="77">
        <v>1</v>
      </c>
      <c r="F14" s="96">
        <v>132</v>
      </c>
      <c r="G14" s="44" t="s">
        <v>56</v>
      </c>
      <c r="H14" s="44" t="s">
        <v>90</v>
      </c>
      <c r="I14" t="s">
        <v>643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61CD20-287C-4BE4-9F82-169244BAF3B8}">
          <x14:formula1>
            <xm:f>'Lookup Values'!$A$2:$A$9</xm:f>
          </x14:formula1>
          <xm:sqref>H4:H14</xm:sqref>
        </x14:dataValidation>
        <x14:dataValidation type="list" allowBlank="1" showInputMessage="1" showErrorMessage="1" xr:uid="{9CD6720A-30B3-432F-B1A4-9E409384F6CB}">
          <x14:formula1>
            <xm:f>'Lookup Values'!$G$2:$G$35</xm:f>
          </x14:formula1>
          <xm:sqref>G4:G14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4A03-D9CC-4A4A-BB0E-BF0ECDB78A0F}">
  <dimension ref="A1:G42"/>
  <sheetViews>
    <sheetView topLeftCell="F7" workbookViewId="0">
      <selection activeCell="J22" sqref="J22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7.7265625" customWidth="1"/>
    <col min="4" max="4" width="17.7265625" bestFit="1" customWidth="1"/>
    <col min="5" max="5" width="44" bestFit="1" customWidth="1"/>
    <col min="6" max="6" width="47.1796875" bestFit="1" customWidth="1"/>
    <col min="7" max="7" width="31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/>
    </row>
    <row r="5" spans="1:7" x14ac:dyDescent="0.35">
      <c r="A5" s="8" t="s">
        <v>29</v>
      </c>
      <c r="B5" s="9"/>
    </row>
    <row r="6" spans="1:7" ht="15" thickBot="1" x14ac:dyDescent="0.4">
      <c r="A6" s="10" t="s">
        <v>30</v>
      </c>
      <c r="B6" s="11"/>
    </row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35">
      <c r="A10" s="76" t="s">
        <v>6</v>
      </c>
      <c r="B10" s="77" t="s">
        <v>7</v>
      </c>
      <c r="C10" s="77">
        <v>-1</v>
      </c>
      <c r="D10" s="78">
        <f>-SUM(D11:D42)+-SUM('Parks Journal input Sep 2022'!F4:F14)</f>
        <v>-4857.0999999999995</v>
      </c>
      <c r="E10" s="79" t="s">
        <v>12</v>
      </c>
      <c r="F10" s="79" t="s">
        <v>13</v>
      </c>
      <c r="G10" s="80">
        <v>44805</v>
      </c>
    </row>
    <row r="11" spans="1:7" x14ac:dyDescent="0.35">
      <c r="A11" s="76" t="s">
        <v>6</v>
      </c>
      <c r="B11" t="s">
        <v>86</v>
      </c>
      <c r="C11" s="89">
        <v>1</v>
      </c>
      <c r="D11" s="90">
        <v>15</v>
      </c>
      <c r="E11" s="44" t="s">
        <v>47</v>
      </c>
      <c r="F11" s="44" t="s">
        <v>35</v>
      </c>
      <c r="G11" s="46" t="s">
        <v>622</v>
      </c>
    </row>
    <row r="12" spans="1:7" x14ac:dyDescent="0.35">
      <c r="A12" s="76" t="s">
        <v>23</v>
      </c>
      <c r="B12" t="s">
        <v>211</v>
      </c>
      <c r="C12" s="89">
        <v>1</v>
      </c>
      <c r="D12" s="90">
        <v>15</v>
      </c>
      <c r="E12" s="44" t="s">
        <v>62</v>
      </c>
      <c r="F12" s="44" t="s">
        <v>35</v>
      </c>
      <c r="G12" s="46" t="s">
        <v>623</v>
      </c>
    </row>
    <row r="13" spans="1:7" x14ac:dyDescent="0.35">
      <c r="A13" s="76" t="s">
        <v>6</v>
      </c>
      <c r="B13" t="s">
        <v>72</v>
      </c>
      <c r="C13" s="89">
        <v>1</v>
      </c>
      <c r="D13" s="90">
        <v>15</v>
      </c>
      <c r="E13" s="44" t="s">
        <v>82</v>
      </c>
      <c r="F13" s="44" t="s">
        <v>35</v>
      </c>
      <c r="G13" s="35" t="s">
        <v>624</v>
      </c>
    </row>
    <row r="14" spans="1:7" x14ac:dyDescent="0.35">
      <c r="A14" s="76" t="s">
        <v>23</v>
      </c>
      <c r="B14" t="s">
        <v>211</v>
      </c>
      <c r="C14" s="89">
        <v>1</v>
      </c>
      <c r="D14" s="96">
        <v>15</v>
      </c>
      <c r="E14" s="44" t="s">
        <v>62</v>
      </c>
      <c r="F14" s="44" t="s">
        <v>35</v>
      </c>
      <c r="G14" t="s">
        <v>625</v>
      </c>
    </row>
    <row r="15" spans="1:7" x14ac:dyDescent="0.35">
      <c r="A15" s="98" t="s">
        <v>6</v>
      </c>
      <c r="B15" t="s">
        <v>219</v>
      </c>
      <c r="C15" s="89">
        <v>1</v>
      </c>
      <c r="D15" s="96">
        <v>29</v>
      </c>
      <c r="E15" s="44" t="s">
        <v>50</v>
      </c>
      <c r="F15" s="44" t="s">
        <v>36</v>
      </c>
      <c r="G15" t="s">
        <v>626</v>
      </c>
    </row>
    <row r="16" spans="1:7" x14ac:dyDescent="0.35">
      <c r="A16" s="98" t="s">
        <v>6</v>
      </c>
      <c r="B16" t="s">
        <v>219</v>
      </c>
      <c r="C16" s="89">
        <v>1</v>
      </c>
      <c r="D16" s="96">
        <v>40</v>
      </c>
      <c r="E16" s="44" t="s">
        <v>50</v>
      </c>
      <c r="F16" s="44" t="s">
        <v>34</v>
      </c>
      <c r="G16" t="s">
        <v>627</v>
      </c>
    </row>
    <row r="17" spans="1:7" x14ac:dyDescent="0.35">
      <c r="A17" s="1" t="s">
        <v>23</v>
      </c>
      <c r="B17" t="s">
        <v>244</v>
      </c>
      <c r="C17" s="89">
        <v>1</v>
      </c>
      <c r="D17" s="96">
        <v>166.1</v>
      </c>
      <c r="E17" s="44" t="s">
        <v>64</v>
      </c>
      <c r="F17" s="44" t="s">
        <v>91</v>
      </c>
      <c r="G17" t="s">
        <v>628</v>
      </c>
    </row>
    <row r="18" spans="1:7" x14ac:dyDescent="0.35">
      <c r="A18" s="1" t="s">
        <v>6</v>
      </c>
      <c r="B18" t="s">
        <v>219</v>
      </c>
      <c r="C18" s="89">
        <v>1</v>
      </c>
      <c r="D18" s="96">
        <v>166.1</v>
      </c>
      <c r="E18" s="44" t="s">
        <v>50</v>
      </c>
      <c r="F18" s="44" t="s">
        <v>91</v>
      </c>
      <c r="G18" t="s">
        <v>482</v>
      </c>
    </row>
    <row r="19" spans="1:7" x14ac:dyDescent="0.35">
      <c r="A19" s="1" t="s">
        <v>6</v>
      </c>
      <c r="B19" t="s">
        <v>219</v>
      </c>
      <c r="C19" s="89">
        <v>1</v>
      </c>
      <c r="D19" s="96">
        <v>166.1</v>
      </c>
      <c r="E19" s="44" t="s">
        <v>50</v>
      </c>
      <c r="F19" s="44" t="s">
        <v>91</v>
      </c>
      <c r="G19" t="s">
        <v>630</v>
      </c>
    </row>
    <row r="20" spans="1:7" x14ac:dyDescent="0.35">
      <c r="A20" s="1" t="s">
        <v>23</v>
      </c>
      <c r="B20" t="s">
        <v>244</v>
      </c>
      <c r="C20" s="89">
        <v>1</v>
      </c>
      <c r="D20" s="96">
        <v>166.1</v>
      </c>
      <c r="E20" s="44" t="s">
        <v>64</v>
      </c>
      <c r="F20" s="44" t="s">
        <v>91</v>
      </c>
      <c r="G20" t="s">
        <v>632</v>
      </c>
    </row>
    <row r="21" spans="1:7" x14ac:dyDescent="0.35">
      <c r="A21" s="1" t="s">
        <v>23</v>
      </c>
      <c r="B21" t="s">
        <v>244</v>
      </c>
      <c r="C21" s="89">
        <v>1</v>
      </c>
      <c r="D21" s="96">
        <v>166.1</v>
      </c>
      <c r="E21" s="44" t="s">
        <v>64</v>
      </c>
      <c r="F21" s="44" t="s">
        <v>91</v>
      </c>
      <c r="G21" t="s">
        <v>633</v>
      </c>
    </row>
    <row r="22" spans="1:7" x14ac:dyDescent="0.35">
      <c r="A22" s="76" t="s">
        <v>23</v>
      </c>
      <c r="B22" t="s">
        <v>211</v>
      </c>
      <c r="C22" s="89">
        <v>1</v>
      </c>
      <c r="D22" s="96">
        <v>132</v>
      </c>
      <c r="E22" s="44" t="s">
        <v>62</v>
      </c>
      <c r="F22" s="44" t="s">
        <v>90</v>
      </c>
      <c r="G22" t="s">
        <v>634</v>
      </c>
    </row>
    <row r="23" spans="1:7" x14ac:dyDescent="0.35">
      <c r="A23" s="76" t="s">
        <v>23</v>
      </c>
      <c r="B23" t="s">
        <v>211</v>
      </c>
      <c r="C23" s="89">
        <v>1</v>
      </c>
      <c r="D23" s="96">
        <v>132</v>
      </c>
      <c r="E23" s="44" t="s">
        <v>62</v>
      </c>
      <c r="F23" s="44" t="s">
        <v>90</v>
      </c>
      <c r="G23" t="s">
        <v>635</v>
      </c>
    </row>
    <row r="24" spans="1:7" x14ac:dyDescent="0.35">
      <c r="A24" s="76" t="s">
        <v>23</v>
      </c>
      <c r="B24" t="s">
        <v>211</v>
      </c>
      <c r="C24" s="89">
        <v>1</v>
      </c>
      <c r="D24" s="96">
        <v>132</v>
      </c>
      <c r="E24" s="44" t="s">
        <v>62</v>
      </c>
      <c r="F24" s="44" t="s">
        <v>90</v>
      </c>
      <c r="G24" t="s">
        <v>440</v>
      </c>
    </row>
    <row r="25" spans="1:7" x14ac:dyDescent="0.35">
      <c r="A25" s="1" t="s">
        <v>23</v>
      </c>
      <c r="B25" t="s">
        <v>244</v>
      </c>
      <c r="C25" s="89">
        <v>1</v>
      </c>
      <c r="D25" s="96">
        <v>132</v>
      </c>
      <c r="E25" s="44" t="s">
        <v>64</v>
      </c>
      <c r="F25" s="44" t="s">
        <v>90</v>
      </c>
      <c r="G25" t="s">
        <v>638</v>
      </c>
    </row>
    <row r="26" spans="1:7" x14ac:dyDescent="0.35">
      <c r="A26" s="76" t="s">
        <v>23</v>
      </c>
      <c r="B26" t="s">
        <v>211</v>
      </c>
      <c r="C26" s="89">
        <v>1</v>
      </c>
      <c r="D26" s="96">
        <v>132</v>
      </c>
      <c r="E26" s="44" t="s">
        <v>62</v>
      </c>
      <c r="F26" s="44" t="s">
        <v>90</v>
      </c>
      <c r="G26" t="s">
        <v>646</v>
      </c>
    </row>
    <row r="27" spans="1:7" x14ac:dyDescent="0.35">
      <c r="A27" s="1" t="s">
        <v>23</v>
      </c>
      <c r="B27" t="s">
        <v>244</v>
      </c>
      <c r="C27" s="89">
        <v>1</v>
      </c>
      <c r="D27" s="96">
        <v>132</v>
      </c>
      <c r="E27" s="44" t="s">
        <v>64</v>
      </c>
      <c r="F27" s="44" t="s">
        <v>90</v>
      </c>
      <c r="G27" t="s">
        <v>639</v>
      </c>
    </row>
    <row r="28" spans="1:7" x14ac:dyDescent="0.35">
      <c r="A28" s="1" t="s">
        <v>6</v>
      </c>
      <c r="B28" t="s">
        <v>219</v>
      </c>
      <c r="C28" s="89">
        <v>1</v>
      </c>
      <c r="D28" s="96">
        <v>132</v>
      </c>
      <c r="E28" s="44" t="s">
        <v>50</v>
      </c>
      <c r="F28" s="44" t="s">
        <v>90</v>
      </c>
      <c r="G28" t="s">
        <v>640</v>
      </c>
    </row>
    <row r="29" spans="1:7" x14ac:dyDescent="0.35">
      <c r="A29" s="76" t="s">
        <v>23</v>
      </c>
      <c r="B29" t="s">
        <v>211</v>
      </c>
      <c r="C29" s="89">
        <v>1</v>
      </c>
      <c r="D29" s="96">
        <v>132</v>
      </c>
      <c r="E29" s="44" t="s">
        <v>62</v>
      </c>
      <c r="F29" s="44" t="s">
        <v>90</v>
      </c>
      <c r="G29" t="s">
        <v>641</v>
      </c>
    </row>
    <row r="30" spans="1:7" x14ac:dyDescent="0.35">
      <c r="A30" s="76" t="s">
        <v>23</v>
      </c>
      <c r="B30" t="s">
        <v>211</v>
      </c>
      <c r="C30" s="89">
        <v>1</v>
      </c>
      <c r="D30" s="96">
        <v>166.1</v>
      </c>
      <c r="E30" s="44" t="s">
        <v>62</v>
      </c>
      <c r="F30" s="44" t="s">
        <v>91</v>
      </c>
      <c r="G30" t="s">
        <v>642</v>
      </c>
    </row>
    <row r="31" spans="1:7" x14ac:dyDescent="0.35">
      <c r="A31" s="76" t="s">
        <v>23</v>
      </c>
      <c r="B31" t="s">
        <v>211</v>
      </c>
      <c r="C31" s="89">
        <v>1</v>
      </c>
      <c r="D31" s="96">
        <v>132</v>
      </c>
      <c r="E31" s="44" t="s">
        <v>62</v>
      </c>
      <c r="F31" s="44" t="s">
        <v>90</v>
      </c>
      <c r="G31" t="s">
        <v>644</v>
      </c>
    </row>
    <row r="32" spans="1:7" x14ac:dyDescent="0.35">
      <c r="A32" s="1" t="s">
        <v>23</v>
      </c>
      <c r="B32" t="s">
        <v>244</v>
      </c>
      <c r="C32" s="89">
        <v>1</v>
      </c>
      <c r="D32" s="96">
        <v>132</v>
      </c>
      <c r="E32" s="44" t="s">
        <v>64</v>
      </c>
      <c r="F32" s="44" t="s">
        <v>90</v>
      </c>
      <c r="G32" t="s">
        <v>645</v>
      </c>
    </row>
    <row r="33" spans="1:7" x14ac:dyDescent="0.35">
      <c r="A33" s="76" t="s">
        <v>23</v>
      </c>
      <c r="B33" t="s">
        <v>211</v>
      </c>
      <c r="C33" s="89">
        <v>1</v>
      </c>
      <c r="D33" s="96">
        <v>132</v>
      </c>
      <c r="E33" s="44" t="s">
        <v>62</v>
      </c>
      <c r="F33" s="44" t="s">
        <v>90</v>
      </c>
      <c r="G33" t="s">
        <v>646</v>
      </c>
    </row>
    <row r="34" spans="1:7" x14ac:dyDescent="0.35">
      <c r="A34" s="1" t="s">
        <v>6</v>
      </c>
      <c r="B34" t="s">
        <v>219</v>
      </c>
      <c r="C34" s="89">
        <v>1</v>
      </c>
      <c r="D34" s="96">
        <v>15</v>
      </c>
      <c r="E34" s="44" t="s">
        <v>50</v>
      </c>
      <c r="F34" s="44" t="s">
        <v>35</v>
      </c>
      <c r="G34" t="s">
        <v>648</v>
      </c>
    </row>
    <row r="35" spans="1:7" x14ac:dyDescent="0.35">
      <c r="A35" s="1" t="s">
        <v>6</v>
      </c>
      <c r="B35" t="s">
        <v>88</v>
      </c>
      <c r="C35" s="89">
        <v>1</v>
      </c>
      <c r="D35" s="96">
        <v>15</v>
      </c>
      <c r="E35" s="44" t="s">
        <v>83</v>
      </c>
      <c r="F35" s="44" t="s">
        <v>35</v>
      </c>
      <c r="G35" t="s">
        <v>649</v>
      </c>
    </row>
    <row r="36" spans="1:7" x14ac:dyDescent="0.35">
      <c r="A36" s="1" t="s">
        <v>6</v>
      </c>
      <c r="B36" t="s">
        <v>142</v>
      </c>
      <c r="C36" s="89">
        <v>1</v>
      </c>
      <c r="D36" s="96">
        <v>29</v>
      </c>
      <c r="E36" s="44" t="s">
        <v>44</v>
      </c>
      <c r="F36" s="44" t="s">
        <v>36</v>
      </c>
      <c r="G36" t="s">
        <v>650</v>
      </c>
    </row>
    <row r="37" spans="1:7" x14ac:dyDescent="0.35">
      <c r="A37" s="1" t="s">
        <v>6</v>
      </c>
      <c r="B37" t="s">
        <v>142</v>
      </c>
      <c r="C37" s="89">
        <v>1</v>
      </c>
      <c r="D37" s="96">
        <v>55</v>
      </c>
      <c r="E37" s="44" t="s">
        <v>44</v>
      </c>
      <c r="F37" s="44" t="s">
        <v>20</v>
      </c>
      <c r="G37" t="s">
        <v>651</v>
      </c>
    </row>
    <row r="38" spans="1:7" x14ac:dyDescent="0.35">
      <c r="A38" t="s">
        <v>6</v>
      </c>
      <c r="B38" t="s">
        <v>219</v>
      </c>
      <c r="C38" s="99">
        <v>1</v>
      </c>
      <c r="D38" s="96">
        <v>132</v>
      </c>
      <c r="E38" s="44" t="s">
        <v>50</v>
      </c>
      <c r="F38" s="44" t="s">
        <v>90</v>
      </c>
      <c r="G38" t="s">
        <v>640</v>
      </c>
    </row>
    <row r="39" spans="1:7" x14ac:dyDescent="0.35">
      <c r="A39" t="s">
        <v>23</v>
      </c>
      <c r="B39" t="s">
        <v>211</v>
      </c>
      <c r="C39" s="89">
        <v>1</v>
      </c>
      <c r="D39" s="96">
        <v>132</v>
      </c>
      <c r="E39" s="44" t="s">
        <v>62</v>
      </c>
      <c r="F39" s="44" t="s">
        <v>90</v>
      </c>
      <c r="G39" t="s">
        <v>641</v>
      </c>
    </row>
    <row r="40" spans="1:7" x14ac:dyDescent="0.35">
      <c r="A40" t="s">
        <v>23</v>
      </c>
      <c r="B40" t="s">
        <v>211</v>
      </c>
      <c r="C40" s="89">
        <v>1</v>
      </c>
      <c r="D40" s="96">
        <v>166.1</v>
      </c>
      <c r="E40" s="44" t="s">
        <v>62</v>
      </c>
      <c r="F40" s="44" t="s">
        <v>91</v>
      </c>
      <c r="G40" t="s">
        <v>654</v>
      </c>
    </row>
    <row r="41" spans="1:7" x14ac:dyDescent="0.35">
      <c r="A41" t="s">
        <v>23</v>
      </c>
      <c r="B41" t="s">
        <v>211</v>
      </c>
      <c r="C41" s="89">
        <v>1</v>
      </c>
      <c r="D41" s="96">
        <v>132</v>
      </c>
      <c r="E41" s="44" t="s">
        <v>62</v>
      </c>
      <c r="F41" s="44" t="s">
        <v>90</v>
      </c>
      <c r="G41" t="s">
        <v>655</v>
      </c>
    </row>
    <row r="42" spans="1:7" x14ac:dyDescent="0.35">
      <c r="A42" t="s">
        <v>23</v>
      </c>
      <c r="B42" t="s">
        <v>211</v>
      </c>
      <c r="C42" s="89">
        <v>1</v>
      </c>
      <c r="D42" s="96">
        <v>132</v>
      </c>
      <c r="E42" s="44" t="s">
        <v>62</v>
      </c>
      <c r="F42" s="44" t="s">
        <v>90</v>
      </c>
      <c r="G42" t="s">
        <v>645</v>
      </c>
    </row>
  </sheetData>
  <protectedRanges>
    <protectedRange sqref="D11:D13" name="Amount_2_8"/>
    <protectedRange sqref="D10" name="Amount_2_1_2"/>
  </protectedRanges>
  <autoFilter ref="A9:G42" xr:uid="{A71A4A03-D9CC-4A4A-BB0E-BF0ECDB78A0F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9F8672-5784-4C9A-9C1D-8D97F9070984}">
          <x14:formula1>
            <xm:f>'Lookup Values'!$A$2:$A$9</xm:f>
          </x14:formula1>
          <xm:sqref>F11:F42</xm:sqref>
        </x14:dataValidation>
        <x14:dataValidation type="list" allowBlank="1" showInputMessage="1" showErrorMessage="1" xr:uid="{BD8CF4DF-0FBF-4C2E-A230-0F4BEC0A0C90}">
          <x14:formula1>
            <xm:f>'Lookup Values'!$G$2:$G$35</xm:f>
          </x14:formula1>
          <xm:sqref>E11:E42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67EDF-D059-4293-932A-7F6F55750E99}">
  <sheetPr codeName="Sheet35"/>
  <dimension ref="A1:I7"/>
  <sheetViews>
    <sheetView workbookViewId="0">
      <selection activeCell="D18" sqref="D18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0">
        <v>55</v>
      </c>
      <c r="G4" s="44" t="s">
        <v>56</v>
      </c>
      <c r="H4" s="44" t="s">
        <v>20</v>
      </c>
      <c r="I4" s="46" t="s">
        <v>657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0">
        <v>15</v>
      </c>
      <c r="G5" s="44" t="s">
        <v>56</v>
      </c>
      <c r="H5" s="44" t="s">
        <v>35</v>
      </c>
      <c r="I5" s="35" t="s">
        <v>658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6">
        <v>15</v>
      </c>
      <c r="G6" s="44" t="s">
        <v>56</v>
      </c>
      <c r="H6" s="44" t="s">
        <v>35</v>
      </c>
      <c r="I6" t="s">
        <v>671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6">
        <v>27.5</v>
      </c>
      <c r="G7" s="44" t="s">
        <v>56</v>
      </c>
      <c r="H7" t="s">
        <v>682</v>
      </c>
      <c r="I7" t="s">
        <v>683</v>
      </c>
    </row>
  </sheetData>
  <protectedRanges>
    <protectedRange sqref="F4:F5" name="Amount_2_8_1"/>
  </protectedRange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E3B49C-7760-47F3-B6CB-2E6246A1EA06}">
          <x14:formula1>
            <xm:f>'Lookup Values'!$A$2:$A$9</xm:f>
          </x14:formula1>
          <xm:sqref>H4:H6</xm:sqref>
        </x14:dataValidation>
        <x14:dataValidation type="list" allowBlank="1" showInputMessage="1" showErrorMessage="1" xr:uid="{586161E3-B8C5-4AB6-A464-C746301EA4B0}">
          <x14:formula1>
            <xm:f>'Lookup Values'!$G$2:$G$35</xm:f>
          </x14:formula1>
          <xm:sqref>G4:G7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416D1-6340-4B75-BF8D-CDCCE1F0E548}">
  <dimension ref="A1:G51"/>
  <sheetViews>
    <sheetView workbookViewId="0">
      <selection activeCell="E28" sqref="E28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4.1796875" bestFit="1" customWidth="1"/>
    <col min="4" max="4" width="17.7265625" bestFit="1" customWidth="1"/>
    <col min="5" max="5" width="44" bestFit="1" customWidth="1"/>
    <col min="6" max="6" width="47.1796875" bestFit="1" customWidth="1"/>
    <col min="7" max="7" width="30.2695312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698</v>
      </c>
    </row>
    <row r="5" spans="1:7" x14ac:dyDescent="0.35">
      <c r="A5" s="8" t="s">
        <v>29</v>
      </c>
      <c r="B5" s="9">
        <v>44867</v>
      </c>
    </row>
    <row r="6" spans="1:7" ht="15" thickBot="1" x14ac:dyDescent="0.4">
      <c r="A6" s="10" t="s">
        <v>30</v>
      </c>
      <c r="B6" s="11" t="s">
        <v>213</v>
      </c>
    </row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35">
      <c r="A10" s="76" t="s">
        <v>6</v>
      </c>
      <c r="B10" s="77" t="s">
        <v>7</v>
      </c>
      <c r="C10" s="77">
        <v>-1</v>
      </c>
      <c r="D10" s="78">
        <f>-SUM(D11:D49)+-SUM('Parks Journal input Oct 2022'!F4:F7)</f>
        <v>-3333.7500000000005</v>
      </c>
      <c r="E10" s="79" t="s">
        <v>12</v>
      </c>
      <c r="F10" s="79" t="s">
        <v>13</v>
      </c>
      <c r="G10" s="80">
        <v>44835</v>
      </c>
    </row>
    <row r="11" spans="1:7" x14ac:dyDescent="0.35">
      <c r="A11" s="1" t="s">
        <v>6</v>
      </c>
      <c r="B11" t="s">
        <v>72</v>
      </c>
      <c r="C11" s="89">
        <v>1</v>
      </c>
      <c r="D11" s="90">
        <v>84</v>
      </c>
      <c r="E11" s="44" t="s">
        <v>82</v>
      </c>
      <c r="F11" s="44" t="s">
        <v>69</v>
      </c>
      <c r="G11" s="46" t="s">
        <v>656</v>
      </c>
    </row>
    <row r="12" spans="1:7" x14ac:dyDescent="0.35">
      <c r="A12" s="1" t="s">
        <v>6</v>
      </c>
      <c r="B12" t="s">
        <v>88</v>
      </c>
      <c r="C12" s="89">
        <v>1</v>
      </c>
      <c r="D12" s="96">
        <v>40</v>
      </c>
      <c r="E12" s="44" t="s">
        <v>83</v>
      </c>
      <c r="F12" s="44" t="s">
        <v>34</v>
      </c>
      <c r="G12" t="s">
        <v>659</v>
      </c>
    </row>
    <row r="13" spans="1:7" x14ac:dyDescent="0.35">
      <c r="A13" s="76" t="s">
        <v>23</v>
      </c>
      <c r="B13" t="s">
        <v>206</v>
      </c>
      <c r="C13" s="89">
        <v>1</v>
      </c>
      <c r="D13" s="96">
        <v>15</v>
      </c>
      <c r="E13" s="44" t="s">
        <v>63</v>
      </c>
      <c r="F13" s="44" t="s">
        <v>35</v>
      </c>
      <c r="G13" t="s">
        <v>660</v>
      </c>
    </row>
    <row r="14" spans="1:7" x14ac:dyDescent="0.35">
      <c r="A14" s="1" t="s">
        <v>23</v>
      </c>
      <c r="B14" t="s">
        <v>211</v>
      </c>
      <c r="C14" s="89">
        <v>1</v>
      </c>
      <c r="D14" s="96">
        <v>29</v>
      </c>
      <c r="E14" s="44" t="s">
        <v>62</v>
      </c>
      <c r="F14" s="44" t="s">
        <v>36</v>
      </c>
      <c r="G14" t="s">
        <v>661</v>
      </c>
    </row>
    <row r="15" spans="1:7" x14ac:dyDescent="0.35">
      <c r="A15" s="1" t="s">
        <v>6</v>
      </c>
      <c r="B15" t="s">
        <v>142</v>
      </c>
      <c r="C15" s="89">
        <v>1</v>
      </c>
      <c r="D15" s="96">
        <v>132</v>
      </c>
      <c r="E15" s="44" t="s">
        <v>44</v>
      </c>
      <c r="F15" s="44" t="s">
        <v>90</v>
      </c>
      <c r="G15" t="s">
        <v>662</v>
      </c>
    </row>
    <row r="16" spans="1:7" x14ac:dyDescent="0.35">
      <c r="A16" s="1" t="s">
        <v>6</v>
      </c>
      <c r="B16" t="s">
        <v>142</v>
      </c>
      <c r="C16" s="89">
        <v>1</v>
      </c>
      <c r="D16" s="96">
        <v>166.1</v>
      </c>
      <c r="E16" s="44" t="s">
        <v>44</v>
      </c>
      <c r="F16" s="44" t="s">
        <v>91</v>
      </c>
      <c r="G16" t="s">
        <v>663</v>
      </c>
    </row>
    <row r="17" spans="1:7" x14ac:dyDescent="0.35">
      <c r="A17" s="1" t="s">
        <v>23</v>
      </c>
      <c r="B17" t="s">
        <v>211</v>
      </c>
      <c r="C17" s="89">
        <v>1</v>
      </c>
      <c r="D17" s="96">
        <v>15</v>
      </c>
      <c r="E17" s="44" t="s">
        <v>62</v>
      </c>
      <c r="F17" s="44" t="s">
        <v>35</v>
      </c>
      <c r="G17" t="s">
        <v>664</v>
      </c>
    </row>
    <row r="18" spans="1:7" x14ac:dyDescent="0.35">
      <c r="A18" t="s">
        <v>6</v>
      </c>
      <c r="B18" t="s">
        <v>86</v>
      </c>
      <c r="C18" s="89">
        <v>1</v>
      </c>
      <c r="D18" s="96">
        <v>69</v>
      </c>
      <c r="E18" s="44" t="s">
        <v>47</v>
      </c>
      <c r="F18" s="44" t="s">
        <v>214</v>
      </c>
      <c r="G18" t="s">
        <v>665</v>
      </c>
    </row>
    <row r="19" spans="1:7" x14ac:dyDescent="0.35">
      <c r="A19" t="s">
        <v>6</v>
      </c>
      <c r="B19" t="s">
        <v>219</v>
      </c>
      <c r="C19" s="89">
        <v>1</v>
      </c>
      <c r="D19" s="96">
        <v>132</v>
      </c>
      <c r="E19" s="44" t="s">
        <v>50</v>
      </c>
      <c r="F19" s="44" t="s">
        <v>90</v>
      </c>
      <c r="G19" t="s">
        <v>666</v>
      </c>
    </row>
    <row r="20" spans="1:7" x14ac:dyDescent="0.35">
      <c r="A20" t="s">
        <v>6</v>
      </c>
      <c r="B20" t="s">
        <v>219</v>
      </c>
      <c r="C20" s="89">
        <v>1</v>
      </c>
      <c r="D20" s="96">
        <v>166.1</v>
      </c>
      <c r="E20" s="44" t="s">
        <v>50</v>
      </c>
      <c r="F20" s="44" t="s">
        <v>91</v>
      </c>
      <c r="G20" t="s">
        <v>667</v>
      </c>
    </row>
    <row r="21" spans="1:7" x14ac:dyDescent="0.35">
      <c r="A21" t="s">
        <v>6</v>
      </c>
      <c r="B21" t="s">
        <v>219</v>
      </c>
      <c r="C21" s="89">
        <v>1</v>
      </c>
      <c r="D21" s="96">
        <v>166.1</v>
      </c>
      <c r="E21" s="44" t="s">
        <v>50</v>
      </c>
      <c r="F21" s="44" t="s">
        <v>91</v>
      </c>
      <c r="G21" t="s">
        <v>668</v>
      </c>
    </row>
    <row r="22" spans="1:7" x14ac:dyDescent="0.35">
      <c r="A22" t="s">
        <v>6</v>
      </c>
      <c r="B22" t="s">
        <v>219</v>
      </c>
      <c r="C22" s="89">
        <v>1</v>
      </c>
      <c r="D22" s="96">
        <v>166.1</v>
      </c>
      <c r="E22" s="44" t="s">
        <v>50</v>
      </c>
      <c r="F22" s="44" t="s">
        <v>91</v>
      </c>
      <c r="G22" t="s">
        <v>669</v>
      </c>
    </row>
    <row r="23" spans="1:7" x14ac:dyDescent="0.35">
      <c r="A23" t="s">
        <v>6</v>
      </c>
      <c r="B23" t="s">
        <v>219</v>
      </c>
      <c r="C23" s="89">
        <v>1</v>
      </c>
      <c r="D23" s="96">
        <v>55</v>
      </c>
      <c r="E23" s="44" t="s">
        <v>50</v>
      </c>
      <c r="F23" s="44" t="s">
        <v>20</v>
      </c>
      <c r="G23" t="s">
        <v>670</v>
      </c>
    </row>
    <row r="24" spans="1:7" x14ac:dyDescent="0.35">
      <c r="A24" s="1" t="s">
        <v>6</v>
      </c>
      <c r="B24" t="s">
        <v>88</v>
      </c>
      <c r="C24" s="89">
        <v>1</v>
      </c>
      <c r="D24" s="96">
        <v>40</v>
      </c>
      <c r="E24" s="44" t="s">
        <v>83</v>
      </c>
      <c r="F24" s="44" t="s">
        <v>34</v>
      </c>
      <c r="G24" t="s">
        <v>672</v>
      </c>
    </row>
    <row r="25" spans="1:7" x14ac:dyDescent="0.35">
      <c r="A25" t="s">
        <v>23</v>
      </c>
      <c r="B25" t="s">
        <v>244</v>
      </c>
      <c r="C25" s="89">
        <v>1</v>
      </c>
      <c r="D25" s="96">
        <v>132</v>
      </c>
      <c r="E25" s="44" t="s">
        <v>64</v>
      </c>
      <c r="F25" s="44" t="s">
        <v>90</v>
      </c>
      <c r="G25" t="s">
        <v>673</v>
      </c>
    </row>
    <row r="26" spans="1:7" x14ac:dyDescent="0.35">
      <c r="A26" t="s">
        <v>6</v>
      </c>
      <c r="B26" t="s">
        <v>219</v>
      </c>
      <c r="C26" s="89">
        <v>1</v>
      </c>
      <c r="D26" s="96">
        <v>132</v>
      </c>
      <c r="E26" s="44" t="s">
        <v>50</v>
      </c>
      <c r="F26" s="44" t="s">
        <v>90</v>
      </c>
      <c r="G26" t="s">
        <v>674</v>
      </c>
    </row>
    <row r="27" spans="1:7" x14ac:dyDescent="0.35">
      <c r="A27" t="s">
        <v>6</v>
      </c>
      <c r="B27" t="s">
        <v>219</v>
      </c>
      <c r="C27" s="89">
        <v>1</v>
      </c>
      <c r="D27" s="96">
        <v>132</v>
      </c>
      <c r="E27" s="44" t="s">
        <v>50</v>
      </c>
      <c r="F27" s="44" t="s">
        <v>90</v>
      </c>
      <c r="G27" t="s">
        <v>675</v>
      </c>
    </row>
    <row r="28" spans="1:7" x14ac:dyDescent="0.35">
      <c r="A28" s="1" t="s">
        <v>23</v>
      </c>
      <c r="B28" t="s">
        <v>211</v>
      </c>
      <c r="C28" s="89">
        <v>1</v>
      </c>
      <c r="D28" s="96">
        <v>132</v>
      </c>
      <c r="E28" s="44" t="s">
        <v>62</v>
      </c>
      <c r="F28" s="44" t="s">
        <v>90</v>
      </c>
      <c r="G28" t="s">
        <v>676</v>
      </c>
    </row>
    <row r="29" spans="1:7" x14ac:dyDescent="0.35">
      <c r="A29" t="s">
        <v>6</v>
      </c>
      <c r="B29" t="s">
        <v>219</v>
      </c>
      <c r="C29" s="89">
        <v>1</v>
      </c>
      <c r="D29" s="96">
        <v>132</v>
      </c>
      <c r="E29" s="44" t="s">
        <v>50</v>
      </c>
      <c r="F29" s="44" t="s">
        <v>90</v>
      </c>
      <c r="G29" t="s">
        <v>667</v>
      </c>
    </row>
    <row r="30" spans="1:7" x14ac:dyDescent="0.35">
      <c r="A30" s="1" t="s">
        <v>23</v>
      </c>
      <c r="B30" t="s">
        <v>211</v>
      </c>
      <c r="C30" s="89">
        <v>1</v>
      </c>
      <c r="D30" s="96">
        <v>132</v>
      </c>
      <c r="E30" s="44" t="s">
        <v>62</v>
      </c>
      <c r="F30" s="44" t="s">
        <v>90</v>
      </c>
      <c r="G30" t="s">
        <v>677</v>
      </c>
    </row>
    <row r="31" spans="1:7" x14ac:dyDescent="0.35">
      <c r="A31" s="1" t="s">
        <v>23</v>
      </c>
      <c r="B31" t="s">
        <v>211</v>
      </c>
      <c r="C31" s="89">
        <v>1</v>
      </c>
      <c r="D31" s="96">
        <v>132</v>
      </c>
      <c r="E31" s="44" t="s">
        <v>62</v>
      </c>
      <c r="F31" s="44" t="s">
        <v>90</v>
      </c>
      <c r="G31" t="s">
        <v>678</v>
      </c>
    </row>
    <row r="32" spans="1:7" x14ac:dyDescent="0.35">
      <c r="A32" s="1" t="s">
        <v>23</v>
      </c>
      <c r="B32" t="s">
        <v>211</v>
      </c>
      <c r="C32" s="89">
        <v>1</v>
      </c>
      <c r="D32" s="96">
        <v>166.1</v>
      </c>
      <c r="E32" s="44" t="s">
        <v>62</v>
      </c>
      <c r="F32" s="44" t="s">
        <v>91</v>
      </c>
      <c r="G32" t="s">
        <v>679</v>
      </c>
    </row>
    <row r="33" spans="1:7" x14ac:dyDescent="0.35">
      <c r="A33" t="s">
        <v>6</v>
      </c>
      <c r="B33" t="s">
        <v>219</v>
      </c>
      <c r="C33" s="89">
        <v>1</v>
      </c>
      <c r="D33" s="96">
        <v>166.1</v>
      </c>
      <c r="E33" s="44" t="s">
        <v>50</v>
      </c>
      <c r="F33" s="44" t="s">
        <v>91</v>
      </c>
      <c r="G33" t="s">
        <v>680</v>
      </c>
    </row>
    <row r="34" spans="1:7" x14ac:dyDescent="0.35">
      <c r="A34" t="s">
        <v>6</v>
      </c>
      <c r="B34" t="s">
        <v>219</v>
      </c>
      <c r="C34" s="89">
        <v>1</v>
      </c>
      <c r="D34" s="96">
        <v>132</v>
      </c>
      <c r="E34" s="44" t="s">
        <v>50</v>
      </c>
      <c r="F34" s="44" t="s">
        <v>90</v>
      </c>
      <c r="G34" t="s">
        <v>681</v>
      </c>
    </row>
    <row r="35" spans="1:7" x14ac:dyDescent="0.35">
      <c r="A35" s="1" t="s">
        <v>23</v>
      </c>
      <c r="B35" t="s">
        <v>211</v>
      </c>
      <c r="C35" s="89">
        <v>1</v>
      </c>
      <c r="D35" s="96">
        <v>27.5</v>
      </c>
      <c r="E35" s="44" t="s">
        <v>62</v>
      </c>
      <c r="F35" t="s">
        <v>682</v>
      </c>
      <c r="G35" t="s">
        <v>684</v>
      </c>
    </row>
    <row r="36" spans="1:7" x14ac:dyDescent="0.35">
      <c r="A36" s="1" t="s">
        <v>23</v>
      </c>
      <c r="B36" t="s">
        <v>211</v>
      </c>
      <c r="C36" s="89">
        <v>1</v>
      </c>
      <c r="D36" s="96">
        <v>27.5</v>
      </c>
      <c r="E36" s="44" t="s">
        <v>62</v>
      </c>
      <c r="F36" t="s">
        <v>682</v>
      </c>
      <c r="G36" t="s">
        <v>685</v>
      </c>
    </row>
    <row r="37" spans="1:7" x14ac:dyDescent="0.35">
      <c r="A37" t="s">
        <v>6</v>
      </c>
      <c r="B37" t="s">
        <v>72</v>
      </c>
      <c r="C37" s="89">
        <v>1</v>
      </c>
      <c r="D37" s="96">
        <v>37.35</v>
      </c>
      <c r="E37" s="44" t="s">
        <v>82</v>
      </c>
      <c r="F37" s="44" t="s">
        <v>33</v>
      </c>
      <c r="G37" t="s">
        <v>686</v>
      </c>
    </row>
    <row r="38" spans="1:7" x14ac:dyDescent="0.35">
      <c r="A38" t="s">
        <v>6</v>
      </c>
      <c r="B38" t="s">
        <v>72</v>
      </c>
      <c r="C38" s="89">
        <v>1</v>
      </c>
      <c r="D38" s="96">
        <v>37.35</v>
      </c>
      <c r="E38" s="44" t="s">
        <v>82</v>
      </c>
      <c r="F38" s="44" t="s">
        <v>33</v>
      </c>
      <c r="G38" t="s">
        <v>687</v>
      </c>
    </row>
    <row r="39" spans="1:7" x14ac:dyDescent="0.35">
      <c r="A39" t="s">
        <v>6</v>
      </c>
      <c r="B39" t="s">
        <v>72</v>
      </c>
      <c r="C39" s="89">
        <v>1</v>
      </c>
      <c r="D39" s="96">
        <v>66.599999999999994</v>
      </c>
      <c r="E39" s="44" t="s">
        <v>82</v>
      </c>
      <c r="F39" s="44" t="s">
        <v>33</v>
      </c>
      <c r="G39" t="s">
        <v>688</v>
      </c>
    </row>
    <row r="40" spans="1:7" x14ac:dyDescent="0.35">
      <c r="A40" s="1" t="s">
        <v>6</v>
      </c>
      <c r="B40" t="s">
        <v>142</v>
      </c>
      <c r="C40" s="89">
        <v>1</v>
      </c>
      <c r="D40" s="96">
        <v>42.8</v>
      </c>
      <c r="E40" s="44" t="s">
        <v>44</v>
      </c>
      <c r="F40" s="44" t="s">
        <v>33</v>
      </c>
      <c r="G40" t="s">
        <v>689</v>
      </c>
    </row>
    <row r="41" spans="1:7" x14ac:dyDescent="0.35">
      <c r="A41" s="1" t="s">
        <v>23</v>
      </c>
      <c r="B41" t="s">
        <v>211</v>
      </c>
      <c r="C41" s="89">
        <v>1</v>
      </c>
      <c r="D41" s="96">
        <v>37.35</v>
      </c>
      <c r="E41" s="44" t="s">
        <v>62</v>
      </c>
      <c r="F41" s="44" t="s">
        <v>33</v>
      </c>
      <c r="G41" t="s">
        <v>690</v>
      </c>
    </row>
    <row r="42" spans="1:7" x14ac:dyDescent="0.35">
      <c r="A42" t="s">
        <v>23</v>
      </c>
      <c r="B42" t="s">
        <v>244</v>
      </c>
      <c r="C42" s="89">
        <v>1</v>
      </c>
      <c r="D42" s="96">
        <v>27.5</v>
      </c>
      <c r="E42" s="44" t="s">
        <v>64</v>
      </c>
      <c r="F42" s="44" t="s">
        <v>33</v>
      </c>
      <c r="G42" t="s">
        <v>691</v>
      </c>
    </row>
    <row r="43" spans="1:7" x14ac:dyDescent="0.35">
      <c r="A43" t="s">
        <v>6</v>
      </c>
      <c r="B43" t="s">
        <v>72</v>
      </c>
      <c r="C43" s="89">
        <v>1</v>
      </c>
      <c r="D43" s="96">
        <v>42.8</v>
      </c>
      <c r="E43" s="44" t="s">
        <v>82</v>
      </c>
      <c r="F43" s="44" t="s">
        <v>33</v>
      </c>
      <c r="G43" t="s">
        <v>692</v>
      </c>
    </row>
    <row r="44" spans="1:7" x14ac:dyDescent="0.35">
      <c r="A44" s="1" t="s">
        <v>6</v>
      </c>
      <c r="B44" t="s">
        <v>142</v>
      </c>
      <c r="C44" s="89">
        <v>1</v>
      </c>
      <c r="D44" s="96">
        <v>42.8</v>
      </c>
      <c r="E44" s="44" t="s">
        <v>44</v>
      </c>
      <c r="F44" s="44" t="s">
        <v>33</v>
      </c>
      <c r="G44" t="s">
        <v>693</v>
      </c>
    </row>
    <row r="45" spans="1:7" x14ac:dyDescent="0.35">
      <c r="A45" t="s">
        <v>6</v>
      </c>
      <c r="B45" t="s">
        <v>219</v>
      </c>
      <c r="C45" s="89">
        <v>1</v>
      </c>
      <c r="D45" s="96">
        <v>27.5</v>
      </c>
      <c r="E45" s="44" t="s">
        <v>50</v>
      </c>
      <c r="F45" s="44" t="s">
        <v>33</v>
      </c>
      <c r="G45" t="s">
        <v>694</v>
      </c>
    </row>
    <row r="46" spans="1:7" x14ac:dyDescent="0.35">
      <c r="A46" t="s">
        <v>6</v>
      </c>
      <c r="B46" s="26" t="s">
        <v>8</v>
      </c>
      <c r="C46" s="89">
        <v>1</v>
      </c>
      <c r="D46" s="96">
        <v>42.8</v>
      </c>
      <c r="E46" s="44" t="s">
        <v>61</v>
      </c>
      <c r="F46" s="44" t="s">
        <v>33</v>
      </c>
      <c r="G46" t="s">
        <v>695</v>
      </c>
    </row>
    <row r="47" spans="1:7" x14ac:dyDescent="0.35">
      <c r="A47" t="s">
        <v>6</v>
      </c>
      <c r="B47" t="s">
        <v>219</v>
      </c>
      <c r="C47" s="89">
        <v>1</v>
      </c>
      <c r="D47" s="96">
        <v>27.5</v>
      </c>
      <c r="E47" s="44" t="s">
        <v>50</v>
      </c>
      <c r="F47" s="44" t="s">
        <v>33</v>
      </c>
      <c r="G47" t="s">
        <v>696</v>
      </c>
    </row>
    <row r="48" spans="1:7" x14ac:dyDescent="0.35">
      <c r="A48" t="s">
        <v>6</v>
      </c>
      <c r="B48" t="s">
        <v>219</v>
      </c>
      <c r="C48" s="89">
        <v>1</v>
      </c>
      <c r="D48" s="96">
        <v>42.8</v>
      </c>
      <c r="E48" s="44" t="s">
        <v>50</v>
      </c>
      <c r="F48" s="44" t="s">
        <v>33</v>
      </c>
      <c r="G48" t="s">
        <v>694</v>
      </c>
    </row>
    <row r="49" spans="1:7" x14ac:dyDescent="0.35">
      <c r="A49" t="s">
        <v>6</v>
      </c>
      <c r="B49" t="s">
        <v>219</v>
      </c>
      <c r="C49" s="89">
        <v>1</v>
      </c>
      <c r="D49" s="96">
        <v>27.5</v>
      </c>
      <c r="E49" s="44" t="s">
        <v>50</v>
      </c>
      <c r="F49" t="s">
        <v>682</v>
      </c>
      <c r="G49" t="s">
        <v>697</v>
      </c>
    </row>
    <row r="50" spans="1:7" x14ac:dyDescent="0.35">
      <c r="E50" s="44"/>
    </row>
    <row r="51" spans="1:7" x14ac:dyDescent="0.35">
      <c r="D51" s="96"/>
    </row>
  </sheetData>
  <protectedRanges>
    <protectedRange sqref="D11" name="Amount_2_8"/>
    <protectedRange sqref="D10" name="Amount_2_1_2"/>
  </protectedRanges>
  <autoFilter ref="A9:G49" xr:uid="{1D9416D1-6340-4B75-BF8D-CDCCE1F0E548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AA0904-9665-44F4-B0AE-FE786F8D3189}">
          <x14:formula1>
            <xm:f>'Lookup Values'!$A$2:$A$9</xm:f>
          </x14:formula1>
          <xm:sqref>F37:F48 F11:F34</xm:sqref>
        </x14:dataValidation>
        <x14:dataValidation type="list" allowBlank="1" showInputMessage="1" showErrorMessage="1" xr:uid="{F92FE449-3138-483F-9E5B-F50C91489CE9}">
          <x14:formula1>
            <xm:f>'Lookup Values'!$G$2:$G$35</xm:f>
          </x14:formula1>
          <xm:sqref>E11:E50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D112E-3B2D-4580-AC3C-CC949A7EB7CA}">
  <sheetPr codeName="Sheet36"/>
  <dimension ref="A1:I6"/>
  <sheetViews>
    <sheetView workbookViewId="0">
      <selection activeCell="D28" sqref="D28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7">
        <v>55</v>
      </c>
      <c r="G4" s="44" t="s">
        <v>56</v>
      </c>
      <c r="H4" s="100" t="s">
        <v>20</v>
      </c>
      <c r="I4" s="112" t="s">
        <v>733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15</v>
      </c>
      <c r="G5" s="44" t="s">
        <v>56</v>
      </c>
      <c r="H5" s="100" t="s">
        <v>35</v>
      </c>
      <c r="I5" s="112" t="s">
        <v>734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15</v>
      </c>
      <c r="G6" s="44" t="s">
        <v>56</v>
      </c>
      <c r="H6" s="100" t="s">
        <v>35</v>
      </c>
      <c r="I6" s="112" t="s">
        <v>735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8E511-CEBD-425D-A726-252ECBD7D986}">
          <x14:formula1>
            <xm:f>'Lookup Values'!$A$2:$A$9</xm:f>
          </x14:formula1>
          <xm:sqref>H4:H6</xm:sqref>
        </x14:dataValidation>
        <x14:dataValidation type="list" allowBlank="1" showInputMessage="1" showErrorMessage="1" xr:uid="{96AA69D8-9BC7-45BB-872D-CD70008D36E0}">
          <x14:formula1>
            <xm:f>'Lookup Values'!$G$2:$G$35</xm:f>
          </x14:formula1>
          <xm:sqref>G4:G6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878C-F751-45F2-8B8A-3B7D30321481}">
  <dimension ref="A1:G49"/>
  <sheetViews>
    <sheetView workbookViewId="0">
      <selection activeCell="F3" sqref="F3"/>
    </sheetView>
  </sheetViews>
  <sheetFormatPr defaultRowHeight="14.5" x14ac:dyDescent="0.35"/>
  <cols>
    <col min="1" max="1" width="14.7265625" customWidth="1"/>
    <col min="2" max="2" width="16.7265625" customWidth="1"/>
    <col min="4" max="4" width="22.26953125" customWidth="1"/>
    <col min="5" max="5" width="43.54296875" customWidth="1"/>
    <col min="6" max="6" width="46.1796875" customWidth="1"/>
    <col min="7" max="7" width="33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/>
    </row>
    <row r="5" spans="1:7" x14ac:dyDescent="0.35">
      <c r="A5" s="8" t="s">
        <v>29</v>
      </c>
      <c r="B5" s="9">
        <v>45008</v>
      </c>
    </row>
    <row r="6" spans="1:7" ht="15" thickBot="1" x14ac:dyDescent="0.4">
      <c r="A6" s="10" t="s">
        <v>30</v>
      </c>
      <c r="B6" s="11" t="s">
        <v>213</v>
      </c>
    </row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35">
      <c r="A10" s="104" t="s">
        <v>6</v>
      </c>
      <c r="B10" s="101" t="s">
        <v>7</v>
      </c>
      <c r="C10" s="101">
        <v>1</v>
      </c>
      <c r="D10" s="105">
        <f>SUM(D11:D67)+SUM('Parks Journal input Nov 2022'!F4:F6)</f>
        <v>3940.6999999999994</v>
      </c>
      <c r="E10" s="104" t="s">
        <v>12</v>
      </c>
      <c r="F10" s="104" t="s">
        <v>13</v>
      </c>
      <c r="G10" s="106">
        <v>44866</v>
      </c>
    </row>
    <row r="11" spans="1:7" x14ac:dyDescent="0.35">
      <c r="A11" t="s">
        <v>6</v>
      </c>
      <c r="B11" t="s">
        <v>219</v>
      </c>
      <c r="C11" s="101">
        <v>1</v>
      </c>
      <c r="D11" s="102">
        <v>29</v>
      </c>
      <c r="E11" s="100" t="s">
        <v>50</v>
      </c>
      <c r="F11" s="100" t="s">
        <v>36</v>
      </c>
      <c r="G11" s="100" t="s">
        <v>699</v>
      </c>
    </row>
    <row r="12" spans="1:7" x14ac:dyDescent="0.35">
      <c r="A12" t="s">
        <v>6</v>
      </c>
      <c r="B12" t="s">
        <v>86</v>
      </c>
      <c r="C12" s="101">
        <v>1</v>
      </c>
      <c r="D12" s="103">
        <v>29</v>
      </c>
      <c r="E12" s="100" t="s">
        <v>47</v>
      </c>
      <c r="F12" s="100" t="s">
        <v>36</v>
      </c>
      <c r="G12" s="100" t="s">
        <v>700</v>
      </c>
    </row>
    <row r="13" spans="1:7" x14ac:dyDescent="0.35">
      <c r="A13" t="s">
        <v>6</v>
      </c>
      <c r="B13" t="s">
        <v>86</v>
      </c>
      <c r="C13" s="101">
        <v>1</v>
      </c>
      <c r="D13" s="103">
        <v>55</v>
      </c>
      <c r="E13" s="100" t="s">
        <v>47</v>
      </c>
      <c r="F13" s="100" t="s">
        <v>20</v>
      </c>
      <c r="G13" s="100" t="s">
        <v>701</v>
      </c>
    </row>
    <row r="14" spans="1:7" x14ac:dyDescent="0.35">
      <c r="A14" t="s">
        <v>6</v>
      </c>
      <c r="B14" t="s">
        <v>86</v>
      </c>
      <c r="C14" s="101">
        <v>1</v>
      </c>
      <c r="D14" s="103">
        <v>29</v>
      </c>
      <c r="E14" s="100" t="s">
        <v>47</v>
      </c>
      <c r="F14" s="100" t="s">
        <v>36</v>
      </c>
      <c r="G14" s="100" t="s">
        <v>702</v>
      </c>
    </row>
    <row r="15" spans="1:7" x14ac:dyDescent="0.35">
      <c r="A15" t="s">
        <v>6</v>
      </c>
      <c r="B15" t="s">
        <v>350</v>
      </c>
      <c r="C15" s="101">
        <v>1</v>
      </c>
      <c r="D15" s="103">
        <v>132</v>
      </c>
      <c r="E15" s="100" t="s">
        <v>43</v>
      </c>
      <c r="F15" s="100" t="s">
        <v>90</v>
      </c>
      <c r="G15" s="100" t="s">
        <v>703</v>
      </c>
    </row>
    <row r="16" spans="1:7" x14ac:dyDescent="0.35">
      <c r="A16" t="s">
        <v>6</v>
      </c>
      <c r="B16" t="s">
        <v>350</v>
      </c>
      <c r="C16" s="101">
        <v>1</v>
      </c>
      <c r="D16" s="103">
        <v>166.1</v>
      </c>
      <c r="E16" s="100" t="s">
        <v>43</v>
      </c>
      <c r="F16" s="100" t="s">
        <v>91</v>
      </c>
      <c r="G16" s="100" t="s">
        <v>704</v>
      </c>
    </row>
    <row r="17" spans="1:7" x14ac:dyDescent="0.35">
      <c r="A17" t="s">
        <v>6</v>
      </c>
      <c r="B17" t="s">
        <v>86</v>
      </c>
      <c r="C17" s="101">
        <v>1</v>
      </c>
      <c r="D17" s="103">
        <v>132</v>
      </c>
      <c r="E17" s="100" t="s">
        <v>47</v>
      </c>
      <c r="F17" s="100" t="s">
        <v>90</v>
      </c>
      <c r="G17" s="100" t="s">
        <v>705</v>
      </c>
    </row>
    <row r="18" spans="1:7" x14ac:dyDescent="0.35">
      <c r="A18" t="s">
        <v>6</v>
      </c>
      <c r="B18" t="s">
        <v>86</v>
      </c>
      <c r="C18" s="101">
        <v>1</v>
      </c>
      <c r="D18" s="103">
        <v>166.1</v>
      </c>
      <c r="E18" s="100" t="s">
        <v>47</v>
      </c>
      <c r="F18" s="100" t="s">
        <v>91</v>
      </c>
      <c r="G18" s="100" t="s">
        <v>706</v>
      </c>
    </row>
    <row r="19" spans="1:7" x14ac:dyDescent="0.35">
      <c r="A19" t="s">
        <v>6</v>
      </c>
      <c r="B19" t="s">
        <v>86</v>
      </c>
      <c r="C19" s="101">
        <v>1</v>
      </c>
      <c r="D19" s="103">
        <v>132</v>
      </c>
      <c r="E19" s="100" t="s">
        <v>47</v>
      </c>
      <c r="F19" s="100" t="s">
        <v>90</v>
      </c>
      <c r="G19" s="100" t="s">
        <v>707</v>
      </c>
    </row>
    <row r="20" spans="1:7" x14ac:dyDescent="0.35">
      <c r="A20" t="s">
        <v>6</v>
      </c>
      <c r="B20" t="s">
        <v>86</v>
      </c>
      <c r="C20" s="101">
        <v>1</v>
      </c>
      <c r="D20" s="103">
        <v>166.1</v>
      </c>
      <c r="E20" s="100" t="s">
        <v>47</v>
      </c>
      <c r="F20" s="100" t="s">
        <v>91</v>
      </c>
      <c r="G20" s="100" t="s">
        <v>708</v>
      </c>
    </row>
    <row r="21" spans="1:7" x14ac:dyDescent="0.35">
      <c r="A21" t="s">
        <v>6</v>
      </c>
      <c r="B21" t="s">
        <v>86</v>
      </c>
      <c r="C21" s="101">
        <v>1</v>
      </c>
      <c r="D21" s="103">
        <v>132</v>
      </c>
      <c r="E21" s="100" t="s">
        <v>47</v>
      </c>
      <c r="F21" s="100" t="s">
        <v>90</v>
      </c>
      <c r="G21" s="100" t="s">
        <v>709</v>
      </c>
    </row>
    <row r="22" spans="1:7" x14ac:dyDescent="0.35">
      <c r="A22" t="s">
        <v>6</v>
      </c>
      <c r="B22" t="s">
        <v>86</v>
      </c>
      <c r="C22" s="101">
        <v>1</v>
      </c>
      <c r="D22" s="103">
        <v>166.1</v>
      </c>
      <c r="E22" s="100" t="s">
        <v>47</v>
      </c>
      <c r="F22" s="100" t="s">
        <v>91</v>
      </c>
      <c r="G22" s="100" t="s">
        <v>710</v>
      </c>
    </row>
    <row r="23" spans="1:7" x14ac:dyDescent="0.35">
      <c r="A23" t="s">
        <v>6</v>
      </c>
      <c r="B23" t="s">
        <v>350</v>
      </c>
      <c r="C23" s="101">
        <v>1</v>
      </c>
      <c r="D23" s="103">
        <v>132</v>
      </c>
      <c r="E23" s="100" t="s">
        <v>43</v>
      </c>
      <c r="F23" s="100" t="s">
        <v>91</v>
      </c>
      <c r="G23" s="100" t="s">
        <v>711</v>
      </c>
    </row>
    <row r="24" spans="1:7" x14ac:dyDescent="0.35">
      <c r="A24" t="s">
        <v>6</v>
      </c>
      <c r="B24" t="s">
        <v>86</v>
      </c>
      <c r="C24" s="101">
        <v>1</v>
      </c>
      <c r="D24" s="97">
        <v>73.5</v>
      </c>
      <c r="E24" s="100" t="s">
        <v>47</v>
      </c>
      <c r="F24" s="100" t="s">
        <v>33</v>
      </c>
      <c r="G24" s="100" t="s">
        <v>665</v>
      </c>
    </row>
    <row r="25" spans="1:7" x14ac:dyDescent="0.35">
      <c r="A25" t="s">
        <v>6</v>
      </c>
      <c r="B25" t="s">
        <v>86</v>
      </c>
      <c r="C25" s="101">
        <v>1</v>
      </c>
      <c r="D25" s="97">
        <v>73.5</v>
      </c>
      <c r="E25" s="100" t="s">
        <v>47</v>
      </c>
      <c r="F25" s="100" t="s">
        <v>33</v>
      </c>
      <c r="G25" s="100" t="s">
        <v>712</v>
      </c>
    </row>
    <row r="26" spans="1:7" x14ac:dyDescent="0.35">
      <c r="A26" t="s">
        <v>6</v>
      </c>
      <c r="B26" t="s">
        <v>86</v>
      </c>
      <c r="C26" s="101">
        <v>1</v>
      </c>
      <c r="D26" s="97">
        <v>73.5</v>
      </c>
      <c r="E26" s="100" t="s">
        <v>47</v>
      </c>
      <c r="F26" s="100" t="s">
        <v>33</v>
      </c>
      <c r="G26" s="100" t="s">
        <v>713</v>
      </c>
    </row>
    <row r="27" spans="1:7" x14ac:dyDescent="0.35">
      <c r="A27" t="s">
        <v>6</v>
      </c>
      <c r="B27" t="s">
        <v>350</v>
      </c>
      <c r="C27" s="101">
        <v>1</v>
      </c>
      <c r="D27" s="97">
        <v>73.5</v>
      </c>
      <c r="E27" s="100" t="s">
        <v>43</v>
      </c>
      <c r="F27" s="100" t="s">
        <v>33</v>
      </c>
      <c r="G27" s="100" t="s">
        <v>711</v>
      </c>
    </row>
    <row r="28" spans="1:7" x14ac:dyDescent="0.35">
      <c r="A28" t="s">
        <v>23</v>
      </c>
      <c r="B28" t="s">
        <v>244</v>
      </c>
      <c r="C28" s="101">
        <v>1</v>
      </c>
      <c r="D28" s="97">
        <v>73.5</v>
      </c>
      <c r="E28" s="100" t="s">
        <v>64</v>
      </c>
      <c r="F28" s="100" t="s">
        <v>33</v>
      </c>
      <c r="G28" s="100" t="s">
        <v>673</v>
      </c>
    </row>
    <row r="29" spans="1:7" x14ac:dyDescent="0.35">
      <c r="A29" t="s">
        <v>23</v>
      </c>
      <c r="B29" t="s">
        <v>244</v>
      </c>
      <c r="C29" s="101">
        <v>1</v>
      </c>
      <c r="D29" s="97">
        <v>73.5</v>
      </c>
      <c r="E29" s="100" t="s">
        <v>64</v>
      </c>
      <c r="F29" s="100" t="s">
        <v>33</v>
      </c>
      <c r="G29" s="100" t="s">
        <v>714</v>
      </c>
    </row>
    <row r="30" spans="1:7" x14ac:dyDescent="0.35">
      <c r="A30" t="s">
        <v>6</v>
      </c>
      <c r="B30" t="s">
        <v>219</v>
      </c>
      <c r="C30" s="101">
        <v>1</v>
      </c>
      <c r="D30" s="97">
        <v>73.5</v>
      </c>
      <c r="E30" s="100" t="s">
        <v>50</v>
      </c>
      <c r="F30" s="100" t="s">
        <v>33</v>
      </c>
      <c r="G30" s="100" t="s">
        <v>681</v>
      </c>
    </row>
    <row r="31" spans="1:7" x14ac:dyDescent="0.35">
      <c r="A31" t="s">
        <v>6</v>
      </c>
      <c r="B31" t="s">
        <v>219</v>
      </c>
      <c r="C31" s="101">
        <v>1</v>
      </c>
      <c r="D31" s="97">
        <v>73.5</v>
      </c>
      <c r="E31" s="100" t="s">
        <v>50</v>
      </c>
      <c r="F31" s="100" t="s">
        <v>33</v>
      </c>
      <c r="G31" s="100" t="s">
        <v>666</v>
      </c>
    </row>
    <row r="32" spans="1:7" x14ac:dyDescent="0.35">
      <c r="A32" t="s">
        <v>6</v>
      </c>
      <c r="B32" t="s">
        <v>219</v>
      </c>
      <c r="C32" s="101">
        <v>1</v>
      </c>
      <c r="D32" s="97">
        <v>73.5</v>
      </c>
      <c r="E32" s="100" t="s">
        <v>50</v>
      </c>
      <c r="F32" s="100" t="s">
        <v>33</v>
      </c>
      <c r="G32" s="100" t="s">
        <v>715</v>
      </c>
    </row>
    <row r="33" spans="1:7" x14ac:dyDescent="0.35">
      <c r="A33" t="s">
        <v>6</v>
      </c>
      <c r="B33" t="s">
        <v>219</v>
      </c>
      <c r="C33" s="101">
        <v>1</v>
      </c>
      <c r="D33" s="97">
        <v>73.5</v>
      </c>
      <c r="E33" s="100" t="s">
        <v>50</v>
      </c>
      <c r="F33" s="100" t="s">
        <v>33</v>
      </c>
      <c r="G33" s="100" t="s">
        <v>716</v>
      </c>
    </row>
    <row r="34" spans="1:7" x14ac:dyDescent="0.35">
      <c r="A34" t="s">
        <v>6</v>
      </c>
      <c r="B34" t="s">
        <v>219</v>
      </c>
      <c r="C34" s="101">
        <v>1</v>
      </c>
      <c r="D34" s="97">
        <v>73.5</v>
      </c>
      <c r="E34" s="100" t="s">
        <v>50</v>
      </c>
      <c r="F34" s="100" t="s">
        <v>33</v>
      </c>
      <c r="G34" s="100" t="s">
        <v>717</v>
      </c>
    </row>
    <row r="35" spans="1:7" x14ac:dyDescent="0.35">
      <c r="A35" t="s">
        <v>6</v>
      </c>
      <c r="B35" t="s">
        <v>219</v>
      </c>
      <c r="C35" s="101">
        <v>1</v>
      </c>
      <c r="D35" s="97">
        <v>73.5</v>
      </c>
      <c r="E35" s="100" t="s">
        <v>50</v>
      </c>
      <c r="F35" s="100" t="s">
        <v>33</v>
      </c>
      <c r="G35" s="100" t="s">
        <v>718</v>
      </c>
    </row>
    <row r="36" spans="1:7" x14ac:dyDescent="0.35">
      <c r="A36" t="s">
        <v>23</v>
      </c>
      <c r="B36" t="s">
        <v>211</v>
      </c>
      <c r="C36" s="101">
        <v>1</v>
      </c>
      <c r="D36" s="97">
        <v>73.5</v>
      </c>
      <c r="E36" s="100" t="s">
        <v>62</v>
      </c>
      <c r="F36" s="100" t="s">
        <v>33</v>
      </c>
      <c r="G36" s="100" t="s">
        <v>678</v>
      </c>
    </row>
    <row r="37" spans="1:7" x14ac:dyDescent="0.35">
      <c r="A37" t="s">
        <v>23</v>
      </c>
      <c r="B37" t="s">
        <v>211</v>
      </c>
      <c r="C37" s="101">
        <v>1</v>
      </c>
      <c r="D37" s="97">
        <v>73.5</v>
      </c>
      <c r="E37" s="100" t="s">
        <v>62</v>
      </c>
      <c r="F37" s="100" t="s">
        <v>33</v>
      </c>
      <c r="G37" s="100" t="s">
        <v>676</v>
      </c>
    </row>
    <row r="38" spans="1:7" x14ac:dyDescent="0.35">
      <c r="A38" t="s">
        <v>23</v>
      </c>
      <c r="B38" t="s">
        <v>211</v>
      </c>
      <c r="C38" s="101">
        <v>1</v>
      </c>
      <c r="D38" s="97">
        <v>73.5</v>
      </c>
      <c r="E38" s="100" t="s">
        <v>62</v>
      </c>
      <c r="F38" s="100" t="s">
        <v>33</v>
      </c>
      <c r="G38" s="100" t="s">
        <v>677</v>
      </c>
    </row>
    <row r="39" spans="1:7" x14ac:dyDescent="0.35">
      <c r="A39" t="s">
        <v>23</v>
      </c>
      <c r="B39" t="s">
        <v>211</v>
      </c>
      <c r="C39" s="101">
        <v>1</v>
      </c>
      <c r="D39" s="97">
        <v>73.5</v>
      </c>
      <c r="E39" s="100" t="s">
        <v>62</v>
      </c>
      <c r="F39" s="100" t="s">
        <v>33</v>
      </c>
      <c r="G39" s="100" t="s">
        <v>719</v>
      </c>
    </row>
    <row r="40" spans="1:7" x14ac:dyDescent="0.35">
      <c r="A40" t="s">
        <v>23</v>
      </c>
      <c r="B40" t="s">
        <v>211</v>
      </c>
      <c r="C40" s="101">
        <v>1</v>
      </c>
      <c r="D40" s="97">
        <v>73.5</v>
      </c>
      <c r="E40" s="100" t="s">
        <v>62</v>
      </c>
      <c r="F40" s="100" t="s">
        <v>33</v>
      </c>
      <c r="G40" s="100" t="s">
        <v>720</v>
      </c>
    </row>
    <row r="41" spans="1:7" x14ac:dyDescent="0.35">
      <c r="A41" t="s">
        <v>6</v>
      </c>
      <c r="B41" t="s">
        <v>72</v>
      </c>
      <c r="C41" s="101">
        <v>1</v>
      </c>
      <c r="D41" s="97">
        <v>73.5</v>
      </c>
      <c r="E41" s="100" t="s">
        <v>82</v>
      </c>
      <c r="F41" s="100" t="s">
        <v>33</v>
      </c>
      <c r="G41" s="100" t="s">
        <v>721</v>
      </c>
    </row>
    <row r="42" spans="1:7" x14ac:dyDescent="0.35">
      <c r="A42" t="s">
        <v>6</v>
      </c>
      <c r="B42" t="s">
        <v>350</v>
      </c>
      <c r="C42" s="113">
        <v>1</v>
      </c>
      <c r="D42" s="97">
        <v>132</v>
      </c>
      <c r="E42" s="100" t="s">
        <v>43</v>
      </c>
      <c r="F42" s="100" t="s">
        <v>90</v>
      </c>
      <c r="G42" s="112" t="s">
        <v>727</v>
      </c>
    </row>
    <row r="43" spans="1:7" x14ac:dyDescent="0.35">
      <c r="A43" t="s">
        <v>6</v>
      </c>
      <c r="B43" t="s">
        <v>350</v>
      </c>
      <c r="C43" s="113">
        <v>1</v>
      </c>
      <c r="D43" s="97">
        <v>166.1</v>
      </c>
      <c r="E43" s="100" t="s">
        <v>43</v>
      </c>
      <c r="F43" s="100" t="s">
        <v>91</v>
      </c>
      <c r="G43" s="112" t="s">
        <v>726</v>
      </c>
    </row>
    <row r="44" spans="1:7" x14ac:dyDescent="0.35">
      <c r="A44" t="s">
        <v>23</v>
      </c>
      <c r="B44" t="s">
        <v>244</v>
      </c>
      <c r="C44" s="113">
        <v>1</v>
      </c>
      <c r="D44" s="97">
        <v>132</v>
      </c>
      <c r="E44" s="100" t="s">
        <v>64</v>
      </c>
      <c r="F44" s="100" t="s">
        <v>90</v>
      </c>
      <c r="G44" s="112" t="s">
        <v>728</v>
      </c>
    </row>
    <row r="45" spans="1:7" x14ac:dyDescent="0.35">
      <c r="A45" t="s">
        <v>23</v>
      </c>
      <c r="B45" t="s">
        <v>244</v>
      </c>
      <c r="C45" s="113">
        <v>1</v>
      </c>
      <c r="D45" s="97">
        <v>166.1</v>
      </c>
      <c r="E45" s="100" t="s">
        <v>64</v>
      </c>
      <c r="F45" s="100" t="s">
        <v>91</v>
      </c>
      <c r="G45" s="112" t="s">
        <v>729</v>
      </c>
    </row>
    <row r="46" spans="1:7" x14ac:dyDescent="0.35">
      <c r="A46" t="s">
        <v>6</v>
      </c>
      <c r="B46" t="s">
        <v>350</v>
      </c>
      <c r="C46" s="113">
        <v>1</v>
      </c>
      <c r="D46" s="97">
        <v>132</v>
      </c>
      <c r="E46" s="100" t="s">
        <v>43</v>
      </c>
      <c r="F46" s="100" t="s">
        <v>90</v>
      </c>
      <c r="G46" s="112" t="s">
        <v>730</v>
      </c>
    </row>
    <row r="47" spans="1:7" x14ac:dyDescent="0.35">
      <c r="A47" t="s">
        <v>6</v>
      </c>
      <c r="B47" t="s">
        <v>350</v>
      </c>
      <c r="C47" s="113">
        <v>1</v>
      </c>
      <c r="D47" s="97">
        <v>166.1</v>
      </c>
      <c r="E47" s="100" t="s">
        <v>43</v>
      </c>
      <c r="F47" s="100" t="s">
        <v>91</v>
      </c>
      <c r="G47" s="112" t="s">
        <v>731</v>
      </c>
    </row>
    <row r="48" spans="1:7" x14ac:dyDescent="0.35">
      <c r="A48" t="s">
        <v>23</v>
      </c>
      <c r="B48" t="s">
        <v>211</v>
      </c>
      <c r="C48" s="113">
        <v>1</v>
      </c>
      <c r="D48" s="97">
        <v>132</v>
      </c>
      <c r="E48" s="100" t="s">
        <v>62</v>
      </c>
      <c r="F48" s="100" t="s">
        <v>90</v>
      </c>
      <c r="G48" s="112" t="s">
        <v>732</v>
      </c>
    </row>
    <row r="49" spans="1:7" x14ac:dyDescent="0.35">
      <c r="A49" t="s">
        <v>6</v>
      </c>
      <c r="B49" t="s">
        <v>88</v>
      </c>
      <c r="C49" s="113">
        <v>1</v>
      </c>
      <c r="D49" s="97">
        <v>40</v>
      </c>
      <c r="E49" s="100" t="s">
        <v>83</v>
      </c>
      <c r="F49" s="100" t="s">
        <v>34</v>
      </c>
      <c r="G49" s="112" t="s">
        <v>736</v>
      </c>
    </row>
  </sheetData>
  <protectedRanges>
    <protectedRange sqref="D11" name="Amount_2_8"/>
    <protectedRange sqref="D10" name="Amount_2_1_2"/>
  </protectedRanges>
  <autoFilter ref="A9:G49" xr:uid="{1447878C-F751-45F2-8B8A-3B7D30321481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D8B3AF4-BDF2-4EC6-982B-8D7C037B86FC}">
          <x14:formula1>
            <xm:f>'Lookup Values'!$A$2:$A$9</xm:f>
          </x14:formula1>
          <xm:sqref>F11:F49</xm:sqref>
        </x14:dataValidation>
        <x14:dataValidation type="list" allowBlank="1" showInputMessage="1" showErrorMessage="1" xr:uid="{97C237F4-69AA-4D5E-ABE5-62F3E11BA660}">
          <x14:formula1>
            <xm:f>'Lookup Values'!$G$2:$G$35</xm:f>
          </x14:formula1>
          <xm:sqref>E11:E49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0AA85-B8D1-4BC1-AA11-C127F004DD4E}">
  <sheetPr codeName="Sheet37"/>
  <dimension ref="A1:I8"/>
  <sheetViews>
    <sheetView workbookViewId="0">
      <selection activeCell="G24" sqref="G24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24">
        <v>29</v>
      </c>
      <c r="G4" s="44" t="s">
        <v>56</v>
      </c>
      <c r="H4" t="s">
        <v>36</v>
      </c>
      <c r="I4" s="112" t="s">
        <v>749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55</v>
      </c>
      <c r="G5" s="44" t="s">
        <v>56</v>
      </c>
      <c r="H5" t="s">
        <v>20</v>
      </c>
      <c r="I5" s="112" t="s">
        <v>750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15</v>
      </c>
      <c r="G6" s="44" t="s">
        <v>56</v>
      </c>
      <c r="H6" t="s">
        <v>35</v>
      </c>
      <c r="I6" s="112" t="s">
        <v>751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7">
        <v>55</v>
      </c>
      <c r="G7" s="44" t="s">
        <v>56</v>
      </c>
      <c r="H7" s="100" t="s">
        <v>20</v>
      </c>
      <c r="I7" s="112" t="s">
        <v>752</v>
      </c>
    </row>
    <row r="8" spans="1:9" x14ac:dyDescent="0.3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7">
        <v>40</v>
      </c>
      <c r="G8" s="44" t="s">
        <v>56</v>
      </c>
      <c r="H8" s="100" t="s">
        <v>34</v>
      </c>
      <c r="I8" s="112" t="s">
        <v>755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5E02947-B817-441D-8C37-E5785DC3353B}">
          <x14:formula1>
            <xm:f>'Lookup Values'!$A$2:$A$9</xm:f>
          </x14:formula1>
          <xm:sqref>H4:H8</xm:sqref>
        </x14:dataValidation>
        <x14:dataValidation type="list" allowBlank="1" showInputMessage="1" showErrorMessage="1" xr:uid="{1DF489DF-CFAB-4FFF-8665-1AC987727398}">
          <x14:formula1>
            <xm:f>'Lookup Values'!$G$2:$G$35</xm:f>
          </x14:formula1>
          <xm:sqref>G4:G8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3D96D-EB4F-4CAD-882A-C9B8CF28BC95}">
  <dimension ref="A1:G25"/>
  <sheetViews>
    <sheetView zoomScale="115" zoomScaleNormal="115" workbookViewId="0">
      <selection activeCell="F8" sqref="F8"/>
    </sheetView>
  </sheetViews>
  <sheetFormatPr defaultRowHeight="14.5" x14ac:dyDescent="0.35"/>
  <cols>
    <col min="1" max="1" width="14.26953125" bestFit="1" customWidth="1"/>
    <col min="2" max="2" width="16.453125" bestFit="1" customWidth="1"/>
    <col min="4" max="4" width="20" bestFit="1" customWidth="1"/>
    <col min="5" max="5" width="41.7265625" bestFit="1" customWidth="1"/>
    <col min="6" max="6" width="47.1796875" bestFit="1" customWidth="1"/>
    <col min="7" max="7" width="29.179687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820</v>
      </c>
    </row>
    <row r="5" spans="1:7" x14ac:dyDescent="0.35">
      <c r="A5" s="8" t="s">
        <v>29</v>
      </c>
      <c r="B5" s="9">
        <v>45008</v>
      </c>
    </row>
    <row r="6" spans="1:7" ht="15" thickBot="1" x14ac:dyDescent="0.4">
      <c r="A6" s="10" t="s">
        <v>30</v>
      </c>
      <c r="B6" s="11" t="s">
        <v>213</v>
      </c>
    </row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35">
      <c r="A10" s="104" t="s">
        <v>6</v>
      </c>
      <c r="B10" s="101" t="s">
        <v>7</v>
      </c>
      <c r="C10" s="101">
        <v>1</v>
      </c>
      <c r="D10" s="105">
        <f>SUM(D11:D65)+SUM('Parks Journal input Dec 2022'!F4:F8)</f>
        <v>1279.2</v>
      </c>
      <c r="E10" s="104" t="s">
        <v>12</v>
      </c>
      <c r="F10" s="104" t="s">
        <v>13</v>
      </c>
      <c r="G10" s="106">
        <v>44896</v>
      </c>
    </row>
    <row r="11" spans="1:7" x14ac:dyDescent="0.35">
      <c r="A11" t="s">
        <v>6</v>
      </c>
      <c r="B11" t="s">
        <v>88</v>
      </c>
      <c r="C11" s="101">
        <v>1</v>
      </c>
      <c r="D11" s="97">
        <v>55</v>
      </c>
      <c r="E11" s="100" t="s">
        <v>83</v>
      </c>
      <c r="F11" s="100" t="s">
        <v>20</v>
      </c>
      <c r="G11" s="100" t="s">
        <v>740</v>
      </c>
    </row>
    <row r="12" spans="1:7" x14ac:dyDescent="0.35">
      <c r="A12" t="s">
        <v>6</v>
      </c>
      <c r="B12" t="s">
        <v>88</v>
      </c>
      <c r="C12" s="101">
        <v>1</v>
      </c>
      <c r="D12" s="97">
        <v>55</v>
      </c>
      <c r="E12" s="100" t="s">
        <v>83</v>
      </c>
      <c r="F12" s="100" t="s">
        <v>20</v>
      </c>
      <c r="G12" s="100" t="s">
        <v>741</v>
      </c>
    </row>
    <row r="13" spans="1:7" x14ac:dyDescent="0.35">
      <c r="A13" t="s">
        <v>6</v>
      </c>
      <c r="B13" t="s">
        <v>88</v>
      </c>
      <c r="C13" s="101">
        <v>1</v>
      </c>
      <c r="D13" s="24">
        <v>29</v>
      </c>
      <c r="E13" s="100" t="s">
        <v>83</v>
      </c>
      <c r="F13" s="100" t="s">
        <v>36</v>
      </c>
      <c r="G13" s="100" t="s">
        <v>742</v>
      </c>
    </row>
    <row r="14" spans="1:7" x14ac:dyDescent="0.35">
      <c r="A14" t="s">
        <v>6</v>
      </c>
      <c r="B14" t="s">
        <v>86</v>
      </c>
      <c r="C14" s="101">
        <v>1</v>
      </c>
      <c r="D14" s="24">
        <v>29</v>
      </c>
      <c r="E14" s="14" t="s">
        <v>47</v>
      </c>
      <c r="F14" t="s">
        <v>36</v>
      </c>
      <c r="G14" s="100" t="s">
        <v>743</v>
      </c>
    </row>
    <row r="15" spans="1:7" x14ac:dyDescent="0.35">
      <c r="A15" t="s">
        <v>6</v>
      </c>
      <c r="B15" t="s">
        <v>86</v>
      </c>
      <c r="C15" s="101">
        <v>1</v>
      </c>
      <c r="D15" s="97">
        <v>84</v>
      </c>
      <c r="E15" s="14" t="s">
        <v>47</v>
      </c>
      <c r="F15" t="s">
        <v>69</v>
      </c>
      <c r="G15" s="112" t="s">
        <v>744</v>
      </c>
    </row>
    <row r="16" spans="1:7" x14ac:dyDescent="0.35">
      <c r="A16" t="s">
        <v>6</v>
      </c>
      <c r="B16" t="s">
        <v>86</v>
      </c>
      <c r="C16" s="101">
        <v>1</v>
      </c>
      <c r="D16" s="24">
        <v>29</v>
      </c>
      <c r="E16" s="14" t="s">
        <v>47</v>
      </c>
      <c r="F16" t="s">
        <v>36</v>
      </c>
      <c r="G16" s="112" t="s">
        <v>745</v>
      </c>
    </row>
    <row r="17" spans="1:7" x14ac:dyDescent="0.35">
      <c r="A17" t="s">
        <v>6</v>
      </c>
      <c r="B17" t="s">
        <v>86</v>
      </c>
      <c r="C17" s="101">
        <v>1</v>
      </c>
      <c r="D17" s="97">
        <v>40</v>
      </c>
      <c r="E17" s="14" t="s">
        <v>47</v>
      </c>
      <c r="F17" t="s">
        <v>34</v>
      </c>
      <c r="G17" s="112" t="s">
        <v>746</v>
      </c>
    </row>
    <row r="18" spans="1:7" x14ac:dyDescent="0.35">
      <c r="A18" t="s">
        <v>6</v>
      </c>
      <c r="B18" t="s">
        <v>86</v>
      </c>
      <c r="C18" s="101">
        <v>1</v>
      </c>
      <c r="D18" s="97">
        <v>55</v>
      </c>
      <c r="E18" s="14" t="s">
        <v>47</v>
      </c>
      <c r="F18" s="100" t="s">
        <v>20</v>
      </c>
      <c r="G18" s="112" t="s">
        <v>747</v>
      </c>
    </row>
    <row r="19" spans="1:7" x14ac:dyDescent="0.35">
      <c r="A19" t="s">
        <v>6</v>
      </c>
      <c r="B19" t="s">
        <v>86</v>
      </c>
      <c r="C19" s="101">
        <v>1</v>
      </c>
      <c r="D19" s="24">
        <v>29</v>
      </c>
      <c r="E19" s="14" t="s">
        <v>47</v>
      </c>
      <c r="F19" t="s">
        <v>36</v>
      </c>
      <c r="G19" s="112" t="s">
        <v>748</v>
      </c>
    </row>
    <row r="20" spans="1:7" x14ac:dyDescent="0.35">
      <c r="A20" t="s">
        <v>23</v>
      </c>
      <c r="B20" t="s">
        <v>244</v>
      </c>
      <c r="C20" s="101">
        <v>1</v>
      </c>
      <c r="D20" s="97">
        <v>55</v>
      </c>
      <c r="E20" s="14" t="s">
        <v>64</v>
      </c>
      <c r="F20" s="100" t="s">
        <v>20</v>
      </c>
      <c r="G20" s="112" t="s">
        <v>753</v>
      </c>
    </row>
    <row r="21" spans="1:7" x14ac:dyDescent="0.35">
      <c r="A21" t="s">
        <v>23</v>
      </c>
      <c r="B21" t="s">
        <v>211</v>
      </c>
      <c r="C21" s="113">
        <v>1</v>
      </c>
      <c r="D21" s="24">
        <v>29</v>
      </c>
      <c r="E21" s="14" t="s">
        <v>62</v>
      </c>
      <c r="F21" s="100" t="s">
        <v>36</v>
      </c>
      <c r="G21" s="112" t="s">
        <v>754</v>
      </c>
    </row>
    <row r="22" spans="1:7" x14ac:dyDescent="0.35">
      <c r="A22" t="s">
        <v>6</v>
      </c>
      <c r="B22" t="s">
        <v>219</v>
      </c>
      <c r="C22" s="113">
        <v>1</v>
      </c>
      <c r="D22" s="97">
        <v>132</v>
      </c>
      <c r="E22" s="14" t="s">
        <v>50</v>
      </c>
      <c r="F22" s="100" t="s">
        <v>90</v>
      </c>
      <c r="G22" s="112" t="s">
        <v>756</v>
      </c>
    </row>
    <row r="23" spans="1:7" x14ac:dyDescent="0.35">
      <c r="A23" t="s">
        <v>6</v>
      </c>
      <c r="B23" t="s">
        <v>219</v>
      </c>
      <c r="C23" s="113">
        <v>1</v>
      </c>
      <c r="D23" s="97">
        <v>166.1</v>
      </c>
      <c r="E23" s="14" t="s">
        <v>50</v>
      </c>
      <c r="F23" s="100" t="s">
        <v>91</v>
      </c>
      <c r="G23" s="112" t="s">
        <v>757</v>
      </c>
    </row>
    <row r="24" spans="1:7" x14ac:dyDescent="0.35">
      <c r="A24" t="s">
        <v>23</v>
      </c>
      <c r="B24" t="s">
        <v>244</v>
      </c>
      <c r="C24" s="113">
        <v>1</v>
      </c>
      <c r="D24" s="97">
        <v>132</v>
      </c>
      <c r="E24" s="14" t="s">
        <v>64</v>
      </c>
      <c r="F24" s="100" t="s">
        <v>90</v>
      </c>
      <c r="G24" s="112" t="s">
        <v>758</v>
      </c>
    </row>
    <row r="25" spans="1:7" x14ac:dyDescent="0.35">
      <c r="A25" t="s">
        <v>23</v>
      </c>
      <c r="B25" t="s">
        <v>244</v>
      </c>
      <c r="C25" s="113">
        <v>1</v>
      </c>
      <c r="D25" s="97">
        <v>166.1</v>
      </c>
      <c r="E25" s="14" t="s">
        <v>64</v>
      </c>
      <c r="F25" s="100" t="s">
        <v>91</v>
      </c>
      <c r="G25" s="112" t="s">
        <v>759</v>
      </c>
    </row>
  </sheetData>
  <protectedRanges>
    <protectedRange sqref="D11" name="Amount_2_8_1"/>
    <protectedRange sqref="D10" name="Amount_2_1_2_2"/>
  </protectedRanges>
  <autoFilter ref="A9:G25" xr:uid="{2223D96D-EB4F-4CAD-882A-C9B8CF28BC95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4D08C8A-5DC6-44E3-A69B-4EF8F64DF442}">
          <x14:formula1>
            <xm:f>'Lookup Values'!$A$2:$A$9</xm:f>
          </x14:formula1>
          <xm:sqref>F11:F25</xm:sqref>
        </x14:dataValidation>
        <x14:dataValidation type="list" allowBlank="1" showInputMessage="1" showErrorMessage="1" xr:uid="{C8D7C9C9-34A0-44D3-99FB-4347E3A32CA6}">
          <x14:formula1>
            <xm:f>'Lookup Values'!$G$2:$G$35</xm:f>
          </x14:formula1>
          <xm:sqref>E11:E25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11FEF-B428-47E8-BA8A-92C32E2EA8EF}">
  <sheetPr codeName="Sheet38"/>
  <dimension ref="A1:I9"/>
  <sheetViews>
    <sheetView workbookViewId="0">
      <selection activeCell="C4" sqref="C4:D4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7">
        <v>15</v>
      </c>
      <c r="G4" s="44" t="s">
        <v>56</v>
      </c>
      <c r="H4" t="s">
        <v>35</v>
      </c>
      <c r="I4" s="115" t="s">
        <v>763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73.5</v>
      </c>
      <c r="G5" s="44" t="s">
        <v>56</v>
      </c>
      <c r="H5" t="s">
        <v>33</v>
      </c>
      <c r="I5" s="112" t="s">
        <v>780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73.5</v>
      </c>
      <c r="G6" s="44" t="s">
        <v>56</v>
      </c>
      <c r="H6" t="s">
        <v>33</v>
      </c>
      <c r="I6" s="112" t="s">
        <v>784</v>
      </c>
    </row>
    <row r="7" spans="1:9" x14ac:dyDescent="0.35">
      <c r="A7" s="1" t="s">
        <v>73</v>
      </c>
      <c r="B7" t="s">
        <v>199</v>
      </c>
      <c r="C7" s="44" t="s">
        <v>159</v>
      </c>
      <c r="D7" t="s">
        <v>160</v>
      </c>
      <c r="E7" s="77">
        <v>1</v>
      </c>
      <c r="F7" s="97">
        <v>73.5</v>
      </c>
      <c r="G7" s="44" t="s">
        <v>56</v>
      </c>
      <c r="H7" t="s">
        <v>33</v>
      </c>
      <c r="I7" s="112" t="s">
        <v>789</v>
      </c>
    </row>
    <row r="8" spans="1:9" x14ac:dyDescent="0.35">
      <c r="A8" s="1" t="s">
        <v>73</v>
      </c>
      <c r="B8" t="s">
        <v>199</v>
      </c>
      <c r="C8" s="44" t="s">
        <v>159</v>
      </c>
      <c r="D8" t="s">
        <v>160</v>
      </c>
      <c r="E8" s="77">
        <v>1</v>
      </c>
      <c r="F8" s="97">
        <v>55</v>
      </c>
      <c r="G8" s="44" t="s">
        <v>56</v>
      </c>
      <c r="H8" t="s">
        <v>20</v>
      </c>
      <c r="I8" s="112" t="s">
        <v>794</v>
      </c>
    </row>
    <row r="9" spans="1:9" x14ac:dyDescent="0.35">
      <c r="A9" s="1" t="s">
        <v>73</v>
      </c>
      <c r="B9" t="s">
        <v>199</v>
      </c>
      <c r="C9" s="44" t="s">
        <v>159</v>
      </c>
      <c r="D9" t="s">
        <v>160</v>
      </c>
      <c r="E9" s="77">
        <v>1</v>
      </c>
      <c r="F9" s="97">
        <v>40</v>
      </c>
      <c r="G9" s="44" t="s">
        <v>56</v>
      </c>
      <c r="H9" t="s">
        <v>34</v>
      </c>
      <c r="I9" s="112" t="s">
        <v>795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A5738C0-90FD-4217-9AA7-5D71BD18804D}">
          <x14:formula1>
            <xm:f>'Lookup Values'!$A$2:$A$9</xm:f>
          </x14:formula1>
          <xm:sqref>H4:H8</xm:sqref>
        </x14:dataValidation>
        <x14:dataValidation type="list" allowBlank="1" showInputMessage="1" showErrorMessage="1" xr:uid="{1385B5DB-AC43-43AE-B3DD-C84910A22EA8}">
          <x14:formula1>
            <xm:f>'Lookup Values'!$G$2:$G$35</xm:f>
          </x14:formula1>
          <xm:sqref>G4:G9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ADB-3887-45E1-8366-3B035145159F}">
  <dimension ref="A1:G44"/>
  <sheetViews>
    <sheetView workbookViewId="0">
      <selection activeCell="D10" sqref="D10"/>
    </sheetView>
  </sheetViews>
  <sheetFormatPr defaultColWidth="9.1796875" defaultRowHeight="14.5" x14ac:dyDescent="0.35"/>
  <cols>
    <col min="1" max="1" width="14.26953125" bestFit="1" customWidth="1"/>
    <col min="2" max="2" width="16.453125" bestFit="1" customWidth="1"/>
    <col min="4" max="4" width="20" bestFit="1" customWidth="1"/>
    <col min="5" max="5" width="47" customWidth="1"/>
    <col min="6" max="6" width="47.1796875" bestFit="1" customWidth="1"/>
    <col min="7" max="7" width="29.1796875" bestFit="1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821</v>
      </c>
    </row>
    <row r="5" spans="1:7" x14ac:dyDescent="0.35">
      <c r="A5" s="8" t="s">
        <v>29</v>
      </c>
      <c r="B5" s="9">
        <v>45008</v>
      </c>
    </row>
    <row r="6" spans="1:7" ht="15" thickBot="1" x14ac:dyDescent="0.4">
      <c r="A6" s="10" t="s">
        <v>30</v>
      </c>
      <c r="B6" s="11" t="s">
        <v>213</v>
      </c>
    </row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75" t="s">
        <v>77</v>
      </c>
    </row>
    <row r="10" spans="1:7" x14ac:dyDescent="0.35">
      <c r="A10" s="104" t="s">
        <v>6</v>
      </c>
      <c r="B10" s="101" t="s">
        <v>7</v>
      </c>
      <c r="C10" s="101">
        <v>1</v>
      </c>
      <c r="D10" s="105">
        <f>SUM(D11:D58)+SUM('Parks Journal input Jan 2023'!F4:F9)</f>
        <v>3124.8</v>
      </c>
      <c r="E10" s="104" t="s">
        <v>12</v>
      </c>
      <c r="F10" s="104" t="s">
        <v>13</v>
      </c>
      <c r="G10" s="106">
        <v>44927</v>
      </c>
    </row>
    <row r="11" spans="1:7" x14ac:dyDescent="0.35">
      <c r="A11" t="s">
        <v>6</v>
      </c>
      <c r="B11" t="s">
        <v>72</v>
      </c>
      <c r="C11" s="101">
        <v>1</v>
      </c>
      <c r="D11" s="97">
        <v>40</v>
      </c>
      <c r="E11" s="100" t="s">
        <v>82</v>
      </c>
      <c r="F11" s="100" t="s">
        <v>34</v>
      </c>
      <c r="G11" s="114" t="s">
        <v>760</v>
      </c>
    </row>
    <row r="12" spans="1:7" x14ac:dyDescent="0.35">
      <c r="A12" t="s">
        <v>6</v>
      </c>
      <c r="B12" t="s">
        <v>72</v>
      </c>
      <c r="C12" s="101">
        <v>1</v>
      </c>
      <c r="D12" s="24">
        <v>29</v>
      </c>
      <c r="E12" s="100" t="s">
        <v>82</v>
      </c>
      <c r="F12" s="100" t="s">
        <v>36</v>
      </c>
      <c r="G12" s="114" t="s">
        <v>761</v>
      </c>
    </row>
    <row r="13" spans="1:7" x14ac:dyDescent="0.35">
      <c r="A13" t="s">
        <v>23</v>
      </c>
      <c r="B13" t="s">
        <v>211</v>
      </c>
      <c r="C13" s="101">
        <v>1</v>
      </c>
      <c r="D13" s="97">
        <v>84</v>
      </c>
      <c r="E13" s="14" t="s">
        <v>62</v>
      </c>
      <c r="F13" t="s">
        <v>69</v>
      </c>
      <c r="G13" s="100" t="s">
        <v>762</v>
      </c>
    </row>
    <row r="14" spans="1:7" x14ac:dyDescent="0.35">
      <c r="A14" t="s">
        <v>6</v>
      </c>
      <c r="B14" t="s">
        <v>142</v>
      </c>
      <c r="C14" s="101">
        <v>1</v>
      </c>
      <c r="D14" s="97">
        <v>15</v>
      </c>
      <c r="E14" s="14" t="s">
        <v>44</v>
      </c>
      <c r="F14" s="100" t="s">
        <v>35</v>
      </c>
      <c r="G14" s="112" t="s">
        <v>764</v>
      </c>
    </row>
    <row r="15" spans="1:7" x14ac:dyDescent="0.35">
      <c r="A15" t="s">
        <v>6</v>
      </c>
      <c r="B15" t="s">
        <v>142</v>
      </c>
      <c r="C15" s="101">
        <v>1</v>
      </c>
      <c r="D15" s="97">
        <v>55</v>
      </c>
      <c r="E15" s="14" t="s">
        <v>44</v>
      </c>
      <c r="F15" t="s">
        <v>20</v>
      </c>
      <c r="G15" s="112" t="s">
        <v>765</v>
      </c>
    </row>
    <row r="16" spans="1:7" x14ac:dyDescent="0.35">
      <c r="A16" t="s">
        <v>6</v>
      </c>
      <c r="B16" t="s">
        <v>142</v>
      </c>
      <c r="C16" s="101">
        <v>1</v>
      </c>
      <c r="D16" s="97">
        <v>40</v>
      </c>
      <c r="E16" s="14" t="s">
        <v>44</v>
      </c>
      <c r="F16" t="s">
        <v>34</v>
      </c>
      <c r="G16" s="112" t="s">
        <v>766</v>
      </c>
    </row>
    <row r="17" spans="1:7" x14ac:dyDescent="0.35">
      <c r="A17" t="s">
        <v>6</v>
      </c>
      <c r="B17" t="s">
        <v>219</v>
      </c>
      <c r="C17" s="101">
        <v>1</v>
      </c>
      <c r="D17" s="97">
        <v>29</v>
      </c>
      <c r="E17" s="14" t="s">
        <v>50</v>
      </c>
      <c r="F17" t="s">
        <v>36</v>
      </c>
      <c r="G17" s="112" t="s">
        <v>767</v>
      </c>
    </row>
    <row r="18" spans="1:7" x14ac:dyDescent="0.35">
      <c r="A18" t="s">
        <v>6</v>
      </c>
      <c r="B18" t="s">
        <v>86</v>
      </c>
      <c r="C18" s="101">
        <v>1</v>
      </c>
      <c r="D18" s="97">
        <v>15</v>
      </c>
      <c r="E18" s="14" t="s">
        <v>47</v>
      </c>
      <c r="F18" s="14" t="s">
        <v>47</v>
      </c>
      <c r="G18" s="112" t="s">
        <v>768</v>
      </c>
    </row>
    <row r="19" spans="1:7" x14ac:dyDescent="0.35">
      <c r="A19" t="s">
        <v>23</v>
      </c>
      <c r="B19" t="s">
        <v>211</v>
      </c>
      <c r="C19" s="113">
        <v>1</v>
      </c>
      <c r="D19" s="97">
        <v>132</v>
      </c>
      <c r="E19" s="14" t="s">
        <v>62</v>
      </c>
      <c r="F19" s="100" t="s">
        <v>90</v>
      </c>
      <c r="G19" s="112" t="s">
        <v>769</v>
      </c>
    </row>
    <row r="20" spans="1:7" x14ac:dyDescent="0.35">
      <c r="A20" t="s">
        <v>23</v>
      </c>
      <c r="B20" t="s">
        <v>211</v>
      </c>
      <c r="C20" s="113">
        <v>1</v>
      </c>
      <c r="D20" s="97">
        <v>166.1</v>
      </c>
      <c r="E20" s="14" t="s">
        <v>62</v>
      </c>
      <c r="F20" s="100" t="s">
        <v>91</v>
      </c>
      <c r="G20" s="112" t="s">
        <v>770</v>
      </c>
    </row>
    <row r="21" spans="1:7" x14ac:dyDescent="0.35">
      <c r="A21" t="s">
        <v>23</v>
      </c>
      <c r="B21" t="s">
        <v>211</v>
      </c>
      <c r="C21" s="113">
        <v>1</v>
      </c>
      <c r="D21" s="97">
        <v>132</v>
      </c>
      <c r="E21" s="14" t="s">
        <v>62</v>
      </c>
      <c r="F21" s="100" t="s">
        <v>90</v>
      </c>
      <c r="G21" s="112" t="s">
        <v>771</v>
      </c>
    </row>
    <row r="22" spans="1:7" x14ac:dyDescent="0.35">
      <c r="A22" t="s">
        <v>23</v>
      </c>
      <c r="B22" t="s">
        <v>211</v>
      </c>
      <c r="C22" s="113">
        <v>1</v>
      </c>
      <c r="D22" s="97">
        <v>166.1</v>
      </c>
      <c r="E22" s="14" t="s">
        <v>62</v>
      </c>
      <c r="F22" s="100" t="s">
        <v>91</v>
      </c>
      <c r="G22" s="112" t="s">
        <v>772</v>
      </c>
    </row>
    <row r="23" spans="1:7" x14ac:dyDescent="0.35">
      <c r="A23" t="s">
        <v>6</v>
      </c>
      <c r="B23" t="s">
        <v>350</v>
      </c>
      <c r="C23" s="113">
        <v>1</v>
      </c>
      <c r="D23" s="97">
        <v>132</v>
      </c>
      <c r="E23" s="14" t="s">
        <v>43</v>
      </c>
      <c r="F23" s="100" t="s">
        <v>90</v>
      </c>
      <c r="G23" s="112" t="s">
        <v>773</v>
      </c>
    </row>
    <row r="24" spans="1:7" x14ac:dyDescent="0.35">
      <c r="A24" t="s">
        <v>6</v>
      </c>
      <c r="B24" t="s">
        <v>350</v>
      </c>
      <c r="C24" s="113">
        <v>1</v>
      </c>
      <c r="D24" s="97">
        <v>166.1</v>
      </c>
      <c r="E24" s="14" t="s">
        <v>43</v>
      </c>
      <c r="F24" s="100" t="s">
        <v>91</v>
      </c>
      <c r="G24" s="112" t="s">
        <v>774</v>
      </c>
    </row>
    <row r="25" spans="1:7" x14ac:dyDescent="0.35">
      <c r="A25" t="s">
        <v>23</v>
      </c>
      <c r="B25" t="s">
        <v>244</v>
      </c>
      <c r="C25" s="113">
        <v>1</v>
      </c>
      <c r="D25" s="97">
        <v>73.5</v>
      </c>
      <c r="E25" s="14" t="s">
        <v>64</v>
      </c>
      <c r="F25" s="100" t="s">
        <v>33</v>
      </c>
      <c r="G25" s="112" t="s">
        <v>775</v>
      </c>
    </row>
    <row r="26" spans="1:7" x14ac:dyDescent="0.35">
      <c r="A26" t="s">
        <v>6</v>
      </c>
      <c r="B26" t="s">
        <v>142</v>
      </c>
      <c r="C26" s="113">
        <v>1</v>
      </c>
      <c r="D26" s="97">
        <v>73.5</v>
      </c>
      <c r="E26" s="14" t="s">
        <v>44</v>
      </c>
      <c r="F26" s="100" t="s">
        <v>33</v>
      </c>
      <c r="G26" s="112" t="s">
        <v>776</v>
      </c>
    </row>
    <row r="27" spans="1:7" x14ac:dyDescent="0.35">
      <c r="A27" t="s">
        <v>6</v>
      </c>
      <c r="B27" t="s">
        <v>142</v>
      </c>
      <c r="C27" s="113">
        <v>1</v>
      </c>
      <c r="D27" s="97">
        <v>73.5</v>
      </c>
      <c r="E27" s="14" t="s">
        <v>44</v>
      </c>
      <c r="F27" s="100" t="s">
        <v>33</v>
      </c>
      <c r="G27" s="112" t="s">
        <v>777</v>
      </c>
    </row>
    <row r="28" spans="1:7" x14ac:dyDescent="0.35">
      <c r="A28" t="s">
        <v>23</v>
      </c>
      <c r="B28" t="s">
        <v>211</v>
      </c>
      <c r="C28" s="113">
        <v>1</v>
      </c>
      <c r="D28" s="97">
        <v>73.5</v>
      </c>
      <c r="E28" s="14" t="s">
        <v>62</v>
      </c>
      <c r="F28" s="100" t="s">
        <v>33</v>
      </c>
      <c r="G28" s="112" t="s">
        <v>778</v>
      </c>
    </row>
    <row r="29" spans="1:7" x14ac:dyDescent="0.35">
      <c r="A29" t="s">
        <v>23</v>
      </c>
      <c r="B29" t="s">
        <v>244</v>
      </c>
      <c r="C29" s="113">
        <v>1</v>
      </c>
      <c r="D29" s="97">
        <v>73.5</v>
      </c>
      <c r="E29" s="14" t="s">
        <v>64</v>
      </c>
      <c r="F29" t="s">
        <v>33</v>
      </c>
      <c r="G29" s="112" t="s">
        <v>779</v>
      </c>
    </row>
    <row r="30" spans="1:7" x14ac:dyDescent="0.35">
      <c r="A30" t="s">
        <v>23</v>
      </c>
      <c r="B30" t="s">
        <v>244</v>
      </c>
      <c r="C30" s="113">
        <v>1</v>
      </c>
      <c r="D30" s="97">
        <v>73.5</v>
      </c>
      <c r="E30" s="14" t="s">
        <v>64</v>
      </c>
      <c r="F30" t="s">
        <v>33</v>
      </c>
      <c r="G30" s="112" t="s">
        <v>781</v>
      </c>
    </row>
    <row r="31" spans="1:7" x14ac:dyDescent="0.35">
      <c r="A31" t="s">
        <v>6</v>
      </c>
      <c r="B31" t="s">
        <v>86</v>
      </c>
      <c r="C31" s="113">
        <v>1</v>
      </c>
      <c r="D31" s="97">
        <v>73.5</v>
      </c>
      <c r="E31" s="14" t="s">
        <v>47</v>
      </c>
      <c r="F31" t="s">
        <v>33</v>
      </c>
      <c r="G31" s="112" t="s">
        <v>782</v>
      </c>
    </row>
    <row r="32" spans="1:7" x14ac:dyDescent="0.35">
      <c r="A32" t="s">
        <v>6</v>
      </c>
      <c r="B32" t="s">
        <v>86</v>
      </c>
      <c r="C32" s="113">
        <v>1</v>
      </c>
      <c r="D32" s="97">
        <v>73.5</v>
      </c>
      <c r="E32" s="14" t="s">
        <v>47</v>
      </c>
      <c r="F32" t="s">
        <v>33</v>
      </c>
      <c r="G32" s="112" t="s">
        <v>783</v>
      </c>
    </row>
    <row r="33" spans="1:7" x14ac:dyDescent="0.35">
      <c r="A33" t="s">
        <v>6</v>
      </c>
      <c r="B33" s="26" t="s">
        <v>8</v>
      </c>
      <c r="C33" s="113">
        <v>1</v>
      </c>
      <c r="D33" s="97">
        <v>73.5</v>
      </c>
      <c r="E33" s="14" t="s">
        <v>61</v>
      </c>
      <c r="F33" t="s">
        <v>33</v>
      </c>
      <c r="G33" s="112" t="s">
        <v>785</v>
      </c>
    </row>
    <row r="34" spans="1:7" x14ac:dyDescent="0.35">
      <c r="A34" t="s">
        <v>6</v>
      </c>
      <c r="B34" t="s">
        <v>86</v>
      </c>
      <c r="C34" s="113">
        <v>1</v>
      </c>
      <c r="D34" s="97">
        <v>73.5</v>
      </c>
      <c r="E34" s="14" t="s">
        <v>47</v>
      </c>
      <c r="F34" t="s">
        <v>33</v>
      </c>
      <c r="G34" s="112" t="s">
        <v>786</v>
      </c>
    </row>
    <row r="35" spans="1:7" x14ac:dyDescent="0.35">
      <c r="A35" t="s">
        <v>6</v>
      </c>
      <c r="B35" t="s">
        <v>350</v>
      </c>
      <c r="C35" s="113">
        <v>1</v>
      </c>
      <c r="D35" s="97">
        <v>73.5</v>
      </c>
      <c r="E35" s="14" t="s">
        <v>43</v>
      </c>
      <c r="F35" t="s">
        <v>33</v>
      </c>
      <c r="G35" s="112" t="s">
        <v>787</v>
      </c>
    </row>
    <row r="36" spans="1:7" x14ac:dyDescent="0.35">
      <c r="A36" s="97" t="s">
        <v>6</v>
      </c>
      <c r="B36" t="s">
        <v>86</v>
      </c>
      <c r="C36" s="113">
        <v>1</v>
      </c>
      <c r="D36" s="97">
        <v>73.5</v>
      </c>
      <c r="E36" s="14" t="s">
        <v>47</v>
      </c>
      <c r="F36" t="s">
        <v>33</v>
      </c>
      <c r="G36" s="112" t="s">
        <v>788</v>
      </c>
    </row>
    <row r="37" spans="1:7" x14ac:dyDescent="0.35">
      <c r="A37" t="s">
        <v>6</v>
      </c>
      <c r="B37" t="s">
        <v>86</v>
      </c>
      <c r="C37" s="113">
        <v>1</v>
      </c>
      <c r="D37" s="97">
        <v>73.5</v>
      </c>
      <c r="E37" s="14" t="s">
        <v>47</v>
      </c>
      <c r="F37" t="s">
        <v>33</v>
      </c>
      <c r="G37" s="112" t="s">
        <v>790</v>
      </c>
    </row>
    <row r="38" spans="1:7" x14ac:dyDescent="0.35">
      <c r="A38" t="s">
        <v>6</v>
      </c>
      <c r="B38" t="s">
        <v>86</v>
      </c>
      <c r="C38" s="113">
        <v>1</v>
      </c>
      <c r="D38" s="97">
        <v>73.5</v>
      </c>
      <c r="E38" s="14" t="s">
        <v>47</v>
      </c>
      <c r="F38" t="s">
        <v>33</v>
      </c>
      <c r="G38" s="112" t="s">
        <v>786</v>
      </c>
    </row>
    <row r="39" spans="1:7" x14ac:dyDescent="0.35">
      <c r="A39" t="s">
        <v>6</v>
      </c>
      <c r="B39" t="s">
        <v>350</v>
      </c>
      <c r="C39" s="113">
        <v>1</v>
      </c>
      <c r="D39" s="97">
        <v>73.5</v>
      </c>
      <c r="E39" s="14" t="s">
        <v>43</v>
      </c>
      <c r="F39" t="s">
        <v>33</v>
      </c>
      <c r="G39" s="112" t="s">
        <v>791</v>
      </c>
    </row>
    <row r="40" spans="1:7" x14ac:dyDescent="0.35">
      <c r="A40" t="s">
        <v>6</v>
      </c>
      <c r="B40" t="s">
        <v>350</v>
      </c>
      <c r="C40" s="113">
        <v>1</v>
      </c>
      <c r="D40" s="97">
        <v>73.5</v>
      </c>
      <c r="E40" s="14" t="s">
        <v>43</v>
      </c>
      <c r="F40" t="s">
        <v>33</v>
      </c>
      <c r="G40" s="112" t="s">
        <v>792</v>
      </c>
    </row>
    <row r="41" spans="1:7" x14ac:dyDescent="0.35">
      <c r="A41" t="s">
        <v>23</v>
      </c>
      <c r="B41" t="s">
        <v>211</v>
      </c>
      <c r="C41" s="101">
        <v>1</v>
      </c>
      <c r="D41" s="97">
        <v>84</v>
      </c>
      <c r="E41" s="100" t="s">
        <v>62</v>
      </c>
      <c r="F41" s="100" t="s">
        <v>69</v>
      </c>
      <c r="G41" s="114" t="s">
        <v>793</v>
      </c>
    </row>
    <row r="42" spans="1:7" x14ac:dyDescent="0.35">
      <c r="A42" t="s">
        <v>6</v>
      </c>
      <c r="B42" t="s">
        <v>219</v>
      </c>
      <c r="C42" s="101">
        <v>1</v>
      </c>
      <c r="D42" s="97">
        <v>69</v>
      </c>
      <c r="E42" s="14" t="s">
        <v>50</v>
      </c>
      <c r="F42" t="s">
        <v>214</v>
      </c>
      <c r="G42" s="112" t="s">
        <v>796</v>
      </c>
    </row>
    <row r="43" spans="1:7" x14ac:dyDescent="0.35">
      <c r="A43" t="s">
        <v>23</v>
      </c>
      <c r="B43" t="s">
        <v>211</v>
      </c>
      <c r="C43" s="101">
        <v>1</v>
      </c>
      <c r="D43" s="97">
        <v>132</v>
      </c>
      <c r="E43" s="14" t="s">
        <v>62</v>
      </c>
      <c r="F43" s="100" t="s">
        <v>90</v>
      </c>
      <c r="G43" s="112" t="s">
        <v>797</v>
      </c>
    </row>
    <row r="44" spans="1:7" x14ac:dyDescent="0.35">
      <c r="A44" t="s">
        <v>23</v>
      </c>
      <c r="B44" t="s">
        <v>244</v>
      </c>
      <c r="C44" s="113">
        <v>1</v>
      </c>
      <c r="D44" s="97">
        <v>132</v>
      </c>
      <c r="E44" s="14" t="s">
        <v>64</v>
      </c>
      <c r="F44" s="100" t="s">
        <v>90</v>
      </c>
      <c r="G44" s="115" t="s">
        <v>798</v>
      </c>
    </row>
  </sheetData>
  <protectedRanges>
    <protectedRange sqref="D41 D13" name="Amount_2_8_1"/>
    <protectedRange sqref="D10" name="Amount_2_1_2_2"/>
  </protectedRanges>
  <autoFilter ref="A9:G44" xr:uid="{4D448ADB-3887-45E1-8366-3B035145159F}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1FE9-2D88-427E-A6E8-55F24A3BEC7E}">
  <sheetPr codeName="Sheet39"/>
  <dimension ref="A1:I6"/>
  <sheetViews>
    <sheetView workbookViewId="0">
      <selection activeCell="C27" sqref="C27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117">
        <v>40</v>
      </c>
      <c r="G4" s="44" t="s">
        <v>56</v>
      </c>
      <c r="H4" s="116" t="s">
        <v>34</v>
      </c>
      <c r="I4" s="100" t="s">
        <v>808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117">
        <v>29</v>
      </c>
      <c r="G5" s="44" t="s">
        <v>56</v>
      </c>
      <c r="H5" s="116" t="s">
        <v>36</v>
      </c>
      <c r="I5" s="100" t="s">
        <v>812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117">
        <v>40</v>
      </c>
      <c r="G6" s="44" t="s">
        <v>56</v>
      </c>
      <c r="H6" s="116" t="s">
        <v>34</v>
      </c>
      <c r="I6" s="100" t="s">
        <v>812</v>
      </c>
    </row>
  </sheetData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7FB627-18BE-4AAE-B8E0-9F7F875F1B3D}">
          <x14:formula1>
            <xm:f>'Lookup Values'!$G$2:$G$35</xm:f>
          </x14:formula1>
          <xm:sqref>G4:G6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7487C-0DE2-44AF-A896-5C44D01832E1}">
  <dimension ref="A1:G52"/>
  <sheetViews>
    <sheetView workbookViewId="0">
      <selection sqref="A1:G32"/>
    </sheetView>
  </sheetViews>
  <sheetFormatPr defaultRowHeight="14.5" x14ac:dyDescent="0.35"/>
  <cols>
    <col min="1" max="1" width="35.453125" customWidth="1"/>
    <col min="2" max="2" width="32.453125" customWidth="1"/>
    <col min="3" max="3" width="30.26953125" customWidth="1"/>
    <col min="4" max="4" width="26.1796875" customWidth="1"/>
    <col min="5" max="5" width="45" customWidth="1"/>
    <col min="6" max="6" width="39.1796875" customWidth="1"/>
    <col min="7" max="7" width="55.453125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822</v>
      </c>
    </row>
    <row r="5" spans="1:7" x14ac:dyDescent="0.35">
      <c r="A5" s="8" t="s">
        <v>29</v>
      </c>
      <c r="B5" s="9">
        <v>45008</v>
      </c>
    </row>
    <row r="6" spans="1:7" ht="15" thickBot="1" x14ac:dyDescent="0.4">
      <c r="A6" s="10" t="s">
        <v>30</v>
      </c>
      <c r="B6" s="11" t="s">
        <v>213</v>
      </c>
    </row>
    <row r="11" spans="1:7" x14ac:dyDescent="0.3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x14ac:dyDescent="0.35">
      <c r="A12" s="100" t="s">
        <v>6</v>
      </c>
      <c r="B12" s="100" t="s">
        <v>7</v>
      </c>
      <c r="C12" s="118">
        <v>1</v>
      </c>
      <c r="D12" s="117">
        <f>SUM(D13:D53)+SUM('Parks Journal input Feb 2023'!F4:F6)</f>
        <v>1535.5</v>
      </c>
      <c r="E12" s="100" t="s">
        <v>12</v>
      </c>
      <c r="F12" s="116" t="s">
        <v>13</v>
      </c>
      <c r="G12" s="106">
        <v>44963</v>
      </c>
    </row>
    <row r="13" spans="1:7" ht="17.25" customHeight="1" x14ac:dyDescent="0.35">
      <c r="A13" s="100" t="s">
        <v>23</v>
      </c>
      <c r="B13" s="100" t="s">
        <v>211</v>
      </c>
      <c r="C13" s="118">
        <v>1</v>
      </c>
      <c r="D13" s="117">
        <v>132</v>
      </c>
      <c r="E13" s="100" t="s">
        <v>62</v>
      </c>
      <c r="F13" s="116" t="s">
        <v>90</v>
      </c>
      <c r="G13" s="100" t="s">
        <v>799</v>
      </c>
    </row>
    <row r="14" spans="1:7" ht="18" customHeight="1" x14ac:dyDescent="0.35">
      <c r="A14" s="100" t="s">
        <v>23</v>
      </c>
      <c r="B14" s="100" t="s">
        <v>211</v>
      </c>
      <c r="C14" s="118">
        <v>1</v>
      </c>
      <c r="D14" s="117">
        <v>166.1</v>
      </c>
      <c r="E14" s="100" t="s">
        <v>62</v>
      </c>
      <c r="F14" s="116" t="s">
        <v>91</v>
      </c>
      <c r="G14" s="100" t="s">
        <v>800</v>
      </c>
    </row>
    <row r="15" spans="1:7" ht="18.75" customHeight="1" x14ac:dyDescent="0.35">
      <c r="A15" s="100" t="s">
        <v>6</v>
      </c>
      <c r="B15" s="100" t="s">
        <v>142</v>
      </c>
      <c r="C15" s="118">
        <v>1</v>
      </c>
      <c r="D15" s="117">
        <v>132</v>
      </c>
      <c r="E15" s="100" t="s">
        <v>44</v>
      </c>
      <c r="F15" s="116" t="s">
        <v>90</v>
      </c>
      <c r="G15" s="100" t="s">
        <v>801</v>
      </c>
    </row>
    <row r="16" spans="1:7" ht="14.25" customHeight="1" x14ac:dyDescent="0.35">
      <c r="A16" s="100" t="s">
        <v>6</v>
      </c>
      <c r="B16" s="100" t="s">
        <v>142</v>
      </c>
      <c r="C16" s="118">
        <v>1</v>
      </c>
      <c r="D16" s="117">
        <v>166.1</v>
      </c>
      <c r="E16" s="100" t="s">
        <v>44</v>
      </c>
      <c r="F16" s="116" t="s">
        <v>91</v>
      </c>
      <c r="G16" s="100" t="s">
        <v>801</v>
      </c>
    </row>
    <row r="17" spans="1:7" ht="17.25" customHeight="1" x14ac:dyDescent="0.35">
      <c r="A17" s="100" t="s">
        <v>6</v>
      </c>
      <c r="B17" s="100" t="s">
        <v>142</v>
      </c>
      <c r="C17" s="118">
        <v>1</v>
      </c>
      <c r="D17" s="117">
        <v>166.1</v>
      </c>
      <c r="E17" s="100" t="s">
        <v>44</v>
      </c>
      <c r="F17" s="116" t="s">
        <v>90</v>
      </c>
      <c r="G17" s="100" t="s">
        <v>802</v>
      </c>
    </row>
    <row r="18" spans="1:7" ht="17.25" customHeight="1" x14ac:dyDescent="0.35">
      <c r="A18" s="100" t="s">
        <v>6</v>
      </c>
      <c r="B18" s="100" t="s">
        <v>142</v>
      </c>
      <c r="C18" s="118">
        <v>1</v>
      </c>
      <c r="D18" s="117">
        <v>166.1</v>
      </c>
      <c r="E18" s="100" t="s">
        <v>44</v>
      </c>
      <c r="F18" s="116" t="s">
        <v>91</v>
      </c>
      <c r="G18" s="100" t="s">
        <v>802</v>
      </c>
    </row>
    <row r="19" spans="1:7" ht="18" customHeight="1" x14ac:dyDescent="0.35">
      <c r="A19" s="100" t="s">
        <v>6</v>
      </c>
      <c r="B19" s="100" t="s">
        <v>86</v>
      </c>
      <c r="C19" s="118">
        <v>1</v>
      </c>
      <c r="D19" s="117">
        <v>15</v>
      </c>
      <c r="E19" s="100" t="s">
        <v>47</v>
      </c>
      <c r="F19" s="116" t="s">
        <v>35</v>
      </c>
      <c r="G19" s="100" t="s">
        <v>803</v>
      </c>
    </row>
    <row r="20" spans="1:7" x14ac:dyDescent="0.35">
      <c r="A20" s="100" t="s">
        <v>6</v>
      </c>
      <c r="B20" s="100" t="s">
        <v>142</v>
      </c>
      <c r="C20" s="118">
        <v>1</v>
      </c>
      <c r="D20" s="117">
        <v>15</v>
      </c>
      <c r="E20" s="100" t="s">
        <v>44</v>
      </c>
      <c r="F20" s="116" t="s">
        <v>35</v>
      </c>
      <c r="G20" s="100" t="s">
        <v>804</v>
      </c>
    </row>
    <row r="21" spans="1:7" x14ac:dyDescent="0.35">
      <c r="A21" s="100" t="s">
        <v>6</v>
      </c>
      <c r="B21" s="100" t="s">
        <v>142</v>
      </c>
      <c r="C21" s="118">
        <v>1</v>
      </c>
      <c r="D21" s="117">
        <v>15</v>
      </c>
      <c r="E21" s="100" t="s">
        <v>44</v>
      </c>
      <c r="F21" s="116" t="s">
        <v>35</v>
      </c>
      <c r="G21" s="100" t="s">
        <v>805</v>
      </c>
    </row>
    <row r="22" spans="1:7" x14ac:dyDescent="0.35">
      <c r="A22" s="100" t="s">
        <v>6</v>
      </c>
      <c r="B22" s="100" t="s">
        <v>142</v>
      </c>
      <c r="C22" s="118">
        <v>1</v>
      </c>
      <c r="D22" s="117">
        <v>15</v>
      </c>
      <c r="E22" s="100" t="s">
        <v>44</v>
      </c>
      <c r="F22" s="116" t="s">
        <v>35</v>
      </c>
      <c r="G22" s="100" t="s">
        <v>806</v>
      </c>
    </row>
    <row r="23" spans="1:7" x14ac:dyDescent="0.35">
      <c r="A23" s="100" t="s">
        <v>6</v>
      </c>
      <c r="B23" s="100" t="s">
        <v>86</v>
      </c>
      <c r="C23" s="118">
        <v>1</v>
      </c>
      <c r="D23" s="117">
        <v>15</v>
      </c>
      <c r="E23" s="100" t="s">
        <v>47</v>
      </c>
      <c r="F23" s="116" t="s">
        <v>35</v>
      </c>
      <c r="G23" s="100" t="s">
        <v>807</v>
      </c>
    </row>
    <row r="24" spans="1:7" ht="20.25" customHeight="1" x14ac:dyDescent="0.35">
      <c r="A24" s="100" t="s">
        <v>23</v>
      </c>
      <c r="B24" s="100" t="s">
        <v>211</v>
      </c>
      <c r="C24" s="118">
        <v>1</v>
      </c>
      <c r="D24" s="117">
        <v>166.1</v>
      </c>
      <c r="E24" s="100" t="s">
        <v>62</v>
      </c>
      <c r="F24" s="116" t="s">
        <v>91</v>
      </c>
      <c r="G24" s="100" t="s">
        <v>809</v>
      </c>
    </row>
    <row r="25" spans="1:7" x14ac:dyDescent="0.35">
      <c r="A25" s="100" t="s">
        <v>6</v>
      </c>
      <c r="B25" s="100" t="s">
        <v>142</v>
      </c>
      <c r="C25" s="118">
        <v>1</v>
      </c>
      <c r="D25" s="117">
        <v>30</v>
      </c>
      <c r="E25" s="100" t="s">
        <v>44</v>
      </c>
      <c r="F25" s="116" t="s">
        <v>813</v>
      </c>
      <c r="G25" s="100" t="s">
        <v>810</v>
      </c>
    </row>
    <row r="26" spans="1:7" x14ac:dyDescent="0.35">
      <c r="A26" s="100" t="s">
        <v>6</v>
      </c>
      <c r="B26" s="100" t="s">
        <v>219</v>
      </c>
      <c r="C26" s="118">
        <v>1</v>
      </c>
      <c r="D26" s="117">
        <v>29</v>
      </c>
      <c r="E26" s="100" t="s">
        <v>50</v>
      </c>
      <c r="F26" s="116" t="s">
        <v>36</v>
      </c>
      <c r="G26" s="100" t="s">
        <v>811</v>
      </c>
    </row>
    <row r="27" spans="1:7" x14ac:dyDescent="0.35">
      <c r="A27" s="100" t="s">
        <v>23</v>
      </c>
      <c r="B27" s="100" t="s">
        <v>211</v>
      </c>
      <c r="C27" s="118">
        <v>1</v>
      </c>
      <c r="D27" s="117">
        <v>15</v>
      </c>
      <c r="E27" s="100" t="s">
        <v>62</v>
      </c>
      <c r="F27" s="116" t="s">
        <v>35</v>
      </c>
      <c r="G27" s="100" t="s">
        <v>814</v>
      </c>
    </row>
    <row r="28" spans="1:7" x14ac:dyDescent="0.35">
      <c r="A28" s="100" t="s">
        <v>6</v>
      </c>
      <c r="B28" t="s">
        <v>72</v>
      </c>
      <c r="C28" s="118">
        <v>1</v>
      </c>
      <c r="D28" s="97">
        <v>15</v>
      </c>
      <c r="E28" s="14" t="s">
        <v>82</v>
      </c>
      <c r="F28" s="100" t="s">
        <v>35</v>
      </c>
      <c r="G28" s="100" t="s">
        <v>815</v>
      </c>
    </row>
    <row r="29" spans="1:7" x14ac:dyDescent="0.35">
      <c r="A29" s="100" t="s">
        <v>6</v>
      </c>
      <c r="B29" t="s">
        <v>219</v>
      </c>
      <c r="C29" s="118">
        <v>1</v>
      </c>
      <c r="D29" s="97">
        <v>40</v>
      </c>
      <c r="E29" s="14" t="s">
        <v>50</v>
      </c>
      <c r="F29" s="100" t="s">
        <v>34</v>
      </c>
      <c r="G29" s="100" t="s">
        <v>816</v>
      </c>
    </row>
    <row r="30" spans="1:7" x14ac:dyDescent="0.35">
      <c r="A30" s="100" t="s">
        <v>6</v>
      </c>
      <c r="B30" t="s">
        <v>219</v>
      </c>
      <c r="C30" s="118">
        <v>1</v>
      </c>
      <c r="D30" s="24">
        <v>29</v>
      </c>
      <c r="E30" s="14" t="s">
        <v>50</v>
      </c>
      <c r="F30" t="s">
        <v>36</v>
      </c>
      <c r="G30" s="100" t="s">
        <v>817</v>
      </c>
    </row>
    <row r="31" spans="1:7" x14ac:dyDescent="0.35">
      <c r="A31" s="100" t="s">
        <v>6</v>
      </c>
      <c r="B31" t="s">
        <v>72</v>
      </c>
      <c r="C31" s="100">
        <v>1</v>
      </c>
      <c r="D31" s="97">
        <v>15</v>
      </c>
      <c r="E31" s="14" t="s">
        <v>82</v>
      </c>
      <c r="F31" s="100" t="s">
        <v>35</v>
      </c>
      <c r="G31" s="100" t="s">
        <v>818</v>
      </c>
    </row>
    <row r="32" spans="1:7" x14ac:dyDescent="0.35">
      <c r="A32" s="100" t="s">
        <v>23</v>
      </c>
      <c r="B32" t="s">
        <v>206</v>
      </c>
      <c r="C32" s="100">
        <v>1</v>
      </c>
      <c r="D32" s="97">
        <v>84</v>
      </c>
      <c r="E32" s="14" t="s">
        <v>63</v>
      </c>
      <c r="F32" s="100" t="s">
        <v>69</v>
      </c>
      <c r="G32" s="100" t="s">
        <v>819</v>
      </c>
    </row>
    <row r="33" spans="1:7" x14ac:dyDescent="0.35">
      <c r="A33" s="100"/>
      <c r="B33" s="100"/>
      <c r="C33" s="100"/>
      <c r="D33" s="100"/>
      <c r="E33" s="100"/>
      <c r="F33" s="100"/>
      <c r="G33" s="100"/>
    </row>
    <row r="34" spans="1:7" x14ac:dyDescent="0.35">
      <c r="A34" s="100"/>
      <c r="B34" s="100"/>
      <c r="C34" s="100"/>
      <c r="D34" s="100"/>
      <c r="E34" s="100"/>
      <c r="F34" s="100"/>
      <c r="G34" s="100"/>
    </row>
    <row r="35" spans="1:7" x14ac:dyDescent="0.35">
      <c r="A35" s="100"/>
      <c r="B35" s="100"/>
      <c r="C35" s="100"/>
      <c r="D35" s="100"/>
      <c r="E35" s="100"/>
      <c r="F35" s="100"/>
      <c r="G35" s="100"/>
    </row>
    <row r="36" spans="1:7" x14ac:dyDescent="0.35">
      <c r="A36" s="100"/>
      <c r="B36" s="100"/>
      <c r="C36" s="100"/>
      <c r="D36" s="100"/>
      <c r="E36" s="100"/>
      <c r="F36" s="100"/>
      <c r="G36" s="100"/>
    </row>
    <row r="37" spans="1:7" x14ac:dyDescent="0.35">
      <c r="A37" s="100"/>
      <c r="B37" s="100"/>
      <c r="C37" s="100"/>
      <c r="D37" s="100"/>
      <c r="E37" s="100"/>
      <c r="F37" s="100"/>
      <c r="G37" s="100"/>
    </row>
    <row r="38" spans="1:7" x14ac:dyDescent="0.35">
      <c r="A38" s="100"/>
      <c r="B38" s="100"/>
      <c r="C38" s="100"/>
      <c r="D38" s="100"/>
      <c r="E38" s="100"/>
      <c r="F38" s="100"/>
      <c r="G38" s="100"/>
    </row>
    <row r="39" spans="1:7" x14ac:dyDescent="0.35">
      <c r="A39" s="100"/>
      <c r="B39" s="100"/>
      <c r="C39" s="100"/>
      <c r="D39" s="100"/>
      <c r="E39" s="100"/>
      <c r="F39" s="100"/>
      <c r="G39" s="100"/>
    </row>
    <row r="40" spans="1:7" x14ac:dyDescent="0.35">
      <c r="A40" s="100"/>
      <c r="B40" s="100"/>
      <c r="C40" s="100"/>
      <c r="D40" s="100"/>
      <c r="E40" s="100"/>
      <c r="F40" s="100"/>
      <c r="G40" s="100"/>
    </row>
    <row r="41" spans="1:7" x14ac:dyDescent="0.35">
      <c r="A41" s="100"/>
      <c r="B41" s="100"/>
      <c r="C41" s="100"/>
      <c r="D41" s="100"/>
      <c r="E41" s="100"/>
      <c r="F41" s="100"/>
      <c r="G41" s="100"/>
    </row>
    <row r="42" spans="1:7" x14ac:dyDescent="0.35">
      <c r="A42" s="100"/>
      <c r="B42" s="100"/>
      <c r="C42" s="100"/>
      <c r="D42" s="100"/>
      <c r="E42" s="100"/>
      <c r="F42" s="100"/>
      <c r="G42" s="100"/>
    </row>
    <row r="43" spans="1:7" x14ac:dyDescent="0.35">
      <c r="A43" s="100"/>
      <c r="B43" s="100"/>
      <c r="C43" s="100"/>
      <c r="D43" s="100"/>
      <c r="E43" s="100"/>
      <c r="F43" s="100"/>
      <c r="G43" s="100"/>
    </row>
    <row r="44" spans="1:7" x14ac:dyDescent="0.35">
      <c r="A44" s="100"/>
      <c r="B44" s="100"/>
      <c r="C44" s="100"/>
      <c r="D44" s="100"/>
      <c r="E44" s="100"/>
      <c r="F44" s="100"/>
      <c r="G44" s="100"/>
    </row>
    <row r="45" spans="1:7" x14ac:dyDescent="0.35">
      <c r="A45" s="100"/>
      <c r="B45" s="100"/>
      <c r="C45" s="100"/>
      <c r="D45" s="100"/>
      <c r="E45" s="100"/>
      <c r="F45" s="100"/>
      <c r="G45" s="100"/>
    </row>
    <row r="46" spans="1:7" x14ac:dyDescent="0.35">
      <c r="A46" s="100"/>
      <c r="B46" s="100"/>
      <c r="C46" s="100"/>
      <c r="D46" s="100"/>
      <c r="E46" s="100"/>
      <c r="F46" s="100"/>
      <c r="G46" s="100"/>
    </row>
    <row r="47" spans="1:7" x14ac:dyDescent="0.35">
      <c r="A47" s="100"/>
      <c r="B47" s="100"/>
      <c r="C47" s="100"/>
      <c r="D47" s="100"/>
      <c r="E47" s="100"/>
      <c r="F47" s="100"/>
      <c r="G47" s="100"/>
    </row>
    <row r="48" spans="1:7" x14ac:dyDescent="0.35">
      <c r="A48" s="100"/>
      <c r="B48" s="100"/>
      <c r="C48" s="100"/>
      <c r="D48" s="100"/>
      <c r="E48" s="100"/>
      <c r="F48" s="100"/>
      <c r="G48" s="100"/>
    </row>
    <row r="49" spans="1:7" x14ac:dyDescent="0.35">
      <c r="A49" s="100"/>
      <c r="B49" s="100"/>
      <c r="C49" s="100"/>
      <c r="D49" s="100"/>
      <c r="E49" s="100"/>
      <c r="F49" s="100"/>
      <c r="G49" s="100"/>
    </row>
    <row r="50" spans="1:7" x14ac:dyDescent="0.35">
      <c r="A50" s="100"/>
      <c r="B50" s="100"/>
      <c r="C50" s="100"/>
      <c r="D50" s="100"/>
      <c r="E50" s="100"/>
      <c r="F50" s="100"/>
      <c r="G50" s="100"/>
    </row>
    <row r="51" spans="1:7" x14ac:dyDescent="0.35">
      <c r="A51" s="100"/>
      <c r="B51" s="100"/>
      <c r="C51" s="100"/>
      <c r="D51" s="100"/>
      <c r="E51" s="100"/>
      <c r="F51" s="100"/>
      <c r="G51" s="100"/>
    </row>
    <row r="52" spans="1:7" x14ac:dyDescent="0.35">
      <c r="A52" s="100"/>
      <c r="B52" s="100"/>
      <c r="C52" s="100"/>
      <c r="D52" s="100"/>
      <c r="E52" s="100"/>
      <c r="F52" s="100"/>
      <c r="G52" s="100"/>
    </row>
  </sheetData>
  <protectedRanges>
    <protectedRange sqref="D44" name="Amount_2_8_1_3"/>
    <protectedRange sqref="D12" name="Amount_2_1_2_2_3"/>
    <protectedRange sqref="D13:D18 D24 D27" name="Amount_2_8_1"/>
  </protectedRanges>
  <autoFilter ref="A11:G32" xr:uid="{96C7487C-0DE2-44AF-A896-5C44D01832E1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A32B08B-9610-478F-8970-C1123452B567}">
          <x14:formula1>
            <xm:f>'Lookup Values'!$A$2:$A$9</xm:f>
          </x14:formula1>
          <xm:sqref>F28:F29 F31:F32</xm:sqref>
        </x14:dataValidation>
        <x14:dataValidation type="list" allowBlank="1" showInputMessage="1" showErrorMessage="1" xr:uid="{404D465C-C2CA-4734-A34F-A0F9244D63EC}">
          <x14:formula1>
            <xm:f>'Lookup Values'!$G$2:$G$35</xm:f>
          </x14:formula1>
          <xm:sqref>E28:E31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6DF9E-F01C-40DA-AB3E-459ECDE52170}">
  <sheetPr codeName="Sheet40"/>
  <dimension ref="A1:I6"/>
  <sheetViews>
    <sheetView workbookViewId="0">
      <selection activeCell="B22" sqref="B22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x14ac:dyDescent="0.35">
      <c r="A4" s="1" t="s">
        <v>73</v>
      </c>
      <c r="B4" t="s">
        <v>199</v>
      </c>
      <c r="C4" s="44" t="s">
        <v>159</v>
      </c>
      <c r="D4" t="s">
        <v>160</v>
      </c>
      <c r="E4" s="77">
        <v>1</v>
      </c>
      <c r="F4" s="97">
        <v>166.1</v>
      </c>
      <c r="G4" s="14" t="s">
        <v>56</v>
      </c>
      <c r="H4" t="s">
        <v>91</v>
      </c>
      <c r="I4" s="100" t="s">
        <v>823</v>
      </c>
    </row>
    <row r="5" spans="1:9" x14ac:dyDescent="0.35">
      <c r="A5" s="1" t="s">
        <v>73</v>
      </c>
      <c r="B5" t="s">
        <v>199</v>
      </c>
      <c r="C5" s="44" t="s">
        <v>159</v>
      </c>
      <c r="D5" t="s">
        <v>160</v>
      </c>
      <c r="E5" s="77">
        <v>1</v>
      </c>
      <c r="F5" s="97">
        <v>84</v>
      </c>
      <c r="G5" s="14" t="s">
        <v>56</v>
      </c>
      <c r="H5" t="s">
        <v>69</v>
      </c>
      <c r="I5" s="100" t="s">
        <v>831</v>
      </c>
    </row>
    <row r="6" spans="1:9" x14ac:dyDescent="0.35">
      <c r="A6" s="1" t="s">
        <v>73</v>
      </c>
      <c r="B6" t="s">
        <v>199</v>
      </c>
      <c r="C6" s="44" t="s">
        <v>159</v>
      </c>
      <c r="D6" t="s">
        <v>160</v>
      </c>
      <c r="E6" s="77">
        <v>1</v>
      </c>
      <c r="F6" s="97">
        <v>132</v>
      </c>
      <c r="G6" s="14" t="s">
        <v>56</v>
      </c>
      <c r="H6" t="s">
        <v>90</v>
      </c>
      <c r="I6" s="100" t="s">
        <v>848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1BEA0-A3EB-4F6F-9386-1ABF2EB98535}">
  <dimension ref="A1:G51"/>
  <sheetViews>
    <sheetView workbookViewId="0">
      <selection activeCell="B13" sqref="B13"/>
    </sheetView>
  </sheetViews>
  <sheetFormatPr defaultColWidth="9.1796875" defaultRowHeight="14.5" x14ac:dyDescent="0.35"/>
  <cols>
    <col min="1" max="1" width="35.453125" customWidth="1"/>
    <col min="2" max="2" width="32.453125" customWidth="1"/>
    <col min="3" max="3" width="30.26953125" customWidth="1"/>
    <col min="4" max="4" width="26.1796875" customWidth="1"/>
    <col min="5" max="5" width="45" customWidth="1"/>
    <col min="6" max="6" width="46.26953125" customWidth="1"/>
    <col min="7" max="7" width="55.453125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854</v>
      </c>
    </row>
    <row r="5" spans="1:7" x14ac:dyDescent="0.35">
      <c r="A5" s="8" t="s">
        <v>29</v>
      </c>
      <c r="B5" s="9">
        <v>45019</v>
      </c>
    </row>
    <row r="6" spans="1:7" ht="15" thickBot="1" x14ac:dyDescent="0.4">
      <c r="A6" s="10" t="s">
        <v>30</v>
      </c>
      <c r="B6" s="11" t="s">
        <v>213</v>
      </c>
    </row>
    <row r="11" spans="1:7" x14ac:dyDescent="0.3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x14ac:dyDescent="0.35">
      <c r="A12" s="121"/>
      <c r="B12" s="121"/>
      <c r="C12" s="121"/>
      <c r="D12" s="122"/>
      <c r="E12" s="121"/>
      <c r="F12" s="121"/>
      <c r="G12" s="121"/>
    </row>
    <row r="13" spans="1:7" x14ac:dyDescent="0.35">
      <c r="A13" s="100" t="s">
        <v>6</v>
      </c>
      <c r="B13" t="s">
        <v>7</v>
      </c>
      <c r="C13" s="118">
        <v>1</v>
      </c>
      <c r="D13" s="117">
        <f>SUM(D14:D42)+SUM('Parks Journal input Mar 2023'!F4:F6)</f>
        <v>2393.5</v>
      </c>
      <c r="E13" t="s">
        <v>12</v>
      </c>
      <c r="F13" s="25" t="s">
        <v>13</v>
      </c>
      <c r="G13" s="106">
        <v>45015</v>
      </c>
    </row>
    <row r="14" spans="1:7" x14ac:dyDescent="0.35">
      <c r="A14" s="100" t="s">
        <v>6</v>
      </c>
      <c r="B14" s="100" t="s">
        <v>142</v>
      </c>
      <c r="C14" s="100">
        <v>1</v>
      </c>
      <c r="D14" s="103">
        <v>40</v>
      </c>
      <c r="E14" s="120" t="s">
        <v>44</v>
      </c>
      <c r="F14" s="100" t="s">
        <v>34</v>
      </c>
      <c r="G14" s="100" t="s">
        <v>842</v>
      </c>
    </row>
    <row r="15" spans="1:7" ht="17.25" customHeight="1" x14ac:dyDescent="0.35">
      <c r="A15" s="100" t="s">
        <v>6</v>
      </c>
      <c r="B15" t="s">
        <v>86</v>
      </c>
      <c r="C15" s="118">
        <v>1</v>
      </c>
      <c r="D15" s="97">
        <v>55</v>
      </c>
      <c r="E15" s="14" t="s">
        <v>47</v>
      </c>
      <c r="F15" t="s">
        <v>20</v>
      </c>
      <c r="G15" s="100" t="s">
        <v>827</v>
      </c>
    </row>
    <row r="16" spans="1:7" ht="18" customHeight="1" x14ac:dyDescent="0.35">
      <c r="A16" s="100" t="s">
        <v>6</v>
      </c>
      <c r="B16" t="s">
        <v>86</v>
      </c>
      <c r="C16" s="118">
        <v>1</v>
      </c>
      <c r="D16" s="119">
        <v>15</v>
      </c>
      <c r="E16" s="14" t="s">
        <v>47</v>
      </c>
      <c r="F16" t="s">
        <v>35</v>
      </c>
      <c r="G16" s="100" t="s">
        <v>833</v>
      </c>
    </row>
    <row r="17" spans="1:7" ht="15" customHeight="1" x14ac:dyDescent="0.35">
      <c r="A17" s="100" t="s">
        <v>6</v>
      </c>
      <c r="B17" t="s">
        <v>86</v>
      </c>
      <c r="C17" s="118">
        <v>1</v>
      </c>
      <c r="D17" s="97">
        <v>40</v>
      </c>
      <c r="E17" s="14" t="s">
        <v>47</v>
      </c>
      <c r="F17" t="s">
        <v>34</v>
      </c>
      <c r="G17" s="100" t="s">
        <v>834</v>
      </c>
    </row>
    <row r="18" spans="1:7" ht="18.75" customHeight="1" x14ac:dyDescent="0.35">
      <c r="A18" s="100" t="s">
        <v>6</v>
      </c>
      <c r="B18" t="s">
        <v>86</v>
      </c>
      <c r="C18" s="118">
        <v>1</v>
      </c>
      <c r="D18" s="97">
        <v>40</v>
      </c>
      <c r="E18" s="14" t="s">
        <v>47</v>
      </c>
      <c r="F18" t="s">
        <v>34</v>
      </c>
      <c r="G18" s="100" t="s">
        <v>835</v>
      </c>
    </row>
    <row r="19" spans="1:7" ht="14.25" customHeight="1" x14ac:dyDescent="0.35">
      <c r="A19" s="100" t="s">
        <v>6</v>
      </c>
      <c r="B19" t="s">
        <v>86</v>
      </c>
      <c r="C19" s="118">
        <v>1</v>
      </c>
      <c r="D19" s="103">
        <v>55</v>
      </c>
      <c r="E19" s="14" t="s">
        <v>47</v>
      </c>
      <c r="F19" t="s">
        <v>20</v>
      </c>
      <c r="G19" s="100" t="s">
        <v>836</v>
      </c>
    </row>
    <row r="20" spans="1:7" ht="17.25" customHeight="1" x14ac:dyDescent="0.35">
      <c r="A20" s="100" t="s">
        <v>6</v>
      </c>
      <c r="B20" t="s">
        <v>86</v>
      </c>
      <c r="C20" s="118">
        <v>1</v>
      </c>
      <c r="D20" s="97">
        <v>40</v>
      </c>
      <c r="E20" s="14" t="s">
        <v>47</v>
      </c>
      <c r="F20" t="s">
        <v>34</v>
      </c>
      <c r="G20" s="100" t="s">
        <v>837</v>
      </c>
    </row>
    <row r="21" spans="1:7" ht="17.25" customHeight="1" x14ac:dyDescent="0.35">
      <c r="A21" s="100" t="s">
        <v>6</v>
      </c>
      <c r="B21" t="s">
        <v>86</v>
      </c>
      <c r="C21" s="118">
        <v>1</v>
      </c>
      <c r="D21" s="103">
        <v>40</v>
      </c>
      <c r="E21" s="14" t="s">
        <v>47</v>
      </c>
      <c r="F21" t="s">
        <v>34</v>
      </c>
      <c r="G21" s="100" t="s">
        <v>838</v>
      </c>
    </row>
    <row r="22" spans="1:7" ht="18" customHeight="1" x14ac:dyDescent="0.35">
      <c r="A22" s="100" t="s">
        <v>6</v>
      </c>
      <c r="B22" t="s">
        <v>86</v>
      </c>
      <c r="C22" s="118">
        <v>1</v>
      </c>
      <c r="D22" s="97">
        <v>40</v>
      </c>
      <c r="E22" s="14" t="s">
        <v>47</v>
      </c>
      <c r="F22" t="s">
        <v>34</v>
      </c>
      <c r="G22" s="100" t="s">
        <v>839</v>
      </c>
    </row>
    <row r="23" spans="1:7" x14ac:dyDescent="0.35">
      <c r="A23" s="100" t="s">
        <v>6</v>
      </c>
      <c r="B23" t="s">
        <v>86</v>
      </c>
      <c r="C23" s="118">
        <v>1</v>
      </c>
      <c r="D23" s="103">
        <v>15</v>
      </c>
      <c r="E23" s="14" t="s">
        <v>47</v>
      </c>
      <c r="F23" t="s">
        <v>35</v>
      </c>
      <c r="G23" s="100" t="s">
        <v>840</v>
      </c>
    </row>
    <row r="24" spans="1:7" x14ac:dyDescent="0.35">
      <c r="A24" s="100" t="s">
        <v>6</v>
      </c>
      <c r="B24" t="s">
        <v>86</v>
      </c>
      <c r="C24" s="118">
        <v>1</v>
      </c>
      <c r="D24" s="119">
        <v>29</v>
      </c>
      <c r="E24" s="14" t="s">
        <v>47</v>
      </c>
      <c r="F24" t="s">
        <v>36</v>
      </c>
      <c r="G24" s="100" t="s">
        <v>844</v>
      </c>
    </row>
    <row r="25" spans="1:7" x14ac:dyDescent="0.35">
      <c r="A25" s="100" t="s">
        <v>6</v>
      </c>
      <c r="B25" t="s">
        <v>88</v>
      </c>
      <c r="C25" s="118">
        <v>1</v>
      </c>
      <c r="D25" s="117">
        <v>29</v>
      </c>
      <c r="E25" s="14" t="s">
        <v>83</v>
      </c>
      <c r="F25" t="s">
        <v>36</v>
      </c>
      <c r="G25" s="100" t="s">
        <v>832</v>
      </c>
    </row>
    <row r="26" spans="1:7" x14ac:dyDescent="0.35">
      <c r="A26" s="100" t="s">
        <v>6</v>
      </c>
      <c r="B26" t="s">
        <v>72</v>
      </c>
      <c r="C26" s="118">
        <v>1</v>
      </c>
      <c r="D26" s="117">
        <v>15</v>
      </c>
      <c r="E26" s="14" t="s">
        <v>82</v>
      </c>
      <c r="F26" t="s">
        <v>35</v>
      </c>
      <c r="G26" s="100" t="s">
        <v>826</v>
      </c>
    </row>
    <row r="27" spans="1:7" ht="15.75" customHeight="1" x14ac:dyDescent="0.35">
      <c r="A27" s="100" t="s">
        <v>6</v>
      </c>
      <c r="B27" t="s">
        <v>219</v>
      </c>
      <c r="C27" s="118">
        <v>1</v>
      </c>
      <c r="D27" s="97">
        <v>40</v>
      </c>
      <c r="E27" s="14" t="s">
        <v>50</v>
      </c>
      <c r="F27" t="s">
        <v>34</v>
      </c>
      <c r="G27" s="100" t="s">
        <v>829</v>
      </c>
    </row>
    <row r="28" spans="1:7" x14ac:dyDescent="0.35">
      <c r="A28" s="100" t="s">
        <v>6</v>
      </c>
      <c r="B28" t="s">
        <v>219</v>
      </c>
      <c r="C28" s="100">
        <v>1</v>
      </c>
      <c r="D28" s="97">
        <v>69</v>
      </c>
      <c r="E28" s="14" t="s">
        <v>50</v>
      </c>
      <c r="F28" t="s">
        <v>214</v>
      </c>
      <c r="G28" s="100" t="s">
        <v>843</v>
      </c>
    </row>
    <row r="29" spans="1:7" x14ac:dyDescent="0.35">
      <c r="A29" s="100" t="s">
        <v>6</v>
      </c>
      <c r="B29" t="s">
        <v>304</v>
      </c>
      <c r="C29" s="118">
        <v>1</v>
      </c>
      <c r="D29" s="119">
        <v>15</v>
      </c>
      <c r="E29" s="14" t="s">
        <v>52</v>
      </c>
      <c r="F29" t="s">
        <v>35</v>
      </c>
      <c r="G29" s="100" t="s">
        <v>828</v>
      </c>
    </row>
    <row r="30" spans="1:7" x14ac:dyDescent="0.35">
      <c r="A30" s="100" t="s">
        <v>23</v>
      </c>
      <c r="B30" t="s">
        <v>211</v>
      </c>
      <c r="C30" s="118">
        <v>1</v>
      </c>
      <c r="D30" s="97">
        <v>166.1</v>
      </c>
      <c r="E30" s="14" t="s">
        <v>62</v>
      </c>
      <c r="F30" t="s">
        <v>91</v>
      </c>
      <c r="G30" s="100" t="s">
        <v>824</v>
      </c>
    </row>
    <row r="31" spans="1:7" x14ac:dyDescent="0.35">
      <c r="A31" s="100" t="s">
        <v>23</v>
      </c>
      <c r="B31" t="s">
        <v>211</v>
      </c>
      <c r="C31" s="118">
        <v>1</v>
      </c>
      <c r="D31" s="97">
        <v>166.1</v>
      </c>
      <c r="E31" s="14" t="s">
        <v>62</v>
      </c>
      <c r="F31" t="s">
        <v>91</v>
      </c>
      <c r="G31" s="100" t="s">
        <v>845</v>
      </c>
    </row>
    <row r="32" spans="1:7" x14ac:dyDescent="0.35">
      <c r="A32" s="100" t="s">
        <v>23</v>
      </c>
      <c r="B32" t="s">
        <v>211</v>
      </c>
      <c r="C32" s="118">
        <v>1</v>
      </c>
      <c r="D32" s="119">
        <v>15</v>
      </c>
      <c r="E32" s="14" t="s">
        <v>62</v>
      </c>
      <c r="F32" s="100" t="s">
        <v>35</v>
      </c>
      <c r="G32" s="100" t="s">
        <v>830</v>
      </c>
    </row>
    <row r="33" spans="1:7" x14ac:dyDescent="0.35">
      <c r="A33" s="100" t="s">
        <v>23</v>
      </c>
      <c r="B33" t="s">
        <v>211</v>
      </c>
      <c r="C33" s="100">
        <v>1</v>
      </c>
      <c r="D33" s="97">
        <v>40</v>
      </c>
      <c r="E33" s="14" t="s">
        <v>62</v>
      </c>
      <c r="F33" s="100" t="s">
        <v>34</v>
      </c>
      <c r="G33" s="100" t="s">
        <v>841</v>
      </c>
    </row>
    <row r="34" spans="1:7" x14ac:dyDescent="0.35">
      <c r="A34" s="100" t="s">
        <v>23</v>
      </c>
      <c r="B34" t="s">
        <v>206</v>
      </c>
      <c r="C34" s="118">
        <v>1</v>
      </c>
      <c r="D34" s="97">
        <v>55</v>
      </c>
      <c r="E34" s="14" t="s">
        <v>63</v>
      </c>
      <c r="F34" t="s">
        <v>20</v>
      </c>
      <c r="G34" s="100" t="s">
        <v>825</v>
      </c>
    </row>
    <row r="36" spans="1:7" x14ac:dyDescent="0.35">
      <c r="A36" s="100" t="s">
        <v>23</v>
      </c>
      <c r="B36" t="s">
        <v>211</v>
      </c>
      <c r="C36" s="100">
        <v>1</v>
      </c>
      <c r="D36" s="97">
        <v>132</v>
      </c>
      <c r="E36" s="14" t="s">
        <v>62</v>
      </c>
      <c r="F36" t="s">
        <v>90</v>
      </c>
      <c r="G36" s="100" t="s">
        <v>846</v>
      </c>
    </row>
    <row r="37" spans="1:7" x14ac:dyDescent="0.35">
      <c r="A37" s="100" t="s">
        <v>23</v>
      </c>
      <c r="B37" t="s">
        <v>211</v>
      </c>
      <c r="C37" s="100">
        <v>1</v>
      </c>
      <c r="D37" s="97">
        <v>132</v>
      </c>
      <c r="E37" s="14" t="s">
        <v>62</v>
      </c>
      <c r="F37" t="s">
        <v>90</v>
      </c>
      <c r="G37" s="100" t="s">
        <v>847</v>
      </c>
    </row>
    <row r="38" spans="1:7" x14ac:dyDescent="0.35">
      <c r="A38" s="100" t="s">
        <v>23</v>
      </c>
      <c r="B38" t="s">
        <v>211</v>
      </c>
      <c r="C38" s="100">
        <v>1</v>
      </c>
      <c r="D38" s="97">
        <v>132</v>
      </c>
      <c r="E38" s="14" t="s">
        <v>62</v>
      </c>
      <c r="F38" t="s">
        <v>90</v>
      </c>
      <c r="G38" s="100" t="s">
        <v>849</v>
      </c>
    </row>
    <row r="39" spans="1:7" x14ac:dyDescent="0.35">
      <c r="A39" s="100" t="s">
        <v>23</v>
      </c>
      <c r="B39" t="s">
        <v>211</v>
      </c>
      <c r="C39" s="100">
        <v>1</v>
      </c>
      <c r="D39" s="97">
        <v>132</v>
      </c>
      <c r="E39" s="14" t="s">
        <v>62</v>
      </c>
      <c r="F39" t="s">
        <v>90</v>
      </c>
      <c r="G39" s="100" t="s">
        <v>850</v>
      </c>
    </row>
    <row r="40" spans="1:7" x14ac:dyDescent="0.35">
      <c r="A40" s="100" t="s">
        <v>23</v>
      </c>
      <c r="B40" t="s">
        <v>211</v>
      </c>
      <c r="C40" s="100">
        <v>1</v>
      </c>
      <c r="D40" s="97">
        <v>166.1</v>
      </c>
      <c r="E40" s="14" t="s">
        <v>62</v>
      </c>
      <c r="F40" t="s">
        <v>91</v>
      </c>
      <c r="G40" s="100" t="s">
        <v>851</v>
      </c>
    </row>
    <row r="41" spans="1:7" x14ac:dyDescent="0.35">
      <c r="A41" t="s">
        <v>23</v>
      </c>
      <c r="B41" t="s">
        <v>244</v>
      </c>
      <c r="C41" s="100">
        <v>1</v>
      </c>
      <c r="D41" s="97">
        <v>132</v>
      </c>
      <c r="E41" s="14" t="s">
        <v>64</v>
      </c>
      <c r="F41" t="s">
        <v>90</v>
      </c>
      <c r="G41" s="100" t="s">
        <v>852</v>
      </c>
    </row>
    <row r="42" spans="1:7" x14ac:dyDescent="0.35">
      <c r="A42" t="s">
        <v>23</v>
      </c>
      <c r="B42" t="s">
        <v>244</v>
      </c>
      <c r="C42" s="100">
        <v>1</v>
      </c>
      <c r="D42" s="97">
        <v>166.1</v>
      </c>
      <c r="E42" s="14" t="s">
        <v>64</v>
      </c>
      <c r="F42" t="s">
        <v>91</v>
      </c>
      <c r="G42" s="100" t="s">
        <v>853</v>
      </c>
    </row>
    <row r="43" spans="1:7" x14ac:dyDescent="0.35">
      <c r="A43" s="100"/>
      <c r="B43" s="100"/>
      <c r="C43" s="100"/>
      <c r="D43" s="100"/>
      <c r="E43" s="100"/>
      <c r="F43" s="100"/>
      <c r="G43" s="100"/>
    </row>
    <row r="44" spans="1:7" x14ac:dyDescent="0.35">
      <c r="A44" s="100"/>
      <c r="B44" s="100"/>
      <c r="C44" s="100"/>
      <c r="D44" s="100"/>
      <c r="E44" s="100"/>
      <c r="F44" s="100"/>
      <c r="G44" s="100"/>
    </row>
    <row r="45" spans="1:7" x14ac:dyDescent="0.35">
      <c r="A45" s="100"/>
      <c r="B45" s="100"/>
      <c r="C45" s="100"/>
      <c r="D45" s="100"/>
      <c r="E45" s="100"/>
      <c r="F45" s="100"/>
      <c r="G45" s="100"/>
    </row>
    <row r="46" spans="1:7" x14ac:dyDescent="0.35">
      <c r="A46" s="100"/>
      <c r="B46" s="100"/>
      <c r="C46" s="100"/>
      <c r="D46" s="100"/>
      <c r="E46" s="100"/>
      <c r="F46" s="100"/>
      <c r="G46" s="100"/>
    </row>
    <row r="47" spans="1:7" x14ac:dyDescent="0.35">
      <c r="A47" s="100"/>
      <c r="B47" s="100"/>
      <c r="C47" s="100"/>
      <c r="D47" s="100"/>
      <c r="E47" s="100"/>
      <c r="F47" s="100"/>
      <c r="G47" s="100"/>
    </row>
    <row r="48" spans="1:7" x14ac:dyDescent="0.35">
      <c r="A48" s="100"/>
      <c r="B48" s="100"/>
      <c r="C48" s="100"/>
      <c r="D48" s="100"/>
      <c r="E48" s="100"/>
      <c r="F48" s="100"/>
      <c r="G48" s="100"/>
    </row>
    <row r="49" spans="1:7" x14ac:dyDescent="0.35">
      <c r="A49" s="100"/>
      <c r="B49" s="100"/>
      <c r="C49" s="100"/>
      <c r="D49" s="100"/>
      <c r="E49" s="100"/>
      <c r="F49" s="100"/>
      <c r="G49" s="100"/>
    </row>
    <row r="50" spans="1:7" x14ac:dyDescent="0.35">
      <c r="A50" s="100"/>
      <c r="B50" s="100"/>
      <c r="C50" s="100"/>
      <c r="D50" s="100"/>
      <c r="E50" s="100"/>
      <c r="F50" s="100"/>
      <c r="G50" s="100"/>
    </row>
    <row r="51" spans="1:7" x14ac:dyDescent="0.35">
      <c r="A51" s="100"/>
      <c r="B51" s="100"/>
      <c r="C51" s="100"/>
      <c r="D51" s="100"/>
      <c r="E51" s="100"/>
      <c r="F51" s="100"/>
      <c r="G51" s="100"/>
    </row>
  </sheetData>
  <protectedRanges>
    <protectedRange sqref="D43" name="Amount_2_8_1_3_1"/>
    <protectedRange sqref="D14" name="Amount_2_1_2_2_3_1"/>
    <protectedRange sqref="D23 D29 D15:D21" name="Amount_2_8_1_1"/>
  </protectedRanges>
  <sortState xmlns:xlrd2="http://schemas.microsoft.com/office/spreadsheetml/2017/richdata2" ref="A14:G35">
    <sortCondition ref="E11:E35"/>
  </sortState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A31EC9A-ADA6-4097-9146-A36C1C78CD43}">
          <x14:formula1>
            <xm:f>'Lookup Values'!$A$2:$A$9</xm:f>
          </x14:formula1>
          <xm:sqref>F32:F33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D6100-0677-485D-BE04-5AF1A8BB9D57}">
  <sheetPr codeName="Sheet41"/>
  <dimension ref="A1:I4"/>
  <sheetViews>
    <sheetView topLeftCell="G1" workbookViewId="0">
      <selection activeCell="H9" sqref="H9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ht="18" customHeight="1" x14ac:dyDescent="0.35">
      <c r="A4" s="100" t="s">
        <v>73</v>
      </c>
      <c r="B4" t="s">
        <v>163</v>
      </c>
      <c r="C4" t="s">
        <v>159</v>
      </c>
      <c r="D4" t="s">
        <v>160</v>
      </c>
      <c r="E4" s="118">
        <v>1</v>
      </c>
      <c r="F4" s="119">
        <v>40</v>
      </c>
      <c r="G4" s="14" t="s">
        <v>56</v>
      </c>
      <c r="H4" t="s">
        <v>34</v>
      </c>
      <c r="I4" s="100" t="s">
        <v>859</v>
      </c>
    </row>
  </sheetData>
  <protectedRanges>
    <protectedRange sqref="F4" name="Amount_2_8_1_1"/>
  </protectedRanges>
  <pageMargins left="0.7" right="0.7" top="0.75" bottom="0.75" header="0.3" footer="0.3"/>
  <pageSetup paperSize="9" orientation="portrait" r:id="rId1"/>
  <legacy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8951-AAC3-4DEB-AC9A-9931FE089541}">
  <dimension ref="A1:G30"/>
  <sheetViews>
    <sheetView workbookViewId="0">
      <selection activeCell="B13" sqref="B13"/>
    </sheetView>
  </sheetViews>
  <sheetFormatPr defaultColWidth="9.1796875" defaultRowHeight="14.5" x14ac:dyDescent="0.35"/>
  <cols>
    <col min="1" max="1" width="35.453125" customWidth="1"/>
    <col min="2" max="2" width="32.453125" customWidth="1"/>
    <col min="3" max="3" width="30.26953125" customWidth="1"/>
    <col min="4" max="4" width="26.1796875" customWidth="1"/>
    <col min="5" max="5" width="45" customWidth="1"/>
    <col min="6" max="6" width="46.26953125" customWidth="1"/>
    <col min="7" max="7" width="55.453125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862</v>
      </c>
    </row>
    <row r="5" spans="1:7" x14ac:dyDescent="0.35">
      <c r="A5" s="8" t="s">
        <v>29</v>
      </c>
      <c r="B5" s="9">
        <v>45048</v>
      </c>
    </row>
    <row r="6" spans="1:7" ht="15" thickBot="1" x14ac:dyDescent="0.4">
      <c r="A6" s="10" t="s">
        <v>30</v>
      </c>
      <c r="B6" s="11" t="s">
        <v>213</v>
      </c>
    </row>
    <row r="11" spans="1:7" x14ac:dyDescent="0.3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x14ac:dyDescent="0.35">
      <c r="A12" s="121"/>
      <c r="B12" s="121"/>
      <c r="C12" s="121"/>
      <c r="D12" s="122"/>
      <c r="E12" s="121"/>
      <c r="F12" s="121"/>
      <c r="G12" s="121"/>
    </row>
    <row r="13" spans="1:7" s="27" customFormat="1" x14ac:dyDescent="0.35">
      <c r="A13" s="136" t="s">
        <v>6</v>
      </c>
      <c r="B13" s="27" t="s">
        <v>7</v>
      </c>
      <c r="C13" s="136">
        <v>1</v>
      </c>
      <c r="D13" s="137">
        <f>-SUM(D14:D18)-'Parks Journal input April 2023'!F4</f>
        <v>-447.1</v>
      </c>
      <c r="E13" s="27" t="s">
        <v>12</v>
      </c>
      <c r="F13" s="29" t="s">
        <v>13</v>
      </c>
      <c r="G13" s="138">
        <v>45017</v>
      </c>
    </row>
    <row r="14" spans="1:7" s="27" customFormat="1" x14ac:dyDescent="0.35">
      <c r="A14" s="136" t="s">
        <v>6</v>
      </c>
      <c r="B14" s="27" t="s">
        <v>86</v>
      </c>
      <c r="C14" s="136">
        <v>1</v>
      </c>
      <c r="D14" s="139">
        <v>40</v>
      </c>
      <c r="E14" s="140" t="s">
        <v>47</v>
      </c>
      <c r="F14" s="27" t="s">
        <v>34</v>
      </c>
      <c r="G14" s="136" t="s">
        <v>857</v>
      </c>
    </row>
    <row r="15" spans="1:7" s="27" customFormat="1" ht="17.25" customHeight="1" x14ac:dyDescent="0.35">
      <c r="A15" s="136" t="s">
        <v>6</v>
      </c>
      <c r="B15" s="27" t="s">
        <v>86</v>
      </c>
      <c r="C15" s="136">
        <v>1</v>
      </c>
      <c r="D15" s="141">
        <v>29</v>
      </c>
      <c r="E15" s="140" t="s">
        <v>47</v>
      </c>
      <c r="F15" s="27" t="s">
        <v>36</v>
      </c>
      <c r="G15" s="136" t="s">
        <v>858</v>
      </c>
    </row>
    <row r="16" spans="1:7" s="27" customFormat="1" ht="15" customHeight="1" x14ac:dyDescent="0.35">
      <c r="A16" s="136" t="s">
        <v>6</v>
      </c>
      <c r="B16" s="27" t="s">
        <v>219</v>
      </c>
      <c r="C16" s="136">
        <v>1</v>
      </c>
      <c r="D16" s="141">
        <v>40</v>
      </c>
      <c r="E16" s="140" t="s">
        <v>50</v>
      </c>
      <c r="F16" s="27" t="s">
        <v>34</v>
      </c>
      <c r="G16" s="136" t="s">
        <v>146</v>
      </c>
    </row>
    <row r="17" spans="1:7" s="27" customFormat="1" ht="18.75" customHeight="1" x14ac:dyDescent="0.35">
      <c r="A17" s="136" t="s">
        <v>6</v>
      </c>
      <c r="B17" s="27" t="s">
        <v>86</v>
      </c>
      <c r="C17" s="136">
        <v>1</v>
      </c>
      <c r="D17" s="141">
        <v>132</v>
      </c>
      <c r="E17" s="140" t="s">
        <v>47</v>
      </c>
      <c r="F17" s="27" t="s">
        <v>90</v>
      </c>
      <c r="G17" s="136" t="s">
        <v>860</v>
      </c>
    </row>
    <row r="18" spans="1:7" s="27" customFormat="1" ht="14.25" customHeight="1" x14ac:dyDescent="0.35">
      <c r="A18" s="136" t="s">
        <v>6</v>
      </c>
      <c r="B18" s="27" t="s">
        <v>86</v>
      </c>
      <c r="C18" s="136">
        <v>1</v>
      </c>
      <c r="D18" s="139">
        <v>166.1</v>
      </c>
      <c r="E18" s="140" t="s">
        <v>47</v>
      </c>
      <c r="F18" s="27" t="s">
        <v>91</v>
      </c>
      <c r="G18" s="136" t="s">
        <v>860</v>
      </c>
    </row>
    <row r="19" spans="1:7" x14ac:dyDescent="0.35">
      <c r="A19" s="100"/>
      <c r="B19" s="100"/>
      <c r="C19" s="100"/>
      <c r="D19" s="100"/>
      <c r="E19" s="100"/>
      <c r="F19" s="100"/>
      <c r="G19" s="100"/>
    </row>
    <row r="20" spans="1:7" x14ac:dyDescent="0.35">
      <c r="A20" s="100"/>
      <c r="B20" s="100"/>
      <c r="C20" s="100"/>
      <c r="D20" s="100"/>
      <c r="E20" s="100"/>
      <c r="F20" s="100"/>
      <c r="G20" s="100"/>
    </row>
    <row r="21" spans="1:7" x14ac:dyDescent="0.35">
      <c r="A21" s="100"/>
      <c r="B21" s="100"/>
      <c r="C21" s="100"/>
      <c r="D21" s="100"/>
      <c r="E21" s="100"/>
      <c r="F21" s="100"/>
      <c r="G21" s="100"/>
    </row>
    <row r="22" spans="1:7" x14ac:dyDescent="0.35">
      <c r="A22" s="100"/>
      <c r="B22" s="100"/>
      <c r="C22" s="100"/>
      <c r="D22" s="100"/>
      <c r="E22" s="100"/>
      <c r="F22" s="100"/>
      <c r="G22" s="100"/>
    </row>
    <row r="30" spans="1:7" x14ac:dyDescent="0.35">
      <c r="B30" t="s">
        <v>861</v>
      </c>
    </row>
  </sheetData>
  <protectedRanges>
    <protectedRange sqref="D14" name="Amount_2_1_2_2_3_1"/>
    <protectedRange sqref="D15:D18" name="Amount_2_8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AD235-4A9B-4223-999F-C7BC7E42B854}">
  <dimension ref="A1:G17"/>
  <sheetViews>
    <sheetView workbookViewId="0">
      <selection activeCell="B9" sqref="B9"/>
    </sheetView>
  </sheetViews>
  <sheetFormatPr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862</v>
      </c>
    </row>
    <row r="4" spans="1:7" x14ac:dyDescent="0.35">
      <c r="A4" s="8" t="s">
        <v>29</v>
      </c>
      <c r="B4" s="9">
        <v>45048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29" t="s">
        <v>77</v>
      </c>
    </row>
    <row r="9" spans="1:7" ht="19.5" customHeight="1" x14ac:dyDescent="0.35">
      <c r="A9" s="76" t="s">
        <v>6</v>
      </c>
      <c r="B9" s="134" t="s">
        <v>549</v>
      </c>
      <c r="C9" s="77">
        <v>1</v>
      </c>
      <c r="D9" s="91">
        <f>-D10</f>
        <v>-397</v>
      </c>
      <c r="E9" s="76" t="s">
        <v>12</v>
      </c>
      <c r="F9" s="131" t="s">
        <v>551</v>
      </c>
      <c r="G9" s="130"/>
    </row>
    <row r="10" spans="1:7" x14ac:dyDescent="0.35">
      <c r="A10" s="132" t="s">
        <v>6</v>
      </c>
      <c r="B10" s="135" t="s">
        <v>855</v>
      </c>
      <c r="C10" s="133">
        <v>1</v>
      </c>
      <c r="D10" s="126">
        <v>397</v>
      </c>
      <c r="E10" s="128" t="s">
        <v>51</v>
      </c>
      <c r="F10" s="124" t="s">
        <v>588</v>
      </c>
      <c r="G10" s="124" t="s">
        <v>856</v>
      </c>
    </row>
    <row r="11" spans="1:7" x14ac:dyDescent="0.35">
      <c r="A11" s="132"/>
      <c r="B11" s="124"/>
      <c r="C11" s="133"/>
      <c r="D11" s="126"/>
      <c r="E11" s="124"/>
      <c r="F11" s="128"/>
      <c r="G11" s="124"/>
    </row>
    <row r="12" spans="1:7" x14ac:dyDescent="0.35">
      <c r="A12" s="123"/>
      <c r="B12" s="124"/>
      <c r="C12" s="125"/>
      <c r="D12" s="126"/>
      <c r="E12" s="124"/>
      <c r="F12" s="128"/>
      <c r="G12" s="124"/>
    </row>
    <row r="13" spans="1:7" x14ac:dyDescent="0.35">
      <c r="A13" s="123"/>
      <c r="B13" s="127"/>
      <c r="C13" s="125"/>
      <c r="D13" s="126"/>
      <c r="E13" s="124"/>
      <c r="F13" s="128"/>
      <c r="G13" s="124"/>
    </row>
    <row r="14" spans="1:7" x14ac:dyDescent="0.35">
      <c r="A14" s="123"/>
      <c r="B14" s="127"/>
      <c r="C14" s="125"/>
      <c r="D14" s="126"/>
      <c r="E14" s="124"/>
      <c r="F14" s="128"/>
      <c r="G14" s="124"/>
    </row>
    <row r="15" spans="1:7" x14ac:dyDescent="0.35">
      <c r="A15" s="123"/>
      <c r="B15" s="124"/>
      <c r="C15" s="125"/>
      <c r="D15" s="126"/>
      <c r="E15" s="124"/>
      <c r="F15" s="128"/>
      <c r="G15" s="124"/>
    </row>
    <row r="16" spans="1:7" x14ac:dyDescent="0.35">
      <c r="A16" s="123"/>
      <c r="B16" s="124"/>
      <c r="C16" s="125"/>
      <c r="D16" s="126"/>
      <c r="E16" s="124"/>
      <c r="F16" s="124"/>
      <c r="G16" s="124"/>
    </row>
    <row r="17" spans="1:7" x14ac:dyDescent="0.35">
      <c r="A17" s="123"/>
      <c r="B17" s="124"/>
      <c r="C17" s="125"/>
      <c r="D17" s="126"/>
      <c r="E17" s="124"/>
      <c r="F17" s="124"/>
      <c r="G17" s="124"/>
    </row>
  </sheetData>
  <protectedRanges>
    <protectedRange sqref="D10:D15" name="Amount_2"/>
    <protectedRange sqref="D9" name="Amount_2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712048-4ACD-40D5-85EA-3EACB536B054}">
          <x14:formula1>
            <xm:f>'Lookup Values'!$G$2:$G$35</xm:f>
          </x14:formula1>
          <xm:sqref>E10:E17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7D8D1-CC0D-4C96-8123-3024BC18350A}">
  <dimension ref="A1:G17"/>
  <sheetViews>
    <sheetView workbookViewId="0">
      <selection activeCell="B49" sqref="B49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907</v>
      </c>
    </row>
    <row r="4" spans="1:7" x14ac:dyDescent="0.35">
      <c r="A4" s="8" t="s">
        <v>29</v>
      </c>
      <c r="B4" s="9">
        <v>45078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29" t="s">
        <v>77</v>
      </c>
    </row>
    <row r="9" spans="1:7" ht="19.5" customHeight="1" x14ac:dyDescent="0.35">
      <c r="A9" s="76" t="s">
        <v>6</v>
      </c>
      <c r="B9" s="134" t="s">
        <v>549</v>
      </c>
      <c r="C9" s="77">
        <v>1</v>
      </c>
      <c r="D9" s="91">
        <f>-D10</f>
        <v>-397</v>
      </c>
      <c r="E9" s="76" t="s">
        <v>12</v>
      </c>
      <c r="F9" s="131" t="s">
        <v>551</v>
      </c>
      <c r="G9" s="130"/>
    </row>
    <row r="10" spans="1:7" x14ac:dyDescent="0.35">
      <c r="A10" s="132" t="s">
        <v>6</v>
      </c>
      <c r="B10" s="26" t="s">
        <v>878</v>
      </c>
      <c r="C10" s="133">
        <v>1</v>
      </c>
      <c r="D10" s="126">
        <v>397</v>
      </c>
      <c r="E10" s="128" t="s">
        <v>51</v>
      </c>
      <c r="F10" s="124" t="s">
        <v>588</v>
      </c>
      <c r="G10" s="124" t="s">
        <v>877</v>
      </c>
    </row>
    <row r="11" spans="1:7" x14ac:dyDescent="0.35">
      <c r="A11" s="132"/>
      <c r="B11" s="124"/>
      <c r="C11" s="133"/>
      <c r="D11" s="126"/>
      <c r="E11" s="124"/>
      <c r="F11" s="128"/>
      <c r="G11" s="124"/>
    </row>
    <row r="12" spans="1:7" x14ac:dyDescent="0.35">
      <c r="A12" s="123"/>
      <c r="B12" s="124"/>
      <c r="C12" s="125"/>
      <c r="D12" s="126"/>
      <c r="E12" s="124"/>
      <c r="F12" s="128"/>
      <c r="G12" s="124"/>
    </row>
    <row r="13" spans="1:7" x14ac:dyDescent="0.35">
      <c r="A13" s="123"/>
      <c r="B13" s="127"/>
      <c r="C13" s="125"/>
      <c r="D13" s="126"/>
      <c r="E13" s="124"/>
      <c r="F13" s="128"/>
      <c r="G13" s="124"/>
    </row>
    <row r="14" spans="1:7" x14ac:dyDescent="0.35">
      <c r="A14" s="123"/>
      <c r="B14" s="127"/>
      <c r="C14" s="125"/>
      <c r="D14" s="126"/>
      <c r="E14" s="124"/>
      <c r="F14" s="128"/>
      <c r="G14" s="124"/>
    </row>
    <row r="15" spans="1:7" x14ac:dyDescent="0.35">
      <c r="A15" s="123"/>
      <c r="B15" s="124"/>
      <c r="C15" s="125"/>
      <c r="D15" s="126"/>
      <c r="E15" s="124"/>
      <c r="F15" s="128"/>
      <c r="G15" s="124"/>
    </row>
    <row r="16" spans="1:7" x14ac:dyDescent="0.35">
      <c r="A16" s="123"/>
      <c r="B16" s="124"/>
      <c r="C16" s="125"/>
      <c r="D16" s="126"/>
      <c r="E16" s="124"/>
      <c r="F16" s="124"/>
      <c r="G16" s="124"/>
    </row>
    <row r="17" spans="1:7" x14ac:dyDescent="0.35">
      <c r="A17" s="123"/>
      <c r="B17" s="124"/>
      <c r="C17" s="125"/>
      <c r="D17" s="126"/>
      <c r="E17" s="124"/>
      <c r="F17" s="124"/>
      <c r="G17" s="124"/>
    </row>
  </sheetData>
  <protectedRanges>
    <protectedRange sqref="D10:D15" name="Amount_2_1"/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29A6983-74DF-45EE-89F9-CA209F377F02}">
          <x14:formula1>
            <xm:f>'Lookup Values'!$G$2:$G$35</xm:f>
          </x14:formula1>
          <xm:sqref>E10:E17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89B6-0A51-4F3D-8C1B-45ECA14571BC}">
  <dimension ref="A1:G25"/>
  <sheetViews>
    <sheetView topLeftCell="C1" zoomScale="130" zoomScaleNormal="130" workbookViewId="0">
      <selection activeCell="G18" sqref="A18:G18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981</v>
      </c>
    </row>
    <row r="4" spans="1:7" x14ac:dyDescent="0.35">
      <c r="A4" s="8" t="s">
        <v>29</v>
      </c>
      <c r="B4" s="9">
        <v>45110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35">
      <c r="A9" s="131" t="s">
        <v>6</v>
      </c>
      <c r="B9" s="134" t="s">
        <v>549</v>
      </c>
      <c r="C9" s="134">
        <v>1</v>
      </c>
      <c r="D9" s="147">
        <f>-SUM(D10:D19)</f>
        <v>-3461.5</v>
      </c>
      <c r="E9" s="131" t="s">
        <v>12</v>
      </c>
      <c r="F9" s="131" t="s">
        <v>980</v>
      </c>
      <c r="G9" s="130"/>
    </row>
    <row r="10" spans="1:7" x14ac:dyDescent="0.35">
      <c r="A10" s="144" t="s">
        <v>6</v>
      </c>
      <c r="B10" s="144" t="s">
        <v>304</v>
      </c>
      <c r="C10" s="125">
        <v>1</v>
      </c>
      <c r="D10" s="126">
        <v>430.5</v>
      </c>
      <c r="E10" s="124" t="s">
        <v>52</v>
      </c>
      <c r="F10" s="124" t="s">
        <v>924</v>
      </c>
      <c r="G10" s="124" t="s">
        <v>923</v>
      </c>
    </row>
    <row r="11" spans="1:7" x14ac:dyDescent="0.35">
      <c r="A11" s="144" t="s">
        <v>6</v>
      </c>
      <c r="B11" s="144" t="s">
        <v>304</v>
      </c>
      <c r="C11" s="125">
        <v>1</v>
      </c>
      <c r="D11" s="126">
        <v>430.5</v>
      </c>
      <c r="E11" s="124" t="s">
        <v>52</v>
      </c>
      <c r="F11" s="128" t="s">
        <v>925</v>
      </c>
      <c r="G11" s="124" t="s">
        <v>555</v>
      </c>
    </row>
    <row r="12" spans="1:7" x14ac:dyDescent="0.35">
      <c r="A12" s="144" t="s">
        <v>6</v>
      </c>
      <c r="B12" s="144" t="s">
        <v>211</v>
      </c>
      <c r="C12" s="125">
        <v>1</v>
      </c>
      <c r="D12" s="126">
        <v>111.5</v>
      </c>
      <c r="E12" s="14" t="s">
        <v>62</v>
      </c>
      <c r="F12" s="128" t="s">
        <v>928</v>
      </c>
      <c r="G12" s="124" t="s">
        <v>556</v>
      </c>
    </row>
    <row r="13" spans="1:7" x14ac:dyDescent="0.35">
      <c r="A13" s="144" t="s">
        <v>6</v>
      </c>
      <c r="B13" s="144" t="s">
        <v>211</v>
      </c>
      <c r="C13" s="125">
        <v>1</v>
      </c>
      <c r="D13" s="126">
        <v>111.5</v>
      </c>
      <c r="E13" s="14" t="s">
        <v>62</v>
      </c>
      <c r="F13" s="128" t="s">
        <v>927</v>
      </c>
      <c r="G13" s="124" t="s">
        <v>557</v>
      </c>
    </row>
    <row r="14" spans="1:7" x14ac:dyDescent="0.35">
      <c r="A14" s="144" t="s">
        <v>6</v>
      </c>
      <c r="B14" s="144" t="s">
        <v>304</v>
      </c>
      <c r="C14" s="125">
        <v>1</v>
      </c>
      <c r="D14" s="126">
        <v>407</v>
      </c>
      <c r="E14" s="124" t="s">
        <v>52</v>
      </c>
      <c r="F14" s="128" t="s">
        <v>926</v>
      </c>
      <c r="G14" s="124" t="s">
        <v>558</v>
      </c>
    </row>
    <row r="15" spans="1:7" x14ac:dyDescent="0.35">
      <c r="A15" s="144" t="s">
        <v>6</v>
      </c>
      <c r="B15" s="144" t="s">
        <v>211</v>
      </c>
      <c r="C15" s="125">
        <v>1</v>
      </c>
      <c r="D15" s="126">
        <v>223</v>
      </c>
      <c r="E15" s="14" t="s">
        <v>62</v>
      </c>
      <c r="F15" s="128" t="s">
        <v>929</v>
      </c>
      <c r="G15" s="124" t="s">
        <v>930</v>
      </c>
    </row>
    <row r="16" spans="1:7" x14ac:dyDescent="0.35">
      <c r="A16" s="144" t="s">
        <v>6</v>
      </c>
      <c r="B16" s="144" t="s">
        <v>304</v>
      </c>
      <c r="C16" s="125">
        <v>1</v>
      </c>
      <c r="D16" s="126">
        <v>430.5</v>
      </c>
      <c r="E16" s="14" t="s">
        <v>52</v>
      </c>
      <c r="F16" s="128" t="s">
        <v>934</v>
      </c>
      <c r="G16" s="124" t="s">
        <v>933</v>
      </c>
    </row>
    <row r="17" spans="1:7" x14ac:dyDescent="0.35">
      <c r="A17" s="144" t="s">
        <v>6</v>
      </c>
      <c r="B17" s="144" t="s">
        <v>304</v>
      </c>
      <c r="C17" s="125">
        <v>1</v>
      </c>
      <c r="D17" s="126">
        <v>439</v>
      </c>
      <c r="E17" s="14" t="s">
        <v>52</v>
      </c>
      <c r="F17" s="124" t="s">
        <v>935</v>
      </c>
      <c r="G17" s="124" t="s">
        <v>560</v>
      </c>
    </row>
    <row r="18" spans="1:7" x14ac:dyDescent="0.35">
      <c r="A18" s="144" t="s">
        <v>6</v>
      </c>
      <c r="B18" s="144" t="s">
        <v>304</v>
      </c>
      <c r="C18" s="125">
        <v>1</v>
      </c>
      <c r="D18" s="126">
        <v>439</v>
      </c>
      <c r="E18" s="14" t="s">
        <v>52</v>
      </c>
      <c r="F18" s="144" t="s">
        <v>936</v>
      </c>
      <c r="G18" s="144" t="s">
        <v>561</v>
      </c>
    </row>
    <row r="19" spans="1:7" x14ac:dyDescent="0.35">
      <c r="A19" s="144" t="s">
        <v>6</v>
      </c>
      <c r="B19" s="144" t="s">
        <v>304</v>
      </c>
      <c r="C19" s="125">
        <v>1</v>
      </c>
      <c r="D19" s="126">
        <v>439</v>
      </c>
      <c r="E19" s="14" t="s">
        <v>52</v>
      </c>
      <c r="F19" s="144" t="s">
        <v>937</v>
      </c>
      <c r="G19" s="144" t="s">
        <v>563</v>
      </c>
    </row>
    <row r="20" spans="1:7" x14ac:dyDescent="0.35">
      <c r="A20" s="144" t="s">
        <v>6</v>
      </c>
      <c r="B20" s="144" t="s">
        <v>304</v>
      </c>
      <c r="C20" s="125">
        <v>1</v>
      </c>
      <c r="D20" s="126">
        <v>430.5</v>
      </c>
      <c r="E20" s="14" t="s">
        <v>52</v>
      </c>
      <c r="F20" s="144" t="s">
        <v>985</v>
      </c>
      <c r="G20" s="144" t="s">
        <v>986</v>
      </c>
    </row>
    <row r="21" spans="1:7" x14ac:dyDescent="0.35">
      <c r="A21" s="144"/>
      <c r="B21" s="144"/>
      <c r="C21" s="125"/>
      <c r="D21" s="126"/>
      <c r="E21" s="144"/>
      <c r="F21" s="144"/>
      <c r="G21" s="144"/>
    </row>
    <row r="22" spans="1:7" x14ac:dyDescent="0.35">
      <c r="A22" s="144"/>
      <c r="B22" s="144"/>
      <c r="C22" s="125"/>
      <c r="D22" s="126"/>
      <c r="E22" s="144"/>
      <c r="F22" s="144"/>
      <c r="G22" s="144"/>
    </row>
    <row r="23" spans="1:7" x14ac:dyDescent="0.35">
      <c r="A23" s="144"/>
      <c r="B23" s="144"/>
      <c r="C23" s="144"/>
      <c r="D23" s="126"/>
      <c r="E23" s="144"/>
      <c r="F23" s="144"/>
      <c r="G23" s="144"/>
    </row>
    <row r="24" spans="1:7" x14ac:dyDescent="0.35">
      <c r="A24" s="144"/>
      <c r="B24" s="144"/>
      <c r="C24" s="144"/>
      <c r="D24" s="144"/>
      <c r="E24" s="144"/>
      <c r="F24" s="144"/>
      <c r="G24" s="144"/>
    </row>
    <row r="25" spans="1:7" x14ac:dyDescent="0.35">
      <c r="A25" s="144"/>
      <c r="B25" s="144"/>
      <c r="C25" s="144"/>
      <c r="D25" s="144"/>
      <c r="E25" s="144"/>
      <c r="F25" s="144"/>
      <c r="G25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383C776-6FB1-4446-BEE2-9E7209A7AD34}">
          <x14:formula1>
            <xm:f>'Lookup Values'!$G$2:$G$35</xm:f>
          </x14:formula1>
          <xm:sqref>E10:E19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F2FF1-157B-4870-8FB7-0E15B9D94525}">
  <dimension ref="A1:G15"/>
  <sheetViews>
    <sheetView topLeftCell="D1" workbookViewId="0">
      <selection activeCell="C3" sqref="C3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/>
    </row>
    <row r="4" spans="1:7" x14ac:dyDescent="0.35">
      <c r="A4" s="8" t="s">
        <v>29</v>
      </c>
      <c r="B4" s="9"/>
    </row>
    <row r="5" spans="1:7" ht="15" thickBot="1" x14ac:dyDescent="0.4">
      <c r="A5" s="10" t="s">
        <v>30</v>
      </c>
      <c r="B5" s="11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35">
      <c r="A9" s="131" t="s">
        <v>6</v>
      </c>
      <c r="B9" s="134" t="s">
        <v>549</v>
      </c>
      <c r="C9" s="134">
        <v>1</v>
      </c>
      <c r="D9" s="147">
        <f>-SUM(D10:D19)</f>
        <v>-430.5</v>
      </c>
      <c r="E9" s="131" t="s">
        <v>12</v>
      </c>
      <c r="F9" s="131" t="s">
        <v>980</v>
      </c>
      <c r="G9" s="130"/>
    </row>
    <row r="10" spans="1:7" x14ac:dyDescent="0.35">
      <c r="A10" s="144" t="s">
        <v>6</v>
      </c>
      <c r="B10" s="144" t="s">
        <v>304</v>
      </c>
      <c r="C10" s="125">
        <v>1</v>
      </c>
      <c r="D10" s="126">
        <v>430.5</v>
      </c>
      <c r="E10" s="14" t="s">
        <v>52</v>
      </c>
      <c r="F10" s="144" t="s">
        <v>985</v>
      </c>
      <c r="G10" s="144" t="s">
        <v>986</v>
      </c>
    </row>
    <row r="11" spans="1:7" x14ac:dyDescent="0.35">
      <c r="A11" s="144"/>
      <c r="B11" s="144"/>
      <c r="C11" s="125"/>
      <c r="D11" s="126"/>
      <c r="E11" s="144"/>
      <c r="F11" s="144"/>
      <c r="G11" s="144"/>
    </row>
    <row r="12" spans="1:7" x14ac:dyDescent="0.35">
      <c r="A12" s="144"/>
      <c r="B12" s="144"/>
      <c r="C12" s="125"/>
      <c r="D12" s="126"/>
      <c r="E12" s="144"/>
      <c r="F12" s="144"/>
      <c r="G12" s="144"/>
    </row>
    <row r="13" spans="1:7" x14ac:dyDescent="0.35">
      <c r="A13" s="144"/>
      <c r="B13" s="144"/>
      <c r="C13" s="144"/>
      <c r="D13" s="126"/>
      <c r="E13" s="144"/>
      <c r="F13" s="144"/>
      <c r="G13" s="144"/>
    </row>
    <row r="14" spans="1:7" x14ac:dyDescent="0.35">
      <c r="A14" s="144"/>
      <c r="B14" s="144"/>
      <c r="C14" s="144"/>
      <c r="D14" s="144"/>
      <c r="E14" s="144"/>
      <c r="F14" s="144"/>
      <c r="G14" s="144"/>
    </row>
    <row r="15" spans="1:7" x14ac:dyDescent="0.35">
      <c r="A15" s="144"/>
      <c r="B15" s="144"/>
      <c r="C15" s="144"/>
      <c r="D15" s="144"/>
      <c r="E15" s="144"/>
      <c r="F15" s="144"/>
      <c r="G15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287EA-EDA0-4D92-BC57-7CCE7A5AAF71}">
  <sheetPr codeName="Sheet42"/>
  <dimension ref="A1:I10"/>
  <sheetViews>
    <sheetView workbookViewId="0">
      <selection activeCell="C4" sqref="C4:D4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ht="18" customHeight="1" x14ac:dyDescent="0.35">
      <c r="A4" s="100" t="s">
        <v>73</v>
      </c>
      <c r="B4" s="100" t="s">
        <v>163</v>
      </c>
      <c r="C4" t="s">
        <v>159</v>
      </c>
      <c r="D4" t="s">
        <v>160</v>
      </c>
      <c r="E4" s="100">
        <v>1</v>
      </c>
      <c r="F4" s="97">
        <v>15</v>
      </c>
      <c r="G4" s="100" t="s">
        <v>56</v>
      </c>
      <c r="H4" s="100" t="s">
        <v>35</v>
      </c>
      <c r="I4" s="100" t="s">
        <v>869</v>
      </c>
    </row>
    <row r="5" spans="1:9" x14ac:dyDescent="0.35">
      <c r="A5" s="100" t="s">
        <v>73</v>
      </c>
      <c r="B5" t="s">
        <v>163</v>
      </c>
      <c r="C5" t="s">
        <v>159</v>
      </c>
      <c r="D5" t="s">
        <v>160</v>
      </c>
      <c r="E5" s="100">
        <v>1</v>
      </c>
      <c r="F5" s="97">
        <v>132</v>
      </c>
      <c r="G5" s="14" t="s">
        <v>56</v>
      </c>
      <c r="H5" t="s">
        <v>90</v>
      </c>
      <c r="I5" s="100" t="s">
        <v>873</v>
      </c>
    </row>
    <row r="6" spans="1:9" x14ac:dyDescent="0.35">
      <c r="A6" s="100" t="s">
        <v>73</v>
      </c>
      <c r="B6" t="s">
        <v>163</v>
      </c>
      <c r="C6" t="s">
        <v>159</v>
      </c>
      <c r="D6" t="s">
        <v>160</v>
      </c>
      <c r="E6" s="100">
        <v>1</v>
      </c>
      <c r="F6" s="97">
        <v>166.1</v>
      </c>
      <c r="G6" s="14" t="s">
        <v>56</v>
      </c>
      <c r="H6" t="s">
        <v>91</v>
      </c>
      <c r="I6" s="100" t="s">
        <v>873</v>
      </c>
    </row>
    <row r="7" spans="1:9" x14ac:dyDescent="0.35">
      <c r="A7" s="100" t="s">
        <v>73</v>
      </c>
      <c r="B7" t="s">
        <v>163</v>
      </c>
      <c r="C7" t="s">
        <v>159</v>
      </c>
      <c r="D7" t="s">
        <v>160</v>
      </c>
      <c r="E7" s="100">
        <v>1</v>
      </c>
      <c r="F7" s="97">
        <v>132</v>
      </c>
      <c r="G7" s="14" t="s">
        <v>56</v>
      </c>
      <c r="H7" t="s">
        <v>90</v>
      </c>
      <c r="I7" s="100" t="s">
        <v>875</v>
      </c>
    </row>
    <row r="8" spans="1:9" x14ac:dyDescent="0.35">
      <c r="A8" s="100" t="s">
        <v>73</v>
      </c>
      <c r="B8" t="s">
        <v>163</v>
      </c>
      <c r="C8" t="s">
        <v>159</v>
      </c>
      <c r="D8" t="s">
        <v>160</v>
      </c>
      <c r="E8" s="100">
        <v>1</v>
      </c>
      <c r="F8" s="97">
        <v>166.1</v>
      </c>
      <c r="G8" s="14" t="s">
        <v>56</v>
      </c>
      <c r="H8" t="s">
        <v>91</v>
      </c>
      <c r="I8" s="100" t="s">
        <v>875</v>
      </c>
    </row>
    <row r="9" spans="1:9" x14ac:dyDescent="0.35">
      <c r="A9" s="100" t="s">
        <v>73</v>
      </c>
      <c r="B9" t="s">
        <v>163</v>
      </c>
      <c r="C9" t="s">
        <v>159</v>
      </c>
      <c r="D9" t="s">
        <v>160</v>
      </c>
      <c r="E9" s="100">
        <v>1</v>
      </c>
      <c r="F9" s="97">
        <v>73.5</v>
      </c>
      <c r="G9" s="14" t="s">
        <v>56</v>
      </c>
      <c r="H9" t="s">
        <v>33</v>
      </c>
      <c r="I9" s="100" t="s">
        <v>885</v>
      </c>
    </row>
    <row r="10" spans="1:9" x14ac:dyDescent="0.35">
      <c r="A10" s="100" t="s">
        <v>73</v>
      </c>
      <c r="B10" t="s">
        <v>163</v>
      </c>
      <c r="C10" t="s">
        <v>159</v>
      </c>
      <c r="D10" t="s">
        <v>160</v>
      </c>
      <c r="E10" s="100">
        <v>1</v>
      </c>
      <c r="F10" s="97">
        <v>73.5</v>
      </c>
      <c r="G10" s="14" t="s">
        <v>56</v>
      </c>
      <c r="H10" t="s">
        <v>33</v>
      </c>
      <c r="I10" s="100" t="s">
        <v>900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2317-C566-4B17-970C-80EE6EC95E42}">
  <sheetPr codeName="Sheet43"/>
  <dimension ref="A1:I12"/>
  <sheetViews>
    <sheetView workbookViewId="0">
      <selection activeCell="D4" sqref="D4"/>
    </sheetView>
  </sheetViews>
  <sheetFormatPr defaultColWidth="8.7265625" defaultRowHeight="14.5" x14ac:dyDescent="0.35"/>
  <cols>
    <col min="1" max="1" width="7.453125" customWidth="1"/>
    <col min="2" max="2" width="18.81640625" customWidth="1"/>
    <col min="3" max="3" width="20.453125" customWidth="1"/>
    <col min="4" max="4" width="18.1796875" customWidth="1"/>
    <col min="5" max="5" width="7.54296875" customWidth="1"/>
    <col min="6" max="6" width="18.81640625" customWidth="1"/>
    <col min="7" max="7" width="30.1796875" customWidth="1"/>
    <col min="8" max="8" width="63.453125" customWidth="1"/>
    <col min="9" max="9" width="44.81640625" customWidth="1"/>
  </cols>
  <sheetData>
    <row r="1" spans="1:9" ht="18.5" x14ac:dyDescent="0.45">
      <c r="A1" s="23" t="s">
        <v>155</v>
      </c>
    </row>
    <row r="3" spans="1:9" s="33" customFormat="1" ht="29" x14ac:dyDescent="0.35">
      <c r="A3" s="30" t="s">
        <v>0</v>
      </c>
      <c r="B3" s="31" t="s">
        <v>156</v>
      </c>
      <c r="C3" s="31" t="s">
        <v>157</v>
      </c>
      <c r="D3" s="31" t="s">
        <v>158</v>
      </c>
      <c r="E3" s="31" t="s">
        <v>71</v>
      </c>
      <c r="F3" s="58" t="s">
        <v>2</v>
      </c>
      <c r="G3" s="31" t="s">
        <v>4</v>
      </c>
      <c r="H3" s="31" t="s">
        <v>81</v>
      </c>
      <c r="I3" s="32" t="s">
        <v>77</v>
      </c>
    </row>
    <row r="4" spans="1:9" ht="18" customHeight="1" x14ac:dyDescent="0.35">
      <c r="A4" t="s">
        <v>73</v>
      </c>
      <c r="B4" s="149" t="s">
        <v>163</v>
      </c>
      <c r="C4" t="s">
        <v>159</v>
      </c>
      <c r="D4" t="s">
        <v>160</v>
      </c>
      <c r="E4">
        <v>1</v>
      </c>
      <c r="F4" s="150">
        <v>15</v>
      </c>
      <c r="G4" t="s">
        <v>56</v>
      </c>
      <c r="H4" t="s">
        <v>35</v>
      </c>
      <c r="I4" s="149" t="s">
        <v>912</v>
      </c>
    </row>
    <row r="5" spans="1:9" x14ac:dyDescent="0.35">
      <c r="A5" t="s">
        <v>73</v>
      </c>
      <c r="B5" s="149" t="s">
        <v>163</v>
      </c>
      <c r="C5" t="s">
        <v>159</v>
      </c>
      <c r="D5" t="s">
        <v>160</v>
      </c>
      <c r="E5">
        <v>1</v>
      </c>
      <c r="F5" s="150">
        <v>73.5</v>
      </c>
      <c r="G5" s="14" t="s">
        <v>56</v>
      </c>
      <c r="H5" t="s">
        <v>33</v>
      </c>
      <c r="I5" s="149" t="s">
        <v>940</v>
      </c>
    </row>
    <row r="6" spans="1:9" x14ac:dyDescent="0.35">
      <c r="A6" t="s">
        <v>73</v>
      </c>
      <c r="B6" s="149" t="s">
        <v>163</v>
      </c>
      <c r="C6" t="s">
        <v>159</v>
      </c>
      <c r="D6" t="s">
        <v>160</v>
      </c>
      <c r="E6">
        <v>1</v>
      </c>
      <c r="F6" s="150">
        <v>73.5</v>
      </c>
      <c r="G6" s="14" t="s">
        <v>56</v>
      </c>
      <c r="H6" t="s">
        <v>33</v>
      </c>
      <c r="I6" s="149" t="s">
        <v>943</v>
      </c>
    </row>
    <row r="7" spans="1:9" x14ac:dyDescent="0.35">
      <c r="A7" t="s">
        <v>73</v>
      </c>
      <c r="B7" s="149" t="s">
        <v>163</v>
      </c>
      <c r="C7" t="s">
        <v>159</v>
      </c>
      <c r="D7" t="s">
        <v>160</v>
      </c>
      <c r="E7">
        <v>1</v>
      </c>
      <c r="F7" s="150">
        <v>73.5</v>
      </c>
      <c r="G7" s="14" t="s">
        <v>56</v>
      </c>
      <c r="H7" t="s">
        <v>33</v>
      </c>
      <c r="I7" s="149" t="s">
        <v>947</v>
      </c>
    </row>
    <row r="8" spans="1:9" x14ac:dyDescent="0.35">
      <c r="A8" t="s">
        <v>73</v>
      </c>
      <c r="B8" s="149" t="s">
        <v>163</v>
      </c>
      <c r="C8" t="s">
        <v>159</v>
      </c>
      <c r="D8" t="s">
        <v>160</v>
      </c>
      <c r="E8">
        <v>1</v>
      </c>
      <c r="F8" s="150">
        <v>73.5</v>
      </c>
      <c r="G8" s="14" t="s">
        <v>56</v>
      </c>
      <c r="H8" t="s">
        <v>33</v>
      </c>
      <c r="I8" s="149" t="s">
        <v>954</v>
      </c>
    </row>
    <row r="9" spans="1:9" x14ac:dyDescent="0.35">
      <c r="A9" t="s">
        <v>73</v>
      </c>
      <c r="B9" s="149" t="s">
        <v>163</v>
      </c>
      <c r="C9" t="s">
        <v>159</v>
      </c>
      <c r="D9" t="s">
        <v>160</v>
      </c>
      <c r="E9">
        <v>1</v>
      </c>
      <c r="F9" s="150">
        <v>73.5</v>
      </c>
      <c r="G9" s="14" t="s">
        <v>56</v>
      </c>
      <c r="H9" t="s">
        <v>33</v>
      </c>
      <c r="I9" s="149" t="s">
        <v>970</v>
      </c>
    </row>
    <row r="10" spans="1:9" x14ac:dyDescent="0.35">
      <c r="A10" t="s">
        <v>73</v>
      </c>
      <c r="B10" s="149" t="s">
        <v>163</v>
      </c>
      <c r="C10" t="s">
        <v>159</v>
      </c>
      <c r="D10" t="s">
        <v>160</v>
      </c>
      <c r="E10">
        <v>1</v>
      </c>
      <c r="F10" s="150">
        <v>40</v>
      </c>
      <c r="G10" s="14" t="s">
        <v>56</v>
      </c>
      <c r="H10" t="s">
        <v>34</v>
      </c>
      <c r="I10" s="149" t="s">
        <v>975</v>
      </c>
    </row>
    <row r="11" spans="1:9" x14ac:dyDescent="0.35">
      <c r="A11" t="s">
        <v>73</v>
      </c>
      <c r="B11" s="149" t="s">
        <v>163</v>
      </c>
      <c r="C11" t="s">
        <v>159</v>
      </c>
      <c r="D11" t="s">
        <v>160</v>
      </c>
      <c r="E11">
        <v>1</v>
      </c>
      <c r="F11" s="150">
        <v>15</v>
      </c>
      <c r="G11" s="14" t="s">
        <v>56</v>
      </c>
      <c r="H11" t="s">
        <v>35</v>
      </c>
      <c r="I11" s="149" t="s">
        <v>975</v>
      </c>
    </row>
    <row r="12" spans="1:9" x14ac:dyDescent="0.35">
      <c r="A12" t="s">
        <v>73</v>
      </c>
      <c r="B12" s="149" t="s">
        <v>163</v>
      </c>
      <c r="C12" t="s">
        <v>159</v>
      </c>
      <c r="D12" t="s">
        <v>160</v>
      </c>
      <c r="E12">
        <v>1</v>
      </c>
      <c r="F12" s="150">
        <v>15</v>
      </c>
      <c r="G12" s="14" t="s">
        <v>56</v>
      </c>
      <c r="H12" t="s">
        <v>35</v>
      </c>
      <c r="I12" s="149" t="s">
        <v>977</v>
      </c>
    </row>
  </sheetData>
  <protectedRanges>
    <protectedRange sqref="F4" name="Amount_2_1"/>
  </protectedRanges>
  <pageMargins left="0.7" right="0.7" top="0.75" bottom="0.75" header="0.3" footer="0.3"/>
  <pageSetup paperSize="9" orientation="portrait" r:id="rId1"/>
  <legacy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F1BC9-846E-4150-B13C-27C6AE450380}">
  <sheetPr filterMode="1"/>
  <dimension ref="A1:G69"/>
  <sheetViews>
    <sheetView zoomScale="70" zoomScaleNormal="70" workbookViewId="0">
      <selection activeCell="A11" sqref="A11:G13"/>
    </sheetView>
  </sheetViews>
  <sheetFormatPr defaultColWidth="9.1796875" defaultRowHeight="14.5" x14ac:dyDescent="0.35"/>
  <cols>
    <col min="1" max="1" width="35.453125" customWidth="1"/>
    <col min="2" max="2" width="32.453125" customWidth="1"/>
    <col min="3" max="3" width="30.26953125" customWidth="1"/>
    <col min="4" max="4" width="26.1796875" customWidth="1"/>
    <col min="5" max="5" width="45" customWidth="1"/>
    <col min="6" max="6" width="46.26953125" customWidth="1"/>
    <col min="7" max="7" width="55.453125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3" spans="1:7" ht="15" thickBot="1" x14ac:dyDescent="0.4"/>
    <row r="4" spans="1:7" x14ac:dyDescent="0.35">
      <c r="A4" s="6" t="s">
        <v>28</v>
      </c>
      <c r="B4" s="7" t="s">
        <v>909</v>
      </c>
    </row>
    <row r="5" spans="1:7" x14ac:dyDescent="0.35">
      <c r="A5" s="8" t="s">
        <v>29</v>
      </c>
      <c r="B5" s="9">
        <v>45079</v>
      </c>
    </row>
    <row r="6" spans="1:7" ht="15" thickBot="1" x14ac:dyDescent="0.4">
      <c r="A6" s="10" t="s">
        <v>30</v>
      </c>
      <c r="B6" s="11" t="s">
        <v>213</v>
      </c>
    </row>
    <row r="11" spans="1:7" x14ac:dyDescent="0.35">
      <c r="A11" s="72" t="s">
        <v>0</v>
      </c>
      <c r="B11" s="73" t="s">
        <v>1</v>
      </c>
      <c r="C11" s="73" t="s">
        <v>71</v>
      </c>
      <c r="D11" s="74" t="s">
        <v>2</v>
      </c>
      <c r="E11" s="73" t="s">
        <v>4</v>
      </c>
      <c r="F11" s="73" t="s">
        <v>81</v>
      </c>
      <c r="G11" s="75" t="s">
        <v>77</v>
      </c>
    </row>
    <row r="12" spans="1:7" hidden="1" x14ac:dyDescent="0.35">
      <c r="A12" s="121"/>
      <c r="B12" s="121"/>
      <c r="C12" s="121"/>
      <c r="D12" s="122"/>
      <c r="E12" s="121"/>
      <c r="F12" s="121"/>
      <c r="G12" s="121"/>
    </row>
    <row r="13" spans="1:7" s="27" customFormat="1" x14ac:dyDescent="0.35">
      <c r="A13" s="100" t="s">
        <v>6</v>
      </c>
      <c r="B13" s="27" t="s">
        <v>7</v>
      </c>
      <c r="C13" s="100">
        <v>1</v>
      </c>
      <c r="D13" s="97">
        <f>-SUM(D14:D67,'Parks Journal input May 2023'!F4:F10)</f>
        <v>-3844.6</v>
      </c>
      <c r="E13" s="100" t="s">
        <v>12</v>
      </c>
      <c r="F13" s="100" t="s">
        <v>908</v>
      </c>
      <c r="G13" s="100">
        <v>45017</v>
      </c>
    </row>
    <row r="14" spans="1:7" s="27" customFormat="1" x14ac:dyDescent="0.35">
      <c r="A14" s="100" t="s">
        <v>6</v>
      </c>
      <c r="B14" s="100" t="s">
        <v>86</v>
      </c>
      <c r="C14" s="100">
        <v>1</v>
      </c>
      <c r="D14" s="97">
        <v>15</v>
      </c>
      <c r="E14" s="100" t="s">
        <v>47</v>
      </c>
      <c r="F14" s="100" t="s">
        <v>35</v>
      </c>
      <c r="G14" s="100" t="s">
        <v>863</v>
      </c>
    </row>
    <row r="15" spans="1:7" s="27" customFormat="1" ht="17.25" customHeight="1" x14ac:dyDescent="0.35">
      <c r="A15" s="100" t="s">
        <v>6</v>
      </c>
      <c r="B15" s="100" t="s">
        <v>219</v>
      </c>
      <c r="C15" s="100">
        <v>1</v>
      </c>
      <c r="D15" s="97">
        <v>29</v>
      </c>
      <c r="E15" s="100" t="s">
        <v>50</v>
      </c>
      <c r="F15" s="100" t="s">
        <v>36</v>
      </c>
      <c r="G15" s="100" t="s">
        <v>231</v>
      </c>
    </row>
    <row r="16" spans="1:7" s="27" customFormat="1" ht="15" customHeight="1" x14ac:dyDescent="0.35">
      <c r="A16" s="100" t="s">
        <v>6</v>
      </c>
      <c r="B16" s="100" t="s">
        <v>219</v>
      </c>
      <c r="C16" s="100">
        <v>1</v>
      </c>
      <c r="D16" s="97">
        <v>40</v>
      </c>
      <c r="E16" s="100" t="s">
        <v>50</v>
      </c>
      <c r="F16" s="100" t="s">
        <v>34</v>
      </c>
      <c r="G16" s="100" t="s">
        <v>231</v>
      </c>
    </row>
    <row r="17" spans="1:7" s="27" customFormat="1" ht="18.75" customHeight="1" x14ac:dyDescent="0.35">
      <c r="A17" s="100" t="s">
        <v>6</v>
      </c>
      <c r="B17" s="100" t="s">
        <v>86</v>
      </c>
      <c r="C17" s="100">
        <v>1</v>
      </c>
      <c r="D17" s="97">
        <v>40</v>
      </c>
      <c r="E17" s="100" t="s">
        <v>47</v>
      </c>
      <c r="F17" s="100" t="s">
        <v>34</v>
      </c>
      <c r="G17" s="100" t="s">
        <v>864</v>
      </c>
    </row>
    <row r="18" spans="1:7" s="27" customFormat="1" ht="14.25" customHeight="1" x14ac:dyDescent="0.35">
      <c r="A18" s="100" t="s">
        <v>6</v>
      </c>
      <c r="B18" s="100" t="s">
        <v>86</v>
      </c>
      <c r="C18" s="100">
        <v>1</v>
      </c>
      <c r="D18" s="97">
        <v>15</v>
      </c>
      <c r="E18" s="100" t="s">
        <v>47</v>
      </c>
      <c r="F18" s="100" t="s">
        <v>35</v>
      </c>
      <c r="G18" s="100" t="s">
        <v>864</v>
      </c>
    </row>
    <row r="19" spans="1:7" x14ac:dyDescent="0.35">
      <c r="A19" s="100" t="s">
        <v>6</v>
      </c>
      <c r="B19" s="100" t="s">
        <v>72</v>
      </c>
      <c r="C19" s="100">
        <v>1</v>
      </c>
      <c r="D19" s="97">
        <v>40</v>
      </c>
      <c r="E19" s="100" t="s">
        <v>82</v>
      </c>
      <c r="F19" s="100" t="s">
        <v>34</v>
      </c>
      <c r="G19" s="100" t="s">
        <v>865</v>
      </c>
    </row>
    <row r="20" spans="1:7" x14ac:dyDescent="0.35">
      <c r="A20" s="100" t="s">
        <v>6</v>
      </c>
      <c r="B20" s="100" t="s">
        <v>72</v>
      </c>
      <c r="C20" s="100">
        <v>1</v>
      </c>
      <c r="D20" s="97">
        <v>15</v>
      </c>
      <c r="E20" s="100" t="s">
        <v>82</v>
      </c>
      <c r="F20" s="100" t="s">
        <v>35</v>
      </c>
      <c r="G20" s="100" t="s">
        <v>865</v>
      </c>
    </row>
    <row r="21" spans="1:7" x14ac:dyDescent="0.35">
      <c r="A21" s="100" t="s">
        <v>6</v>
      </c>
      <c r="B21" s="100" t="s">
        <v>86</v>
      </c>
      <c r="C21" s="100">
        <v>1</v>
      </c>
      <c r="D21" s="97">
        <v>40</v>
      </c>
      <c r="E21" s="100" t="s">
        <v>47</v>
      </c>
      <c r="F21" s="100" t="s">
        <v>34</v>
      </c>
      <c r="G21" s="100" t="s">
        <v>866</v>
      </c>
    </row>
    <row r="22" spans="1:7" x14ac:dyDescent="0.35">
      <c r="A22" s="100" t="s">
        <v>6</v>
      </c>
      <c r="B22" s="100" t="s">
        <v>86</v>
      </c>
      <c r="C22" s="100">
        <v>1</v>
      </c>
      <c r="D22" s="97">
        <v>15</v>
      </c>
      <c r="E22" s="100" t="s">
        <v>47</v>
      </c>
      <c r="F22" s="100" t="s">
        <v>35</v>
      </c>
      <c r="G22" s="100" t="s">
        <v>867</v>
      </c>
    </row>
    <row r="23" spans="1:7" x14ac:dyDescent="0.35">
      <c r="A23" s="100" t="s">
        <v>6</v>
      </c>
      <c r="B23" s="100" t="s">
        <v>72</v>
      </c>
      <c r="C23" s="100">
        <v>1</v>
      </c>
      <c r="D23" s="97">
        <v>15</v>
      </c>
      <c r="E23" s="100" t="s">
        <v>82</v>
      </c>
      <c r="F23" s="100" t="s">
        <v>35</v>
      </c>
      <c r="G23" s="100" t="s">
        <v>868</v>
      </c>
    </row>
    <row r="24" spans="1:7" hidden="1" x14ac:dyDescent="0.35">
      <c r="A24" s="100" t="s">
        <v>6</v>
      </c>
      <c r="B24" s="100"/>
      <c r="C24" s="100"/>
      <c r="D24" s="97"/>
      <c r="E24" s="100"/>
      <c r="F24" s="100"/>
      <c r="G24" s="100"/>
    </row>
    <row r="25" spans="1:7" x14ac:dyDescent="0.35">
      <c r="A25" s="100" t="s">
        <v>6</v>
      </c>
      <c r="B25" s="100" t="s">
        <v>86</v>
      </c>
      <c r="C25" s="100">
        <v>1</v>
      </c>
      <c r="D25" s="97">
        <v>29</v>
      </c>
      <c r="E25" s="100" t="s">
        <v>47</v>
      </c>
      <c r="F25" s="100" t="s">
        <v>36</v>
      </c>
      <c r="G25" s="100" t="s">
        <v>870</v>
      </c>
    </row>
    <row r="26" spans="1:7" x14ac:dyDescent="0.35">
      <c r="A26" s="100" t="s">
        <v>6</v>
      </c>
      <c r="B26" s="100" t="s">
        <v>86</v>
      </c>
      <c r="C26" s="100">
        <v>1</v>
      </c>
      <c r="D26" s="97">
        <v>40</v>
      </c>
      <c r="E26" s="100" t="s">
        <v>47</v>
      </c>
      <c r="F26" s="100" t="s">
        <v>34</v>
      </c>
      <c r="G26" s="100" t="s">
        <v>870</v>
      </c>
    </row>
    <row r="27" spans="1:7" x14ac:dyDescent="0.35">
      <c r="A27" s="100" t="s">
        <v>6</v>
      </c>
      <c r="B27" s="100" t="s">
        <v>86</v>
      </c>
      <c r="C27" s="100">
        <v>1</v>
      </c>
      <c r="D27" s="97">
        <v>15</v>
      </c>
      <c r="E27" s="100" t="s">
        <v>47</v>
      </c>
      <c r="F27" s="100" t="s">
        <v>35</v>
      </c>
      <c r="G27" s="100" t="s">
        <v>870</v>
      </c>
    </row>
    <row r="28" spans="1:7" x14ac:dyDescent="0.35">
      <c r="A28" t="s">
        <v>23</v>
      </c>
      <c r="B28" t="s">
        <v>244</v>
      </c>
      <c r="C28" s="100">
        <v>1</v>
      </c>
      <c r="D28" s="97">
        <v>166.1</v>
      </c>
      <c r="E28" s="14" t="s">
        <v>64</v>
      </c>
      <c r="F28" t="s">
        <v>91</v>
      </c>
      <c r="G28" s="100" t="s">
        <v>871</v>
      </c>
    </row>
    <row r="29" spans="1:7" x14ac:dyDescent="0.35">
      <c r="A29" t="s">
        <v>6</v>
      </c>
      <c r="B29" t="s">
        <v>142</v>
      </c>
      <c r="C29" s="100">
        <v>1</v>
      </c>
      <c r="D29" s="97">
        <v>132</v>
      </c>
      <c r="E29" s="14" t="s">
        <v>44</v>
      </c>
      <c r="F29" t="s">
        <v>90</v>
      </c>
      <c r="G29" s="100" t="s">
        <v>872</v>
      </c>
    </row>
    <row r="30" spans="1:7" x14ac:dyDescent="0.35">
      <c r="A30" t="s">
        <v>6</v>
      </c>
      <c r="B30" t="s">
        <v>142</v>
      </c>
      <c r="C30" s="100">
        <v>1</v>
      </c>
      <c r="D30" s="97">
        <v>166.1</v>
      </c>
      <c r="E30" s="14" t="s">
        <v>44</v>
      </c>
      <c r="F30" t="s">
        <v>91</v>
      </c>
      <c r="G30" s="100" t="s">
        <v>872</v>
      </c>
    </row>
    <row r="31" spans="1:7" x14ac:dyDescent="0.35">
      <c r="A31" t="s">
        <v>23</v>
      </c>
      <c r="B31" t="s">
        <v>244</v>
      </c>
      <c r="C31" s="100">
        <v>1</v>
      </c>
      <c r="D31" s="97">
        <v>132</v>
      </c>
      <c r="E31" s="14" t="s">
        <v>64</v>
      </c>
      <c r="F31" t="s">
        <v>90</v>
      </c>
      <c r="G31" s="100" t="s">
        <v>871</v>
      </c>
    </row>
    <row r="32" spans="1:7" hidden="1" x14ac:dyDescent="0.35">
      <c r="A32" s="100"/>
      <c r="C32" s="100"/>
      <c r="D32" s="97"/>
      <c r="E32" s="14"/>
      <c r="G32" s="100"/>
    </row>
    <row r="33" spans="1:7" hidden="1" x14ac:dyDescent="0.35">
      <c r="A33" s="100"/>
      <c r="C33" s="100"/>
      <c r="D33" s="97"/>
      <c r="E33" s="14"/>
      <c r="G33" s="100"/>
    </row>
    <row r="34" spans="1:7" x14ac:dyDescent="0.35">
      <c r="A34" t="s">
        <v>6</v>
      </c>
      <c r="B34" t="s">
        <v>86</v>
      </c>
      <c r="C34" s="100">
        <v>1</v>
      </c>
      <c r="D34" s="97">
        <v>166.1</v>
      </c>
      <c r="E34" s="14" t="s">
        <v>47</v>
      </c>
      <c r="F34" t="s">
        <v>91</v>
      </c>
      <c r="G34" s="100" t="s">
        <v>874</v>
      </c>
    </row>
    <row r="35" spans="1:7" hidden="1" x14ac:dyDescent="0.35">
      <c r="A35" s="100"/>
      <c r="C35" s="100"/>
      <c r="D35" s="97"/>
      <c r="E35" s="14"/>
      <c r="G35" s="100"/>
    </row>
    <row r="36" spans="1:7" hidden="1" x14ac:dyDescent="0.35">
      <c r="A36" s="100"/>
      <c r="C36" s="100"/>
      <c r="D36" s="97"/>
      <c r="E36" s="14"/>
      <c r="G36" s="100"/>
    </row>
    <row r="37" spans="1:7" x14ac:dyDescent="0.35">
      <c r="A37" t="s">
        <v>6</v>
      </c>
      <c r="B37" t="s">
        <v>86</v>
      </c>
      <c r="C37" s="100">
        <v>1</v>
      </c>
      <c r="D37" s="97">
        <v>132</v>
      </c>
      <c r="E37" s="14" t="s">
        <v>47</v>
      </c>
      <c r="F37" t="s">
        <v>90</v>
      </c>
      <c r="G37" s="100" t="s">
        <v>874</v>
      </c>
    </row>
    <row r="38" spans="1:7" x14ac:dyDescent="0.35">
      <c r="A38" t="s">
        <v>6</v>
      </c>
      <c r="B38" t="s">
        <v>219</v>
      </c>
      <c r="C38" s="100">
        <v>1</v>
      </c>
      <c r="D38" s="97">
        <v>40</v>
      </c>
      <c r="E38" s="14" t="s">
        <v>876</v>
      </c>
      <c r="F38" t="s">
        <v>34</v>
      </c>
      <c r="G38" s="100" t="s">
        <v>879</v>
      </c>
    </row>
    <row r="39" spans="1:7" x14ac:dyDescent="0.35">
      <c r="A39" t="s">
        <v>6</v>
      </c>
      <c r="B39" t="s">
        <v>219</v>
      </c>
      <c r="C39" s="100">
        <v>1</v>
      </c>
      <c r="D39" s="97">
        <v>15</v>
      </c>
      <c r="E39" s="14" t="s">
        <v>876</v>
      </c>
      <c r="F39" t="s">
        <v>35</v>
      </c>
      <c r="G39" s="100" t="s">
        <v>879</v>
      </c>
    </row>
    <row r="40" spans="1:7" x14ac:dyDescent="0.35">
      <c r="A40" t="s">
        <v>23</v>
      </c>
      <c r="B40" t="s">
        <v>211</v>
      </c>
      <c r="C40" s="100">
        <v>1</v>
      </c>
      <c r="D40" s="97">
        <v>15</v>
      </c>
      <c r="E40" s="14" t="s">
        <v>62</v>
      </c>
      <c r="F40" t="s">
        <v>35</v>
      </c>
      <c r="G40" s="100" t="s">
        <v>880</v>
      </c>
    </row>
    <row r="41" spans="1:7" x14ac:dyDescent="0.35">
      <c r="A41" t="s">
        <v>23</v>
      </c>
      <c r="B41" t="s">
        <v>211</v>
      </c>
      <c r="C41" s="100">
        <v>1</v>
      </c>
      <c r="D41" s="97">
        <v>29</v>
      </c>
      <c r="E41" s="14" t="s">
        <v>62</v>
      </c>
      <c r="F41" t="s">
        <v>36</v>
      </c>
      <c r="G41" s="100" t="s">
        <v>881</v>
      </c>
    </row>
    <row r="42" spans="1:7" x14ac:dyDescent="0.35">
      <c r="A42" t="s">
        <v>23</v>
      </c>
      <c r="B42" t="s">
        <v>211</v>
      </c>
      <c r="C42" s="100">
        <v>1</v>
      </c>
      <c r="D42" s="97">
        <v>40</v>
      </c>
      <c r="E42" s="14" t="s">
        <v>62</v>
      </c>
      <c r="F42" t="s">
        <v>34</v>
      </c>
      <c r="G42" s="100" t="s">
        <v>881</v>
      </c>
    </row>
    <row r="43" spans="1:7" x14ac:dyDescent="0.35">
      <c r="A43" t="s">
        <v>6</v>
      </c>
      <c r="B43" t="s">
        <v>304</v>
      </c>
      <c r="C43" s="100">
        <v>1</v>
      </c>
      <c r="D43" s="97">
        <v>40</v>
      </c>
      <c r="E43" s="14" t="s">
        <v>52</v>
      </c>
      <c r="F43" t="s">
        <v>34</v>
      </c>
      <c r="G43" s="100" t="s">
        <v>882</v>
      </c>
    </row>
    <row r="44" spans="1:7" x14ac:dyDescent="0.35">
      <c r="A44" t="s">
        <v>6</v>
      </c>
      <c r="B44" t="s">
        <v>219</v>
      </c>
      <c r="C44" s="100">
        <v>1</v>
      </c>
      <c r="D44" s="97">
        <v>29</v>
      </c>
      <c r="E44" s="14" t="s">
        <v>876</v>
      </c>
      <c r="F44" t="s">
        <v>36</v>
      </c>
      <c r="G44" s="100" t="s">
        <v>883</v>
      </c>
    </row>
    <row r="45" spans="1:7" x14ac:dyDescent="0.35">
      <c r="A45" t="s">
        <v>23</v>
      </c>
      <c r="B45" t="s">
        <v>211</v>
      </c>
      <c r="C45" s="100">
        <v>1</v>
      </c>
      <c r="D45" s="97">
        <v>15</v>
      </c>
      <c r="E45" s="14" t="s">
        <v>62</v>
      </c>
      <c r="F45" t="s">
        <v>35</v>
      </c>
      <c r="G45" s="100" t="s">
        <v>884</v>
      </c>
    </row>
    <row r="46" spans="1:7" hidden="1" x14ac:dyDescent="0.35">
      <c r="A46" s="100"/>
      <c r="C46" s="100"/>
      <c r="D46" s="97"/>
      <c r="E46" s="14"/>
      <c r="G46" s="100"/>
    </row>
    <row r="47" spans="1:7" x14ac:dyDescent="0.35">
      <c r="A47" t="s">
        <v>23</v>
      </c>
      <c r="B47" t="s">
        <v>211</v>
      </c>
      <c r="C47" s="100">
        <v>1</v>
      </c>
      <c r="D47" s="97">
        <v>73.5</v>
      </c>
      <c r="E47" s="14" t="s">
        <v>62</v>
      </c>
      <c r="F47" t="s">
        <v>33</v>
      </c>
      <c r="G47" s="100" t="s">
        <v>886</v>
      </c>
    </row>
    <row r="48" spans="1:7" x14ac:dyDescent="0.35">
      <c r="A48" t="s">
        <v>23</v>
      </c>
      <c r="B48" t="s">
        <v>211</v>
      </c>
      <c r="C48" s="100">
        <v>1</v>
      </c>
      <c r="D48" s="97">
        <v>73.5</v>
      </c>
      <c r="E48" s="14" t="s">
        <v>62</v>
      </c>
      <c r="F48" t="s">
        <v>33</v>
      </c>
      <c r="G48" s="100" t="s">
        <v>887</v>
      </c>
    </row>
    <row r="49" spans="1:7" x14ac:dyDescent="0.35">
      <c r="A49" t="s">
        <v>6</v>
      </c>
      <c r="B49" t="s">
        <v>304</v>
      </c>
      <c r="C49" s="100">
        <v>1</v>
      </c>
      <c r="D49" s="97">
        <v>73.5</v>
      </c>
      <c r="E49" s="14" t="s">
        <v>52</v>
      </c>
      <c r="F49" t="s">
        <v>33</v>
      </c>
      <c r="G49" s="100" t="s">
        <v>888</v>
      </c>
    </row>
    <row r="50" spans="1:7" x14ac:dyDescent="0.35">
      <c r="A50" t="s">
        <v>23</v>
      </c>
      <c r="B50" t="s">
        <v>211</v>
      </c>
      <c r="C50" s="100">
        <v>1</v>
      </c>
      <c r="D50" s="97">
        <v>73.5</v>
      </c>
      <c r="E50" s="14" t="s">
        <v>62</v>
      </c>
      <c r="F50" t="s">
        <v>33</v>
      </c>
      <c r="G50" s="100" t="s">
        <v>889</v>
      </c>
    </row>
    <row r="51" spans="1:7" x14ac:dyDescent="0.35">
      <c r="A51" t="s">
        <v>6</v>
      </c>
      <c r="B51" t="s">
        <v>142</v>
      </c>
      <c r="C51" s="100">
        <v>1</v>
      </c>
      <c r="D51" s="97">
        <v>73.5</v>
      </c>
      <c r="E51" s="14" t="s">
        <v>44</v>
      </c>
      <c r="F51" t="s">
        <v>33</v>
      </c>
      <c r="G51" s="100" t="s">
        <v>890</v>
      </c>
    </row>
    <row r="52" spans="1:7" x14ac:dyDescent="0.35">
      <c r="A52" t="s">
        <v>6</v>
      </c>
      <c r="B52" t="s">
        <v>142</v>
      </c>
      <c r="C52" s="100">
        <v>1</v>
      </c>
      <c r="D52" s="97">
        <v>73.5</v>
      </c>
      <c r="E52" s="14" t="s">
        <v>44</v>
      </c>
      <c r="F52" t="s">
        <v>33</v>
      </c>
      <c r="G52" s="100" t="s">
        <v>891</v>
      </c>
    </row>
    <row r="53" spans="1:7" x14ac:dyDescent="0.35">
      <c r="A53" t="s">
        <v>6</v>
      </c>
      <c r="B53" t="s">
        <v>142</v>
      </c>
      <c r="C53" s="100">
        <v>1</v>
      </c>
      <c r="D53" s="97">
        <v>73.5</v>
      </c>
      <c r="E53" s="14" t="s">
        <v>44</v>
      </c>
      <c r="F53" t="s">
        <v>33</v>
      </c>
      <c r="G53" s="100" t="s">
        <v>892</v>
      </c>
    </row>
    <row r="54" spans="1:7" x14ac:dyDescent="0.35">
      <c r="A54" t="s">
        <v>6</v>
      </c>
      <c r="B54" t="s">
        <v>304</v>
      </c>
      <c r="C54" s="100">
        <v>1</v>
      </c>
      <c r="D54" s="97">
        <v>73.5</v>
      </c>
      <c r="E54" s="14" t="s">
        <v>52</v>
      </c>
      <c r="F54" t="s">
        <v>33</v>
      </c>
      <c r="G54" s="100" t="s">
        <v>893</v>
      </c>
    </row>
    <row r="55" spans="1:7" x14ac:dyDescent="0.35">
      <c r="A55" t="s">
        <v>6</v>
      </c>
      <c r="B55" t="s">
        <v>304</v>
      </c>
      <c r="C55" s="100">
        <v>1</v>
      </c>
      <c r="D55" s="97">
        <v>73.5</v>
      </c>
      <c r="E55" s="14" t="s">
        <v>52</v>
      </c>
      <c r="F55" t="s">
        <v>33</v>
      </c>
      <c r="G55" s="100" t="s">
        <v>894</v>
      </c>
    </row>
    <row r="56" spans="1:7" x14ac:dyDescent="0.35">
      <c r="A56" t="s">
        <v>23</v>
      </c>
      <c r="B56" t="s">
        <v>211</v>
      </c>
      <c r="C56" s="100">
        <v>1</v>
      </c>
      <c r="D56" s="97">
        <v>73.5</v>
      </c>
      <c r="E56" s="14" t="s">
        <v>62</v>
      </c>
      <c r="F56" t="s">
        <v>33</v>
      </c>
      <c r="G56" s="100" t="s">
        <v>895</v>
      </c>
    </row>
    <row r="57" spans="1:7" x14ac:dyDescent="0.35">
      <c r="A57" t="s">
        <v>6</v>
      </c>
      <c r="B57" t="s">
        <v>142</v>
      </c>
      <c r="C57" s="100">
        <v>1</v>
      </c>
      <c r="D57" s="97">
        <v>73.5</v>
      </c>
      <c r="E57" s="14" t="s">
        <v>44</v>
      </c>
      <c r="F57" t="s">
        <v>33</v>
      </c>
      <c r="G57" s="100" t="s">
        <v>896</v>
      </c>
    </row>
    <row r="58" spans="1:7" x14ac:dyDescent="0.35">
      <c r="A58" t="s">
        <v>23</v>
      </c>
      <c r="B58" t="s">
        <v>211</v>
      </c>
      <c r="C58" s="100">
        <v>1</v>
      </c>
      <c r="D58" s="97">
        <v>73.5</v>
      </c>
      <c r="E58" s="14" t="s">
        <v>62</v>
      </c>
      <c r="F58" t="s">
        <v>33</v>
      </c>
      <c r="G58" s="100" t="s">
        <v>897</v>
      </c>
    </row>
    <row r="59" spans="1:7" x14ac:dyDescent="0.35">
      <c r="A59" t="s">
        <v>6</v>
      </c>
      <c r="B59" t="s">
        <v>142</v>
      </c>
      <c r="C59" s="100">
        <v>1</v>
      </c>
      <c r="D59" s="97">
        <v>73.5</v>
      </c>
      <c r="E59" s="14" t="s">
        <v>44</v>
      </c>
      <c r="F59" t="s">
        <v>33</v>
      </c>
      <c r="G59" s="100" t="s">
        <v>898</v>
      </c>
    </row>
    <row r="60" spans="1:7" x14ac:dyDescent="0.35">
      <c r="A60" t="s">
        <v>23</v>
      </c>
      <c r="B60" t="s">
        <v>211</v>
      </c>
      <c r="C60" s="100">
        <v>1</v>
      </c>
      <c r="D60" s="97">
        <v>73.5</v>
      </c>
      <c r="E60" s="14" t="s">
        <v>62</v>
      </c>
      <c r="F60" t="s">
        <v>33</v>
      </c>
      <c r="G60" s="100" t="s">
        <v>899</v>
      </c>
    </row>
    <row r="61" spans="1:7" hidden="1" x14ac:dyDescent="0.35">
      <c r="A61" s="100"/>
      <c r="C61" s="100"/>
      <c r="D61" s="97"/>
      <c r="E61" s="14"/>
      <c r="G61" s="100"/>
    </row>
    <row r="62" spans="1:7" x14ac:dyDescent="0.35">
      <c r="A62" s="100" t="s">
        <v>6</v>
      </c>
      <c r="B62" t="s">
        <v>86</v>
      </c>
      <c r="C62" s="100">
        <v>1</v>
      </c>
      <c r="D62" s="97">
        <v>73.5</v>
      </c>
      <c r="E62" s="14" t="s">
        <v>47</v>
      </c>
      <c r="F62" t="s">
        <v>33</v>
      </c>
      <c r="G62" s="100" t="s">
        <v>901</v>
      </c>
    </row>
    <row r="63" spans="1:7" x14ac:dyDescent="0.35">
      <c r="A63" t="s">
        <v>6</v>
      </c>
      <c r="B63" t="s">
        <v>142</v>
      </c>
      <c r="C63" s="100">
        <v>1</v>
      </c>
      <c r="D63" s="97">
        <v>73.5</v>
      </c>
      <c r="E63" s="14" t="s">
        <v>44</v>
      </c>
      <c r="F63" t="s">
        <v>33</v>
      </c>
      <c r="G63" s="100" t="s">
        <v>902</v>
      </c>
    </row>
    <row r="64" spans="1:7" x14ac:dyDescent="0.35">
      <c r="A64" t="s">
        <v>6</v>
      </c>
      <c r="B64" t="s">
        <v>142</v>
      </c>
      <c r="C64" s="100">
        <v>1</v>
      </c>
      <c r="D64" s="97">
        <v>73.5</v>
      </c>
      <c r="E64" s="14" t="s">
        <v>44</v>
      </c>
      <c r="F64" t="s">
        <v>33</v>
      </c>
      <c r="G64" s="100" t="s">
        <v>903</v>
      </c>
    </row>
    <row r="65" spans="1:7" x14ac:dyDescent="0.35">
      <c r="A65" t="s">
        <v>23</v>
      </c>
      <c r="B65" t="s">
        <v>211</v>
      </c>
      <c r="C65" s="100">
        <v>1</v>
      </c>
      <c r="D65" s="97">
        <v>73.5</v>
      </c>
      <c r="E65" s="14" t="s">
        <v>62</v>
      </c>
      <c r="F65" t="s">
        <v>33</v>
      </c>
      <c r="G65" s="100" t="s">
        <v>904</v>
      </c>
    </row>
    <row r="66" spans="1:7" x14ac:dyDescent="0.35">
      <c r="A66" t="s">
        <v>6</v>
      </c>
      <c r="B66" t="s">
        <v>219</v>
      </c>
      <c r="C66" s="100">
        <v>1</v>
      </c>
      <c r="D66" s="97">
        <v>132</v>
      </c>
      <c r="E66" s="14" t="s">
        <v>876</v>
      </c>
      <c r="F66" t="s">
        <v>90</v>
      </c>
      <c r="G66" s="100" t="s">
        <v>905</v>
      </c>
    </row>
    <row r="67" spans="1:7" x14ac:dyDescent="0.35">
      <c r="A67" t="s">
        <v>6</v>
      </c>
      <c r="B67" t="s">
        <v>219</v>
      </c>
      <c r="C67" s="100">
        <v>1</v>
      </c>
      <c r="D67" s="97">
        <v>166.1</v>
      </c>
      <c r="E67" s="14" t="s">
        <v>876</v>
      </c>
      <c r="F67" t="s">
        <v>91</v>
      </c>
      <c r="G67" s="100" t="s">
        <v>906</v>
      </c>
    </row>
    <row r="68" spans="1:7" x14ac:dyDescent="0.35">
      <c r="A68" s="100"/>
      <c r="B68" s="100"/>
      <c r="C68" s="100"/>
      <c r="D68" s="100"/>
      <c r="E68" s="100"/>
      <c r="F68" s="100"/>
      <c r="G68" s="100"/>
    </row>
    <row r="69" spans="1:7" x14ac:dyDescent="0.35">
      <c r="A69" s="100"/>
      <c r="B69" s="100"/>
      <c r="C69" s="100"/>
      <c r="D69" s="100"/>
      <c r="E69" s="100"/>
      <c r="F69" s="100"/>
      <c r="G69" s="100"/>
    </row>
  </sheetData>
  <protectedRanges>
    <protectedRange sqref="D14 D18 D20 D22" name="Amount_2_1_2_2_3_1_1"/>
    <protectedRange sqref="D15:D17 D19 D21 D25:D26" name="Amount_2_8_1_1_1"/>
  </protectedRanges>
  <autoFilter ref="A11:G67" xr:uid="{599F1BC9-846E-4150-B13C-27C6AE450380}">
    <filterColumn colId="4">
      <customFilters>
        <customFilter operator="notEqual" val=" "/>
      </customFilters>
    </filterColumn>
  </autoFilter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8A66-38F7-49ED-A0F9-EB59C3E82D59}">
  <dimension ref="A1:G60"/>
  <sheetViews>
    <sheetView workbookViewId="0">
      <selection activeCell="E40" sqref="E40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17.81640625" customWidth="1"/>
    <col min="4" max="4" width="43.453125" customWidth="1"/>
    <col min="5" max="5" width="51.26953125" customWidth="1"/>
    <col min="6" max="6" width="65.453125" customWidth="1"/>
    <col min="7" max="7" width="36.7265625" customWidth="1"/>
  </cols>
  <sheetData>
    <row r="1" spans="1:7" ht="26" x14ac:dyDescent="0.6">
      <c r="A1" s="253" t="s">
        <v>27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979</v>
      </c>
    </row>
    <row r="4" spans="1:7" x14ac:dyDescent="0.35">
      <c r="A4" s="8" t="s">
        <v>29</v>
      </c>
      <c r="B4" s="9">
        <v>45110</v>
      </c>
    </row>
    <row r="5" spans="1:7" ht="15" thickBot="1" x14ac:dyDescent="0.4">
      <c r="A5" s="10" t="s">
        <v>30</v>
      </c>
      <c r="B5" s="11" t="s">
        <v>213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29" t="s">
        <v>77</v>
      </c>
    </row>
    <row r="9" spans="1:7" ht="19.5" customHeight="1" x14ac:dyDescent="0.35">
      <c r="A9" s="142" t="s">
        <v>6</v>
      </c>
      <c r="B9" s="27" t="s">
        <v>7</v>
      </c>
      <c r="C9" s="77">
        <v>1</v>
      </c>
      <c r="D9" s="143">
        <f>-SUM(D10:D60)-SUM('Parks Journal input June 2023'!F4:F12)</f>
        <v>-4629.8999999999996</v>
      </c>
      <c r="E9" s="124" t="s">
        <v>12</v>
      </c>
      <c r="F9" s="100" t="s">
        <v>978</v>
      </c>
      <c r="G9" s="130"/>
    </row>
    <row r="10" spans="1:7" x14ac:dyDescent="0.35">
      <c r="A10" s="142" t="s">
        <v>6</v>
      </c>
      <c r="B10" s="124" t="s">
        <v>211</v>
      </c>
      <c r="C10" s="133">
        <v>1</v>
      </c>
      <c r="D10" s="143">
        <v>15</v>
      </c>
      <c r="E10" s="124" t="s">
        <v>62</v>
      </c>
      <c r="F10" s="124" t="s">
        <v>35</v>
      </c>
      <c r="G10" s="124" t="s">
        <v>910</v>
      </c>
    </row>
    <row r="11" spans="1:7" x14ac:dyDescent="0.35">
      <c r="A11" s="142" t="s">
        <v>6</v>
      </c>
      <c r="B11" s="124" t="s">
        <v>211</v>
      </c>
      <c r="C11" s="133">
        <v>1</v>
      </c>
      <c r="D11" s="143">
        <v>29</v>
      </c>
      <c r="E11" s="124" t="s">
        <v>62</v>
      </c>
      <c r="F11" s="124" t="s">
        <v>36</v>
      </c>
      <c r="G11" s="124" t="s">
        <v>911</v>
      </c>
    </row>
    <row r="12" spans="1:7" x14ac:dyDescent="0.35">
      <c r="A12" s="142" t="s">
        <v>6</v>
      </c>
      <c r="B12" s="124" t="s">
        <v>211</v>
      </c>
      <c r="C12" s="133">
        <v>1</v>
      </c>
      <c r="D12" s="143">
        <v>40</v>
      </c>
      <c r="E12" s="124" t="s">
        <v>62</v>
      </c>
      <c r="F12" s="124" t="s">
        <v>34</v>
      </c>
      <c r="G12" s="124" t="s">
        <v>911</v>
      </c>
    </row>
    <row r="13" spans="1:7" x14ac:dyDescent="0.35">
      <c r="A13" s="142" t="s">
        <v>6</v>
      </c>
      <c r="B13" s="124" t="s">
        <v>211</v>
      </c>
      <c r="C13" s="125">
        <v>1</v>
      </c>
      <c r="D13" s="143">
        <v>132</v>
      </c>
      <c r="E13" s="124" t="s">
        <v>62</v>
      </c>
      <c r="F13" s="144" t="s">
        <v>90</v>
      </c>
      <c r="G13" s="124" t="s">
        <v>913</v>
      </c>
    </row>
    <row r="14" spans="1:7" x14ac:dyDescent="0.35">
      <c r="A14" s="142" t="s">
        <v>6</v>
      </c>
      <c r="B14" s="144" t="s">
        <v>211</v>
      </c>
      <c r="C14" s="125">
        <v>1</v>
      </c>
      <c r="D14" s="143">
        <v>132</v>
      </c>
      <c r="E14" s="145" t="s">
        <v>62</v>
      </c>
      <c r="F14" s="144" t="s">
        <v>90</v>
      </c>
      <c r="G14" s="124" t="s">
        <v>914</v>
      </c>
    </row>
    <row r="15" spans="1:7" x14ac:dyDescent="0.35">
      <c r="A15" s="142" t="s">
        <v>6</v>
      </c>
      <c r="B15" s="144" t="s">
        <v>211</v>
      </c>
      <c r="C15" s="125">
        <v>1</v>
      </c>
      <c r="D15" s="143">
        <v>166.1</v>
      </c>
      <c r="E15" s="145" t="s">
        <v>62</v>
      </c>
      <c r="F15" s="144" t="s">
        <v>91</v>
      </c>
      <c r="G15" s="124" t="s">
        <v>914</v>
      </c>
    </row>
    <row r="16" spans="1:7" x14ac:dyDescent="0.35">
      <c r="A16" s="142" t="s">
        <v>6</v>
      </c>
      <c r="B16" s="144" t="s">
        <v>86</v>
      </c>
      <c r="C16" s="125">
        <v>1</v>
      </c>
      <c r="D16" s="143">
        <v>29</v>
      </c>
      <c r="E16" s="145" t="s">
        <v>47</v>
      </c>
      <c r="F16" s="144" t="s">
        <v>36</v>
      </c>
      <c r="G16" s="124" t="s">
        <v>915</v>
      </c>
    </row>
    <row r="17" spans="1:7" x14ac:dyDescent="0.35">
      <c r="A17" s="142" t="s">
        <v>6</v>
      </c>
      <c r="B17" s="144" t="s">
        <v>86</v>
      </c>
      <c r="C17" s="125">
        <v>1</v>
      </c>
      <c r="D17" s="143">
        <v>40</v>
      </c>
      <c r="E17" s="145" t="s">
        <v>47</v>
      </c>
      <c r="F17" s="144" t="s">
        <v>34</v>
      </c>
      <c r="G17" s="124" t="s">
        <v>915</v>
      </c>
    </row>
    <row r="18" spans="1:7" x14ac:dyDescent="0.35">
      <c r="A18" s="142" t="s">
        <v>6</v>
      </c>
      <c r="B18" s="144" t="s">
        <v>72</v>
      </c>
      <c r="C18" s="125">
        <v>1</v>
      </c>
      <c r="D18" s="143">
        <v>15</v>
      </c>
      <c r="E18" s="145" t="s">
        <v>82</v>
      </c>
      <c r="F18" s="144" t="s">
        <v>35</v>
      </c>
      <c r="G18" s="124" t="s">
        <v>865</v>
      </c>
    </row>
    <row r="19" spans="1:7" x14ac:dyDescent="0.35">
      <c r="A19" s="142" t="s">
        <v>6</v>
      </c>
      <c r="B19" s="144" t="s">
        <v>219</v>
      </c>
      <c r="C19" s="125">
        <v>1</v>
      </c>
      <c r="D19" s="148">
        <v>132</v>
      </c>
      <c r="E19" s="145" t="s">
        <v>876</v>
      </c>
      <c r="F19" s="144" t="s">
        <v>939</v>
      </c>
      <c r="G19" s="124" t="s">
        <v>916</v>
      </c>
    </row>
    <row r="20" spans="1:7" x14ac:dyDescent="0.35">
      <c r="A20" s="142" t="s">
        <v>6</v>
      </c>
      <c r="B20" s="144" t="s">
        <v>206</v>
      </c>
      <c r="C20" s="125">
        <v>1</v>
      </c>
      <c r="D20" s="148">
        <v>132</v>
      </c>
      <c r="E20" s="145" t="s">
        <v>63</v>
      </c>
      <c r="F20" s="144" t="s">
        <v>90</v>
      </c>
      <c r="G20" s="124" t="s">
        <v>917</v>
      </c>
    </row>
    <row r="21" spans="1:7" x14ac:dyDescent="0.35">
      <c r="A21" s="142" t="s">
        <v>6</v>
      </c>
      <c r="B21" s="144" t="s">
        <v>206</v>
      </c>
      <c r="C21" s="125">
        <v>1</v>
      </c>
      <c r="D21" s="148">
        <v>166.1</v>
      </c>
      <c r="E21" s="145" t="s">
        <v>63</v>
      </c>
      <c r="F21" s="144" t="s">
        <v>91</v>
      </c>
      <c r="G21" s="124" t="s">
        <v>918</v>
      </c>
    </row>
    <row r="22" spans="1:7" x14ac:dyDescent="0.35">
      <c r="A22" s="142" t="s">
        <v>6</v>
      </c>
      <c r="B22" s="144" t="s">
        <v>219</v>
      </c>
      <c r="C22" s="125">
        <v>1</v>
      </c>
      <c r="D22" s="148">
        <v>166.1</v>
      </c>
      <c r="E22" s="145" t="s">
        <v>876</v>
      </c>
      <c r="F22" s="144" t="s">
        <v>91</v>
      </c>
      <c r="G22" s="124" t="s">
        <v>919</v>
      </c>
    </row>
    <row r="23" spans="1:7" x14ac:dyDescent="0.35">
      <c r="A23" s="142" t="s">
        <v>6</v>
      </c>
      <c r="B23" s="144" t="s">
        <v>219</v>
      </c>
      <c r="C23" s="125">
        <v>1</v>
      </c>
      <c r="D23" s="148">
        <v>132</v>
      </c>
      <c r="E23" s="145" t="s">
        <v>876</v>
      </c>
      <c r="F23" s="144" t="s">
        <v>90</v>
      </c>
      <c r="G23" s="124" t="s">
        <v>920</v>
      </c>
    </row>
    <row r="24" spans="1:7" x14ac:dyDescent="0.35">
      <c r="A24" s="142" t="s">
        <v>6</v>
      </c>
      <c r="B24" s="144" t="s">
        <v>219</v>
      </c>
      <c r="C24" s="125">
        <v>1</v>
      </c>
      <c r="D24" s="148">
        <v>132</v>
      </c>
      <c r="E24" s="145" t="s">
        <v>876</v>
      </c>
      <c r="F24" s="144" t="s">
        <v>90</v>
      </c>
      <c r="G24" s="124" t="s">
        <v>921</v>
      </c>
    </row>
    <row r="25" spans="1:7" x14ac:dyDescent="0.35">
      <c r="A25" s="142" t="s">
        <v>6</v>
      </c>
      <c r="B25" s="144" t="s">
        <v>219</v>
      </c>
      <c r="C25" s="125">
        <v>1</v>
      </c>
      <c r="D25" s="148">
        <v>166.1</v>
      </c>
      <c r="E25" s="145" t="s">
        <v>876</v>
      </c>
      <c r="F25" s="144" t="s">
        <v>91</v>
      </c>
      <c r="G25" s="124" t="s">
        <v>922</v>
      </c>
    </row>
    <row r="26" spans="1:7" x14ac:dyDescent="0.35">
      <c r="A26" s="142" t="s">
        <v>6</v>
      </c>
      <c r="B26" t="s">
        <v>72</v>
      </c>
      <c r="C26" s="125">
        <v>1</v>
      </c>
      <c r="D26" s="143">
        <v>15</v>
      </c>
      <c r="E26" s="14" t="s">
        <v>82</v>
      </c>
      <c r="F26" t="s">
        <v>35</v>
      </c>
      <c r="G26" s="124" t="s">
        <v>931</v>
      </c>
    </row>
    <row r="27" spans="1:7" x14ac:dyDescent="0.35">
      <c r="A27" s="142" t="s">
        <v>6</v>
      </c>
      <c r="B27" t="s">
        <v>219</v>
      </c>
      <c r="C27" s="125">
        <v>1</v>
      </c>
      <c r="D27" s="143">
        <v>132</v>
      </c>
      <c r="E27" s="14" t="s">
        <v>876</v>
      </c>
      <c r="F27" t="s">
        <v>90</v>
      </c>
      <c r="G27" s="124" t="s">
        <v>932</v>
      </c>
    </row>
    <row r="28" spans="1:7" x14ac:dyDescent="0.35">
      <c r="A28" s="142" t="s">
        <v>6</v>
      </c>
      <c r="B28" t="s">
        <v>244</v>
      </c>
      <c r="C28" s="125">
        <v>1</v>
      </c>
      <c r="D28" s="143">
        <v>73.5</v>
      </c>
      <c r="E28" s="14" t="s">
        <v>64</v>
      </c>
      <c r="F28" t="s">
        <v>33</v>
      </c>
      <c r="G28" s="124" t="s">
        <v>938</v>
      </c>
    </row>
    <row r="29" spans="1:7" x14ac:dyDescent="0.35">
      <c r="A29" s="142" t="s">
        <v>6</v>
      </c>
      <c r="B29" s="144" t="s">
        <v>86</v>
      </c>
      <c r="C29" s="125">
        <v>1</v>
      </c>
      <c r="D29" s="143">
        <v>73.5</v>
      </c>
      <c r="E29" s="145" t="s">
        <v>47</v>
      </c>
      <c r="F29" t="s">
        <v>33</v>
      </c>
      <c r="G29" s="124" t="s">
        <v>942</v>
      </c>
    </row>
    <row r="30" spans="1:7" x14ac:dyDescent="0.35">
      <c r="A30" s="142" t="s">
        <v>6</v>
      </c>
      <c r="B30" t="s">
        <v>142</v>
      </c>
      <c r="C30" s="125">
        <v>1</v>
      </c>
      <c r="D30" s="143">
        <v>73.5</v>
      </c>
      <c r="E30" s="14" t="s">
        <v>44</v>
      </c>
      <c r="F30" t="s">
        <v>33</v>
      </c>
      <c r="G30" s="124" t="s">
        <v>941</v>
      </c>
    </row>
    <row r="31" spans="1:7" x14ac:dyDescent="0.35">
      <c r="A31" s="142" t="s">
        <v>6</v>
      </c>
      <c r="B31" s="144" t="s">
        <v>219</v>
      </c>
      <c r="C31" s="125">
        <v>1</v>
      </c>
      <c r="D31" s="143">
        <v>73.5</v>
      </c>
      <c r="E31" s="145" t="s">
        <v>876</v>
      </c>
      <c r="F31" t="s">
        <v>33</v>
      </c>
      <c r="G31" s="124" t="s">
        <v>944</v>
      </c>
    </row>
    <row r="32" spans="1:7" x14ac:dyDescent="0.35">
      <c r="A32" s="142" t="s">
        <v>6</v>
      </c>
      <c r="B32" t="s">
        <v>206</v>
      </c>
      <c r="C32" s="125">
        <v>1</v>
      </c>
      <c r="D32" s="143">
        <v>73.5</v>
      </c>
      <c r="E32" s="14" t="s">
        <v>63</v>
      </c>
      <c r="F32" t="s">
        <v>33</v>
      </c>
      <c r="G32" s="124" t="s">
        <v>945</v>
      </c>
    </row>
    <row r="33" spans="1:7" x14ac:dyDescent="0.35">
      <c r="A33" s="142" t="s">
        <v>6</v>
      </c>
      <c r="B33" s="144" t="s">
        <v>86</v>
      </c>
      <c r="C33" s="125">
        <v>1</v>
      </c>
      <c r="D33" s="143">
        <v>73.5</v>
      </c>
      <c r="E33" s="145" t="s">
        <v>47</v>
      </c>
      <c r="F33" t="s">
        <v>33</v>
      </c>
      <c r="G33" s="124" t="s">
        <v>946</v>
      </c>
    </row>
    <row r="34" spans="1:7" x14ac:dyDescent="0.35">
      <c r="A34" s="142" t="s">
        <v>6</v>
      </c>
      <c r="B34" s="144" t="s">
        <v>86</v>
      </c>
      <c r="C34" s="125">
        <v>1</v>
      </c>
      <c r="D34" s="143">
        <v>73.5</v>
      </c>
      <c r="E34" s="145" t="s">
        <v>47</v>
      </c>
      <c r="F34" t="s">
        <v>33</v>
      </c>
      <c r="G34" s="124" t="s">
        <v>948</v>
      </c>
    </row>
    <row r="35" spans="1:7" x14ac:dyDescent="0.35">
      <c r="A35" s="142" t="s">
        <v>6</v>
      </c>
      <c r="B35" s="144" t="s">
        <v>219</v>
      </c>
      <c r="C35" s="125">
        <v>1</v>
      </c>
      <c r="D35" s="143">
        <v>73.5</v>
      </c>
      <c r="E35" s="145" t="s">
        <v>876</v>
      </c>
      <c r="F35" t="s">
        <v>33</v>
      </c>
      <c r="G35" s="124" t="s">
        <v>916</v>
      </c>
    </row>
    <row r="36" spans="1:7" x14ac:dyDescent="0.35">
      <c r="A36" s="142" t="s">
        <v>6</v>
      </c>
      <c r="B36" t="s">
        <v>304</v>
      </c>
      <c r="C36" s="125">
        <v>1</v>
      </c>
      <c r="D36" s="143">
        <v>73.5</v>
      </c>
      <c r="E36" s="14" t="s">
        <v>52</v>
      </c>
      <c r="F36" t="s">
        <v>33</v>
      </c>
      <c r="G36" s="124" t="s">
        <v>949</v>
      </c>
    </row>
    <row r="37" spans="1:7" x14ac:dyDescent="0.35">
      <c r="A37" s="142" t="s">
        <v>6</v>
      </c>
      <c r="B37" s="144" t="s">
        <v>211</v>
      </c>
      <c r="C37" s="125">
        <v>1</v>
      </c>
      <c r="D37" s="143">
        <v>73.5</v>
      </c>
      <c r="E37" s="145" t="s">
        <v>62</v>
      </c>
      <c r="F37" t="s">
        <v>33</v>
      </c>
      <c r="G37" s="124" t="s">
        <v>950</v>
      </c>
    </row>
    <row r="38" spans="1:7" x14ac:dyDescent="0.35">
      <c r="A38" s="142" t="s">
        <v>6</v>
      </c>
      <c r="B38" s="124" t="s">
        <v>211</v>
      </c>
      <c r="C38" s="133">
        <v>1</v>
      </c>
      <c r="D38" s="143">
        <v>73.5</v>
      </c>
      <c r="E38" s="124" t="s">
        <v>62</v>
      </c>
      <c r="F38" t="s">
        <v>33</v>
      </c>
      <c r="G38" s="124" t="s">
        <v>951</v>
      </c>
    </row>
    <row r="39" spans="1:7" x14ac:dyDescent="0.35">
      <c r="A39" s="142" t="s">
        <v>6</v>
      </c>
      <c r="B39" s="144" t="s">
        <v>86</v>
      </c>
      <c r="C39" s="125">
        <v>1</v>
      </c>
      <c r="D39" s="143">
        <v>73.5</v>
      </c>
      <c r="E39" s="145" t="s">
        <v>47</v>
      </c>
      <c r="F39" t="s">
        <v>33</v>
      </c>
      <c r="G39" s="124" t="s">
        <v>952</v>
      </c>
    </row>
    <row r="40" spans="1:7" x14ac:dyDescent="0.35">
      <c r="A40" s="142" t="s">
        <v>6</v>
      </c>
      <c r="B40" s="144" t="s">
        <v>211</v>
      </c>
      <c r="C40" s="125">
        <v>1</v>
      </c>
      <c r="D40" s="143">
        <v>73.5</v>
      </c>
      <c r="E40" s="145" t="s">
        <v>62</v>
      </c>
      <c r="F40" t="s">
        <v>33</v>
      </c>
      <c r="G40" s="124" t="s">
        <v>953</v>
      </c>
    </row>
    <row r="41" spans="1:7" x14ac:dyDescent="0.35">
      <c r="A41" s="142" t="s">
        <v>6</v>
      </c>
      <c r="B41" s="144" t="s">
        <v>86</v>
      </c>
      <c r="C41" s="125">
        <v>1</v>
      </c>
      <c r="D41" s="143">
        <v>73.5</v>
      </c>
      <c r="E41" s="145" t="s">
        <v>47</v>
      </c>
      <c r="F41" t="s">
        <v>33</v>
      </c>
      <c r="G41" s="124" t="s">
        <v>955</v>
      </c>
    </row>
    <row r="42" spans="1:7" x14ac:dyDescent="0.35">
      <c r="A42" s="142" t="s">
        <v>6</v>
      </c>
      <c r="B42" s="144" t="s">
        <v>211</v>
      </c>
      <c r="C42" s="125">
        <v>1</v>
      </c>
      <c r="D42" s="143">
        <v>73.5</v>
      </c>
      <c r="E42" s="145" t="s">
        <v>62</v>
      </c>
      <c r="F42" t="s">
        <v>33</v>
      </c>
      <c r="G42" s="124" t="s">
        <v>962</v>
      </c>
    </row>
    <row r="43" spans="1:7" x14ac:dyDescent="0.35">
      <c r="A43" s="142" t="s">
        <v>6</v>
      </c>
      <c r="B43" s="144" t="s">
        <v>219</v>
      </c>
      <c r="C43" s="125">
        <v>1</v>
      </c>
      <c r="D43" s="143">
        <v>73.5</v>
      </c>
      <c r="E43" s="145" t="s">
        <v>876</v>
      </c>
      <c r="F43" t="s">
        <v>33</v>
      </c>
      <c r="G43" s="124" t="s">
        <v>961</v>
      </c>
    </row>
    <row r="44" spans="1:7" x14ac:dyDescent="0.35">
      <c r="A44" s="142" t="s">
        <v>6</v>
      </c>
      <c r="B44" s="144" t="s">
        <v>219</v>
      </c>
      <c r="C44" s="125">
        <v>1</v>
      </c>
      <c r="D44" s="143">
        <v>73.5</v>
      </c>
      <c r="E44" s="145" t="s">
        <v>876</v>
      </c>
      <c r="F44" t="s">
        <v>33</v>
      </c>
      <c r="G44" s="124" t="s">
        <v>960</v>
      </c>
    </row>
    <row r="45" spans="1:7" x14ac:dyDescent="0.35">
      <c r="A45" s="142" t="s">
        <v>6</v>
      </c>
      <c r="B45" s="144" t="s">
        <v>211</v>
      </c>
      <c r="C45" s="125">
        <v>1</v>
      </c>
      <c r="D45" s="143">
        <v>73.5</v>
      </c>
      <c r="E45" s="145" t="s">
        <v>62</v>
      </c>
      <c r="F45" t="s">
        <v>33</v>
      </c>
      <c r="G45" s="124" t="s">
        <v>959</v>
      </c>
    </row>
    <row r="46" spans="1:7" x14ac:dyDescent="0.35">
      <c r="A46" s="142" t="s">
        <v>6</v>
      </c>
      <c r="B46" s="144" t="s">
        <v>211</v>
      </c>
      <c r="C46" s="125">
        <v>1</v>
      </c>
      <c r="D46" s="143">
        <v>73.5</v>
      </c>
      <c r="E46" s="145" t="s">
        <v>62</v>
      </c>
      <c r="F46" t="s">
        <v>33</v>
      </c>
      <c r="G46" s="124" t="s">
        <v>958</v>
      </c>
    </row>
    <row r="47" spans="1:7" x14ac:dyDescent="0.35">
      <c r="A47" s="142" t="s">
        <v>6</v>
      </c>
      <c r="B47" s="144" t="s">
        <v>86</v>
      </c>
      <c r="C47" s="125">
        <v>1</v>
      </c>
      <c r="D47" s="143">
        <v>73.5</v>
      </c>
      <c r="E47" s="145" t="s">
        <v>47</v>
      </c>
      <c r="F47" t="s">
        <v>33</v>
      </c>
      <c r="G47" s="124" t="s">
        <v>956</v>
      </c>
    </row>
    <row r="48" spans="1:7" x14ac:dyDescent="0.35">
      <c r="A48" s="142" t="s">
        <v>6</v>
      </c>
      <c r="B48" s="144" t="s">
        <v>219</v>
      </c>
      <c r="C48" s="125">
        <v>1</v>
      </c>
      <c r="D48" s="143">
        <v>73.5</v>
      </c>
      <c r="E48" s="145" t="s">
        <v>876</v>
      </c>
      <c r="F48" t="s">
        <v>33</v>
      </c>
      <c r="G48" s="124" t="s">
        <v>957</v>
      </c>
    </row>
    <row r="49" spans="1:7" x14ac:dyDescent="0.35">
      <c r="A49" s="142" t="s">
        <v>6</v>
      </c>
      <c r="B49" t="s">
        <v>304</v>
      </c>
      <c r="C49" s="125">
        <v>1</v>
      </c>
      <c r="D49" s="143">
        <v>73.5</v>
      </c>
      <c r="E49" s="14" t="s">
        <v>52</v>
      </c>
      <c r="F49" t="s">
        <v>33</v>
      </c>
      <c r="G49" s="124" t="s">
        <v>963</v>
      </c>
    </row>
    <row r="50" spans="1:7" x14ac:dyDescent="0.35">
      <c r="A50" s="142" t="s">
        <v>6</v>
      </c>
      <c r="B50" t="s">
        <v>142</v>
      </c>
      <c r="C50" s="125">
        <v>1</v>
      </c>
      <c r="D50" s="143">
        <v>73.5</v>
      </c>
      <c r="E50" s="14" t="s">
        <v>44</v>
      </c>
      <c r="F50" t="s">
        <v>33</v>
      </c>
      <c r="G50" s="124" t="s">
        <v>964</v>
      </c>
    </row>
    <row r="51" spans="1:7" x14ac:dyDescent="0.35">
      <c r="A51" s="142" t="s">
        <v>6</v>
      </c>
      <c r="B51" t="s">
        <v>142</v>
      </c>
      <c r="C51" s="125">
        <v>1</v>
      </c>
      <c r="D51" s="143">
        <v>73.5</v>
      </c>
      <c r="E51" s="14" t="s">
        <v>44</v>
      </c>
      <c r="F51" t="s">
        <v>33</v>
      </c>
      <c r="G51" s="124" t="s">
        <v>965</v>
      </c>
    </row>
    <row r="52" spans="1:7" x14ac:dyDescent="0.35">
      <c r="A52" s="142" t="s">
        <v>6</v>
      </c>
      <c r="B52" t="s">
        <v>142</v>
      </c>
      <c r="C52" s="125">
        <v>1</v>
      </c>
      <c r="D52" s="143">
        <v>73.5</v>
      </c>
      <c r="E52" s="14" t="s">
        <v>44</v>
      </c>
      <c r="F52" t="s">
        <v>33</v>
      </c>
      <c r="G52" s="124" t="s">
        <v>966</v>
      </c>
    </row>
    <row r="53" spans="1:7" x14ac:dyDescent="0.35">
      <c r="A53" s="142" t="s">
        <v>6</v>
      </c>
      <c r="B53" s="144" t="s">
        <v>86</v>
      </c>
      <c r="C53" s="125">
        <v>1</v>
      </c>
      <c r="D53" s="143">
        <v>73.5</v>
      </c>
      <c r="E53" s="145" t="s">
        <v>47</v>
      </c>
      <c r="F53" t="s">
        <v>33</v>
      </c>
      <c r="G53" s="124" t="s">
        <v>967</v>
      </c>
    </row>
    <row r="54" spans="1:7" x14ac:dyDescent="0.35">
      <c r="A54" s="142" t="s">
        <v>6</v>
      </c>
      <c r="B54" s="144" t="s">
        <v>86</v>
      </c>
      <c r="C54" s="125">
        <v>1</v>
      </c>
      <c r="D54" s="143">
        <v>73.5</v>
      </c>
      <c r="E54" s="145" t="s">
        <v>47</v>
      </c>
      <c r="F54" t="s">
        <v>33</v>
      </c>
      <c r="G54" s="124" t="s">
        <v>968</v>
      </c>
    </row>
    <row r="55" spans="1:7" x14ac:dyDescent="0.35">
      <c r="A55" s="142" t="s">
        <v>6</v>
      </c>
      <c r="B55" s="144" t="s">
        <v>86</v>
      </c>
      <c r="C55" s="125">
        <v>1</v>
      </c>
      <c r="D55" s="143">
        <v>73.5</v>
      </c>
      <c r="E55" s="145" t="s">
        <v>47</v>
      </c>
      <c r="F55" t="s">
        <v>33</v>
      </c>
      <c r="G55" s="124" t="s">
        <v>969</v>
      </c>
    </row>
    <row r="56" spans="1:7" x14ac:dyDescent="0.35">
      <c r="A56" s="142" t="s">
        <v>6</v>
      </c>
      <c r="B56" s="144" t="s">
        <v>86</v>
      </c>
      <c r="C56" s="125">
        <v>1</v>
      </c>
      <c r="D56" s="143">
        <v>73.5</v>
      </c>
      <c r="E56" s="145" t="s">
        <v>47</v>
      </c>
      <c r="F56" t="s">
        <v>33</v>
      </c>
      <c r="G56" s="124" t="s">
        <v>971</v>
      </c>
    </row>
    <row r="57" spans="1:7" x14ac:dyDescent="0.35">
      <c r="A57" s="142" t="s">
        <v>6</v>
      </c>
      <c r="B57" s="144" t="s">
        <v>211</v>
      </c>
      <c r="C57" s="125">
        <v>1</v>
      </c>
      <c r="D57" s="143">
        <v>73.5</v>
      </c>
      <c r="E57" s="145" t="s">
        <v>62</v>
      </c>
      <c r="F57" t="s">
        <v>33</v>
      </c>
      <c r="G57" s="124" t="s">
        <v>972</v>
      </c>
    </row>
    <row r="58" spans="1:7" x14ac:dyDescent="0.35">
      <c r="A58" s="142" t="s">
        <v>6</v>
      </c>
      <c r="B58" s="144" t="s">
        <v>219</v>
      </c>
      <c r="C58" s="125">
        <v>1</v>
      </c>
      <c r="D58" s="143">
        <v>132</v>
      </c>
      <c r="E58" s="145" t="s">
        <v>876</v>
      </c>
      <c r="F58" t="s">
        <v>90</v>
      </c>
      <c r="G58" s="124" t="s">
        <v>973</v>
      </c>
    </row>
    <row r="59" spans="1:7" x14ac:dyDescent="0.35">
      <c r="A59" s="142" t="s">
        <v>6</v>
      </c>
      <c r="B59" t="s">
        <v>88</v>
      </c>
      <c r="C59" s="125">
        <v>1</v>
      </c>
      <c r="D59" s="143">
        <v>40</v>
      </c>
      <c r="E59" s="14" t="s">
        <v>83</v>
      </c>
      <c r="F59" t="s">
        <v>34</v>
      </c>
      <c r="G59" s="124" t="s">
        <v>974</v>
      </c>
    </row>
    <row r="60" spans="1:7" x14ac:dyDescent="0.35">
      <c r="A60" s="142" t="s">
        <v>6</v>
      </c>
      <c r="B60" t="s">
        <v>72</v>
      </c>
      <c r="C60" s="125">
        <v>1</v>
      </c>
      <c r="D60" s="143">
        <v>29</v>
      </c>
      <c r="E60" s="14" t="s">
        <v>82</v>
      </c>
      <c r="F60" t="s">
        <v>36</v>
      </c>
      <c r="G60" s="124" t="s">
        <v>976</v>
      </c>
    </row>
  </sheetData>
  <protectedRanges>
    <protectedRange sqref="D16:D20 D23:D24 D10:D14" name="Amount_2"/>
    <protectedRange sqref="D9" name="Amount_2_1_1"/>
  </protectedRanges>
  <autoFilter ref="A8:G60" xr:uid="{53978A66-38F7-49ED-A0F9-EB59C3E82D59}"/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EEC53A-0F2C-4BAB-82AC-9C03042C7C40}">
          <x14:formula1>
            <xm:f>'Lookup Values'!$G$2:$G$35</xm:f>
          </x14:formula1>
          <xm:sqref>E15:F15 E10:E14 E16:E60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41014-2C8D-43F5-86D4-EE02893907E7}">
  <dimension ref="A1:G34"/>
  <sheetViews>
    <sheetView workbookViewId="0">
      <selection activeCell="B12" sqref="B12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1069</v>
      </c>
    </row>
    <row r="4" spans="1:7" x14ac:dyDescent="0.35">
      <c r="A4" s="8" t="s">
        <v>29</v>
      </c>
      <c r="B4" s="9" t="s">
        <v>1070</v>
      </c>
    </row>
    <row r="5" spans="1:7" ht="15" thickBot="1" x14ac:dyDescent="0.4">
      <c r="A5" s="10" t="s">
        <v>30</v>
      </c>
      <c r="B5" s="11" t="s">
        <v>1071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ht="19.5" customHeight="1" x14ac:dyDescent="0.35">
      <c r="A9" s="142" t="s">
        <v>6</v>
      </c>
      <c r="B9" s="142" t="s">
        <v>7</v>
      </c>
      <c r="C9" s="134">
        <v>1</v>
      </c>
      <c r="D9" s="143">
        <f>-SUM(D10:D29)</f>
        <v>-1384.1999999999998</v>
      </c>
      <c r="E9" s="124" t="s">
        <v>12</v>
      </c>
      <c r="F9" s="124" t="s">
        <v>551</v>
      </c>
      <c r="G9" s="130"/>
    </row>
    <row r="10" spans="1:7" x14ac:dyDescent="0.35">
      <c r="A10" s="144" t="s">
        <v>6</v>
      </c>
      <c r="B10" s="144" t="s">
        <v>72</v>
      </c>
      <c r="C10" s="125">
        <v>1</v>
      </c>
      <c r="D10" s="148">
        <v>50</v>
      </c>
      <c r="E10" s="145" t="s">
        <v>82</v>
      </c>
      <c r="F10" s="144" t="s">
        <v>34</v>
      </c>
      <c r="G10" s="124" t="s">
        <v>993</v>
      </c>
    </row>
    <row r="11" spans="1:7" x14ac:dyDescent="0.35">
      <c r="A11" s="144" t="s">
        <v>6</v>
      </c>
      <c r="B11" s="144" t="s">
        <v>72</v>
      </c>
      <c r="C11" s="125">
        <v>1</v>
      </c>
      <c r="D11" s="148">
        <v>15</v>
      </c>
      <c r="E11" s="145" t="s">
        <v>82</v>
      </c>
      <c r="F11" s="144" t="s">
        <v>35</v>
      </c>
      <c r="G11" s="124" t="s">
        <v>993</v>
      </c>
    </row>
    <row r="12" spans="1:7" x14ac:dyDescent="0.35">
      <c r="A12" s="144" t="s">
        <v>6</v>
      </c>
      <c r="B12" s="144" t="s">
        <v>219</v>
      </c>
      <c r="C12" s="125">
        <v>1</v>
      </c>
      <c r="D12" s="143">
        <v>82</v>
      </c>
      <c r="E12" s="145" t="s">
        <v>876</v>
      </c>
      <c r="F12" s="124" t="s">
        <v>995</v>
      </c>
      <c r="G12" s="124" t="s">
        <v>994</v>
      </c>
    </row>
    <row r="13" spans="1:7" x14ac:dyDescent="0.35">
      <c r="A13" s="144" t="s">
        <v>6</v>
      </c>
      <c r="B13" s="144" t="s">
        <v>219</v>
      </c>
      <c r="C13" s="125">
        <v>1</v>
      </c>
      <c r="D13" s="143">
        <v>132</v>
      </c>
      <c r="E13" s="145" t="s">
        <v>876</v>
      </c>
      <c r="F13" s="124" t="s">
        <v>989</v>
      </c>
      <c r="G13" s="124" t="s">
        <v>996</v>
      </c>
    </row>
    <row r="14" spans="1:7" x14ac:dyDescent="0.35">
      <c r="A14" s="144" t="s">
        <v>73</v>
      </c>
      <c r="B14" s="144" t="s">
        <v>163</v>
      </c>
      <c r="C14" s="125">
        <v>1</v>
      </c>
      <c r="D14" s="143">
        <v>132</v>
      </c>
      <c r="E14" s="145" t="s">
        <v>56</v>
      </c>
      <c r="F14" s="124" t="s">
        <v>989</v>
      </c>
      <c r="G14" s="124" t="s">
        <v>997</v>
      </c>
    </row>
    <row r="15" spans="1:7" x14ac:dyDescent="0.35">
      <c r="A15" s="144" t="s">
        <v>6</v>
      </c>
      <c r="B15" s="144" t="s">
        <v>219</v>
      </c>
      <c r="C15" s="125">
        <v>1</v>
      </c>
      <c r="D15" s="143">
        <v>35</v>
      </c>
      <c r="E15" s="145" t="s">
        <v>876</v>
      </c>
      <c r="F15" s="144" t="s">
        <v>36</v>
      </c>
      <c r="G15" s="124" t="s">
        <v>998</v>
      </c>
    </row>
    <row r="16" spans="1:7" x14ac:dyDescent="0.35">
      <c r="A16" s="144" t="s">
        <v>6</v>
      </c>
      <c r="B16" s="144" t="s">
        <v>72</v>
      </c>
      <c r="C16" s="125">
        <v>1</v>
      </c>
      <c r="D16" s="148">
        <v>50</v>
      </c>
      <c r="E16" s="145" t="s">
        <v>82</v>
      </c>
      <c r="F16" s="144" t="s">
        <v>34</v>
      </c>
      <c r="G16" s="124" t="s">
        <v>999</v>
      </c>
    </row>
    <row r="17" spans="1:7" x14ac:dyDescent="0.35">
      <c r="A17" s="144" t="s">
        <v>6</v>
      </c>
      <c r="B17" s="144" t="s">
        <v>72</v>
      </c>
      <c r="C17" s="125">
        <v>1</v>
      </c>
      <c r="D17" s="148">
        <v>15</v>
      </c>
      <c r="E17" s="145" t="s">
        <v>82</v>
      </c>
      <c r="F17" s="144" t="s">
        <v>35</v>
      </c>
      <c r="G17" s="124" t="s">
        <v>999</v>
      </c>
    </row>
    <row r="18" spans="1:7" x14ac:dyDescent="0.35">
      <c r="A18" s="131" t="s">
        <v>23</v>
      </c>
      <c r="B18" s="144" t="s">
        <v>206</v>
      </c>
      <c r="C18" s="125">
        <v>1</v>
      </c>
      <c r="D18" s="155">
        <v>35</v>
      </c>
      <c r="E18" s="145" t="s">
        <v>63</v>
      </c>
      <c r="F18" s="144" t="s">
        <v>36</v>
      </c>
      <c r="G18" s="124" t="s">
        <v>1000</v>
      </c>
    </row>
    <row r="19" spans="1:7" x14ac:dyDescent="0.35">
      <c r="A19" s="144" t="s">
        <v>73</v>
      </c>
      <c r="B19" s="144" t="s">
        <v>163</v>
      </c>
      <c r="C19" s="125">
        <v>1</v>
      </c>
      <c r="D19" s="148">
        <v>15</v>
      </c>
      <c r="E19" s="145" t="s">
        <v>56</v>
      </c>
      <c r="F19" s="144" t="s">
        <v>35</v>
      </c>
      <c r="G19" s="124" t="s">
        <v>1001</v>
      </c>
    </row>
    <row r="20" spans="1:7" x14ac:dyDescent="0.35">
      <c r="A20" s="144" t="s">
        <v>23</v>
      </c>
      <c r="B20" s="144" t="s">
        <v>211</v>
      </c>
      <c r="C20" s="125">
        <v>1</v>
      </c>
      <c r="D20" s="148">
        <v>15</v>
      </c>
      <c r="E20" s="145" t="s">
        <v>62</v>
      </c>
      <c r="F20" s="144" t="s">
        <v>35</v>
      </c>
      <c r="G20" s="124" t="s">
        <v>1002</v>
      </c>
    </row>
    <row r="21" spans="1:7" x14ac:dyDescent="0.35">
      <c r="A21" s="144" t="s">
        <v>6</v>
      </c>
      <c r="B21" s="144" t="s">
        <v>86</v>
      </c>
      <c r="C21" s="125">
        <v>1</v>
      </c>
      <c r="D21" s="148">
        <v>132</v>
      </c>
      <c r="E21" s="145" t="s">
        <v>47</v>
      </c>
      <c r="F21" s="124" t="s">
        <v>989</v>
      </c>
      <c r="G21" s="124" t="s">
        <v>1003</v>
      </c>
    </row>
    <row r="22" spans="1:7" x14ac:dyDescent="0.35">
      <c r="A22" s="144" t="s">
        <v>6</v>
      </c>
      <c r="B22" s="144" t="s">
        <v>86</v>
      </c>
      <c r="C22" s="125">
        <v>1</v>
      </c>
      <c r="D22" s="148">
        <v>166.1</v>
      </c>
      <c r="E22" s="145" t="s">
        <v>47</v>
      </c>
      <c r="F22" s="144" t="s">
        <v>992</v>
      </c>
      <c r="G22" s="124" t="s">
        <v>1004</v>
      </c>
    </row>
    <row r="23" spans="1:7" x14ac:dyDescent="0.35">
      <c r="A23" s="144" t="s">
        <v>23</v>
      </c>
      <c r="B23" s="144" t="s">
        <v>211</v>
      </c>
      <c r="C23" s="125">
        <v>1</v>
      </c>
      <c r="D23" s="126">
        <v>132</v>
      </c>
      <c r="E23" s="145" t="s">
        <v>62</v>
      </c>
      <c r="F23" s="124" t="s">
        <v>989</v>
      </c>
      <c r="G23" s="124" t="s">
        <v>1005</v>
      </c>
    </row>
    <row r="24" spans="1:7" x14ac:dyDescent="0.35">
      <c r="A24" s="144" t="s">
        <v>23</v>
      </c>
      <c r="B24" s="144" t="s">
        <v>211</v>
      </c>
      <c r="C24" s="125">
        <v>1</v>
      </c>
      <c r="D24" s="148">
        <v>82</v>
      </c>
      <c r="E24" s="145" t="s">
        <v>62</v>
      </c>
      <c r="F24" s="124" t="s">
        <v>995</v>
      </c>
      <c r="G24" s="124" t="s">
        <v>1006</v>
      </c>
    </row>
    <row r="25" spans="1:7" x14ac:dyDescent="0.35">
      <c r="A25" s="144" t="s">
        <v>23</v>
      </c>
      <c r="B25" s="144" t="s">
        <v>211</v>
      </c>
      <c r="C25" s="125">
        <v>1</v>
      </c>
      <c r="D25" s="148">
        <v>15</v>
      </c>
      <c r="E25" s="145" t="s">
        <v>62</v>
      </c>
      <c r="F25" s="144" t="s">
        <v>35</v>
      </c>
      <c r="G25" s="124" t="s">
        <v>1007</v>
      </c>
    </row>
    <row r="26" spans="1:7" x14ac:dyDescent="0.35">
      <c r="A26" s="144" t="s">
        <v>23</v>
      </c>
      <c r="B26" s="144" t="s">
        <v>211</v>
      </c>
      <c r="C26" s="125">
        <v>1</v>
      </c>
      <c r="D26" s="148">
        <v>15</v>
      </c>
      <c r="E26" s="145" t="s">
        <v>62</v>
      </c>
      <c r="F26" s="144" t="s">
        <v>35</v>
      </c>
      <c r="G26" s="124" t="s">
        <v>1008</v>
      </c>
    </row>
    <row r="27" spans="1:7" x14ac:dyDescent="0.35">
      <c r="A27" s="144" t="s">
        <v>23</v>
      </c>
      <c r="B27" s="144" t="s">
        <v>211</v>
      </c>
      <c r="C27" s="125">
        <v>1</v>
      </c>
      <c r="D27" s="148">
        <v>50</v>
      </c>
      <c r="E27" s="145" t="s">
        <v>62</v>
      </c>
      <c r="F27" s="144" t="s">
        <v>34</v>
      </c>
      <c r="G27" s="124" t="s">
        <v>1008</v>
      </c>
    </row>
    <row r="28" spans="1:7" x14ac:dyDescent="0.35">
      <c r="A28" t="s">
        <v>6</v>
      </c>
      <c r="B28" t="s">
        <v>219</v>
      </c>
      <c r="C28" s="125">
        <v>1</v>
      </c>
      <c r="D28" s="148">
        <v>50</v>
      </c>
      <c r="E28" s="145" t="s">
        <v>876</v>
      </c>
      <c r="F28" s="144" t="s">
        <v>34</v>
      </c>
      <c r="G28" s="124" t="s">
        <v>1009</v>
      </c>
    </row>
    <row r="29" spans="1:7" x14ac:dyDescent="0.35">
      <c r="A29" t="s">
        <v>73</v>
      </c>
      <c r="B29" t="s">
        <v>163</v>
      </c>
      <c r="C29" s="125">
        <v>1</v>
      </c>
      <c r="D29" s="126">
        <v>166.1</v>
      </c>
      <c r="E29" s="145" t="s">
        <v>56</v>
      </c>
      <c r="F29" s="124" t="s">
        <v>992</v>
      </c>
      <c r="G29" s="124" t="s">
        <v>1010</v>
      </c>
    </row>
    <row r="30" spans="1:7" x14ac:dyDescent="0.35">
      <c r="A30" s="123"/>
      <c r="B30" s="124"/>
      <c r="C30" s="125"/>
      <c r="D30" s="143"/>
      <c r="E30" s="124"/>
      <c r="F30" s="124"/>
      <c r="G30" s="124"/>
    </row>
    <row r="31" spans="1:7" x14ac:dyDescent="0.35">
      <c r="A31" s="123"/>
      <c r="B31" s="124"/>
      <c r="C31" s="125"/>
      <c r="D31" s="143"/>
      <c r="E31" s="124"/>
      <c r="F31" s="124"/>
      <c r="G31" s="124"/>
    </row>
    <row r="34" spans="5:5" x14ac:dyDescent="0.35">
      <c r="E34" s="14"/>
    </row>
  </sheetData>
  <protectedRanges>
    <protectedRange sqref="D10:D15 D17:D21 D24:D26" name="Amount_2"/>
    <protectedRange sqref="D9" name="Amount_2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58B30D7-74EC-4F5A-8F1A-ACB7B28DE286}">
          <x14:formula1>
            <xm:f>'Lookup Values'!$G$2:$G$35</xm:f>
          </x14:formula1>
          <xm:sqref>E16:F17 E18:E31 E12:E15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702A7-2738-44AB-BDCE-78D604B69FAA}">
  <dimension ref="A1:G60"/>
  <sheetViews>
    <sheetView workbookViewId="0">
      <selection activeCell="F8" sqref="F8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21" customWidth="1"/>
    <col min="4" max="4" width="24.1796875" customWidth="1"/>
    <col min="5" max="5" width="46.7265625" customWidth="1"/>
    <col min="6" max="6" width="50.81640625" customWidth="1"/>
    <col min="7" max="7" width="30.5429687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5" thickBot="1" x14ac:dyDescent="0.4"/>
    <row r="3" spans="1:7" x14ac:dyDescent="0.35">
      <c r="A3" s="158" t="s">
        <v>28</v>
      </c>
      <c r="B3" s="159" t="s">
        <v>1072</v>
      </c>
    </row>
    <row r="4" spans="1:7" x14ac:dyDescent="0.35">
      <c r="A4" s="160" t="s">
        <v>29</v>
      </c>
      <c r="B4" s="161" t="s">
        <v>1070</v>
      </c>
    </row>
    <row r="5" spans="1:7" ht="15" thickBot="1" x14ac:dyDescent="0.4">
      <c r="A5" s="162" t="s">
        <v>30</v>
      </c>
      <c r="B5" s="176" t="s">
        <v>1071</v>
      </c>
    </row>
    <row r="8" spans="1:7" x14ac:dyDescent="0.35">
      <c r="A8" s="164" t="s">
        <v>0</v>
      </c>
      <c r="B8" s="164" t="s">
        <v>1</v>
      </c>
      <c r="C8" s="164" t="s">
        <v>71</v>
      </c>
      <c r="D8" s="164" t="s">
        <v>1011</v>
      </c>
      <c r="E8" s="164" t="s">
        <v>4</v>
      </c>
      <c r="F8" s="164" t="s">
        <v>81</v>
      </c>
      <c r="G8" s="164" t="s">
        <v>77</v>
      </c>
    </row>
    <row r="9" spans="1:7" x14ac:dyDescent="0.35">
      <c r="A9" s="165" t="s">
        <v>6</v>
      </c>
      <c r="B9" s="166" t="s">
        <v>7</v>
      </c>
      <c r="C9" s="167">
        <v>1</v>
      </c>
      <c r="D9" s="175">
        <f>-SUM(D10:D59)</f>
        <v>-4010.7999999999993</v>
      </c>
      <c r="E9" s="165" t="s">
        <v>12</v>
      </c>
      <c r="F9" s="163" t="s">
        <v>978</v>
      </c>
      <c r="G9" s="168"/>
    </row>
    <row r="10" spans="1:7" x14ac:dyDescent="0.35">
      <c r="A10" s="163" t="s">
        <v>23</v>
      </c>
      <c r="B10" s="163" t="s">
        <v>211</v>
      </c>
      <c r="C10" s="167">
        <v>1</v>
      </c>
      <c r="D10" s="172">
        <v>50</v>
      </c>
      <c r="E10" s="163" t="s">
        <v>62</v>
      </c>
      <c r="F10" s="163" t="s">
        <v>34</v>
      </c>
      <c r="G10" s="165" t="s">
        <v>1012</v>
      </c>
    </row>
    <row r="11" spans="1:7" x14ac:dyDescent="0.35">
      <c r="A11" s="163" t="s">
        <v>23</v>
      </c>
      <c r="B11" s="163" t="s">
        <v>211</v>
      </c>
      <c r="C11" s="167">
        <v>1</v>
      </c>
      <c r="D11" s="172">
        <v>35</v>
      </c>
      <c r="E11" s="165" t="s">
        <v>62</v>
      </c>
      <c r="F11" s="163" t="s">
        <v>36</v>
      </c>
      <c r="G11" s="165" t="s">
        <v>1012</v>
      </c>
    </row>
    <row r="12" spans="1:7" x14ac:dyDescent="0.35">
      <c r="A12" s="165" t="s">
        <v>73</v>
      </c>
      <c r="B12" s="163" t="s">
        <v>163</v>
      </c>
      <c r="C12" s="169">
        <v>1</v>
      </c>
      <c r="D12" s="173">
        <v>132</v>
      </c>
      <c r="E12" s="165" t="s">
        <v>56</v>
      </c>
      <c r="F12" s="165" t="s">
        <v>989</v>
      </c>
      <c r="G12" s="165" t="s">
        <v>1013</v>
      </c>
    </row>
    <row r="13" spans="1:7" x14ac:dyDescent="0.35">
      <c r="A13" s="163" t="s">
        <v>6</v>
      </c>
      <c r="B13" s="163" t="s">
        <v>219</v>
      </c>
      <c r="C13" s="169">
        <v>1</v>
      </c>
      <c r="D13" s="173">
        <v>132</v>
      </c>
      <c r="E13" s="165" t="s">
        <v>876</v>
      </c>
      <c r="F13" s="165" t="s">
        <v>989</v>
      </c>
      <c r="G13" s="165" t="s">
        <v>1014</v>
      </c>
    </row>
    <row r="14" spans="1:7" x14ac:dyDescent="0.35">
      <c r="A14" s="163" t="s">
        <v>23</v>
      </c>
      <c r="B14" s="163" t="s">
        <v>211</v>
      </c>
      <c r="C14" s="169">
        <v>1</v>
      </c>
      <c r="D14" s="173">
        <v>132</v>
      </c>
      <c r="E14" s="163" t="s">
        <v>62</v>
      </c>
      <c r="F14" s="165" t="s">
        <v>989</v>
      </c>
      <c r="G14" s="165" t="s">
        <v>1015</v>
      </c>
    </row>
    <row r="15" spans="1:7" x14ac:dyDescent="0.35">
      <c r="A15" s="163" t="s">
        <v>23</v>
      </c>
      <c r="B15" s="163" t="s">
        <v>211</v>
      </c>
      <c r="C15" s="169">
        <v>1</v>
      </c>
      <c r="D15" s="173">
        <v>132</v>
      </c>
      <c r="E15" s="163" t="s">
        <v>62</v>
      </c>
      <c r="F15" s="165" t="s">
        <v>989</v>
      </c>
      <c r="G15" s="165" t="s">
        <v>1016</v>
      </c>
    </row>
    <row r="16" spans="1:7" x14ac:dyDescent="0.35">
      <c r="A16" s="163" t="s">
        <v>6</v>
      </c>
      <c r="B16" s="163" t="s">
        <v>219</v>
      </c>
      <c r="C16" s="169">
        <v>1</v>
      </c>
      <c r="D16" s="173">
        <v>132</v>
      </c>
      <c r="E16" s="165" t="s">
        <v>876</v>
      </c>
      <c r="F16" s="165" t="s">
        <v>989</v>
      </c>
      <c r="G16" s="165" t="s">
        <v>1017</v>
      </c>
    </row>
    <row r="17" spans="1:7" x14ac:dyDescent="0.35">
      <c r="A17" s="163" t="s">
        <v>6</v>
      </c>
      <c r="B17" s="163" t="s">
        <v>219</v>
      </c>
      <c r="C17" s="169">
        <v>1</v>
      </c>
      <c r="D17" s="173">
        <v>132</v>
      </c>
      <c r="E17" s="165" t="s">
        <v>876</v>
      </c>
      <c r="F17" s="165" t="s">
        <v>989</v>
      </c>
      <c r="G17" s="163" t="s">
        <v>1018</v>
      </c>
    </row>
    <row r="18" spans="1:7" x14ac:dyDescent="0.35">
      <c r="A18" s="165" t="s">
        <v>73</v>
      </c>
      <c r="B18" s="163" t="s">
        <v>163</v>
      </c>
      <c r="C18" s="169">
        <v>1</v>
      </c>
      <c r="D18" s="173">
        <v>132</v>
      </c>
      <c r="E18" s="165" t="s">
        <v>56</v>
      </c>
      <c r="F18" s="165" t="s">
        <v>989</v>
      </c>
      <c r="G18" s="163" t="s">
        <v>1019</v>
      </c>
    </row>
    <row r="19" spans="1:7" x14ac:dyDescent="0.35">
      <c r="A19" s="163" t="s">
        <v>23</v>
      </c>
      <c r="B19" s="163" t="s">
        <v>211</v>
      </c>
      <c r="C19" s="169">
        <v>1</v>
      </c>
      <c r="D19" s="173">
        <v>166.1</v>
      </c>
      <c r="E19" s="163" t="s">
        <v>62</v>
      </c>
      <c r="F19" s="165" t="s">
        <v>992</v>
      </c>
      <c r="G19" s="163" t="s">
        <v>1020</v>
      </c>
    </row>
    <row r="20" spans="1:7" x14ac:dyDescent="0.35">
      <c r="A20" s="163" t="s">
        <v>23</v>
      </c>
      <c r="B20" s="163" t="s">
        <v>211</v>
      </c>
      <c r="C20" s="169">
        <v>1</v>
      </c>
      <c r="D20" s="173">
        <v>166.1</v>
      </c>
      <c r="E20" s="163" t="s">
        <v>62</v>
      </c>
      <c r="F20" s="165" t="s">
        <v>992</v>
      </c>
      <c r="G20" s="163" t="s">
        <v>1021</v>
      </c>
    </row>
    <row r="21" spans="1:7" x14ac:dyDescent="0.35">
      <c r="A21" s="163" t="s">
        <v>6</v>
      </c>
      <c r="B21" s="163" t="s">
        <v>219</v>
      </c>
      <c r="C21" s="169">
        <v>1</v>
      </c>
      <c r="D21" s="173">
        <v>166.1</v>
      </c>
      <c r="E21" s="165" t="s">
        <v>876</v>
      </c>
      <c r="F21" s="165" t="s">
        <v>992</v>
      </c>
      <c r="G21" s="165" t="s">
        <v>1022</v>
      </c>
    </row>
    <row r="22" spans="1:7" x14ac:dyDescent="0.35">
      <c r="A22" s="163" t="s">
        <v>6</v>
      </c>
      <c r="B22" s="163" t="s">
        <v>219</v>
      </c>
      <c r="C22" s="169">
        <v>1</v>
      </c>
      <c r="D22" s="173">
        <v>166.1</v>
      </c>
      <c r="E22" s="165" t="s">
        <v>876</v>
      </c>
      <c r="F22" s="165" t="s">
        <v>992</v>
      </c>
      <c r="G22" s="163" t="s">
        <v>1023</v>
      </c>
    </row>
    <row r="23" spans="1:7" x14ac:dyDescent="0.35">
      <c r="A23" s="165" t="s">
        <v>73</v>
      </c>
      <c r="B23" s="163" t="s">
        <v>163</v>
      </c>
      <c r="C23" s="169">
        <v>1</v>
      </c>
      <c r="D23" s="173">
        <v>166.1</v>
      </c>
      <c r="E23" s="165" t="s">
        <v>56</v>
      </c>
      <c r="F23" s="165" t="s">
        <v>992</v>
      </c>
      <c r="G23" s="163" t="s">
        <v>1024</v>
      </c>
    </row>
    <row r="24" spans="1:7" x14ac:dyDescent="0.35">
      <c r="A24" s="163" t="s">
        <v>6</v>
      </c>
      <c r="B24" s="163" t="s">
        <v>219</v>
      </c>
      <c r="C24" s="169">
        <v>1</v>
      </c>
      <c r="D24" s="173">
        <v>166.1</v>
      </c>
      <c r="E24" s="165" t="s">
        <v>876</v>
      </c>
      <c r="F24" s="165" t="s">
        <v>992</v>
      </c>
      <c r="G24" s="165" t="s">
        <v>1025</v>
      </c>
    </row>
    <row r="25" spans="1:7" x14ac:dyDescent="0.35">
      <c r="A25" s="163" t="s">
        <v>6</v>
      </c>
      <c r="B25" s="163" t="s">
        <v>72</v>
      </c>
      <c r="C25" s="167">
        <v>1</v>
      </c>
      <c r="D25" s="172">
        <v>15</v>
      </c>
      <c r="E25" s="163" t="s">
        <v>82</v>
      </c>
      <c r="F25" s="163" t="s">
        <v>35</v>
      </c>
      <c r="G25" s="163" t="s">
        <v>1026</v>
      </c>
    </row>
    <row r="26" spans="1:7" x14ac:dyDescent="0.35">
      <c r="A26" s="163" t="s">
        <v>23</v>
      </c>
      <c r="B26" s="163" t="s">
        <v>211</v>
      </c>
      <c r="C26" s="167">
        <v>1</v>
      </c>
      <c r="D26" s="173">
        <v>132</v>
      </c>
      <c r="E26" s="163" t="s">
        <v>62</v>
      </c>
      <c r="F26" s="165" t="s">
        <v>989</v>
      </c>
      <c r="G26" s="163" t="s">
        <v>1027</v>
      </c>
    </row>
    <row r="27" spans="1:7" x14ac:dyDescent="0.35">
      <c r="A27" s="163" t="s">
        <v>6</v>
      </c>
      <c r="B27" s="163" t="s">
        <v>86</v>
      </c>
      <c r="C27" s="167">
        <v>1</v>
      </c>
      <c r="D27" s="172">
        <v>15</v>
      </c>
      <c r="E27" s="163" t="s">
        <v>47</v>
      </c>
      <c r="F27" s="163" t="s">
        <v>35</v>
      </c>
      <c r="G27" s="163" t="s">
        <v>1028</v>
      </c>
    </row>
    <row r="28" spans="1:7" x14ac:dyDescent="0.35">
      <c r="A28" s="163" t="s">
        <v>6</v>
      </c>
      <c r="B28" s="163" t="s">
        <v>304</v>
      </c>
      <c r="C28" s="167">
        <v>1</v>
      </c>
      <c r="D28" s="172">
        <v>15</v>
      </c>
      <c r="E28" s="163" t="s">
        <v>52</v>
      </c>
      <c r="F28" s="163" t="s">
        <v>35</v>
      </c>
      <c r="G28" s="163" t="s">
        <v>1029</v>
      </c>
    </row>
    <row r="29" spans="1:7" x14ac:dyDescent="0.35">
      <c r="A29" s="163" t="s">
        <v>6</v>
      </c>
      <c r="B29" s="163" t="s">
        <v>72</v>
      </c>
      <c r="C29" s="167">
        <v>1</v>
      </c>
      <c r="D29" s="172">
        <v>35</v>
      </c>
      <c r="E29" s="163" t="s">
        <v>82</v>
      </c>
      <c r="F29" s="163" t="s">
        <v>36</v>
      </c>
      <c r="G29" s="163" t="s">
        <v>1030</v>
      </c>
    </row>
    <row r="30" spans="1:7" x14ac:dyDescent="0.35">
      <c r="A30" s="163" t="s">
        <v>6</v>
      </c>
      <c r="B30" s="163" t="s">
        <v>86</v>
      </c>
      <c r="C30" s="167">
        <v>1</v>
      </c>
      <c r="D30" s="172">
        <v>35</v>
      </c>
      <c r="E30" s="163" t="s">
        <v>47</v>
      </c>
      <c r="F30" s="163" t="s">
        <v>36</v>
      </c>
      <c r="G30" s="163" t="s">
        <v>1031</v>
      </c>
    </row>
    <row r="31" spans="1:7" x14ac:dyDescent="0.35">
      <c r="A31" s="163" t="s">
        <v>23</v>
      </c>
      <c r="B31" s="163" t="s">
        <v>211</v>
      </c>
      <c r="C31" s="167">
        <v>1</v>
      </c>
      <c r="D31" s="172">
        <v>50</v>
      </c>
      <c r="E31" s="163" t="s">
        <v>62</v>
      </c>
      <c r="F31" s="163" t="s">
        <v>34</v>
      </c>
      <c r="G31" s="163" t="s">
        <v>1032</v>
      </c>
    </row>
    <row r="32" spans="1:7" x14ac:dyDescent="0.35">
      <c r="A32" s="163" t="s">
        <v>23</v>
      </c>
      <c r="B32" s="163" t="s">
        <v>211</v>
      </c>
      <c r="C32" s="167">
        <v>1</v>
      </c>
      <c r="D32" s="172">
        <v>15</v>
      </c>
      <c r="E32" s="163" t="s">
        <v>62</v>
      </c>
      <c r="F32" s="163" t="s">
        <v>35</v>
      </c>
      <c r="G32" s="163" t="s">
        <v>1032</v>
      </c>
    </row>
    <row r="33" spans="1:7" x14ac:dyDescent="0.35">
      <c r="A33" s="163" t="s">
        <v>6</v>
      </c>
      <c r="B33" s="163" t="s">
        <v>72</v>
      </c>
      <c r="C33" s="167">
        <v>1</v>
      </c>
      <c r="D33" s="172">
        <v>15</v>
      </c>
      <c r="E33" s="163" t="s">
        <v>82</v>
      </c>
      <c r="F33" s="163" t="s">
        <v>35</v>
      </c>
      <c r="G33" s="163" t="s">
        <v>1033</v>
      </c>
    </row>
    <row r="34" spans="1:7" x14ac:dyDescent="0.35">
      <c r="A34" s="165" t="s">
        <v>73</v>
      </c>
      <c r="B34" s="163" t="s">
        <v>163</v>
      </c>
      <c r="C34" s="169">
        <v>1</v>
      </c>
      <c r="D34" s="172">
        <v>35</v>
      </c>
      <c r="E34" s="165" t="s">
        <v>56</v>
      </c>
      <c r="F34" s="163" t="s">
        <v>36</v>
      </c>
      <c r="G34" s="163" t="s">
        <v>1034</v>
      </c>
    </row>
    <row r="35" spans="1:7" x14ac:dyDescent="0.35">
      <c r="A35" s="165" t="s">
        <v>73</v>
      </c>
      <c r="B35" s="163" t="s">
        <v>163</v>
      </c>
      <c r="C35" s="169">
        <v>1</v>
      </c>
      <c r="D35" s="172">
        <v>15</v>
      </c>
      <c r="E35" s="165" t="s">
        <v>56</v>
      </c>
      <c r="F35" s="163" t="s">
        <v>35</v>
      </c>
      <c r="G35" s="163" t="s">
        <v>1035</v>
      </c>
    </row>
    <row r="36" spans="1:7" x14ac:dyDescent="0.35">
      <c r="A36" s="163" t="s">
        <v>23</v>
      </c>
      <c r="B36" s="163" t="s">
        <v>211</v>
      </c>
      <c r="C36" s="170">
        <v>1</v>
      </c>
      <c r="D36" s="171">
        <v>166.1</v>
      </c>
      <c r="E36" s="145" t="s">
        <v>62</v>
      </c>
      <c r="F36" s="124" t="s">
        <v>992</v>
      </c>
      <c r="G36" s="163" t="s">
        <v>1036</v>
      </c>
    </row>
    <row r="37" spans="1:7" x14ac:dyDescent="0.35">
      <c r="A37" s="144" t="s">
        <v>6</v>
      </c>
      <c r="B37" s="144" t="s">
        <v>219</v>
      </c>
      <c r="C37" s="170">
        <v>1</v>
      </c>
      <c r="D37" s="148">
        <v>73.5</v>
      </c>
      <c r="E37" s="145" t="s">
        <v>876</v>
      </c>
      <c r="F37" s="144" t="s">
        <v>33</v>
      </c>
      <c r="G37" s="163" t="s">
        <v>1038</v>
      </c>
    </row>
    <row r="38" spans="1:7" x14ac:dyDescent="0.35">
      <c r="A38" s="163" t="s">
        <v>73</v>
      </c>
      <c r="B38" s="163" t="s">
        <v>163</v>
      </c>
      <c r="C38" s="170">
        <v>1</v>
      </c>
      <c r="D38" s="148">
        <v>73.5</v>
      </c>
      <c r="E38" s="165" t="s">
        <v>56</v>
      </c>
      <c r="F38" s="144" t="s">
        <v>33</v>
      </c>
      <c r="G38" s="163" t="s">
        <v>1037</v>
      </c>
    </row>
    <row r="39" spans="1:7" x14ac:dyDescent="0.35">
      <c r="A39" s="163" t="s">
        <v>6</v>
      </c>
      <c r="B39" s="163" t="s">
        <v>72</v>
      </c>
      <c r="C39" s="170">
        <v>1</v>
      </c>
      <c r="D39" s="148">
        <v>73.5</v>
      </c>
      <c r="E39" s="163" t="s">
        <v>82</v>
      </c>
      <c r="F39" s="144" t="s">
        <v>33</v>
      </c>
      <c r="G39" s="163" t="s">
        <v>1039</v>
      </c>
    </row>
    <row r="40" spans="1:7" x14ac:dyDescent="0.35">
      <c r="A40" s="163" t="s">
        <v>73</v>
      </c>
      <c r="B40" s="163" t="s">
        <v>163</v>
      </c>
      <c r="C40" s="170">
        <v>1</v>
      </c>
      <c r="D40" s="148">
        <v>73.5</v>
      </c>
      <c r="E40" s="165" t="s">
        <v>56</v>
      </c>
      <c r="F40" s="144" t="s">
        <v>33</v>
      </c>
      <c r="G40" s="163" t="s">
        <v>1040</v>
      </c>
    </row>
    <row r="41" spans="1:7" x14ac:dyDescent="0.35">
      <c r="A41" s="144" t="s">
        <v>6</v>
      </c>
      <c r="B41" s="144" t="s">
        <v>219</v>
      </c>
      <c r="C41" s="170">
        <v>1</v>
      </c>
      <c r="D41" s="148">
        <v>73.5</v>
      </c>
      <c r="E41" s="145" t="s">
        <v>876</v>
      </c>
      <c r="F41" s="144" t="s">
        <v>33</v>
      </c>
      <c r="G41" s="163" t="s">
        <v>1041</v>
      </c>
    </row>
    <row r="42" spans="1:7" x14ac:dyDescent="0.35">
      <c r="A42" s="163" t="s">
        <v>6</v>
      </c>
      <c r="B42" s="163" t="s">
        <v>86</v>
      </c>
      <c r="C42" s="170">
        <v>1</v>
      </c>
      <c r="D42" s="148">
        <v>73.5</v>
      </c>
      <c r="E42" s="163" t="s">
        <v>47</v>
      </c>
      <c r="F42" s="144" t="s">
        <v>33</v>
      </c>
      <c r="G42" s="163" t="s">
        <v>1042</v>
      </c>
    </row>
    <row r="43" spans="1:7" x14ac:dyDescent="0.35">
      <c r="A43" s="144" t="s">
        <v>6</v>
      </c>
      <c r="B43" s="144" t="s">
        <v>219</v>
      </c>
      <c r="C43" s="170">
        <v>1</v>
      </c>
      <c r="D43" s="148">
        <v>73.5</v>
      </c>
      <c r="E43" s="145" t="s">
        <v>876</v>
      </c>
      <c r="F43" s="144" t="s">
        <v>33</v>
      </c>
      <c r="G43" s="163" t="s">
        <v>1043</v>
      </c>
    </row>
    <row r="44" spans="1:7" x14ac:dyDescent="0.35">
      <c r="A44" s="144" t="s">
        <v>6</v>
      </c>
      <c r="B44" s="144" t="s">
        <v>219</v>
      </c>
      <c r="C44" s="170">
        <v>1</v>
      </c>
      <c r="D44" s="148">
        <v>73.5</v>
      </c>
      <c r="E44" s="145" t="s">
        <v>876</v>
      </c>
      <c r="F44" s="144" t="s">
        <v>33</v>
      </c>
      <c r="G44" s="163" t="s">
        <v>1044</v>
      </c>
    </row>
    <row r="45" spans="1:7" x14ac:dyDescent="0.35">
      <c r="A45" s="144" t="s">
        <v>6</v>
      </c>
      <c r="B45" s="144" t="s">
        <v>219</v>
      </c>
      <c r="C45" s="170">
        <v>1</v>
      </c>
      <c r="D45" s="148">
        <v>73.5</v>
      </c>
      <c r="E45" s="145" t="s">
        <v>876</v>
      </c>
      <c r="F45" s="144" t="s">
        <v>33</v>
      </c>
      <c r="G45" s="163" t="s">
        <v>1045</v>
      </c>
    </row>
    <row r="46" spans="1:7" x14ac:dyDescent="0.35">
      <c r="A46" s="144" t="s">
        <v>6</v>
      </c>
      <c r="B46" s="144" t="s">
        <v>219</v>
      </c>
      <c r="C46" s="170">
        <v>1</v>
      </c>
      <c r="D46" s="148">
        <v>73.5</v>
      </c>
      <c r="E46" s="145" t="s">
        <v>876</v>
      </c>
      <c r="F46" s="144" t="s">
        <v>33</v>
      </c>
      <c r="G46" s="163" t="s">
        <v>1046</v>
      </c>
    </row>
    <row r="47" spans="1:7" x14ac:dyDescent="0.35">
      <c r="A47" s="144" t="s">
        <v>6</v>
      </c>
      <c r="B47" s="144" t="s">
        <v>219</v>
      </c>
      <c r="C47" s="170">
        <v>1</v>
      </c>
      <c r="D47" s="148">
        <v>73.5</v>
      </c>
      <c r="E47" s="145" t="s">
        <v>876</v>
      </c>
      <c r="F47" s="144" t="s">
        <v>33</v>
      </c>
      <c r="G47" s="163" t="s">
        <v>1047</v>
      </c>
    </row>
    <row r="48" spans="1:7" x14ac:dyDescent="0.35">
      <c r="A48" s="163" t="s">
        <v>23</v>
      </c>
      <c r="B48" s="163" t="s">
        <v>211</v>
      </c>
      <c r="C48" s="170">
        <v>1</v>
      </c>
      <c r="D48" s="148">
        <v>73.5</v>
      </c>
      <c r="E48" s="145" t="s">
        <v>62</v>
      </c>
      <c r="F48" s="144" t="s">
        <v>33</v>
      </c>
      <c r="G48" s="163" t="s">
        <v>1048</v>
      </c>
    </row>
    <row r="49" spans="1:7" x14ac:dyDescent="0.35">
      <c r="A49" s="144" t="s">
        <v>6</v>
      </c>
      <c r="B49" s="144" t="s">
        <v>219</v>
      </c>
      <c r="C49" s="170">
        <v>1</v>
      </c>
      <c r="D49" s="173">
        <v>132</v>
      </c>
      <c r="E49" s="145" t="s">
        <v>876</v>
      </c>
      <c r="F49" s="165" t="s">
        <v>989</v>
      </c>
      <c r="G49" s="163" t="s">
        <v>1049</v>
      </c>
    </row>
    <row r="50" spans="1:7" x14ac:dyDescent="0.35">
      <c r="A50" s="144" t="s">
        <v>6</v>
      </c>
      <c r="B50" s="144" t="s">
        <v>219</v>
      </c>
      <c r="C50" s="170">
        <v>1</v>
      </c>
      <c r="D50" s="171">
        <v>166.1</v>
      </c>
      <c r="E50" s="145" t="s">
        <v>876</v>
      </c>
      <c r="F50" s="124" t="s">
        <v>992</v>
      </c>
      <c r="G50" s="163" t="s">
        <v>1050</v>
      </c>
    </row>
    <row r="51" spans="1:7" x14ac:dyDescent="0.35">
      <c r="A51" s="144" t="s">
        <v>6</v>
      </c>
      <c r="B51" s="144" t="s">
        <v>219</v>
      </c>
      <c r="C51" s="170">
        <v>1</v>
      </c>
      <c r="D51" s="148">
        <v>82</v>
      </c>
      <c r="E51" s="145" t="s">
        <v>876</v>
      </c>
      <c r="F51" s="124" t="s">
        <v>1051</v>
      </c>
      <c r="G51" s="163" t="s">
        <v>1052</v>
      </c>
    </row>
    <row r="52" spans="1:7" x14ac:dyDescent="0.35">
      <c r="A52" s="163" t="s">
        <v>6</v>
      </c>
      <c r="B52" s="163" t="s">
        <v>86</v>
      </c>
      <c r="C52" s="167">
        <v>1</v>
      </c>
      <c r="D52" s="172">
        <v>35</v>
      </c>
      <c r="E52" s="163" t="s">
        <v>47</v>
      </c>
      <c r="F52" s="163" t="s">
        <v>34</v>
      </c>
      <c r="G52" s="163" t="s">
        <v>1053</v>
      </c>
    </row>
    <row r="53" spans="1:7" x14ac:dyDescent="0.35">
      <c r="A53" s="144" t="s">
        <v>6</v>
      </c>
      <c r="B53" s="144" t="s">
        <v>219</v>
      </c>
      <c r="C53" s="170">
        <v>1</v>
      </c>
      <c r="D53" s="172">
        <v>35</v>
      </c>
      <c r="E53" s="145" t="s">
        <v>876</v>
      </c>
      <c r="F53" s="144" t="s">
        <v>34</v>
      </c>
      <c r="G53" s="163" t="s">
        <v>1054</v>
      </c>
    </row>
    <row r="54" spans="1:7" x14ac:dyDescent="0.35">
      <c r="A54" s="144" t="s">
        <v>6</v>
      </c>
      <c r="B54" s="144" t="s">
        <v>219</v>
      </c>
      <c r="C54" s="170">
        <v>1</v>
      </c>
      <c r="D54" s="172">
        <v>15</v>
      </c>
      <c r="E54" s="145" t="s">
        <v>876</v>
      </c>
      <c r="F54" s="163" t="s">
        <v>35</v>
      </c>
      <c r="G54" s="163" t="s">
        <v>1054</v>
      </c>
    </row>
    <row r="55" spans="1:7" x14ac:dyDescent="0.35">
      <c r="A55" s="144" t="s">
        <v>6</v>
      </c>
      <c r="B55" s="144" t="s">
        <v>142</v>
      </c>
      <c r="C55" s="170">
        <v>1</v>
      </c>
      <c r="D55" s="172">
        <v>35</v>
      </c>
      <c r="E55" s="145" t="s">
        <v>44</v>
      </c>
      <c r="F55" s="144" t="s">
        <v>34</v>
      </c>
      <c r="G55" s="163" t="s">
        <v>1055</v>
      </c>
    </row>
    <row r="56" spans="1:7" x14ac:dyDescent="0.35">
      <c r="A56" s="144" t="s">
        <v>6</v>
      </c>
      <c r="B56" s="144" t="s">
        <v>142</v>
      </c>
      <c r="C56" s="170">
        <v>1</v>
      </c>
      <c r="D56" s="172">
        <v>15</v>
      </c>
      <c r="E56" s="145" t="s">
        <v>44</v>
      </c>
      <c r="F56" s="163" t="s">
        <v>35</v>
      </c>
      <c r="G56" s="163" t="s">
        <v>1055</v>
      </c>
    </row>
    <row r="57" spans="1:7" x14ac:dyDescent="0.35">
      <c r="A57" s="144" t="s">
        <v>6</v>
      </c>
      <c r="B57" s="144" t="s">
        <v>142</v>
      </c>
      <c r="C57" s="170">
        <v>1</v>
      </c>
      <c r="D57" s="172">
        <v>15</v>
      </c>
      <c r="E57" s="145" t="s">
        <v>44</v>
      </c>
      <c r="F57" s="163" t="s">
        <v>35</v>
      </c>
      <c r="G57" s="163" t="s">
        <v>1056</v>
      </c>
    </row>
    <row r="58" spans="1:7" x14ac:dyDescent="0.35">
      <c r="A58" s="163" t="s">
        <v>23</v>
      </c>
      <c r="B58" s="163" t="s">
        <v>211</v>
      </c>
      <c r="C58" s="170">
        <v>1</v>
      </c>
      <c r="D58" s="172">
        <v>35</v>
      </c>
      <c r="E58" s="145" t="s">
        <v>62</v>
      </c>
      <c r="F58" s="144" t="s">
        <v>34</v>
      </c>
      <c r="G58" s="163" t="s">
        <v>1057</v>
      </c>
    </row>
    <row r="59" spans="1:7" x14ac:dyDescent="0.35">
      <c r="A59" s="163" t="s">
        <v>6</v>
      </c>
      <c r="B59" s="163" t="s">
        <v>72</v>
      </c>
      <c r="C59" s="170">
        <v>1</v>
      </c>
      <c r="D59" s="172">
        <v>15</v>
      </c>
      <c r="E59" s="163" t="s">
        <v>82</v>
      </c>
      <c r="F59" s="163" t="s">
        <v>35</v>
      </c>
      <c r="G59" s="163" t="s">
        <v>1058</v>
      </c>
    </row>
    <row r="60" spans="1:7" x14ac:dyDescent="0.35">
      <c r="D60" s="17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E360F-2822-42ED-A847-1E09C6F783A5}">
  <dimension ref="A1:G11"/>
  <sheetViews>
    <sheetView workbookViewId="0">
      <selection activeCell="E12" sqref="E12"/>
    </sheetView>
  </sheetViews>
  <sheetFormatPr defaultRowHeight="14.5" x14ac:dyDescent="0.35"/>
  <cols>
    <col min="1" max="1" width="12.54296875" bestFit="1" customWidth="1"/>
    <col min="2" max="2" width="13.7265625" bestFit="1" customWidth="1"/>
    <col min="3" max="3" width="15.453125" customWidth="1"/>
    <col min="4" max="4" width="17.7265625" bestFit="1" customWidth="1"/>
    <col min="5" max="5" width="32.54296875" bestFit="1" customWidth="1"/>
    <col min="6" max="6" width="37.7265625" bestFit="1" customWidth="1"/>
    <col min="7" max="7" width="45.54296875" bestFit="1" customWidth="1"/>
  </cols>
  <sheetData>
    <row r="1" spans="1:7" ht="26" x14ac:dyDescent="0.6">
      <c r="A1" s="253" t="s">
        <v>724</v>
      </c>
      <c r="B1" s="253"/>
      <c r="C1" s="253"/>
      <c r="D1" s="253"/>
      <c r="E1" s="253"/>
      <c r="F1" s="253"/>
      <c r="G1" s="253"/>
    </row>
    <row r="3" spans="1:7" x14ac:dyDescent="0.35">
      <c r="A3" s="178" t="s">
        <v>28</v>
      </c>
      <c r="B3" s="179" t="s">
        <v>1074</v>
      </c>
    </row>
    <row r="4" spans="1:7" x14ac:dyDescent="0.35">
      <c r="A4" s="180" t="s">
        <v>29</v>
      </c>
      <c r="B4" s="181" t="s">
        <v>1070</v>
      </c>
    </row>
    <row r="5" spans="1:7" x14ac:dyDescent="0.35">
      <c r="A5" s="182" t="s">
        <v>30</v>
      </c>
      <c r="B5" s="183" t="s">
        <v>1071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75" t="s">
        <v>77</v>
      </c>
    </row>
    <row r="9" spans="1:7" x14ac:dyDescent="0.35">
      <c r="A9" s="76" t="s">
        <v>6</v>
      </c>
      <c r="B9" s="89" t="s">
        <v>549</v>
      </c>
      <c r="C9" s="89">
        <v>1</v>
      </c>
      <c r="D9" s="91">
        <f>-D10</f>
        <v>-805.5</v>
      </c>
      <c r="E9" s="76" t="s">
        <v>12</v>
      </c>
      <c r="F9" s="76" t="s">
        <v>551</v>
      </c>
      <c r="G9" s="92"/>
    </row>
    <row r="10" spans="1:7" x14ac:dyDescent="0.35">
      <c r="A10" s="1" t="s">
        <v>6</v>
      </c>
      <c r="B10" t="s">
        <v>1059</v>
      </c>
      <c r="C10" s="12">
        <v>1</v>
      </c>
      <c r="D10" s="94">
        <v>805.5</v>
      </c>
      <c r="E10" s="45" t="s">
        <v>51</v>
      </c>
      <c r="F10" t="s">
        <v>1060</v>
      </c>
      <c r="G10" t="s">
        <v>1061</v>
      </c>
    </row>
    <row r="11" spans="1:7" x14ac:dyDescent="0.35">
      <c r="D11" s="94"/>
      <c r="E11" s="45"/>
    </row>
  </sheetData>
  <protectedRanges>
    <protectedRange sqref="D9" name="Amount_2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043D35E-30D2-4554-A0E1-69A4D59FCE38}">
          <x14:formula1>
            <xm:f>'Lookup Values'!$G$2:$G$35</xm:f>
          </x14:formula1>
          <xm:sqref>E10:E11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E1800-EDD5-44D4-83CD-B24DE3214F6E}">
  <dimension ref="A1:G18"/>
  <sheetViews>
    <sheetView topLeftCell="B1" zoomScale="87" zoomScaleNormal="87" workbookViewId="0">
      <selection sqref="A1:G1"/>
    </sheetView>
  </sheetViews>
  <sheetFormatPr defaultRowHeight="14.5" x14ac:dyDescent="0.35"/>
  <cols>
    <col min="1" max="1" width="27.54296875" customWidth="1"/>
    <col min="2" max="2" width="30.7265625" customWidth="1"/>
    <col min="3" max="3" width="34.54296875" customWidth="1"/>
    <col min="4" max="4" width="58" customWidth="1"/>
    <col min="5" max="5" width="62.453125" customWidth="1"/>
    <col min="6" max="6" width="92" customWidth="1"/>
    <col min="7" max="7" width="105.816406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5" thickBot="1" x14ac:dyDescent="0.4"/>
    <row r="3" spans="1:7" x14ac:dyDescent="0.35">
      <c r="A3" s="6" t="s">
        <v>28</v>
      </c>
      <c r="B3" s="7" t="s">
        <v>1073</v>
      </c>
    </row>
    <row r="4" spans="1:7" x14ac:dyDescent="0.35">
      <c r="A4" s="8" t="s">
        <v>29</v>
      </c>
      <c r="B4" s="9" t="s">
        <v>1070</v>
      </c>
    </row>
    <row r="5" spans="1:7" ht="15" thickBot="1" x14ac:dyDescent="0.4">
      <c r="A5" s="10" t="s">
        <v>30</v>
      </c>
      <c r="B5" s="177" t="s">
        <v>1071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2" t="s">
        <v>6</v>
      </c>
      <c r="B9" s="142" t="s">
        <v>7</v>
      </c>
      <c r="C9" s="134">
        <v>1</v>
      </c>
      <c r="D9" s="143">
        <f>-SUM(D10:D18)</f>
        <v>-543.6</v>
      </c>
      <c r="E9" s="124" t="s">
        <v>12</v>
      </c>
      <c r="F9" s="124" t="s">
        <v>551</v>
      </c>
      <c r="G9" s="130"/>
    </row>
    <row r="10" spans="1:7" x14ac:dyDescent="0.35">
      <c r="A10" s="131" t="s">
        <v>23</v>
      </c>
      <c r="B10" s="144" t="s">
        <v>206</v>
      </c>
      <c r="C10" s="125">
        <v>1</v>
      </c>
      <c r="D10" s="155">
        <v>35</v>
      </c>
      <c r="E10" s="145" t="s">
        <v>63</v>
      </c>
      <c r="F10" s="144" t="s">
        <v>36</v>
      </c>
      <c r="G10" s="124" t="s">
        <v>1062</v>
      </c>
    </row>
    <row r="11" spans="1:7" x14ac:dyDescent="0.35">
      <c r="A11" s="144" t="s">
        <v>6</v>
      </c>
      <c r="B11" s="144" t="s">
        <v>88</v>
      </c>
      <c r="C11" s="125">
        <v>1</v>
      </c>
      <c r="D11" s="155">
        <v>35</v>
      </c>
      <c r="E11" s="145" t="s">
        <v>83</v>
      </c>
      <c r="F11" s="144" t="s">
        <v>36</v>
      </c>
      <c r="G11" s="144" t="s">
        <v>1063</v>
      </c>
    </row>
    <row r="12" spans="1:7" x14ac:dyDescent="0.35">
      <c r="A12" s="144" t="s">
        <v>6</v>
      </c>
      <c r="B12" s="144" t="s">
        <v>88</v>
      </c>
      <c r="C12" s="125">
        <v>1</v>
      </c>
      <c r="D12" s="148">
        <v>50</v>
      </c>
      <c r="E12" s="145" t="s">
        <v>83</v>
      </c>
      <c r="F12" s="144" t="s">
        <v>34</v>
      </c>
      <c r="G12" s="144" t="s">
        <v>1063</v>
      </c>
    </row>
    <row r="13" spans="1:7" x14ac:dyDescent="0.35">
      <c r="A13" s="144" t="s">
        <v>73</v>
      </c>
      <c r="B13" s="144" t="s">
        <v>163</v>
      </c>
      <c r="C13" s="125">
        <v>1</v>
      </c>
      <c r="D13" s="148">
        <v>15</v>
      </c>
      <c r="E13" s="145" t="s">
        <v>56</v>
      </c>
      <c r="F13" s="144" t="s">
        <v>35</v>
      </c>
      <c r="G13" s="144" t="s">
        <v>1064</v>
      </c>
    </row>
    <row r="14" spans="1:7" x14ac:dyDescent="0.35">
      <c r="A14" s="144" t="s">
        <v>23</v>
      </c>
      <c r="B14" s="144" t="s">
        <v>211</v>
      </c>
      <c r="C14" s="125">
        <v>1</v>
      </c>
      <c r="D14" s="155">
        <v>35</v>
      </c>
      <c r="E14" s="145" t="s">
        <v>62</v>
      </c>
      <c r="F14" s="144" t="s">
        <v>36</v>
      </c>
      <c r="G14" s="144" t="s">
        <v>1065</v>
      </c>
    </row>
    <row r="15" spans="1:7" x14ac:dyDescent="0.35">
      <c r="A15" s="144" t="s">
        <v>6</v>
      </c>
      <c r="B15" s="144" t="s">
        <v>219</v>
      </c>
      <c r="C15" s="125">
        <v>1</v>
      </c>
      <c r="D15" s="155">
        <v>35</v>
      </c>
      <c r="E15" s="145" t="s">
        <v>876</v>
      </c>
      <c r="F15" s="144" t="s">
        <v>36</v>
      </c>
      <c r="G15" s="144" t="s">
        <v>1066</v>
      </c>
    </row>
    <row r="16" spans="1:7" x14ac:dyDescent="0.35">
      <c r="A16" s="144" t="s">
        <v>23</v>
      </c>
      <c r="B16" s="144" t="s">
        <v>211</v>
      </c>
      <c r="C16" s="125">
        <v>1</v>
      </c>
      <c r="D16" s="126">
        <v>137.5</v>
      </c>
      <c r="E16" s="145" t="s">
        <v>62</v>
      </c>
      <c r="F16" s="124" t="s">
        <v>989</v>
      </c>
      <c r="G16" s="144" t="s">
        <v>1067</v>
      </c>
    </row>
    <row r="17" spans="1:7" x14ac:dyDescent="0.35">
      <c r="A17" s="144" t="s">
        <v>23</v>
      </c>
      <c r="B17" s="144" t="s">
        <v>211</v>
      </c>
      <c r="C17" s="125">
        <v>1</v>
      </c>
      <c r="D17" s="126">
        <v>166.1</v>
      </c>
      <c r="E17" s="145" t="s">
        <v>62</v>
      </c>
      <c r="F17" s="124" t="s">
        <v>992</v>
      </c>
      <c r="G17" s="144" t="s">
        <v>1067</v>
      </c>
    </row>
    <row r="18" spans="1:7" x14ac:dyDescent="0.35">
      <c r="A18" s="144" t="s">
        <v>6</v>
      </c>
      <c r="B18" s="144" t="s">
        <v>89</v>
      </c>
      <c r="C18" s="125">
        <v>1</v>
      </c>
      <c r="D18" s="155">
        <v>35</v>
      </c>
      <c r="E18" s="145" t="s">
        <v>84</v>
      </c>
      <c r="F18" s="144" t="s">
        <v>36</v>
      </c>
      <c r="G18" s="144" t="s">
        <v>1068</v>
      </c>
    </row>
  </sheetData>
  <protectedRanges>
    <protectedRange sqref="D9" name="Amount_2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9AB28D-AD6C-44AB-85C1-66C2D7B40B3E}">
          <x14:formula1>
            <xm:f>'Lookup Values'!$G$2:$G$35</xm:f>
          </x14:formula1>
          <xm:sqref>E10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45A92-A9AF-4095-9213-B96AAAEAE568}">
  <dimension ref="A1:H41"/>
  <sheetViews>
    <sheetView zoomScale="77" zoomScaleNormal="77" workbookViewId="0">
      <selection sqref="A1:G1"/>
    </sheetView>
  </sheetViews>
  <sheetFormatPr defaultColWidth="9.1796875" defaultRowHeight="14.5" x14ac:dyDescent="0.35"/>
  <cols>
    <col min="1" max="1" width="27.54296875" customWidth="1"/>
    <col min="2" max="2" width="30.7265625" customWidth="1"/>
    <col min="3" max="3" width="34.54296875" customWidth="1"/>
    <col min="4" max="4" width="58" customWidth="1"/>
    <col min="5" max="5" width="62.453125" customWidth="1"/>
    <col min="6" max="6" width="92" customWidth="1"/>
    <col min="7" max="7" width="105.81640625" customWidth="1"/>
    <col min="8" max="8" width="10.5429687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5" thickBot="1" x14ac:dyDescent="0.4"/>
    <row r="3" spans="1:7" x14ac:dyDescent="0.35">
      <c r="A3" s="6" t="s">
        <v>28</v>
      </c>
      <c r="B3" s="7" t="s">
        <v>1097</v>
      </c>
    </row>
    <row r="4" spans="1:7" x14ac:dyDescent="0.35">
      <c r="A4" s="8" t="s">
        <v>29</v>
      </c>
      <c r="B4" s="9" t="s">
        <v>1098</v>
      </c>
    </row>
    <row r="5" spans="1:7" ht="15" thickBot="1" x14ac:dyDescent="0.4">
      <c r="A5" s="10" t="s">
        <v>30</v>
      </c>
      <c r="B5" s="177" t="s">
        <v>1071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2" t="s">
        <v>6</v>
      </c>
      <c r="B9" s="142" t="s">
        <v>7</v>
      </c>
      <c r="C9" s="134">
        <v>1</v>
      </c>
      <c r="D9" s="143">
        <f>-SUM(D10:D40)</f>
        <v>-1847.8</v>
      </c>
      <c r="E9" s="124" t="s">
        <v>12</v>
      </c>
      <c r="F9" s="124" t="s">
        <v>551</v>
      </c>
      <c r="G9" s="130"/>
    </row>
    <row r="10" spans="1:7" x14ac:dyDescent="0.35">
      <c r="A10" s="144" t="s">
        <v>23</v>
      </c>
      <c r="B10" s="144" t="s">
        <v>211</v>
      </c>
      <c r="C10" s="125">
        <v>1</v>
      </c>
      <c r="D10" s="155">
        <v>35</v>
      </c>
      <c r="E10" s="145" t="s">
        <v>62</v>
      </c>
      <c r="F10" s="144" t="s">
        <v>36</v>
      </c>
      <c r="G10" s="124" t="s">
        <v>1075</v>
      </c>
    </row>
    <row r="11" spans="1:7" x14ac:dyDescent="0.35">
      <c r="A11" s="144" t="s">
        <v>23</v>
      </c>
      <c r="B11" s="144" t="s">
        <v>211</v>
      </c>
      <c r="C11" s="125">
        <v>1</v>
      </c>
      <c r="D11" s="155">
        <v>50</v>
      </c>
      <c r="E11" s="145" t="s">
        <v>62</v>
      </c>
      <c r="F11" s="144" t="s">
        <v>34</v>
      </c>
      <c r="G11" s="144" t="s">
        <v>1076</v>
      </c>
    </row>
    <row r="12" spans="1:7" x14ac:dyDescent="0.35">
      <c r="A12" s="144" t="s">
        <v>23</v>
      </c>
      <c r="B12" s="144" t="s">
        <v>211</v>
      </c>
      <c r="C12" s="125">
        <v>1</v>
      </c>
      <c r="D12" s="155">
        <v>50</v>
      </c>
      <c r="E12" s="145" t="s">
        <v>62</v>
      </c>
      <c r="F12" s="144" t="s">
        <v>34</v>
      </c>
      <c r="G12" s="144" t="s">
        <v>1077</v>
      </c>
    </row>
    <row r="13" spans="1:7" x14ac:dyDescent="0.35">
      <c r="A13" s="144" t="s">
        <v>23</v>
      </c>
      <c r="B13" s="144" t="s">
        <v>211</v>
      </c>
      <c r="C13" s="125">
        <v>1</v>
      </c>
      <c r="D13" s="155">
        <v>15</v>
      </c>
      <c r="E13" s="145" t="s">
        <v>62</v>
      </c>
      <c r="F13" s="144" t="s">
        <v>35</v>
      </c>
      <c r="G13" s="144" t="s">
        <v>1077</v>
      </c>
    </row>
    <row r="14" spans="1:7" x14ac:dyDescent="0.35">
      <c r="A14" s="144" t="s">
        <v>6</v>
      </c>
      <c r="B14" s="144" t="s">
        <v>219</v>
      </c>
      <c r="C14" s="125">
        <v>1</v>
      </c>
      <c r="D14" s="155">
        <v>35</v>
      </c>
      <c r="E14" s="145" t="s">
        <v>876</v>
      </c>
      <c r="F14" s="144" t="s">
        <v>36</v>
      </c>
      <c r="G14" s="144" t="s">
        <v>1078</v>
      </c>
    </row>
    <row r="15" spans="1:7" x14ac:dyDescent="0.35">
      <c r="A15" s="144" t="s">
        <v>6</v>
      </c>
      <c r="B15" s="144" t="s">
        <v>219</v>
      </c>
      <c r="C15" s="125">
        <v>1</v>
      </c>
      <c r="D15" s="155">
        <v>50</v>
      </c>
      <c r="E15" s="145" t="s">
        <v>876</v>
      </c>
      <c r="F15" s="144" t="s">
        <v>34</v>
      </c>
      <c r="G15" s="144" t="s">
        <v>1078</v>
      </c>
    </row>
    <row r="16" spans="1:7" x14ac:dyDescent="0.35">
      <c r="A16" s="144" t="s">
        <v>6</v>
      </c>
      <c r="B16" s="144" t="s">
        <v>219</v>
      </c>
      <c r="C16" s="125">
        <v>1</v>
      </c>
      <c r="D16" s="155">
        <v>15</v>
      </c>
      <c r="E16" s="145" t="s">
        <v>876</v>
      </c>
      <c r="F16" s="144" t="s">
        <v>35</v>
      </c>
      <c r="G16" s="144" t="s">
        <v>1078</v>
      </c>
    </row>
    <row r="17" spans="1:8" x14ac:dyDescent="0.35">
      <c r="A17" s="144" t="s">
        <v>23</v>
      </c>
      <c r="B17" s="144" t="s">
        <v>211</v>
      </c>
      <c r="C17" s="125">
        <v>1</v>
      </c>
      <c r="D17" s="155">
        <v>132</v>
      </c>
      <c r="E17" s="145" t="s">
        <v>62</v>
      </c>
      <c r="F17" s="124" t="s">
        <v>989</v>
      </c>
      <c r="G17" s="144" t="s">
        <v>1079</v>
      </c>
    </row>
    <row r="18" spans="1:8" x14ac:dyDescent="0.35">
      <c r="A18" s="144" t="s">
        <v>6</v>
      </c>
      <c r="B18" s="144" t="s">
        <v>219</v>
      </c>
      <c r="C18" s="125">
        <v>1</v>
      </c>
      <c r="D18" s="155">
        <v>137.5</v>
      </c>
      <c r="E18" s="145" t="s">
        <v>876</v>
      </c>
      <c r="F18" s="124" t="s">
        <v>989</v>
      </c>
      <c r="G18" s="144" t="s">
        <v>1080</v>
      </c>
    </row>
    <row r="19" spans="1:8" x14ac:dyDescent="0.35">
      <c r="A19" s="144" t="s">
        <v>23</v>
      </c>
      <c r="B19" s="144" t="s">
        <v>211</v>
      </c>
      <c r="C19" s="125">
        <v>1</v>
      </c>
      <c r="D19" s="155">
        <v>166.1</v>
      </c>
      <c r="E19" s="145" t="s">
        <v>62</v>
      </c>
      <c r="F19" s="124" t="s">
        <v>992</v>
      </c>
      <c r="G19" s="144" t="s">
        <v>1081</v>
      </c>
    </row>
    <row r="20" spans="1:8" x14ac:dyDescent="0.35">
      <c r="A20" s="144" t="s">
        <v>6</v>
      </c>
      <c r="B20" s="144" t="s">
        <v>219</v>
      </c>
      <c r="C20" s="125">
        <v>1</v>
      </c>
      <c r="D20" s="155">
        <v>166.1</v>
      </c>
      <c r="E20" s="145" t="s">
        <v>876</v>
      </c>
      <c r="F20" s="124" t="s">
        <v>992</v>
      </c>
      <c r="G20" s="144" t="s">
        <v>1082</v>
      </c>
    </row>
    <row r="21" spans="1:8" x14ac:dyDescent="0.35">
      <c r="A21" s="144" t="s">
        <v>6</v>
      </c>
      <c r="B21" s="144" t="s">
        <v>142</v>
      </c>
      <c r="C21" s="125">
        <v>1</v>
      </c>
      <c r="D21" s="155">
        <v>50</v>
      </c>
      <c r="E21" s="145" t="s">
        <v>44</v>
      </c>
      <c r="F21" s="144" t="s">
        <v>34</v>
      </c>
      <c r="G21" s="144" t="s">
        <v>1083</v>
      </c>
    </row>
    <row r="22" spans="1:8" x14ac:dyDescent="0.35">
      <c r="A22" s="144" t="s">
        <v>6</v>
      </c>
      <c r="B22" s="144" t="s">
        <v>142</v>
      </c>
      <c r="C22" s="125">
        <v>1</v>
      </c>
      <c r="D22" s="155">
        <v>15</v>
      </c>
      <c r="E22" s="145" t="s">
        <v>44</v>
      </c>
      <c r="F22" s="144" t="s">
        <v>35</v>
      </c>
      <c r="G22" s="144" t="s">
        <v>1083</v>
      </c>
    </row>
    <row r="23" spans="1:8" x14ac:dyDescent="0.35">
      <c r="A23" s="144" t="s">
        <v>6</v>
      </c>
      <c r="B23" s="144" t="s">
        <v>86</v>
      </c>
      <c r="C23" s="125">
        <v>1</v>
      </c>
      <c r="D23" s="155">
        <v>50</v>
      </c>
      <c r="E23" s="145" t="s">
        <v>47</v>
      </c>
      <c r="F23" s="144" t="s">
        <v>34</v>
      </c>
      <c r="G23" s="144" t="s">
        <v>1084</v>
      </c>
    </row>
    <row r="24" spans="1:8" x14ac:dyDescent="0.35">
      <c r="A24" s="144" t="s">
        <v>6</v>
      </c>
      <c r="B24" s="144" t="s">
        <v>86</v>
      </c>
      <c r="C24" s="125">
        <v>1</v>
      </c>
      <c r="D24" s="155">
        <v>15</v>
      </c>
      <c r="E24" s="145" t="s">
        <v>47</v>
      </c>
      <c r="F24" s="144" t="s">
        <v>35</v>
      </c>
      <c r="G24" s="144" t="s">
        <v>1084</v>
      </c>
    </row>
    <row r="25" spans="1:8" x14ac:dyDescent="0.35">
      <c r="A25" s="144" t="s">
        <v>6</v>
      </c>
      <c r="B25" s="144" t="s">
        <v>86</v>
      </c>
      <c r="C25" s="125">
        <v>1</v>
      </c>
      <c r="D25" s="155">
        <v>50</v>
      </c>
      <c r="E25" s="145" t="s">
        <v>47</v>
      </c>
      <c r="F25" s="144" t="s">
        <v>34</v>
      </c>
      <c r="G25" s="144" t="s">
        <v>1085</v>
      </c>
    </row>
    <row r="26" spans="1:8" x14ac:dyDescent="0.35">
      <c r="A26" s="144" t="s">
        <v>6</v>
      </c>
      <c r="B26" s="144" t="s">
        <v>86</v>
      </c>
      <c r="C26" s="125">
        <v>1</v>
      </c>
      <c r="D26" s="155">
        <v>15</v>
      </c>
      <c r="E26" s="145" t="s">
        <v>47</v>
      </c>
      <c r="F26" s="144" t="s">
        <v>35</v>
      </c>
      <c r="G26" s="144" t="s">
        <v>1085</v>
      </c>
    </row>
    <row r="27" spans="1:8" x14ac:dyDescent="0.35">
      <c r="A27" s="144" t="s">
        <v>23</v>
      </c>
      <c r="B27" s="144" t="s">
        <v>211</v>
      </c>
      <c r="C27" s="125">
        <v>1</v>
      </c>
      <c r="D27" s="155">
        <v>137.5</v>
      </c>
      <c r="E27" s="145" t="s">
        <v>62</v>
      </c>
      <c r="F27" s="124" t="s">
        <v>989</v>
      </c>
      <c r="G27" s="144" t="s">
        <v>1086</v>
      </c>
    </row>
    <row r="28" spans="1:8" x14ac:dyDescent="0.35">
      <c r="A28" s="144" t="s">
        <v>23</v>
      </c>
      <c r="B28" s="144" t="s">
        <v>211</v>
      </c>
      <c r="C28" s="125">
        <v>1</v>
      </c>
      <c r="D28" s="155">
        <v>15</v>
      </c>
      <c r="E28" s="145" t="s">
        <v>62</v>
      </c>
      <c r="F28" s="144" t="s">
        <v>35</v>
      </c>
      <c r="G28" s="144" t="s">
        <v>1087</v>
      </c>
      <c r="H28" s="5"/>
    </row>
    <row r="29" spans="1:8" x14ac:dyDescent="0.35">
      <c r="A29" s="144" t="s">
        <v>6</v>
      </c>
      <c r="B29" s="144" t="s">
        <v>86</v>
      </c>
      <c r="C29" s="125">
        <v>1</v>
      </c>
      <c r="D29" s="155">
        <v>50</v>
      </c>
      <c r="E29" s="145" t="s">
        <v>47</v>
      </c>
      <c r="F29" s="144" t="s">
        <v>34</v>
      </c>
      <c r="G29" s="144" t="s">
        <v>1088</v>
      </c>
    </row>
    <row r="30" spans="1:8" x14ac:dyDescent="0.35">
      <c r="A30" s="144" t="s">
        <v>6</v>
      </c>
      <c r="B30" s="144" t="s">
        <v>86</v>
      </c>
      <c r="C30" s="125">
        <v>1</v>
      </c>
      <c r="D30" s="155">
        <v>35</v>
      </c>
      <c r="E30" s="145" t="s">
        <v>47</v>
      </c>
      <c r="F30" s="144" t="s">
        <v>36</v>
      </c>
      <c r="G30" s="144" t="s">
        <v>1089</v>
      </c>
    </row>
    <row r="31" spans="1:8" x14ac:dyDescent="0.35">
      <c r="A31" s="144" t="s">
        <v>6</v>
      </c>
      <c r="B31" s="144" t="s">
        <v>86</v>
      </c>
      <c r="C31" s="125">
        <v>1</v>
      </c>
      <c r="D31" s="155">
        <v>50</v>
      </c>
      <c r="E31" s="145" t="s">
        <v>47</v>
      </c>
      <c r="F31" s="144" t="s">
        <v>34</v>
      </c>
      <c r="G31" s="144" t="s">
        <v>1089</v>
      </c>
    </row>
    <row r="32" spans="1:8" x14ac:dyDescent="0.35">
      <c r="A32" s="144" t="s">
        <v>6</v>
      </c>
      <c r="B32" s="144" t="s">
        <v>86</v>
      </c>
      <c r="C32" s="125">
        <v>1</v>
      </c>
      <c r="D32" s="155">
        <v>50</v>
      </c>
      <c r="E32" s="145" t="s">
        <v>47</v>
      </c>
      <c r="F32" s="144" t="s">
        <v>34</v>
      </c>
      <c r="G32" s="144" t="s">
        <v>1090</v>
      </c>
    </row>
    <row r="33" spans="1:7" x14ac:dyDescent="0.35">
      <c r="A33" s="144" t="s">
        <v>6</v>
      </c>
      <c r="B33" s="144" t="s">
        <v>86</v>
      </c>
      <c r="C33" s="125">
        <v>1</v>
      </c>
      <c r="D33" s="155">
        <v>15</v>
      </c>
      <c r="E33" s="145" t="s">
        <v>47</v>
      </c>
      <c r="F33" s="144" t="s">
        <v>35</v>
      </c>
      <c r="G33" s="144" t="s">
        <v>1090</v>
      </c>
    </row>
    <row r="34" spans="1:7" x14ac:dyDescent="0.35">
      <c r="A34" s="144" t="s">
        <v>6</v>
      </c>
      <c r="B34" s="144" t="s">
        <v>86</v>
      </c>
      <c r="C34" s="125">
        <v>1</v>
      </c>
      <c r="D34" s="155">
        <v>50</v>
      </c>
      <c r="E34" s="145" t="s">
        <v>47</v>
      </c>
      <c r="F34" s="144" t="s">
        <v>34</v>
      </c>
      <c r="G34" s="144" t="s">
        <v>1091</v>
      </c>
    </row>
    <row r="35" spans="1:7" x14ac:dyDescent="0.35">
      <c r="A35" s="144" t="s">
        <v>6</v>
      </c>
      <c r="B35" s="144" t="s">
        <v>86</v>
      </c>
      <c r="C35" s="125">
        <v>1</v>
      </c>
      <c r="D35" s="155">
        <v>15</v>
      </c>
      <c r="E35" s="145" t="s">
        <v>47</v>
      </c>
      <c r="F35" s="144" t="s">
        <v>35</v>
      </c>
      <c r="G35" s="144" t="s">
        <v>1091</v>
      </c>
    </row>
    <row r="36" spans="1:7" x14ac:dyDescent="0.35">
      <c r="A36" s="144" t="s">
        <v>6</v>
      </c>
      <c r="B36" s="144" t="s">
        <v>86</v>
      </c>
      <c r="C36" s="125">
        <v>1</v>
      </c>
      <c r="D36" s="155">
        <v>50</v>
      </c>
      <c r="E36" s="145" t="s">
        <v>47</v>
      </c>
      <c r="F36" s="144" t="s">
        <v>34</v>
      </c>
      <c r="G36" s="144" t="s">
        <v>1092</v>
      </c>
    </row>
    <row r="37" spans="1:7" x14ac:dyDescent="0.35">
      <c r="A37" s="144" t="s">
        <v>6</v>
      </c>
      <c r="B37" s="144" t="s">
        <v>86</v>
      </c>
      <c r="C37" s="125">
        <v>1</v>
      </c>
      <c r="D37" s="155">
        <v>15</v>
      </c>
      <c r="E37" s="145" t="s">
        <v>47</v>
      </c>
      <c r="F37" s="144" t="s">
        <v>35</v>
      </c>
      <c r="G37" s="144" t="s">
        <v>1092</v>
      </c>
    </row>
    <row r="38" spans="1:7" x14ac:dyDescent="0.35">
      <c r="A38" s="144" t="s">
        <v>1096</v>
      </c>
      <c r="B38" s="144" t="s">
        <v>163</v>
      </c>
      <c r="C38" s="125">
        <v>1</v>
      </c>
      <c r="D38" s="148">
        <v>15</v>
      </c>
      <c r="E38" s="145" t="s">
        <v>56</v>
      </c>
      <c r="F38" s="144" t="s">
        <v>35</v>
      </c>
      <c r="G38" s="144" t="s">
        <v>1093</v>
      </c>
    </row>
    <row r="39" spans="1:7" x14ac:dyDescent="0.35">
      <c r="A39" s="144" t="s">
        <v>6</v>
      </c>
      <c r="B39" s="144" t="s">
        <v>219</v>
      </c>
      <c r="C39" s="125">
        <v>1</v>
      </c>
      <c r="D39" s="126">
        <v>137.5</v>
      </c>
      <c r="E39" s="145" t="s">
        <v>876</v>
      </c>
      <c r="F39" s="124" t="s">
        <v>989</v>
      </c>
      <c r="G39" s="144" t="s">
        <v>1094</v>
      </c>
    </row>
    <row r="40" spans="1:7" x14ac:dyDescent="0.35">
      <c r="A40" s="144" t="s">
        <v>6</v>
      </c>
      <c r="B40" s="144" t="s">
        <v>219</v>
      </c>
      <c r="C40" s="125">
        <v>1</v>
      </c>
      <c r="D40" s="148">
        <v>166.1</v>
      </c>
      <c r="E40" s="145" t="s">
        <v>876</v>
      </c>
      <c r="F40" s="124" t="s">
        <v>992</v>
      </c>
      <c r="G40" s="144" t="s">
        <v>1095</v>
      </c>
    </row>
    <row r="41" spans="1:7" x14ac:dyDescent="0.35">
      <c r="A41" s="144"/>
      <c r="B41" s="144"/>
      <c r="C41" s="144"/>
      <c r="D41" s="144"/>
      <c r="E41" s="144"/>
      <c r="F41" s="144"/>
      <c r="G41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858B-23E5-4272-990F-39775A43F471}">
  <dimension ref="A1:H41"/>
  <sheetViews>
    <sheetView topLeftCell="A3" zoomScaleNormal="100" workbookViewId="0">
      <selection sqref="A1:G1"/>
    </sheetView>
  </sheetViews>
  <sheetFormatPr defaultColWidth="9.1796875" defaultRowHeight="14.5" x14ac:dyDescent="0.35"/>
  <cols>
    <col min="1" max="1" width="27.54296875" customWidth="1"/>
    <col min="2" max="2" width="30.7265625" customWidth="1"/>
    <col min="3" max="3" width="34.54296875" customWidth="1"/>
    <col min="4" max="4" width="58" customWidth="1"/>
    <col min="5" max="5" width="62.453125" customWidth="1"/>
    <col min="6" max="6" width="92" customWidth="1"/>
    <col min="7" max="7" width="105.81640625" customWidth="1"/>
    <col min="8" max="8" width="10.5429687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5" thickBot="1" x14ac:dyDescent="0.4"/>
    <row r="3" spans="1:7" x14ac:dyDescent="0.35">
      <c r="A3" s="6" t="s">
        <v>28</v>
      </c>
      <c r="B3" s="7" t="s">
        <v>1124</v>
      </c>
    </row>
    <row r="4" spans="1:7" x14ac:dyDescent="0.35">
      <c r="A4" s="8" t="s">
        <v>29</v>
      </c>
      <c r="B4" s="9" t="s">
        <v>1125</v>
      </c>
    </row>
    <row r="5" spans="1:7" ht="15" thickBot="1" x14ac:dyDescent="0.4">
      <c r="A5" s="10" t="s">
        <v>30</v>
      </c>
      <c r="B5" s="177" t="s">
        <v>1071</v>
      </c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6</v>
      </c>
      <c r="B9" s="144" t="s">
        <v>7</v>
      </c>
      <c r="C9" s="134">
        <v>1</v>
      </c>
      <c r="D9" s="143">
        <f>-SUM(D10:D40)</f>
        <v>-815</v>
      </c>
      <c r="E9" s="124" t="s">
        <v>12</v>
      </c>
      <c r="F9" s="124" t="s">
        <v>551</v>
      </c>
      <c r="G9" s="130"/>
    </row>
    <row r="10" spans="1:7" x14ac:dyDescent="0.35">
      <c r="A10" s="144" t="s">
        <v>23</v>
      </c>
      <c r="B10" s="144" t="s">
        <v>211</v>
      </c>
      <c r="C10" s="125">
        <v>1</v>
      </c>
      <c r="D10" s="148">
        <v>15</v>
      </c>
      <c r="E10" s="145" t="s">
        <v>62</v>
      </c>
      <c r="F10" s="144" t="s">
        <v>35</v>
      </c>
      <c r="G10" s="124" t="s">
        <v>1099</v>
      </c>
    </row>
    <row r="11" spans="1:7" x14ac:dyDescent="0.35">
      <c r="A11" s="144" t="s">
        <v>6</v>
      </c>
      <c r="B11" s="144" t="s">
        <v>219</v>
      </c>
      <c r="C11" s="134">
        <v>1</v>
      </c>
      <c r="D11" s="148">
        <v>15</v>
      </c>
      <c r="E11" s="145" t="s">
        <v>876</v>
      </c>
      <c r="F11" s="144" t="s">
        <v>35</v>
      </c>
      <c r="G11" s="144" t="s">
        <v>1100</v>
      </c>
    </row>
    <row r="12" spans="1:7" x14ac:dyDescent="0.35">
      <c r="A12" s="144" t="s">
        <v>23</v>
      </c>
      <c r="B12" s="144" t="s">
        <v>211</v>
      </c>
      <c r="C12" s="125">
        <v>1</v>
      </c>
      <c r="D12" s="148">
        <v>15</v>
      </c>
      <c r="E12" s="145" t="s">
        <v>62</v>
      </c>
      <c r="F12" s="144" t="s">
        <v>35</v>
      </c>
      <c r="G12" s="144" t="s">
        <v>1101</v>
      </c>
    </row>
    <row r="13" spans="1:7" x14ac:dyDescent="0.35">
      <c r="A13" s="144" t="s">
        <v>23</v>
      </c>
      <c r="B13" s="144" t="s">
        <v>211</v>
      </c>
      <c r="C13" s="134">
        <v>1</v>
      </c>
      <c r="D13" s="155">
        <v>35</v>
      </c>
      <c r="E13" s="145" t="s">
        <v>62</v>
      </c>
      <c r="F13" s="144" t="s">
        <v>36</v>
      </c>
      <c r="G13" s="144" t="s">
        <v>1102</v>
      </c>
    </row>
    <row r="14" spans="1:7" x14ac:dyDescent="0.35">
      <c r="A14" s="144" t="s">
        <v>23</v>
      </c>
      <c r="B14" s="144" t="s">
        <v>244</v>
      </c>
      <c r="C14" s="125">
        <v>1</v>
      </c>
      <c r="D14" s="155">
        <v>35</v>
      </c>
      <c r="E14" s="145" t="s">
        <v>64</v>
      </c>
      <c r="F14" s="144" t="s">
        <v>36</v>
      </c>
      <c r="G14" s="144" t="s">
        <v>1103</v>
      </c>
    </row>
    <row r="15" spans="1:7" x14ac:dyDescent="0.35">
      <c r="A15" s="144" t="s">
        <v>23</v>
      </c>
      <c r="B15" s="144" t="s">
        <v>211</v>
      </c>
      <c r="C15" s="134">
        <v>1</v>
      </c>
      <c r="D15" s="148">
        <v>15</v>
      </c>
      <c r="E15" s="145" t="s">
        <v>62</v>
      </c>
      <c r="F15" s="144" t="s">
        <v>35</v>
      </c>
      <c r="G15" s="144" t="s">
        <v>1104</v>
      </c>
    </row>
    <row r="16" spans="1:7" x14ac:dyDescent="0.35">
      <c r="A16" s="144" t="s">
        <v>23</v>
      </c>
      <c r="B16" s="144" t="s">
        <v>211</v>
      </c>
      <c r="C16" s="125">
        <v>1</v>
      </c>
      <c r="D16" s="148">
        <v>50</v>
      </c>
      <c r="E16" s="145" t="s">
        <v>62</v>
      </c>
      <c r="F16" s="144" t="s">
        <v>34</v>
      </c>
      <c r="G16" s="144" t="s">
        <v>1104</v>
      </c>
    </row>
    <row r="17" spans="1:8" x14ac:dyDescent="0.35">
      <c r="A17" s="144" t="s">
        <v>23</v>
      </c>
      <c r="B17" s="144" t="s">
        <v>244</v>
      </c>
      <c r="C17" s="134">
        <v>1</v>
      </c>
      <c r="D17" s="148">
        <v>50</v>
      </c>
      <c r="E17" s="145" t="s">
        <v>64</v>
      </c>
      <c r="F17" s="144" t="s">
        <v>34</v>
      </c>
      <c r="G17" s="144" t="s">
        <v>1105</v>
      </c>
    </row>
    <row r="18" spans="1:8" x14ac:dyDescent="0.35">
      <c r="A18" s="144" t="s">
        <v>23</v>
      </c>
      <c r="B18" s="144" t="s">
        <v>211</v>
      </c>
      <c r="C18" s="125">
        <v>1</v>
      </c>
      <c r="D18" s="148">
        <v>15</v>
      </c>
      <c r="E18" s="145" t="s">
        <v>62</v>
      </c>
      <c r="F18" s="144" t="s">
        <v>35</v>
      </c>
      <c r="G18" s="144" t="s">
        <v>1106</v>
      </c>
    </row>
    <row r="19" spans="1:8" x14ac:dyDescent="0.35">
      <c r="A19" s="144" t="s">
        <v>23</v>
      </c>
      <c r="B19" s="144" t="s">
        <v>206</v>
      </c>
      <c r="C19" s="134">
        <v>1</v>
      </c>
      <c r="D19" s="155">
        <v>15</v>
      </c>
      <c r="E19" s="145" t="s">
        <v>63</v>
      </c>
      <c r="F19" s="144" t="s">
        <v>35</v>
      </c>
      <c r="G19" s="144" t="s">
        <v>1107</v>
      </c>
    </row>
    <row r="20" spans="1:8" x14ac:dyDescent="0.35">
      <c r="A20" s="144" t="s">
        <v>23</v>
      </c>
      <c r="B20" s="144" t="s">
        <v>206</v>
      </c>
      <c r="C20" s="125">
        <v>1</v>
      </c>
      <c r="D20" s="148">
        <v>50</v>
      </c>
      <c r="E20" s="145" t="s">
        <v>63</v>
      </c>
      <c r="F20" s="144" t="s">
        <v>34</v>
      </c>
      <c r="G20" s="144" t="s">
        <v>1107</v>
      </c>
    </row>
    <row r="21" spans="1:8" x14ac:dyDescent="0.35">
      <c r="A21" s="144" t="s">
        <v>6</v>
      </c>
      <c r="B21" s="144" t="s">
        <v>86</v>
      </c>
      <c r="C21" s="134">
        <v>1</v>
      </c>
      <c r="D21" s="155">
        <v>15</v>
      </c>
      <c r="E21" s="145" t="s">
        <v>47</v>
      </c>
      <c r="F21" s="144" t="s">
        <v>35</v>
      </c>
      <c r="G21" s="144" t="s">
        <v>1108</v>
      </c>
    </row>
    <row r="22" spans="1:8" x14ac:dyDescent="0.35">
      <c r="A22" s="144" t="s">
        <v>23</v>
      </c>
      <c r="B22" s="144" t="s">
        <v>211</v>
      </c>
      <c r="C22" s="125">
        <v>1</v>
      </c>
      <c r="D22" s="148">
        <v>50</v>
      </c>
      <c r="E22" s="145" t="s">
        <v>62</v>
      </c>
      <c r="F22" s="144" t="s">
        <v>34</v>
      </c>
      <c r="G22" s="144" t="s">
        <v>1109</v>
      </c>
    </row>
    <row r="23" spans="1:8" x14ac:dyDescent="0.35">
      <c r="A23" s="144" t="s">
        <v>23</v>
      </c>
      <c r="B23" s="144" t="s">
        <v>211</v>
      </c>
      <c r="C23" s="134">
        <v>1</v>
      </c>
      <c r="D23" s="155">
        <v>15</v>
      </c>
      <c r="E23" s="145" t="s">
        <v>62</v>
      </c>
      <c r="F23" s="144" t="s">
        <v>35</v>
      </c>
      <c r="G23" s="144" t="s">
        <v>1109</v>
      </c>
    </row>
    <row r="24" spans="1:8" x14ac:dyDescent="0.35">
      <c r="A24" s="144" t="s">
        <v>6</v>
      </c>
      <c r="B24" s="144" t="s">
        <v>86</v>
      </c>
      <c r="C24" s="125">
        <v>1</v>
      </c>
      <c r="D24" s="155">
        <v>15</v>
      </c>
      <c r="E24" s="145" t="s">
        <v>47</v>
      </c>
      <c r="F24" s="144" t="s">
        <v>35</v>
      </c>
      <c r="G24" s="144" t="s">
        <v>1110</v>
      </c>
    </row>
    <row r="25" spans="1:8" x14ac:dyDescent="0.35">
      <c r="A25" s="144" t="s">
        <v>23</v>
      </c>
      <c r="B25" s="144" t="s">
        <v>211</v>
      </c>
      <c r="C25" s="134">
        <v>1</v>
      </c>
      <c r="D25" s="155">
        <v>15</v>
      </c>
      <c r="E25" s="145" t="s">
        <v>62</v>
      </c>
      <c r="F25" s="144" t="s">
        <v>35</v>
      </c>
      <c r="G25" s="144" t="s">
        <v>1111</v>
      </c>
    </row>
    <row r="26" spans="1:8" x14ac:dyDescent="0.35">
      <c r="A26" s="144" t="s">
        <v>73</v>
      </c>
      <c r="B26" s="144" t="s">
        <v>163</v>
      </c>
      <c r="C26" s="125">
        <v>1</v>
      </c>
      <c r="D26" s="155">
        <v>15</v>
      </c>
      <c r="E26" s="145" t="s">
        <v>56</v>
      </c>
      <c r="F26" s="144" t="s">
        <v>35</v>
      </c>
      <c r="G26" s="144" t="s">
        <v>1112</v>
      </c>
    </row>
    <row r="27" spans="1:8" x14ac:dyDescent="0.35">
      <c r="A27" s="144" t="s">
        <v>6</v>
      </c>
      <c r="B27" s="144" t="s">
        <v>219</v>
      </c>
      <c r="C27" s="134">
        <v>1</v>
      </c>
      <c r="D27" s="148">
        <v>50</v>
      </c>
      <c r="E27" s="145" t="s">
        <v>876</v>
      </c>
      <c r="F27" s="144" t="s">
        <v>34</v>
      </c>
      <c r="G27" s="144" t="s">
        <v>1113</v>
      </c>
    </row>
    <row r="28" spans="1:8" x14ac:dyDescent="0.35">
      <c r="A28" s="144" t="s">
        <v>6</v>
      </c>
      <c r="B28" s="144" t="s">
        <v>219</v>
      </c>
      <c r="C28" s="125">
        <v>1</v>
      </c>
      <c r="D28" s="155">
        <v>15</v>
      </c>
      <c r="E28" s="145" t="s">
        <v>876</v>
      </c>
      <c r="F28" s="144" t="s">
        <v>35</v>
      </c>
      <c r="G28" s="144" t="s">
        <v>1113</v>
      </c>
      <c r="H28" s="5"/>
    </row>
    <row r="29" spans="1:8" x14ac:dyDescent="0.35">
      <c r="A29" s="144" t="s">
        <v>6</v>
      </c>
      <c r="B29" s="144" t="s">
        <v>219</v>
      </c>
      <c r="C29" s="134">
        <v>1</v>
      </c>
      <c r="D29" s="148">
        <v>50</v>
      </c>
      <c r="E29" s="145" t="s">
        <v>876</v>
      </c>
      <c r="F29" s="144" t="s">
        <v>34</v>
      </c>
      <c r="G29" s="144" t="s">
        <v>1114</v>
      </c>
    </row>
    <row r="30" spans="1:8" x14ac:dyDescent="0.35">
      <c r="A30" s="144" t="s">
        <v>23</v>
      </c>
      <c r="B30" s="144" t="s">
        <v>244</v>
      </c>
      <c r="C30" s="125">
        <v>1</v>
      </c>
      <c r="D30" s="148">
        <v>50</v>
      </c>
      <c r="E30" s="145" t="s">
        <v>64</v>
      </c>
      <c r="F30" s="144" t="s">
        <v>34</v>
      </c>
      <c r="G30" s="144" t="s">
        <v>1115</v>
      </c>
    </row>
    <row r="31" spans="1:8" x14ac:dyDescent="0.35">
      <c r="A31" s="144" t="s">
        <v>23</v>
      </c>
      <c r="B31" s="144" t="s">
        <v>211</v>
      </c>
      <c r="C31" s="134">
        <v>1</v>
      </c>
      <c r="D31" s="155">
        <v>15</v>
      </c>
      <c r="E31" s="145" t="s">
        <v>62</v>
      </c>
      <c r="F31" s="144" t="s">
        <v>35</v>
      </c>
      <c r="G31" s="144" t="s">
        <v>1116</v>
      </c>
    </row>
    <row r="32" spans="1:8" x14ac:dyDescent="0.35">
      <c r="A32" s="144" t="s">
        <v>6</v>
      </c>
      <c r="B32" s="144" t="s">
        <v>142</v>
      </c>
      <c r="C32" s="125">
        <v>1</v>
      </c>
      <c r="D32" s="155">
        <v>15</v>
      </c>
      <c r="E32" s="145" t="s">
        <v>44</v>
      </c>
      <c r="F32" s="144" t="s">
        <v>35</v>
      </c>
      <c r="G32" s="144" t="s">
        <v>1117</v>
      </c>
    </row>
    <row r="33" spans="1:7" x14ac:dyDescent="0.35">
      <c r="A33" s="144" t="s">
        <v>6</v>
      </c>
      <c r="B33" s="144" t="s">
        <v>142</v>
      </c>
      <c r="C33" s="134">
        <v>1</v>
      </c>
      <c r="D33" s="155">
        <v>35</v>
      </c>
      <c r="E33" s="145" t="s">
        <v>44</v>
      </c>
      <c r="F33" s="144" t="s">
        <v>36</v>
      </c>
      <c r="G33" s="144" t="s">
        <v>1118</v>
      </c>
    </row>
    <row r="34" spans="1:7" x14ac:dyDescent="0.35">
      <c r="A34" s="144" t="s">
        <v>6</v>
      </c>
      <c r="B34" s="144" t="s">
        <v>142</v>
      </c>
      <c r="C34" s="125">
        <v>1</v>
      </c>
      <c r="D34" s="155">
        <v>35</v>
      </c>
      <c r="E34" s="145" t="s">
        <v>44</v>
      </c>
      <c r="F34" s="144" t="s">
        <v>36</v>
      </c>
      <c r="G34" s="144" t="s">
        <v>1119</v>
      </c>
    </row>
    <row r="35" spans="1:7" x14ac:dyDescent="0.35">
      <c r="A35" s="144" t="s">
        <v>23</v>
      </c>
      <c r="B35" s="144" t="s">
        <v>211</v>
      </c>
      <c r="C35" s="134">
        <v>1</v>
      </c>
      <c r="D35" s="155">
        <v>35</v>
      </c>
      <c r="E35" s="145" t="s">
        <v>62</v>
      </c>
      <c r="F35" s="144" t="s">
        <v>36</v>
      </c>
      <c r="G35" s="144" t="s">
        <v>1120</v>
      </c>
    </row>
    <row r="36" spans="1:7" x14ac:dyDescent="0.35">
      <c r="A36" s="144" t="s">
        <v>6</v>
      </c>
      <c r="B36" s="144" t="s">
        <v>86</v>
      </c>
      <c r="C36" s="125">
        <v>1</v>
      </c>
      <c r="D36" s="148">
        <v>15</v>
      </c>
      <c r="E36" s="145" t="s">
        <v>47</v>
      </c>
      <c r="F36" s="144" t="s">
        <v>35</v>
      </c>
      <c r="G36" s="144" t="s">
        <v>1121</v>
      </c>
    </row>
    <row r="37" spans="1:7" x14ac:dyDescent="0.35">
      <c r="A37" s="144" t="s">
        <v>23</v>
      </c>
      <c r="B37" s="144" t="s">
        <v>211</v>
      </c>
      <c r="C37" s="134">
        <v>1</v>
      </c>
      <c r="D37" s="148">
        <v>50</v>
      </c>
      <c r="E37" s="145" t="s">
        <v>62</v>
      </c>
      <c r="F37" s="144" t="s">
        <v>34</v>
      </c>
      <c r="G37" s="144" t="s">
        <v>1122</v>
      </c>
    </row>
    <row r="38" spans="1:7" x14ac:dyDescent="0.35">
      <c r="A38" t="s">
        <v>6</v>
      </c>
      <c r="B38" t="s">
        <v>72</v>
      </c>
      <c r="C38" s="125">
        <v>1</v>
      </c>
      <c r="D38" s="148">
        <v>15</v>
      </c>
      <c r="E38" s="14" t="s">
        <v>82</v>
      </c>
      <c r="F38" s="144" t="s">
        <v>35</v>
      </c>
      <c r="G38" s="144" t="s">
        <v>1123</v>
      </c>
    </row>
    <row r="39" spans="1:7" x14ac:dyDescent="0.35">
      <c r="A39" s="144"/>
      <c r="B39" s="144"/>
      <c r="C39" s="134">
        <v>1</v>
      </c>
      <c r="D39" s="126"/>
      <c r="E39" s="145"/>
      <c r="F39" s="124"/>
      <c r="G39" s="144"/>
    </row>
    <row r="40" spans="1:7" x14ac:dyDescent="0.35">
      <c r="A40" s="144"/>
      <c r="B40" s="144"/>
      <c r="C40" s="125">
        <v>1</v>
      </c>
      <c r="D40" s="148"/>
      <c r="E40" s="145"/>
      <c r="F40" s="124"/>
      <c r="G40" s="144"/>
    </row>
    <row r="41" spans="1:7" x14ac:dyDescent="0.35">
      <c r="A41" s="144"/>
      <c r="B41" s="144"/>
      <c r="C41" s="134">
        <v>1</v>
      </c>
      <c r="D41" s="144"/>
      <c r="E41" s="144"/>
      <c r="F41" s="144"/>
      <c r="G41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23709-1358-4DCC-A40B-58904216E9A6}">
  <dimension ref="A1:H41"/>
  <sheetViews>
    <sheetView zoomScale="80" zoomScaleNormal="80" workbookViewId="0">
      <selection activeCell="B4" sqref="B4"/>
    </sheetView>
  </sheetViews>
  <sheetFormatPr defaultColWidth="9.1796875" defaultRowHeight="14.5" x14ac:dyDescent="0.35"/>
  <cols>
    <col min="1" max="1" width="27.54296875" customWidth="1"/>
    <col min="2" max="2" width="30.7265625" customWidth="1"/>
    <col min="3" max="3" width="34.54296875" customWidth="1"/>
    <col min="4" max="4" width="58" customWidth="1"/>
    <col min="5" max="5" width="62.453125" customWidth="1"/>
    <col min="6" max="6" width="92" customWidth="1"/>
    <col min="7" max="7" width="105.81640625" customWidth="1"/>
    <col min="8" max="8" width="10.5429687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5" thickBot="1" x14ac:dyDescent="0.4"/>
    <row r="3" spans="1:7" x14ac:dyDescent="0.35">
      <c r="A3" s="6" t="s">
        <v>28</v>
      </c>
      <c r="B3" s="7" t="s">
        <v>1330</v>
      </c>
    </row>
    <row r="4" spans="1:7" x14ac:dyDescent="0.35">
      <c r="A4" s="8" t="s">
        <v>29</v>
      </c>
      <c r="B4" s="9"/>
    </row>
    <row r="5" spans="1:7" ht="15" thickBot="1" x14ac:dyDescent="0.4">
      <c r="A5" s="10" t="s">
        <v>30</v>
      </c>
      <c r="B5" s="177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6</v>
      </c>
      <c r="B9" s="144" t="s">
        <v>7</v>
      </c>
      <c r="C9" s="134">
        <v>1</v>
      </c>
      <c r="D9" s="143">
        <f>-SUM(D10:D40)</f>
        <v>-1440.8</v>
      </c>
      <c r="E9" s="124" t="s">
        <v>12</v>
      </c>
      <c r="F9" s="124" t="s">
        <v>551</v>
      </c>
      <c r="G9" s="130"/>
    </row>
    <row r="10" spans="1:7" x14ac:dyDescent="0.35">
      <c r="A10" s="144" t="s">
        <v>1096</v>
      </c>
      <c r="B10" s="144" t="s">
        <v>163</v>
      </c>
      <c r="C10" s="125">
        <v>1</v>
      </c>
      <c r="D10" s="148">
        <v>15</v>
      </c>
      <c r="E10" s="145" t="s">
        <v>56</v>
      </c>
      <c r="F10" s="144" t="s">
        <v>35</v>
      </c>
      <c r="G10" s="124" t="s">
        <v>1126</v>
      </c>
    </row>
    <row r="11" spans="1:7" x14ac:dyDescent="0.35">
      <c r="A11" s="144" t="s">
        <v>23</v>
      </c>
      <c r="B11" s="144" t="s">
        <v>211</v>
      </c>
      <c r="C11" s="134">
        <v>1</v>
      </c>
      <c r="D11" s="148">
        <v>15</v>
      </c>
      <c r="E11" s="145" t="s">
        <v>62</v>
      </c>
      <c r="F11" s="144" t="s">
        <v>35</v>
      </c>
      <c r="G11" s="144" t="s">
        <v>1127</v>
      </c>
    </row>
    <row r="12" spans="1:7" x14ac:dyDescent="0.35">
      <c r="A12" s="144" t="s">
        <v>23</v>
      </c>
      <c r="B12" s="144" t="s">
        <v>211</v>
      </c>
      <c r="C12" s="125">
        <v>1</v>
      </c>
      <c r="D12" s="148">
        <v>50</v>
      </c>
      <c r="E12" s="145" t="s">
        <v>62</v>
      </c>
      <c r="F12" s="144" t="s">
        <v>34</v>
      </c>
      <c r="G12" s="144" t="s">
        <v>1127</v>
      </c>
    </row>
    <row r="13" spans="1:7" x14ac:dyDescent="0.35">
      <c r="A13" s="144" t="s">
        <v>23</v>
      </c>
      <c r="B13" s="144" t="s">
        <v>211</v>
      </c>
      <c r="C13" s="134">
        <v>1</v>
      </c>
      <c r="D13" s="155">
        <v>50</v>
      </c>
      <c r="E13" s="145" t="s">
        <v>62</v>
      </c>
      <c r="F13" s="144" t="s">
        <v>34</v>
      </c>
      <c r="G13" s="144" t="s">
        <v>1128</v>
      </c>
    </row>
    <row r="14" spans="1:7" x14ac:dyDescent="0.35">
      <c r="A14" s="144" t="s">
        <v>23</v>
      </c>
      <c r="B14" s="144" t="s">
        <v>211</v>
      </c>
      <c r="C14" s="125">
        <v>1</v>
      </c>
      <c r="D14" s="155">
        <v>15</v>
      </c>
      <c r="E14" s="145" t="s">
        <v>62</v>
      </c>
      <c r="F14" s="144" t="s">
        <v>35</v>
      </c>
      <c r="G14" s="144" t="s">
        <v>1129</v>
      </c>
    </row>
    <row r="15" spans="1:7" x14ac:dyDescent="0.35">
      <c r="A15" s="144" t="s">
        <v>23</v>
      </c>
      <c r="B15" s="144" t="s">
        <v>211</v>
      </c>
      <c r="C15" s="134">
        <v>1</v>
      </c>
      <c r="D15" s="148">
        <v>50</v>
      </c>
      <c r="E15" s="145" t="s">
        <v>62</v>
      </c>
      <c r="F15" s="144" t="s">
        <v>34</v>
      </c>
      <c r="G15" s="144" t="s">
        <v>1130</v>
      </c>
    </row>
    <row r="16" spans="1:7" x14ac:dyDescent="0.35">
      <c r="A16" s="144" t="s">
        <v>23</v>
      </c>
      <c r="B16" s="144" t="s">
        <v>211</v>
      </c>
      <c r="C16" s="125">
        <v>1</v>
      </c>
      <c r="D16" s="148">
        <v>35</v>
      </c>
      <c r="E16" s="145" t="s">
        <v>62</v>
      </c>
      <c r="F16" s="144" t="s">
        <v>36</v>
      </c>
      <c r="G16" s="144" t="s">
        <v>1131</v>
      </c>
    </row>
    <row r="17" spans="1:8" x14ac:dyDescent="0.35">
      <c r="A17" s="144" t="s">
        <v>6</v>
      </c>
      <c r="B17" s="144" t="s">
        <v>86</v>
      </c>
      <c r="C17" s="134">
        <v>1</v>
      </c>
      <c r="D17" s="148">
        <v>50</v>
      </c>
      <c r="E17" s="145" t="s">
        <v>47</v>
      </c>
      <c r="F17" s="144" t="s">
        <v>34</v>
      </c>
      <c r="G17" s="144" t="s">
        <v>1132</v>
      </c>
    </row>
    <row r="18" spans="1:8" x14ac:dyDescent="0.35">
      <c r="A18" s="144" t="s">
        <v>6</v>
      </c>
      <c r="B18" s="144" t="s">
        <v>86</v>
      </c>
      <c r="C18" s="125">
        <v>1</v>
      </c>
      <c r="D18" s="148">
        <v>15</v>
      </c>
      <c r="E18" s="145" t="s">
        <v>47</v>
      </c>
      <c r="F18" s="144" t="s">
        <v>35</v>
      </c>
      <c r="G18" s="144" t="s">
        <v>1132</v>
      </c>
    </row>
    <row r="19" spans="1:8" x14ac:dyDescent="0.35">
      <c r="A19" s="144" t="s">
        <v>6</v>
      </c>
      <c r="B19" s="144" t="s">
        <v>86</v>
      </c>
      <c r="C19" s="134">
        <v>1</v>
      </c>
      <c r="D19" s="155">
        <v>35</v>
      </c>
      <c r="E19" s="145" t="s">
        <v>47</v>
      </c>
      <c r="F19" s="144" t="s">
        <v>36</v>
      </c>
      <c r="G19" s="144" t="s">
        <v>1133</v>
      </c>
    </row>
    <row r="20" spans="1:8" x14ac:dyDescent="0.35">
      <c r="A20" s="144" t="s">
        <v>6</v>
      </c>
      <c r="B20" s="144" t="s">
        <v>86</v>
      </c>
      <c r="C20" s="125">
        <v>1</v>
      </c>
      <c r="D20" s="148">
        <v>15</v>
      </c>
      <c r="E20" s="145" t="s">
        <v>47</v>
      </c>
      <c r="F20" s="144" t="s">
        <v>35</v>
      </c>
      <c r="G20" s="144" t="s">
        <v>1134</v>
      </c>
    </row>
    <row r="21" spans="1:8" x14ac:dyDescent="0.35">
      <c r="A21" s="144" t="s">
        <v>6</v>
      </c>
      <c r="B21" s="144" t="s">
        <v>72</v>
      </c>
      <c r="C21" s="134">
        <v>1</v>
      </c>
      <c r="D21" s="155">
        <v>35</v>
      </c>
      <c r="E21" s="145" t="s">
        <v>82</v>
      </c>
      <c r="F21" s="144" t="s">
        <v>36</v>
      </c>
      <c r="G21" s="144" t="s">
        <v>1135</v>
      </c>
    </row>
    <row r="22" spans="1:8" x14ac:dyDescent="0.35">
      <c r="A22" s="144" t="s">
        <v>6</v>
      </c>
      <c r="B22" s="144" t="s">
        <v>72</v>
      </c>
      <c r="C22" s="125">
        <v>1</v>
      </c>
      <c r="D22" s="148">
        <v>50</v>
      </c>
      <c r="E22" s="145" t="s">
        <v>82</v>
      </c>
      <c r="F22" s="144" t="s">
        <v>34</v>
      </c>
      <c r="G22" s="144" t="s">
        <v>1135</v>
      </c>
    </row>
    <row r="23" spans="1:8" x14ac:dyDescent="0.35">
      <c r="A23" s="144" t="s">
        <v>6</v>
      </c>
      <c r="B23" s="144" t="s">
        <v>72</v>
      </c>
      <c r="C23" s="134">
        <v>1</v>
      </c>
      <c r="D23" s="155">
        <v>15</v>
      </c>
      <c r="E23" s="145" t="s">
        <v>82</v>
      </c>
      <c r="F23" s="144" t="s">
        <v>35</v>
      </c>
      <c r="G23" s="144" t="s">
        <v>1135</v>
      </c>
    </row>
    <row r="24" spans="1:8" x14ac:dyDescent="0.35">
      <c r="A24" s="144" t="s">
        <v>6</v>
      </c>
      <c r="B24" s="144" t="s">
        <v>72</v>
      </c>
      <c r="C24" s="125">
        <v>1</v>
      </c>
      <c r="D24" s="155">
        <v>35</v>
      </c>
      <c r="E24" s="145" t="s">
        <v>82</v>
      </c>
      <c r="F24" s="144" t="s">
        <v>36</v>
      </c>
      <c r="G24" s="144" t="s">
        <v>1136</v>
      </c>
    </row>
    <row r="25" spans="1:8" x14ac:dyDescent="0.35">
      <c r="A25" s="144" t="s">
        <v>6</v>
      </c>
      <c r="B25" s="144" t="s">
        <v>72</v>
      </c>
      <c r="C25" s="134">
        <v>1</v>
      </c>
      <c r="D25" s="155">
        <v>15</v>
      </c>
      <c r="E25" s="145" t="s">
        <v>82</v>
      </c>
      <c r="F25" s="144" t="s">
        <v>35</v>
      </c>
      <c r="G25" s="144" t="s">
        <v>1136</v>
      </c>
    </row>
    <row r="26" spans="1:8" x14ac:dyDescent="0.35">
      <c r="A26" s="186" t="s">
        <v>1096</v>
      </c>
      <c r="B26" t="s">
        <v>163</v>
      </c>
      <c r="C26" s="125">
        <v>1</v>
      </c>
      <c r="D26" s="155">
        <v>35</v>
      </c>
      <c r="E26" s="145" t="s">
        <v>56</v>
      </c>
      <c r="F26" s="144" t="s">
        <v>36</v>
      </c>
      <c r="G26" s="144" t="s">
        <v>1137</v>
      </c>
    </row>
    <row r="27" spans="1:8" x14ac:dyDescent="0.35">
      <c r="A27" t="s">
        <v>23</v>
      </c>
      <c r="B27" t="s">
        <v>244</v>
      </c>
      <c r="C27" s="134">
        <v>1</v>
      </c>
      <c r="D27" s="148">
        <v>166.1</v>
      </c>
      <c r="E27" s="14" t="s">
        <v>64</v>
      </c>
      <c r="F27" s="124" t="s">
        <v>992</v>
      </c>
      <c r="G27" s="144" t="s">
        <v>1140</v>
      </c>
    </row>
    <row r="28" spans="1:8" x14ac:dyDescent="0.35">
      <c r="A28" t="s">
        <v>23</v>
      </c>
      <c r="B28" t="s">
        <v>244</v>
      </c>
      <c r="C28" s="134">
        <v>1</v>
      </c>
      <c r="D28" s="155">
        <v>137.5</v>
      </c>
      <c r="E28" s="14" t="s">
        <v>64</v>
      </c>
      <c r="F28" s="124" t="s">
        <v>989</v>
      </c>
      <c r="G28" s="144" t="s">
        <v>1140</v>
      </c>
      <c r="H28" s="5"/>
    </row>
    <row r="29" spans="1:8" x14ac:dyDescent="0.35">
      <c r="A29" s="144" t="s">
        <v>23</v>
      </c>
      <c r="B29" s="144" t="s">
        <v>211</v>
      </c>
      <c r="C29" s="134">
        <v>1</v>
      </c>
      <c r="D29" s="148">
        <v>166.1</v>
      </c>
      <c r="E29" s="145" t="s">
        <v>62</v>
      </c>
      <c r="F29" s="124" t="s">
        <v>992</v>
      </c>
      <c r="G29" s="144" t="s">
        <v>1141</v>
      </c>
    </row>
    <row r="30" spans="1:8" x14ac:dyDescent="0.35">
      <c r="A30" s="144" t="s">
        <v>23</v>
      </c>
      <c r="B30" s="144" t="s">
        <v>211</v>
      </c>
      <c r="C30" s="134">
        <v>1</v>
      </c>
      <c r="D30" s="148">
        <v>137.5</v>
      </c>
      <c r="E30" s="145" t="s">
        <v>62</v>
      </c>
      <c r="F30" s="124" t="s">
        <v>989</v>
      </c>
      <c r="G30" s="144" t="s">
        <v>1142</v>
      </c>
    </row>
    <row r="31" spans="1:8" x14ac:dyDescent="0.35">
      <c r="A31" s="144" t="s">
        <v>23</v>
      </c>
      <c r="B31" s="144" t="s">
        <v>211</v>
      </c>
      <c r="C31" s="134">
        <v>1</v>
      </c>
      <c r="D31" s="148">
        <v>166.1</v>
      </c>
      <c r="E31" s="145" t="s">
        <v>62</v>
      </c>
      <c r="F31" s="124" t="s">
        <v>992</v>
      </c>
      <c r="G31" s="144" t="s">
        <v>1143</v>
      </c>
    </row>
    <row r="32" spans="1:8" x14ac:dyDescent="0.35">
      <c r="A32" s="144" t="s">
        <v>23</v>
      </c>
      <c r="B32" s="144" t="s">
        <v>211</v>
      </c>
      <c r="C32" s="134">
        <v>1</v>
      </c>
      <c r="D32" s="148">
        <v>137.5</v>
      </c>
      <c r="E32" s="145" t="s">
        <v>62</v>
      </c>
      <c r="F32" s="124" t="s">
        <v>989</v>
      </c>
      <c r="G32" s="144" t="s">
        <v>1143</v>
      </c>
    </row>
    <row r="33" spans="1:7" x14ac:dyDescent="0.35">
      <c r="A33" s="144"/>
      <c r="B33" s="144"/>
      <c r="C33" s="134"/>
      <c r="D33" s="155"/>
      <c r="E33" s="145"/>
      <c r="F33" s="144"/>
      <c r="G33" s="144"/>
    </row>
    <row r="34" spans="1:7" x14ac:dyDescent="0.35">
      <c r="A34" s="144"/>
      <c r="B34" s="144"/>
      <c r="C34" s="125"/>
      <c r="D34" s="155"/>
      <c r="E34" s="145"/>
      <c r="F34" s="144"/>
      <c r="G34" s="144"/>
    </row>
    <row r="35" spans="1:7" x14ac:dyDescent="0.35">
      <c r="A35" s="144"/>
      <c r="B35" s="144"/>
      <c r="C35" s="134"/>
      <c r="D35" s="155"/>
      <c r="E35" s="145"/>
      <c r="F35" s="144"/>
      <c r="G35" s="144"/>
    </row>
    <row r="36" spans="1:7" x14ac:dyDescent="0.35">
      <c r="A36" s="144"/>
      <c r="B36" s="144"/>
      <c r="C36" s="125"/>
      <c r="D36" s="148"/>
      <c r="E36" s="145"/>
      <c r="F36" s="144"/>
      <c r="G36" s="144"/>
    </row>
    <row r="37" spans="1:7" x14ac:dyDescent="0.35">
      <c r="A37" s="144"/>
      <c r="B37" s="144"/>
      <c r="C37" s="134"/>
      <c r="D37" s="148"/>
      <c r="E37" s="145"/>
      <c r="F37" s="144"/>
      <c r="G37" s="144"/>
    </row>
    <row r="38" spans="1:7" x14ac:dyDescent="0.35">
      <c r="C38" s="125"/>
      <c r="D38" s="148"/>
      <c r="E38" s="14"/>
      <c r="F38" s="144"/>
      <c r="G38" s="144"/>
    </row>
    <row r="39" spans="1:7" x14ac:dyDescent="0.35">
      <c r="A39" s="144"/>
      <c r="B39" s="144"/>
      <c r="C39" s="134"/>
      <c r="D39" s="126"/>
      <c r="E39" s="145"/>
      <c r="F39" s="124"/>
      <c r="G39" s="144"/>
    </row>
    <row r="40" spans="1:7" x14ac:dyDescent="0.35">
      <c r="A40" s="144"/>
      <c r="B40" s="144"/>
      <c r="C40" s="125"/>
      <c r="D40" s="148"/>
      <c r="E40" s="145"/>
      <c r="F40" s="124"/>
      <c r="G40" s="144"/>
    </row>
    <row r="41" spans="1:7" x14ac:dyDescent="0.35">
      <c r="A41" s="144"/>
      <c r="B41" s="144"/>
      <c r="C41" s="134">
        <v>1</v>
      </c>
      <c r="D41" s="144"/>
      <c r="E41" s="144"/>
      <c r="F41" s="144"/>
      <c r="G41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DB5C-A5D3-46BE-996A-6A09D5D8A968}">
  <dimension ref="A1:G41"/>
  <sheetViews>
    <sheetView zoomScale="90" zoomScaleNormal="90" workbookViewId="0">
      <selection activeCell="B5" sqref="B5"/>
    </sheetView>
  </sheetViews>
  <sheetFormatPr defaultRowHeight="14.5" x14ac:dyDescent="0.35"/>
  <cols>
    <col min="1" max="1" width="13.7265625" customWidth="1"/>
    <col min="2" max="2" width="20.7265625" customWidth="1"/>
    <col min="3" max="3" width="29.453125" customWidth="1"/>
    <col min="4" max="4" width="32.453125" customWidth="1"/>
    <col min="5" max="5" width="44" bestFit="1" customWidth="1"/>
    <col min="6" max="6" width="56" customWidth="1"/>
    <col min="7" max="7" width="54.81640625" customWidth="1"/>
  </cols>
  <sheetData>
    <row r="1" spans="1:7" ht="15.75" customHeight="1" x14ac:dyDescent="0.35"/>
    <row r="2" spans="1:7" ht="15.75" customHeight="1" x14ac:dyDescent="0.35">
      <c r="A2" s="254" t="s">
        <v>27</v>
      </c>
      <c r="B2" s="254"/>
      <c r="C2" s="254"/>
      <c r="D2" s="254"/>
      <c r="E2" s="254"/>
      <c r="F2" s="254"/>
      <c r="G2" s="254"/>
    </row>
    <row r="3" spans="1:7" ht="15" customHeight="1" thickBot="1" x14ac:dyDescent="0.4"/>
    <row r="4" spans="1:7" ht="15" customHeight="1" x14ac:dyDescent="0.35">
      <c r="A4" s="6" t="s">
        <v>28</v>
      </c>
      <c r="B4" s="7" t="s">
        <v>1329</v>
      </c>
    </row>
    <row r="5" spans="1:7" ht="15" customHeight="1" x14ac:dyDescent="0.35">
      <c r="A5" s="8" t="s">
        <v>29</v>
      </c>
      <c r="B5" s="9"/>
    </row>
    <row r="6" spans="1:7" ht="15" customHeight="1" thickBot="1" x14ac:dyDescent="0.4">
      <c r="A6" s="10" t="s">
        <v>30</v>
      </c>
      <c r="B6" s="177"/>
      <c r="F6" s="96"/>
    </row>
    <row r="7" spans="1:7" ht="15" customHeight="1" x14ac:dyDescent="0.35"/>
    <row r="9" spans="1:7" x14ac:dyDescent="0.35">
      <c r="A9" s="72" t="s">
        <v>0</v>
      </c>
      <c r="B9" s="73" t="s">
        <v>1</v>
      </c>
      <c r="C9" s="73" t="s">
        <v>71</v>
      </c>
      <c r="D9" s="74" t="s">
        <v>2</v>
      </c>
      <c r="E9" s="73" t="s">
        <v>4</v>
      </c>
      <c r="F9" s="73" t="s">
        <v>81</v>
      </c>
      <c r="G9" s="152" t="s">
        <v>77</v>
      </c>
    </row>
    <row r="10" spans="1:7" x14ac:dyDescent="0.35">
      <c r="A10" s="144" t="s">
        <v>6</v>
      </c>
      <c r="B10" s="144" t="s">
        <v>72</v>
      </c>
      <c r="C10" s="134">
        <v>1</v>
      </c>
      <c r="D10" s="143">
        <v>35</v>
      </c>
      <c r="E10" s="145" t="s">
        <v>1138</v>
      </c>
      <c r="F10" s="144" t="s">
        <v>36</v>
      </c>
      <c r="G10" s="185" t="s">
        <v>1144</v>
      </c>
    </row>
    <row r="11" spans="1:7" x14ac:dyDescent="0.35">
      <c r="A11" s="144" t="s">
        <v>6</v>
      </c>
      <c r="B11" s="144" t="s">
        <v>72</v>
      </c>
      <c r="C11" s="134">
        <v>1</v>
      </c>
      <c r="D11" s="148">
        <v>15</v>
      </c>
      <c r="E11" s="145" t="s">
        <v>1138</v>
      </c>
      <c r="F11" s="144" t="s">
        <v>35</v>
      </c>
      <c r="G11" s="124" t="s">
        <v>1145</v>
      </c>
    </row>
    <row r="12" spans="1:7" x14ac:dyDescent="0.35">
      <c r="A12" s="144" t="s">
        <v>6</v>
      </c>
      <c r="B12" s="144" t="s">
        <v>219</v>
      </c>
      <c r="C12" s="134">
        <v>1</v>
      </c>
      <c r="D12" s="148">
        <v>50</v>
      </c>
      <c r="E12" s="145" t="s">
        <v>876</v>
      </c>
      <c r="F12" s="144" t="s">
        <v>34</v>
      </c>
      <c r="G12" s="144" t="s">
        <v>1146</v>
      </c>
    </row>
    <row r="13" spans="1:7" x14ac:dyDescent="0.35">
      <c r="A13" s="144" t="s">
        <v>6</v>
      </c>
      <c r="B13" s="144" t="s">
        <v>219</v>
      </c>
      <c r="C13" s="134">
        <v>1</v>
      </c>
      <c r="D13" s="148">
        <v>15</v>
      </c>
      <c r="E13" s="145" t="s">
        <v>876</v>
      </c>
      <c r="F13" s="144" t="s">
        <v>35</v>
      </c>
      <c r="G13" s="144" t="s">
        <v>1146</v>
      </c>
    </row>
    <row r="14" spans="1:7" x14ac:dyDescent="0.35">
      <c r="A14" s="144" t="s">
        <v>23</v>
      </c>
      <c r="B14" s="144" t="s">
        <v>244</v>
      </c>
      <c r="C14" s="134">
        <v>1</v>
      </c>
      <c r="D14" s="126">
        <v>137.5</v>
      </c>
      <c r="E14" s="145" t="s">
        <v>64</v>
      </c>
      <c r="F14" s="124" t="s">
        <v>989</v>
      </c>
      <c r="G14" s="144" t="s">
        <v>1148</v>
      </c>
    </row>
    <row r="15" spans="1:7" x14ac:dyDescent="0.35">
      <c r="A15" s="144" t="s">
        <v>23</v>
      </c>
      <c r="B15" s="144" t="s">
        <v>244</v>
      </c>
      <c r="C15" s="134">
        <v>1</v>
      </c>
      <c r="D15" s="126">
        <v>166.1</v>
      </c>
      <c r="E15" s="145" t="s">
        <v>64</v>
      </c>
      <c r="F15" s="124" t="s">
        <v>992</v>
      </c>
      <c r="G15" s="144" t="s">
        <v>1147</v>
      </c>
    </row>
    <row r="16" spans="1:7" x14ac:dyDescent="0.35">
      <c r="A16" s="144" t="s">
        <v>6</v>
      </c>
      <c r="B16" s="144" t="s">
        <v>86</v>
      </c>
      <c r="C16" s="134">
        <v>1</v>
      </c>
      <c r="D16" s="126">
        <v>137.5</v>
      </c>
      <c r="E16" s="145" t="s">
        <v>47</v>
      </c>
      <c r="F16" s="124" t="s">
        <v>989</v>
      </c>
      <c r="G16" s="144" t="s">
        <v>1149</v>
      </c>
    </row>
    <row r="17" spans="1:7" x14ac:dyDescent="0.35">
      <c r="A17" s="144" t="s">
        <v>6</v>
      </c>
      <c r="B17" s="144" t="s">
        <v>86</v>
      </c>
      <c r="C17" s="134">
        <v>1</v>
      </c>
      <c r="D17" s="126">
        <v>166.1</v>
      </c>
      <c r="E17" s="145" t="s">
        <v>47</v>
      </c>
      <c r="F17" s="124" t="s">
        <v>992</v>
      </c>
      <c r="G17" s="144" t="s">
        <v>1150</v>
      </c>
    </row>
    <row r="18" spans="1:7" x14ac:dyDescent="0.35">
      <c r="A18" s="144" t="s">
        <v>23</v>
      </c>
      <c r="B18" s="144" t="s">
        <v>244</v>
      </c>
      <c r="C18" s="134">
        <v>1</v>
      </c>
      <c r="D18" s="148">
        <v>50</v>
      </c>
      <c r="E18" s="145" t="s">
        <v>64</v>
      </c>
      <c r="F18" s="144" t="s">
        <v>34</v>
      </c>
      <c r="G18" s="144" t="s">
        <v>1151</v>
      </c>
    </row>
    <row r="19" spans="1:7" x14ac:dyDescent="0.35">
      <c r="A19" s="144" t="s">
        <v>23</v>
      </c>
      <c r="B19" s="144" t="s">
        <v>244</v>
      </c>
      <c r="C19" s="134">
        <v>1</v>
      </c>
      <c r="D19" s="148">
        <v>15</v>
      </c>
      <c r="E19" s="145" t="s">
        <v>64</v>
      </c>
      <c r="F19" s="144" t="s">
        <v>35</v>
      </c>
      <c r="G19" s="144" t="s">
        <v>1151</v>
      </c>
    </row>
    <row r="20" spans="1:7" x14ac:dyDescent="0.35">
      <c r="A20" s="144" t="s">
        <v>23</v>
      </c>
      <c r="B20" s="144" t="s">
        <v>211</v>
      </c>
      <c r="C20" s="134">
        <v>1</v>
      </c>
      <c r="D20" s="148">
        <v>50</v>
      </c>
      <c r="E20" s="145" t="s">
        <v>62</v>
      </c>
      <c r="F20" s="144" t="s">
        <v>34</v>
      </c>
      <c r="G20" s="144" t="s">
        <v>1152</v>
      </c>
    </row>
    <row r="21" spans="1:7" x14ac:dyDescent="0.35">
      <c r="A21" s="144" t="s">
        <v>23</v>
      </c>
      <c r="B21" s="144" t="s">
        <v>211</v>
      </c>
      <c r="C21" s="134">
        <v>1</v>
      </c>
      <c r="D21" s="148">
        <v>15</v>
      </c>
      <c r="E21" s="145" t="s">
        <v>62</v>
      </c>
      <c r="F21" s="144" t="s">
        <v>35</v>
      </c>
      <c r="G21" s="144" t="s">
        <v>1152</v>
      </c>
    </row>
    <row r="22" spans="1:7" x14ac:dyDescent="0.35">
      <c r="A22" s="144" t="s">
        <v>23</v>
      </c>
      <c r="B22" s="144" t="s">
        <v>211</v>
      </c>
      <c r="C22" s="134">
        <v>1</v>
      </c>
      <c r="D22" s="155">
        <v>35</v>
      </c>
      <c r="E22" s="145" t="s">
        <v>62</v>
      </c>
      <c r="F22" s="144" t="s">
        <v>36</v>
      </c>
      <c r="G22" s="144" t="s">
        <v>1153</v>
      </c>
    </row>
    <row r="23" spans="1:7" x14ac:dyDescent="0.35">
      <c r="A23" s="144" t="s">
        <v>23</v>
      </c>
      <c r="B23" s="144" t="s">
        <v>244</v>
      </c>
      <c r="C23" s="134">
        <v>1</v>
      </c>
      <c r="D23" s="155">
        <v>35</v>
      </c>
      <c r="E23" s="145" t="s">
        <v>64</v>
      </c>
      <c r="F23" s="144" t="s">
        <v>36</v>
      </c>
      <c r="G23" s="144" t="s">
        <v>1154</v>
      </c>
    </row>
    <row r="24" spans="1:7" x14ac:dyDescent="0.35">
      <c r="A24" s="144" t="s">
        <v>6</v>
      </c>
      <c r="B24" s="144" t="s">
        <v>86</v>
      </c>
      <c r="C24" s="134">
        <v>1</v>
      </c>
      <c r="D24" s="148">
        <v>50</v>
      </c>
      <c r="E24" s="145" t="s">
        <v>47</v>
      </c>
      <c r="F24" s="144" t="s">
        <v>34</v>
      </c>
      <c r="G24" s="144" t="s">
        <v>1155</v>
      </c>
    </row>
    <row r="25" spans="1:7" x14ac:dyDescent="0.35">
      <c r="A25" s="144" t="s">
        <v>6</v>
      </c>
      <c r="B25" s="144" t="s">
        <v>86</v>
      </c>
      <c r="C25" s="134">
        <v>1</v>
      </c>
      <c r="D25" s="148">
        <v>15</v>
      </c>
      <c r="E25" s="145" t="s">
        <v>47</v>
      </c>
      <c r="F25" s="144" t="s">
        <v>35</v>
      </c>
      <c r="G25" s="144" t="s">
        <v>1155</v>
      </c>
    </row>
    <row r="26" spans="1:7" x14ac:dyDescent="0.35">
      <c r="A26" s="144" t="s">
        <v>6</v>
      </c>
      <c r="B26" s="144" t="s">
        <v>7</v>
      </c>
      <c r="C26" s="134">
        <v>1</v>
      </c>
      <c r="D26" s="143">
        <f>-SUM(D10:D25)</f>
        <v>-987.2</v>
      </c>
      <c r="E26" s="124" t="s">
        <v>12</v>
      </c>
      <c r="F26" s="124" t="s">
        <v>551</v>
      </c>
      <c r="G26" s="144"/>
    </row>
    <row r="27" spans="1:7" x14ac:dyDescent="0.35">
      <c r="A27" s="144"/>
      <c r="B27" s="144"/>
      <c r="C27" s="125"/>
      <c r="D27" s="155"/>
      <c r="E27" s="145"/>
      <c r="F27" s="144"/>
      <c r="G27" s="144"/>
    </row>
    <row r="28" spans="1:7" x14ac:dyDescent="0.35">
      <c r="A28" s="144"/>
      <c r="B28" s="144"/>
      <c r="C28" s="134"/>
      <c r="D28" s="148"/>
      <c r="E28" s="145"/>
      <c r="F28" s="124"/>
      <c r="G28" s="144"/>
    </row>
    <row r="29" spans="1:7" x14ac:dyDescent="0.35">
      <c r="A29" s="144"/>
      <c r="B29" s="144"/>
      <c r="C29" s="134"/>
      <c r="D29" s="148"/>
      <c r="E29" s="145"/>
      <c r="F29" s="124"/>
      <c r="G29" s="144"/>
    </row>
    <row r="30" spans="1:7" x14ac:dyDescent="0.35">
      <c r="A30" s="144"/>
      <c r="B30" s="144"/>
      <c r="C30" s="134"/>
      <c r="D30" s="148"/>
      <c r="E30" s="145"/>
      <c r="F30" s="124"/>
      <c r="G30" s="144"/>
    </row>
    <row r="31" spans="1:7" x14ac:dyDescent="0.35">
      <c r="A31" s="144"/>
      <c r="B31" s="144"/>
      <c r="C31" s="134"/>
      <c r="D31" s="148"/>
      <c r="E31" s="145"/>
      <c r="F31" s="124"/>
      <c r="G31" s="144"/>
    </row>
    <row r="32" spans="1:7" x14ac:dyDescent="0.35">
      <c r="A32" s="144"/>
      <c r="B32" s="144"/>
      <c r="C32" s="134"/>
      <c r="D32" s="148"/>
      <c r="E32" s="145"/>
      <c r="F32" s="124"/>
      <c r="G32" s="144"/>
    </row>
    <row r="33" spans="1:7" x14ac:dyDescent="0.35">
      <c r="A33" s="144"/>
      <c r="B33" s="144"/>
      <c r="C33" s="134"/>
      <c r="D33" s="155"/>
      <c r="E33" s="145"/>
      <c r="F33" s="144"/>
      <c r="G33" s="144"/>
    </row>
    <row r="34" spans="1:7" x14ac:dyDescent="0.35">
      <c r="A34" s="144"/>
      <c r="B34" s="144"/>
      <c r="C34" s="125"/>
      <c r="D34" s="155"/>
      <c r="E34" s="145"/>
      <c r="F34" s="144"/>
      <c r="G34" s="144"/>
    </row>
    <row r="35" spans="1:7" x14ac:dyDescent="0.35">
      <c r="A35" s="144"/>
      <c r="B35" s="144"/>
      <c r="C35" s="134"/>
      <c r="D35" s="155"/>
      <c r="E35" s="145"/>
      <c r="F35" s="144"/>
      <c r="G35" s="144"/>
    </row>
    <row r="36" spans="1:7" x14ac:dyDescent="0.35">
      <c r="A36" s="144"/>
      <c r="B36" s="144"/>
      <c r="C36" s="125"/>
      <c r="D36" s="148"/>
      <c r="E36" s="145"/>
      <c r="F36" s="144"/>
      <c r="G36" s="144"/>
    </row>
    <row r="37" spans="1:7" x14ac:dyDescent="0.35">
      <c r="A37" s="144"/>
      <c r="B37" s="144"/>
      <c r="C37" s="134"/>
      <c r="D37" s="148"/>
      <c r="E37" s="145"/>
      <c r="F37" s="144"/>
      <c r="G37" s="144"/>
    </row>
    <row r="38" spans="1:7" x14ac:dyDescent="0.35">
      <c r="C38" s="125"/>
      <c r="D38" s="148"/>
      <c r="E38" s="14"/>
      <c r="F38" s="144"/>
      <c r="G38" s="144"/>
    </row>
    <row r="39" spans="1:7" x14ac:dyDescent="0.35">
      <c r="A39" s="144"/>
      <c r="B39" s="144"/>
      <c r="C39" s="134"/>
      <c r="D39" s="126"/>
      <c r="E39" s="145"/>
      <c r="F39" s="124"/>
      <c r="G39" s="144"/>
    </row>
    <row r="40" spans="1:7" x14ac:dyDescent="0.35">
      <c r="A40" s="144"/>
      <c r="B40" s="144"/>
      <c r="C40" s="125"/>
      <c r="D40" s="148"/>
      <c r="E40" s="145"/>
      <c r="F40" s="124"/>
      <c r="G40" s="144"/>
    </row>
    <row r="41" spans="1:7" x14ac:dyDescent="0.35">
      <c r="A41" s="144"/>
      <c r="B41" s="144"/>
      <c r="C41" s="134">
        <v>1</v>
      </c>
      <c r="D41" s="144"/>
      <c r="E41" s="144"/>
      <c r="F41" s="144"/>
      <c r="G41" s="144"/>
    </row>
  </sheetData>
  <protectedRanges>
    <protectedRange sqref="D26" name="Amount_2_1_1_1"/>
  </protectedRanges>
  <mergeCells count="1">
    <mergeCell ref="A2:G2"/>
  </mergeCells>
  <phoneticPr fontId="12" type="noConversion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5FC3C-3C54-485D-817F-7384273F2455}">
  <dimension ref="A1:G40"/>
  <sheetViews>
    <sheetView workbookViewId="0">
      <selection activeCell="E30" sqref="E30"/>
    </sheetView>
  </sheetViews>
  <sheetFormatPr defaultColWidth="9.1796875" defaultRowHeight="14.5" x14ac:dyDescent="0.35"/>
  <cols>
    <col min="1" max="1" width="13.7265625" customWidth="1"/>
    <col min="2" max="2" width="20.7265625" customWidth="1"/>
    <col min="3" max="3" width="29.453125" customWidth="1"/>
    <col min="4" max="4" width="32.453125" customWidth="1"/>
    <col min="5" max="5" width="44" bestFit="1" customWidth="1"/>
    <col min="6" max="6" width="56" customWidth="1"/>
    <col min="7" max="7" width="54.81640625" customWidth="1"/>
  </cols>
  <sheetData>
    <row r="1" spans="1:7" ht="15.75" customHeight="1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5.75" customHeight="1" thickBot="1" x14ac:dyDescent="0.4"/>
    <row r="3" spans="1:7" ht="15" customHeight="1" x14ac:dyDescent="0.35">
      <c r="A3" s="6" t="s">
        <v>28</v>
      </c>
      <c r="B3" s="7" t="s">
        <v>1328</v>
      </c>
    </row>
    <row r="4" spans="1:7" ht="15" customHeight="1" x14ac:dyDescent="0.35">
      <c r="A4" s="8" t="s">
        <v>29</v>
      </c>
      <c r="B4" s="9"/>
    </row>
    <row r="5" spans="1:7" ht="15" customHeight="1" thickBot="1" x14ac:dyDescent="0.4">
      <c r="A5" s="10" t="s">
        <v>30</v>
      </c>
      <c r="B5" s="177"/>
      <c r="F5" s="96"/>
    </row>
    <row r="6" spans="1:7" ht="15" customHeight="1" x14ac:dyDescent="0.35"/>
    <row r="7" spans="1:7" ht="15" customHeight="1" x14ac:dyDescent="0.35"/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23</v>
      </c>
      <c r="B9" s="144" t="s">
        <v>244</v>
      </c>
      <c r="C9" s="134">
        <v>1</v>
      </c>
      <c r="D9" s="148">
        <v>50</v>
      </c>
      <c r="E9" s="14" t="s">
        <v>64</v>
      </c>
      <c r="F9" s="144" t="s">
        <v>34</v>
      </c>
      <c r="G9" s="124" t="s">
        <v>1156</v>
      </c>
    </row>
    <row r="10" spans="1:7" x14ac:dyDescent="0.35">
      <c r="A10" s="144" t="s">
        <v>23</v>
      </c>
      <c r="B10" s="144" t="s">
        <v>244</v>
      </c>
      <c r="C10" s="134">
        <v>1</v>
      </c>
      <c r="D10" s="148">
        <v>15</v>
      </c>
      <c r="E10" s="14" t="s">
        <v>64</v>
      </c>
      <c r="F10" s="144" t="s">
        <v>1157</v>
      </c>
      <c r="G10" s="124" t="s">
        <v>1156</v>
      </c>
    </row>
    <row r="11" spans="1:7" x14ac:dyDescent="0.35">
      <c r="A11" s="144" t="s">
        <v>6</v>
      </c>
      <c r="B11" s="144" t="s">
        <v>142</v>
      </c>
      <c r="C11" s="134">
        <v>1</v>
      </c>
      <c r="D11" s="148">
        <v>35</v>
      </c>
      <c r="E11" s="14" t="s">
        <v>44</v>
      </c>
      <c r="F11" s="144" t="s">
        <v>36</v>
      </c>
      <c r="G11" s="144" t="s">
        <v>1158</v>
      </c>
    </row>
    <row r="12" spans="1:7" x14ac:dyDescent="0.35">
      <c r="A12" s="144" t="s">
        <v>73</v>
      </c>
      <c r="B12" s="144" t="s">
        <v>163</v>
      </c>
      <c r="C12" s="134">
        <v>1</v>
      </c>
      <c r="D12" s="126">
        <v>50</v>
      </c>
      <c r="E12" s="14" t="s">
        <v>56</v>
      </c>
      <c r="F12" s="144" t="s">
        <v>34</v>
      </c>
      <c r="G12" s="144" t="s">
        <v>1159</v>
      </c>
    </row>
    <row r="13" spans="1:7" x14ac:dyDescent="0.35">
      <c r="A13" s="144" t="s">
        <v>73</v>
      </c>
      <c r="B13" s="144" t="s">
        <v>163</v>
      </c>
      <c r="C13" s="134">
        <v>1</v>
      </c>
      <c r="D13" s="126">
        <v>50</v>
      </c>
      <c r="E13" s="14" t="s">
        <v>56</v>
      </c>
      <c r="F13" s="124" t="s">
        <v>34</v>
      </c>
      <c r="G13" s="144" t="s">
        <v>1160</v>
      </c>
    </row>
    <row r="14" spans="1:7" x14ac:dyDescent="0.35">
      <c r="A14" s="144" t="s">
        <v>73</v>
      </c>
      <c r="B14" s="144" t="s">
        <v>163</v>
      </c>
      <c r="C14" s="134">
        <v>1</v>
      </c>
      <c r="D14" s="126">
        <v>15</v>
      </c>
      <c r="E14" s="14" t="s">
        <v>56</v>
      </c>
      <c r="F14" s="144" t="s">
        <v>1157</v>
      </c>
      <c r="G14" s="144" t="s">
        <v>1160</v>
      </c>
    </row>
    <row r="15" spans="1:7" x14ac:dyDescent="0.35">
      <c r="A15" s="144" t="s">
        <v>6</v>
      </c>
      <c r="B15" s="144" t="s">
        <v>219</v>
      </c>
      <c r="C15" s="134">
        <v>1</v>
      </c>
      <c r="D15" s="126">
        <v>15</v>
      </c>
      <c r="E15" s="14" t="s">
        <v>876</v>
      </c>
      <c r="F15" s="144" t="s">
        <v>1157</v>
      </c>
      <c r="G15" s="144" t="s">
        <v>1161</v>
      </c>
    </row>
    <row r="16" spans="1:7" x14ac:dyDescent="0.35">
      <c r="A16" s="144" t="s">
        <v>23</v>
      </c>
      <c r="B16" s="144" t="s">
        <v>244</v>
      </c>
      <c r="C16" s="134">
        <v>1</v>
      </c>
      <c r="D16" s="148">
        <v>50</v>
      </c>
      <c r="E16" s="14" t="s">
        <v>64</v>
      </c>
      <c r="F16" s="124" t="s">
        <v>34</v>
      </c>
      <c r="G16" s="144" t="s">
        <v>1162</v>
      </c>
    </row>
    <row r="17" spans="1:7" x14ac:dyDescent="0.35">
      <c r="A17" s="144" t="s">
        <v>23</v>
      </c>
      <c r="B17" s="144" t="s">
        <v>244</v>
      </c>
      <c r="C17" s="134">
        <v>1</v>
      </c>
      <c r="D17" s="148">
        <v>50</v>
      </c>
      <c r="E17" s="14" t="s">
        <v>64</v>
      </c>
      <c r="F17" s="144" t="s">
        <v>34</v>
      </c>
      <c r="G17" s="144" t="s">
        <v>1164</v>
      </c>
    </row>
    <row r="18" spans="1:7" x14ac:dyDescent="0.35">
      <c r="A18" s="144" t="s">
        <v>23</v>
      </c>
      <c r="B18" s="144" t="s">
        <v>244</v>
      </c>
      <c r="C18" s="134">
        <v>1</v>
      </c>
      <c r="D18" s="148">
        <v>15</v>
      </c>
      <c r="E18" s="14" t="s">
        <v>64</v>
      </c>
      <c r="F18" s="144" t="s">
        <v>1157</v>
      </c>
      <c r="G18" s="144" t="s">
        <v>1163</v>
      </c>
    </row>
    <row r="19" spans="1:7" x14ac:dyDescent="0.35">
      <c r="A19" s="144" t="s">
        <v>6</v>
      </c>
      <c r="B19" s="144" t="s">
        <v>219</v>
      </c>
      <c r="C19" s="134">
        <v>1</v>
      </c>
      <c r="D19" s="148">
        <v>15</v>
      </c>
      <c r="E19" s="14" t="s">
        <v>876</v>
      </c>
      <c r="F19" s="144" t="s">
        <v>1157</v>
      </c>
      <c r="G19" s="144" t="s">
        <v>1163</v>
      </c>
    </row>
    <row r="20" spans="1:7" x14ac:dyDescent="0.35">
      <c r="A20" s="144"/>
      <c r="B20" s="144"/>
      <c r="C20" s="134"/>
      <c r="D20" s="155"/>
      <c r="E20" s="145"/>
      <c r="F20" s="144"/>
      <c r="G20" s="144"/>
    </row>
    <row r="21" spans="1:7" x14ac:dyDescent="0.35">
      <c r="A21" s="144"/>
      <c r="B21" s="144"/>
      <c r="C21" s="134"/>
      <c r="D21" s="155"/>
      <c r="E21" s="145"/>
      <c r="F21" s="144"/>
      <c r="G21" s="144"/>
    </row>
    <row r="22" spans="1:7" x14ac:dyDescent="0.35">
      <c r="A22" s="144"/>
      <c r="B22" s="144"/>
      <c r="C22" s="134"/>
      <c r="D22" s="148"/>
      <c r="E22" s="145"/>
      <c r="F22" s="144"/>
      <c r="G22" s="144"/>
    </row>
    <row r="23" spans="1:7" x14ac:dyDescent="0.35">
      <c r="A23" s="144"/>
      <c r="B23" s="144"/>
      <c r="C23" s="134"/>
      <c r="D23" s="148"/>
      <c r="E23" s="145"/>
      <c r="F23" s="144"/>
      <c r="G23" s="144"/>
    </row>
    <row r="24" spans="1:7" x14ac:dyDescent="0.35">
      <c r="A24" s="144" t="s">
        <v>6</v>
      </c>
      <c r="B24" s="144" t="s">
        <v>7</v>
      </c>
      <c r="C24" s="134">
        <v>1</v>
      </c>
      <c r="D24" s="143">
        <f>-SUM(D9:D23)</f>
        <v>-360</v>
      </c>
      <c r="E24" s="124" t="s">
        <v>12</v>
      </c>
      <c r="F24" s="124" t="s">
        <v>551</v>
      </c>
      <c r="G24" s="144"/>
    </row>
    <row r="25" spans="1:7" x14ac:dyDescent="0.35">
      <c r="A25" s="144"/>
      <c r="B25" s="144"/>
      <c r="C25" s="125"/>
      <c r="D25" s="155"/>
      <c r="E25" s="145"/>
      <c r="F25" s="144"/>
      <c r="G25" s="144"/>
    </row>
    <row r="26" spans="1:7" x14ac:dyDescent="0.35">
      <c r="A26" s="144"/>
      <c r="B26" s="144"/>
      <c r="C26" s="134"/>
      <c r="D26" s="148"/>
      <c r="E26" s="145"/>
      <c r="F26" s="124"/>
      <c r="G26" s="144"/>
    </row>
    <row r="27" spans="1:7" x14ac:dyDescent="0.35">
      <c r="A27" s="144"/>
      <c r="B27" s="144"/>
      <c r="C27" s="134"/>
      <c r="D27" s="155"/>
      <c r="E27" s="145"/>
      <c r="F27" s="124"/>
      <c r="G27" s="144"/>
    </row>
    <row r="28" spans="1:7" x14ac:dyDescent="0.35">
      <c r="A28" s="144"/>
      <c r="B28" s="144"/>
      <c r="C28" s="134"/>
      <c r="D28" s="148"/>
      <c r="E28" s="145"/>
      <c r="F28" s="124"/>
      <c r="G28" s="144"/>
    </row>
    <row r="29" spans="1:7" x14ac:dyDescent="0.35">
      <c r="A29" s="144"/>
      <c r="B29" s="144"/>
      <c r="C29" s="134"/>
      <c r="D29" s="148"/>
      <c r="E29" s="145"/>
      <c r="F29" s="124"/>
      <c r="G29" s="144"/>
    </row>
    <row r="30" spans="1:7" x14ac:dyDescent="0.35">
      <c r="A30" s="144"/>
      <c r="B30" s="144"/>
      <c r="C30" s="134"/>
      <c r="D30" s="148"/>
      <c r="E30" s="145"/>
      <c r="F30" s="124"/>
      <c r="G30" s="144"/>
    </row>
    <row r="31" spans="1:7" x14ac:dyDescent="0.35">
      <c r="A31" s="144"/>
      <c r="B31" s="144"/>
      <c r="C31" s="134"/>
      <c r="D31" s="148"/>
      <c r="E31" s="145"/>
      <c r="F31" s="124"/>
      <c r="G31" s="144"/>
    </row>
    <row r="32" spans="1:7" x14ac:dyDescent="0.35">
      <c r="A32" s="144"/>
      <c r="B32" s="144"/>
      <c r="C32" s="134"/>
      <c r="D32" s="155"/>
      <c r="E32" s="145"/>
      <c r="F32" s="144"/>
      <c r="G32" s="144"/>
    </row>
    <row r="33" spans="1:7" x14ac:dyDescent="0.35">
      <c r="A33" s="144"/>
      <c r="B33" s="144"/>
      <c r="C33" s="125"/>
      <c r="D33" s="155"/>
      <c r="E33" s="145"/>
      <c r="F33" s="144"/>
      <c r="G33" s="144"/>
    </row>
    <row r="34" spans="1:7" x14ac:dyDescent="0.35">
      <c r="A34" s="144"/>
      <c r="B34" s="144"/>
      <c r="C34" s="134"/>
      <c r="D34" s="155"/>
      <c r="E34" s="145"/>
      <c r="F34" s="144"/>
      <c r="G34" s="144"/>
    </row>
    <row r="35" spans="1:7" x14ac:dyDescent="0.35">
      <c r="A35" s="144"/>
      <c r="B35" s="144"/>
      <c r="C35" s="125"/>
      <c r="D35" s="148"/>
      <c r="E35" s="145"/>
      <c r="F35" s="144"/>
      <c r="G35" s="144"/>
    </row>
    <row r="36" spans="1:7" x14ac:dyDescent="0.35">
      <c r="A36" s="144"/>
      <c r="B36" s="144"/>
      <c r="C36" s="134"/>
      <c r="D36" s="148"/>
      <c r="E36" s="145"/>
      <c r="F36" s="144"/>
      <c r="G36" s="144"/>
    </row>
    <row r="37" spans="1:7" x14ac:dyDescent="0.35">
      <c r="C37" s="125"/>
      <c r="D37" s="148"/>
      <c r="E37" s="14"/>
      <c r="F37" s="144"/>
      <c r="G37" s="144"/>
    </row>
    <row r="38" spans="1:7" x14ac:dyDescent="0.35">
      <c r="A38" s="144"/>
      <c r="B38" s="144"/>
      <c r="C38" s="134"/>
      <c r="D38" s="126"/>
      <c r="E38" s="145"/>
      <c r="F38" s="124"/>
      <c r="G38" s="144"/>
    </row>
    <row r="39" spans="1:7" x14ac:dyDescent="0.35">
      <c r="A39" s="144"/>
      <c r="B39" s="144"/>
      <c r="C39" s="125"/>
      <c r="D39" s="148"/>
      <c r="E39" s="145"/>
      <c r="F39" s="124"/>
      <c r="G39" s="144"/>
    </row>
    <row r="40" spans="1:7" x14ac:dyDescent="0.35">
      <c r="A40" s="144"/>
      <c r="B40" s="144"/>
      <c r="C40" s="134">
        <v>1</v>
      </c>
      <c r="D40" s="144"/>
      <c r="E40" s="144"/>
      <c r="F40" s="144"/>
      <c r="G40" s="144"/>
    </row>
  </sheetData>
  <protectedRanges>
    <protectedRange sqref="D24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7C5D-3730-416B-95BA-F2FEDD2A5729}">
  <dimension ref="A1:G124"/>
  <sheetViews>
    <sheetView topLeftCell="A3" workbookViewId="0">
      <selection activeCell="B4" sqref="B4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4.1796875" bestFit="1" customWidth="1"/>
    <col min="4" max="4" width="17.7265625" bestFit="1" customWidth="1"/>
    <col min="5" max="5" width="41.1796875" bestFit="1" customWidth="1"/>
    <col min="6" max="6" width="48" bestFit="1" customWidth="1"/>
    <col min="7" max="7" width="36.179687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5" thickBot="1" x14ac:dyDescent="0.4"/>
    <row r="3" spans="1:7" x14ac:dyDescent="0.35">
      <c r="A3" s="6" t="s">
        <v>28</v>
      </c>
      <c r="B3" s="7" t="s">
        <v>1327</v>
      </c>
    </row>
    <row r="4" spans="1:7" x14ac:dyDescent="0.35">
      <c r="A4" s="8" t="s">
        <v>29</v>
      </c>
      <c r="B4" s="9"/>
    </row>
    <row r="5" spans="1:7" ht="15" thickBot="1" x14ac:dyDescent="0.4">
      <c r="A5" s="10" t="s">
        <v>30</v>
      </c>
      <c r="B5" s="177"/>
      <c r="F5" s="96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6</v>
      </c>
      <c r="B9" s="144" t="s">
        <v>219</v>
      </c>
      <c r="C9" s="134">
        <v>1</v>
      </c>
      <c r="D9" s="148">
        <v>15</v>
      </c>
      <c r="E9" s="145" t="s">
        <v>876</v>
      </c>
      <c r="F9" s="144" t="s">
        <v>35</v>
      </c>
      <c r="G9" s="185" t="s">
        <v>1165</v>
      </c>
    </row>
    <row r="10" spans="1:7" x14ac:dyDescent="0.35">
      <c r="A10" s="144" t="s">
        <v>6</v>
      </c>
      <c r="B10" s="144" t="s">
        <v>219</v>
      </c>
      <c r="C10" s="134">
        <v>1</v>
      </c>
      <c r="D10" s="148">
        <v>15</v>
      </c>
      <c r="E10" s="145" t="s">
        <v>876</v>
      </c>
      <c r="F10" s="144" t="s">
        <v>35</v>
      </c>
      <c r="G10" s="124" t="s">
        <v>1166</v>
      </c>
    </row>
    <row r="11" spans="1:7" x14ac:dyDescent="0.35">
      <c r="A11" s="144" t="s">
        <v>23</v>
      </c>
      <c r="B11" s="144" t="s">
        <v>244</v>
      </c>
      <c r="C11" s="134">
        <v>1</v>
      </c>
      <c r="D11" s="148">
        <v>15</v>
      </c>
      <c r="E11" s="145" t="s">
        <v>64</v>
      </c>
      <c r="F11" s="144" t="s">
        <v>35</v>
      </c>
      <c r="G11" s="144" t="s">
        <v>1168</v>
      </c>
    </row>
    <row r="12" spans="1:7" x14ac:dyDescent="0.35">
      <c r="A12" s="144" t="s">
        <v>23</v>
      </c>
      <c r="B12" s="144" t="s">
        <v>211</v>
      </c>
      <c r="C12" s="134">
        <v>1</v>
      </c>
      <c r="D12" s="148">
        <v>15</v>
      </c>
      <c r="E12" s="145" t="s">
        <v>62</v>
      </c>
      <c r="F12" s="144" t="s">
        <v>35</v>
      </c>
      <c r="G12" s="144" t="s">
        <v>1167</v>
      </c>
    </row>
    <row r="13" spans="1:7" x14ac:dyDescent="0.35">
      <c r="A13" s="144" t="s">
        <v>23</v>
      </c>
      <c r="B13" s="144" t="s">
        <v>211</v>
      </c>
      <c r="C13" s="134">
        <v>1</v>
      </c>
      <c r="D13" s="148">
        <v>50</v>
      </c>
      <c r="E13" s="145" t="s">
        <v>62</v>
      </c>
      <c r="F13" s="144" t="s">
        <v>34</v>
      </c>
      <c r="G13" s="144" t="s">
        <v>1169</v>
      </c>
    </row>
    <row r="14" spans="1:7" x14ac:dyDescent="0.35">
      <c r="A14" s="144" t="s">
        <v>23</v>
      </c>
      <c r="B14" s="144" t="s">
        <v>211</v>
      </c>
      <c r="C14" s="134">
        <v>1</v>
      </c>
      <c r="D14" s="155">
        <v>35</v>
      </c>
      <c r="E14" s="145" t="s">
        <v>62</v>
      </c>
      <c r="F14" s="144" t="s">
        <v>36</v>
      </c>
      <c r="G14" s="144" t="s">
        <v>1169</v>
      </c>
    </row>
    <row r="15" spans="1:7" x14ac:dyDescent="0.35">
      <c r="A15" s="144" t="s">
        <v>6</v>
      </c>
      <c r="B15" s="144" t="s">
        <v>142</v>
      </c>
      <c r="C15" s="134">
        <v>1</v>
      </c>
      <c r="D15" s="148">
        <v>15</v>
      </c>
      <c r="E15" s="145" t="s">
        <v>44</v>
      </c>
      <c r="F15" s="144" t="s">
        <v>35</v>
      </c>
      <c r="G15" s="144" t="s">
        <v>1170</v>
      </c>
    </row>
    <row r="16" spans="1:7" x14ac:dyDescent="0.35">
      <c r="A16" s="144" t="s">
        <v>6</v>
      </c>
      <c r="B16" s="144" t="s">
        <v>142</v>
      </c>
      <c r="C16" s="134">
        <v>1</v>
      </c>
      <c r="D16" s="148">
        <v>15</v>
      </c>
      <c r="E16" s="145" t="s">
        <v>44</v>
      </c>
      <c r="F16" s="144" t="s">
        <v>35</v>
      </c>
      <c r="G16" s="144" t="s">
        <v>1171</v>
      </c>
    </row>
    <row r="17" spans="1:7" x14ac:dyDescent="0.35">
      <c r="A17" s="144" t="s">
        <v>6</v>
      </c>
      <c r="B17" s="144" t="s">
        <v>142</v>
      </c>
      <c r="C17" s="134">
        <v>1</v>
      </c>
      <c r="D17" s="148">
        <v>50</v>
      </c>
      <c r="E17" s="145" t="s">
        <v>44</v>
      </c>
      <c r="F17" s="144" t="s">
        <v>34</v>
      </c>
      <c r="G17" s="144" t="s">
        <v>1171</v>
      </c>
    </row>
    <row r="18" spans="1:7" x14ac:dyDescent="0.35">
      <c r="A18" s="144" t="s">
        <v>6</v>
      </c>
      <c r="B18" s="144" t="s">
        <v>142</v>
      </c>
      <c r="C18" s="134">
        <v>1</v>
      </c>
      <c r="D18" s="155">
        <v>35</v>
      </c>
      <c r="E18" s="145" t="s">
        <v>44</v>
      </c>
      <c r="F18" s="144" t="s">
        <v>36</v>
      </c>
      <c r="G18" s="144" t="s">
        <v>1171</v>
      </c>
    </row>
    <row r="19" spans="1:7" x14ac:dyDescent="0.35">
      <c r="A19" s="144" t="s">
        <v>6</v>
      </c>
      <c r="B19" s="144" t="s">
        <v>142</v>
      </c>
      <c r="C19" s="134">
        <v>1</v>
      </c>
      <c r="D19" s="148">
        <v>50</v>
      </c>
      <c r="E19" s="145" t="s">
        <v>44</v>
      </c>
      <c r="F19" s="144" t="s">
        <v>34</v>
      </c>
      <c r="G19" s="144" t="s">
        <v>1172</v>
      </c>
    </row>
    <row r="20" spans="1:7" x14ac:dyDescent="0.35">
      <c r="A20" s="144" t="s">
        <v>6</v>
      </c>
      <c r="B20" s="144" t="s">
        <v>142</v>
      </c>
      <c r="C20" s="134">
        <v>1</v>
      </c>
      <c r="D20" s="148">
        <v>50</v>
      </c>
      <c r="E20" s="145" t="s">
        <v>44</v>
      </c>
      <c r="F20" s="144" t="s">
        <v>34</v>
      </c>
      <c r="G20" s="144" t="s">
        <v>1173</v>
      </c>
    </row>
    <row r="21" spans="1:7" x14ac:dyDescent="0.35">
      <c r="A21" s="144" t="s">
        <v>23</v>
      </c>
      <c r="B21" s="144" t="s">
        <v>211</v>
      </c>
      <c r="C21" s="134">
        <v>1</v>
      </c>
      <c r="D21" s="148">
        <v>15</v>
      </c>
      <c r="E21" s="145" t="s">
        <v>62</v>
      </c>
      <c r="F21" s="144" t="s">
        <v>35</v>
      </c>
      <c r="G21" s="144" t="s">
        <v>1174</v>
      </c>
    </row>
    <row r="22" spans="1:7" x14ac:dyDescent="0.35">
      <c r="A22" s="144" t="s">
        <v>6</v>
      </c>
      <c r="B22" s="144" t="s">
        <v>87</v>
      </c>
      <c r="C22" s="134">
        <v>1</v>
      </c>
      <c r="D22" s="155">
        <v>35</v>
      </c>
      <c r="E22" s="145" t="s">
        <v>48</v>
      </c>
      <c r="F22" s="144" t="s">
        <v>36</v>
      </c>
      <c r="G22" s="144" t="s">
        <v>1175</v>
      </c>
    </row>
    <row r="23" spans="1:7" x14ac:dyDescent="0.35">
      <c r="A23" s="144" t="s">
        <v>6</v>
      </c>
      <c r="B23" s="144" t="s">
        <v>142</v>
      </c>
      <c r="C23" s="134">
        <v>1</v>
      </c>
      <c r="D23" s="148">
        <v>50</v>
      </c>
      <c r="E23" s="145" t="s">
        <v>44</v>
      </c>
      <c r="F23" s="144" t="s">
        <v>34</v>
      </c>
      <c r="G23" s="144" t="s">
        <v>1176</v>
      </c>
    </row>
    <row r="24" spans="1:7" x14ac:dyDescent="0.35">
      <c r="A24" s="144" t="s">
        <v>73</v>
      </c>
      <c r="B24" s="144" t="s">
        <v>163</v>
      </c>
      <c r="C24" s="134">
        <v>1</v>
      </c>
      <c r="D24" s="155">
        <v>35</v>
      </c>
      <c r="E24" s="145" t="s">
        <v>56</v>
      </c>
      <c r="F24" s="144" t="s">
        <v>36</v>
      </c>
      <c r="G24" s="144" t="s">
        <v>1179</v>
      </c>
    </row>
    <row r="25" spans="1:7" x14ac:dyDescent="0.35">
      <c r="A25" s="144" t="s">
        <v>73</v>
      </c>
      <c r="B25" s="144" t="s">
        <v>163</v>
      </c>
      <c r="C25" s="134">
        <v>1</v>
      </c>
      <c r="D25" s="148">
        <v>50</v>
      </c>
      <c r="E25" s="145" t="s">
        <v>56</v>
      </c>
      <c r="F25" s="144" t="s">
        <v>34</v>
      </c>
      <c r="G25" s="144" t="s">
        <v>1179</v>
      </c>
    </row>
    <row r="26" spans="1:7" x14ac:dyDescent="0.35">
      <c r="A26" s="144" t="s">
        <v>73</v>
      </c>
      <c r="B26" s="144" t="s">
        <v>163</v>
      </c>
      <c r="C26" s="134">
        <v>1</v>
      </c>
      <c r="D26" s="148">
        <v>15</v>
      </c>
      <c r="E26" s="145" t="s">
        <v>56</v>
      </c>
      <c r="F26" s="144" t="s">
        <v>35</v>
      </c>
      <c r="G26" s="144" t="s">
        <v>1179</v>
      </c>
    </row>
    <row r="27" spans="1:7" x14ac:dyDescent="0.35">
      <c r="A27" s="144" t="s">
        <v>23</v>
      </c>
      <c r="B27" s="144" t="s">
        <v>211</v>
      </c>
      <c r="C27" s="134">
        <v>1</v>
      </c>
      <c r="D27" s="148">
        <v>15</v>
      </c>
      <c r="E27" s="145" t="s">
        <v>62</v>
      </c>
      <c r="F27" s="144" t="s">
        <v>35</v>
      </c>
      <c r="G27" s="144" t="s">
        <v>1180</v>
      </c>
    </row>
    <row r="28" spans="1:7" x14ac:dyDescent="0.35">
      <c r="A28" s="144" t="s">
        <v>23</v>
      </c>
      <c r="B28" s="144" t="s">
        <v>244</v>
      </c>
      <c r="C28" s="134">
        <v>1</v>
      </c>
      <c r="D28" s="155">
        <v>35</v>
      </c>
      <c r="E28" s="145" t="s">
        <v>64</v>
      </c>
      <c r="F28" s="144" t="s">
        <v>36</v>
      </c>
      <c r="G28" s="144" t="s">
        <v>1181</v>
      </c>
    </row>
    <row r="29" spans="1:7" x14ac:dyDescent="0.35">
      <c r="A29" s="144" t="s">
        <v>23</v>
      </c>
      <c r="B29" s="144" t="s">
        <v>244</v>
      </c>
      <c r="C29" s="134">
        <v>1</v>
      </c>
      <c r="D29" s="148">
        <v>50</v>
      </c>
      <c r="E29" s="145" t="s">
        <v>64</v>
      </c>
      <c r="F29" s="144" t="s">
        <v>34</v>
      </c>
      <c r="G29" s="144" t="s">
        <v>1181</v>
      </c>
    </row>
    <row r="30" spans="1:7" x14ac:dyDescent="0.35">
      <c r="A30" s="144" t="s">
        <v>23</v>
      </c>
      <c r="B30" s="144" t="s">
        <v>244</v>
      </c>
      <c r="C30" s="134">
        <v>1</v>
      </c>
      <c r="D30" s="148">
        <v>15</v>
      </c>
      <c r="E30" s="145" t="s">
        <v>64</v>
      </c>
      <c r="F30" s="144" t="s">
        <v>35</v>
      </c>
      <c r="G30" s="144" t="s">
        <v>1181</v>
      </c>
    </row>
    <row r="31" spans="1:7" x14ac:dyDescent="0.35">
      <c r="A31" s="144" t="s">
        <v>23</v>
      </c>
      <c r="B31" s="144" t="s">
        <v>211</v>
      </c>
      <c r="C31" s="134">
        <v>1</v>
      </c>
      <c r="D31" s="148">
        <v>15</v>
      </c>
      <c r="E31" s="145" t="s">
        <v>62</v>
      </c>
      <c r="F31" s="144" t="s">
        <v>35</v>
      </c>
      <c r="G31" s="144" t="s">
        <v>1182</v>
      </c>
    </row>
    <row r="32" spans="1:7" x14ac:dyDescent="0.35">
      <c r="A32" s="144" t="s">
        <v>23</v>
      </c>
      <c r="B32" s="144" t="s">
        <v>211</v>
      </c>
      <c r="C32" s="134">
        <v>1</v>
      </c>
      <c r="D32" s="155">
        <v>35</v>
      </c>
      <c r="E32" s="145" t="s">
        <v>62</v>
      </c>
      <c r="F32" s="144" t="s">
        <v>36</v>
      </c>
      <c r="G32" s="144" t="s">
        <v>1183</v>
      </c>
    </row>
    <row r="33" spans="1:7" x14ac:dyDescent="0.35">
      <c r="A33" s="144" t="s">
        <v>23</v>
      </c>
      <c r="B33" s="144" t="s">
        <v>211</v>
      </c>
      <c r="C33" s="134">
        <v>1</v>
      </c>
      <c r="D33" s="148">
        <v>50</v>
      </c>
      <c r="E33" s="145" t="s">
        <v>62</v>
      </c>
      <c r="F33" s="144" t="s">
        <v>34</v>
      </c>
      <c r="G33" s="144" t="s">
        <v>1183</v>
      </c>
    </row>
    <row r="34" spans="1:7" x14ac:dyDescent="0.35">
      <c r="A34" s="144" t="s">
        <v>23</v>
      </c>
      <c r="B34" s="144" t="s">
        <v>211</v>
      </c>
      <c r="C34" s="134">
        <v>1</v>
      </c>
      <c r="D34" s="148">
        <v>15</v>
      </c>
      <c r="E34" s="145" t="s">
        <v>62</v>
      </c>
      <c r="F34" s="144" t="s">
        <v>35</v>
      </c>
      <c r="G34" s="144" t="s">
        <v>1183</v>
      </c>
    </row>
    <row r="35" spans="1:7" x14ac:dyDescent="0.35">
      <c r="A35" s="144" t="s">
        <v>6</v>
      </c>
      <c r="B35" s="144" t="s">
        <v>86</v>
      </c>
      <c r="C35" s="134">
        <v>1</v>
      </c>
      <c r="D35" s="155">
        <v>35</v>
      </c>
      <c r="E35" s="145" t="s">
        <v>47</v>
      </c>
      <c r="F35" s="144" t="s">
        <v>36</v>
      </c>
      <c r="G35" s="144" t="s">
        <v>1184</v>
      </c>
    </row>
    <row r="36" spans="1:7" x14ac:dyDescent="0.35">
      <c r="A36" s="144" t="s">
        <v>6</v>
      </c>
      <c r="B36" s="144" t="s">
        <v>72</v>
      </c>
      <c r="C36" s="134">
        <v>1</v>
      </c>
      <c r="D36" s="148">
        <v>50</v>
      </c>
      <c r="E36" s="145" t="s">
        <v>1138</v>
      </c>
      <c r="F36" s="144" t="s">
        <v>34</v>
      </c>
      <c r="G36" s="144" t="s">
        <v>1185</v>
      </c>
    </row>
    <row r="37" spans="1:7" x14ac:dyDescent="0.35">
      <c r="A37" s="144" t="s">
        <v>6</v>
      </c>
      <c r="B37" s="144" t="s">
        <v>72</v>
      </c>
      <c r="C37" s="134">
        <v>1</v>
      </c>
      <c r="D37" s="148">
        <v>15</v>
      </c>
      <c r="E37" s="145" t="s">
        <v>1138</v>
      </c>
      <c r="F37" s="144" t="s">
        <v>35</v>
      </c>
      <c r="G37" s="144" t="s">
        <v>1185</v>
      </c>
    </row>
    <row r="38" spans="1:7" x14ac:dyDescent="0.35">
      <c r="A38" s="144" t="s">
        <v>23</v>
      </c>
      <c r="B38" s="144" t="s">
        <v>244</v>
      </c>
      <c r="C38" s="134">
        <v>1</v>
      </c>
      <c r="D38" s="155">
        <v>35</v>
      </c>
      <c r="E38" s="145" t="s">
        <v>64</v>
      </c>
      <c r="F38" s="144" t="s">
        <v>36</v>
      </c>
      <c r="G38" s="144" t="s">
        <v>1186</v>
      </c>
    </row>
    <row r="39" spans="1:7" x14ac:dyDescent="0.35">
      <c r="A39" s="144" t="s">
        <v>23</v>
      </c>
      <c r="B39" s="144" t="s">
        <v>244</v>
      </c>
      <c r="C39" s="134">
        <v>1</v>
      </c>
      <c r="D39" s="148">
        <v>50</v>
      </c>
      <c r="E39" s="145" t="s">
        <v>64</v>
      </c>
      <c r="F39" s="144" t="s">
        <v>34</v>
      </c>
      <c r="G39" s="144" t="s">
        <v>1186</v>
      </c>
    </row>
    <row r="40" spans="1:7" x14ac:dyDescent="0.35">
      <c r="A40" s="144" t="s">
        <v>23</v>
      </c>
      <c r="B40" s="144" t="s">
        <v>244</v>
      </c>
      <c r="C40" s="134">
        <v>1</v>
      </c>
      <c r="D40" s="148">
        <v>15</v>
      </c>
      <c r="E40" s="145" t="s">
        <v>64</v>
      </c>
      <c r="F40" s="144" t="s">
        <v>35</v>
      </c>
      <c r="G40" s="144" t="s">
        <v>1186</v>
      </c>
    </row>
    <row r="41" spans="1:7" x14ac:dyDescent="0.35">
      <c r="A41" s="144" t="s">
        <v>23</v>
      </c>
      <c r="B41" s="144" t="s">
        <v>244</v>
      </c>
      <c r="C41" s="134">
        <v>1</v>
      </c>
      <c r="D41" s="155">
        <v>35</v>
      </c>
      <c r="E41" s="145" t="s">
        <v>64</v>
      </c>
      <c r="F41" s="144" t="s">
        <v>36</v>
      </c>
      <c r="G41" s="144" t="s">
        <v>1187</v>
      </c>
    </row>
    <row r="42" spans="1:7" x14ac:dyDescent="0.35">
      <c r="A42" s="144" t="s">
        <v>23</v>
      </c>
      <c r="B42" s="144" t="s">
        <v>244</v>
      </c>
      <c r="C42" s="134">
        <v>1</v>
      </c>
      <c r="D42" s="148">
        <v>50</v>
      </c>
      <c r="E42" s="145" t="s">
        <v>64</v>
      </c>
      <c r="F42" s="144" t="s">
        <v>34</v>
      </c>
      <c r="G42" s="144" t="s">
        <v>1187</v>
      </c>
    </row>
    <row r="43" spans="1:7" x14ac:dyDescent="0.35">
      <c r="A43" s="144" t="s">
        <v>23</v>
      </c>
      <c r="B43" s="144" t="s">
        <v>244</v>
      </c>
      <c r="C43" s="134">
        <v>1</v>
      </c>
      <c r="D43" s="148">
        <v>15</v>
      </c>
      <c r="E43" s="145" t="s">
        <v>64</v>
      </c>
      <c r="F43" s="144" t="s">
        <v>35</v>
      </c>
      <c r="G43" s="144" t="s">
        <v>1187</v>
      </c>
    </row>
    <row r="44" spans="1:7" x14ac:dyDescent="0.35">
      <c r="A44" s="144" t="s">
        <v>23</v>
      </c>
      <c r="B44" s="144" t="s">
        <v>211</v>
      </c>
      <c r="C44" s="134">
        <v>1</v>
      </c>
      <c r="D44" s="148">
        <v>50</v>
      </c>
      <c r="E44" s="145" t="s">
        <v>62</v>
      </c>
      <c r="F44" s="144" t="s">
        <v>34</v>
      </c>
      <c r="G44" s="144" t="s">
        <v>1188</v>
      </c>
    </row>
    <row r="45" spans="1:7" x14ac:dyDescent="0.35">
      <c r="A45" s="144" t="s">
        <v>23</v>
      </c>
      <c r="B45" s="144" t="s">
        <v>211</v>
      </c>
      <c r="C45" s="134">
        <v>1</v>
      </c>
      <c r="D45" s="148">
        <v>15</v>
      </c>
      <c r="E45" s="145" t="s">
        <v>62</v>
      </c>
      <c r="F45" s="144" t="s">
        <v>35</v>
      </c>
      <c r="G45" s="144" t="s">
        <v>1188</v>
      </c>
    </row>
    <row r="46" spans="1:7" x14ac:dyDescent="0.35">
      <c r="A46" s="144" t="s">
        <v>73</v>
      </c>
      <c r="B46" s="144" t="s">
        <v>163</v>
      </c>
      <c r="C46" s="134">
        <v>1</v>
      </c>
      <c r="D46" s="126">
        <v>137.5</v>
      </c>
      <c r="E46" s="145" t="s">
        <v>56</v>
      </c>
      <c r="F46" s="124" t="s">
        <v>989</v>
      </c>
      <c r="G46" s="144" t="s">
        <v>1177</v>
      </c>
    </row>
    <row r="47" spans="1:7" x14ac:dyDescent="0.35">
      <c r="A47" s="144" t="s">
        <v>73</v>
      </c>
      <c r="B47" s="144" t="s">
        <v>163</v>
      </c>
      <c r="C47" s="134">
        <v>1</v>
      </c>
      <c r="D47" s="126">
        <v>166.1</v>
      </c>
      <c r="E47" s="145" t="s">
        <v>56</v>
      </c>
      <c r="F47" s="124" t="s">
        <v>992</v>
      </c>
      <c r="G47" s="144" t="s">
        <v>1178</v>
      </c>
    </row>
    <row r="48" spans="1:7" x14ac:dyDescent="0.35">
      <c r="A48" s="144" t="s">
        <v>73</v>
      </c>
      <c r="B48" s="144" t="s">
        <v>163</v>
      </c>
      <c r="C48" s="134">
        <v>1</v>
      </c>
      <c r="D48" s="148">
        <v>73.5</v>
      </c>
      <c r="E48" s="145" t="s">
        <v>56</v>
      </c>
      <c r="F48" s="144" t="s">
        <v>33</v>
      </c>
      <c r="G48" s="144" t="s">
        <v>1216</v>
      </c>
    </row>
    <row r="49" spans="1:7" x14ac:dyDescent="0.35">
      <c r="A49" s="144" t="s">
        <v>23</v>
      </c>
      <c r="B49" s="144" t="s">
        <v>211</v>
      </c>
      <c r="C49" s="134">
        <v>1</v>
      </c>
      <c r="D49" s="148">
        <v>73.5</v>
      </c>
      <c r="E49" s="145" t="s">
        <v>62</v>
      </c>
      <c r="F49" s="144" t="s">
        <v>33</v>
      </c>
      <c r="G49" s="144" t="s">
        <v>1217</v>
      </c>
    </row>
    <row r="50" spans="1:7" x14ac:dyDescent="0.35">
      <c r="A50" s="144" t="s">
        <v>23</v>
      </c>
      <c r="B50" s="144" t="s">
        <v>206</v>
      </c>
      <c r="C50" s="134">
        <v>1</v>
      </c>
      <c r="D50" s="148">
        <v>73.5</v>
      </c>
      <c r="E50" s="145" t="s">
        <v>63</v>
      </c>
      <c r="F50" s="144" t="s">
        <v>33</v>
      </c>
      <c r="G50" s="144" t="s">
        <v>1200</v>
      </c>
    </row>
    <row r="51" spans="1:7" x14ac:dyDescent="0.35">
      <c r="A51" s="144" t="s">
        <v>23</v>
      </c>
      <c r="B51" s="144" t="s">
        <v>211</v>
      </c>
      <c r="C51" s="134">
        <v>1</v>
      </c>
      <c r="D51" s="148">
        <v>73.5</v>
      </c>
      <c r="E51" s="145" t="s">
        <v>62</v>
      </c>
      <c r="F51" s="144" t="s">
        <v>33</v>
      </c>
      <c r="G51" s="144" t="s">
        <v>1218</v>
      </c>
    </row>
    <row r="52" spans="1:7" x14ac:dyDescent="0.35">
      <c r="A52" s="144" t="s">
        <v>23</v>
      </c>
      <c r="B52" s="144" t="s">
        <v>211</v>
      </c>
      <c r="C52" s="134">
        <v>1</v>
      </c>
      <c r="D52" s="148">
        <v>73.5</v>
      </c>
      <c r="E52" s="145" t="s">
        <v>62</v>
      </c>
      <c r="F52" s="144" t="s">
        <v>33</v>
      </c>
      <c r="G52" s="144" t="s">
        <v>1220</v>
      </c>
    </row>
    <row r="53" spans="1:7" x14ac:dyDescent="0.35">
      <c r="A53" s="144" t="s">
        <v>6</v>
      </c>
      <c r="B53" s="144" t="s">
        <v>142</v>
      </c>
      <c r="C53" s="134">
        <v>1</v>
      </c>
      <c r="D53" s="148">
        <v>73.5</v>
      </c>
      <c r="E53" s="145" t="s">
        <v>44</v>
      </c>
      <c r="F53" s="144" t="s">
        <v>33</v>
      </c>
      <c r="G53" s="144" t="s">
        <v>1221</v>
      </c>
    </row>
    <row r="54" spans="1:7" x14ac:dyDescent="0.35">
      <c r="A54" s="144" t="s">
        <v>23</v>
      </c>
      <c r="B54" s="144" t="s">
        <v>244</v>
      </c>
      <c r="C54" s="134">
        <v>1</v>
      </c>
      <c r="D54" s="148">
        <v>73.5</v>
      </c>
      <c r="E54" s="145" t="s">
        <v>64</v>
      </c>
      <c r="F54" s="144" t="s">
        <v>33</v>
      </c>
      <c r="G54" s="144" t="s">
        <v>1222</v>
      </c>
    </row>
    <row r="55" spans="1:7" x14ac:dyDescent="0.35">
      <c r="A55" s="144" t="s">
        <v>23</v>
      </c>
      <c r="B55" s="144" t="s">
        <v>211</v>
      </c>
      <c r="C55" s="134">
        <v>1</v>
      </c>
      <c r="D55" s="148">
        <v>73.5</v>
      </c>
      <c r="E55" s="145" t="s">
        <v>62</v>
      </c>
      <c r="F55" s="144" t="s">
        <v>33</v>
      </c>
      <c r="G55" s="144" t="s">
        <v>1219</v>
      </c>
    </row>
    <row r="56" spans="1:7" x14ac:dyDescent="0.35">
      <c r="A56" s="144" t="s">
        <v>23</v>
      </c>
      <c r="B56" s="144" t="s">
        <v>211</v>
      </c>
      <c r="C56" s="134">
        <v>1</v>
      </c>
      <c r="D56" s="148">
        <v>73.5</v>
      </c>
      <c r="E56" s="145" t="s">
        <v>62</v>
      </c>
      <c r="F56" s="144" t="s">
        <v>33</v>
      </c>
      <c r="G56" s="144" t="s">
        <v>1223</v>
      </c>
    </row>
    <row r="57" spans="1:7" x14ac:dyDescent="0.35">
      <c r="A57" s="144" t="s">
        <v>6</v>
      </c>
      <c r="B57" s="144" t="s">
        <v>86</v>
      </c>
      <c r="C57" s="134">
        <v>1</v>
      </c>
      <c r="D57" s="148">
        <v>73.5</v>
      </c>
      <c r="E57" s="145" t="s">
        <v>47</v>
      </c>
      <c r="F57" s="144" t="s">
        <v>33</v>
      </c>
      <c r="G57" s="144" t="s">
        <v>1224</v>
      </c>
    </row>
    <row r="58" spans="1:7" x14ac:dyDescent="0.35">
      <c r="A58" s="144" t="s">
        <v>6</v>
      </c>
      <c r="B58" s="144" t="s">
        <v>72</v>
      </c>
      <c r="C58" s="134">
        <v>1</v>
      </c>
      <c r="D58" s="148">
        <v>73.5</v>
      </c>
      <c r="E58" s="145" t="s">
        <v>1138</v>
      </c>
      <c r="F58" s="144" t="s">
        <v>33</v>
      </c>
      <c r="G58" s="144" t="s">
        <v>1225</v>
      </c>
    </row>
    <row r="59" spans="1:7" x14ac:dyDescent="0.35">
      <c r="A59" s="144" t="s">
        <v>23</v>
      </c>
      <c r="B59" s="144" t="s">
        <v>211</v>
      </c>
      <c r="C59" s="134">
        <v>1</v>
      </c>
      <c r="D59" s="148">
        <v>73.5</v>
      </c>
      <c r="E59" s="145" t="s">
        <v>62</v>
      </c>
      <c r="F59" s="144" t="s">
        <v>33</v>
      </c>
      <c r="G59" s="144" t="s">
        <v>1213</v>
      </c>
    </row>
    <row r="60" spans="1:7" x14ac:dyDescent="0.35">
      <c r="A60" s="144" t="s">
        <v>23</v>
      </c>
      <c r="B60" s="144" t="s">
        <v>211</v>
      </c>
      <c r="C60" s="134">
        <v>1</v>
      </c>
      <c r="D60" s="148">
        <v>73.5</v>
      </c>
      <c r="E60" s="145" t="s">
        <v>62</v>
      </c>
      <c r="F60" s="144" t="s">
        <v>33</v>
      </c>
      <c r="G60" s="144" t="s">
        <v>1214</v>
      </c>
    </row>
    <row r="61" spans="1:7" x14ac:dyDescent="0.35">
      <c r="A61" s="144" t="s">
        <v>73</v>
      </c>
      <c r="B61" s="144" t="s">
        <v>163</v>
      </c>
      <c r="C61" s="134">
        <v>1</v>
      </c>
      <c r="D61" s="148">
        <v>73.5</v>
      </c>
      <c r="E61" s="145" t="s">
        <v>56</v>
      </c>
      <c r="F61" s="144" t="s">
        <v>33</v>
      </c>
      <c r="G61" s="144" t="s">
        <v>1215</v>
      </c>
    </row>
    <row r="62" spans="1:7" x14ac:dyDescent="0.35">
      <c r="A62" s="144" t="s">
        <v>23</v>
      </c>
      <c r="B62" s="144" t="s">
        <v>211</v>
      </c>
      <c r="C62" s="134">
        <v>1</v>
      </c>
      <c r="D62" s="148">
        <v>73.5</v>
      </c>
      <c r="E62" s="145" t="s">
        <v>62</v>
      </c>
      <c r="F62" s="144" t="s">
        <v>33</v>
      </c>
      <c r="G62" s="144" t="s">
        <v>1207</v>
      </c>
    </row>
    <row r="63" spans="1:7" x14ac:dyDescent="0.35">
      <c r="A63" s="144" t="s">
        <v>23</v>
      </c>
      <c r="B63" s="144" t="s">
        <v>211</v>
      </c>
      <c r="C63" s="134">
        <v>1</v>
      </c>
      <c r="D63" s="148">
        <v>73.5</v>
      </c>
      <c r="E63" s="145" t="s">
        <v>62</v>
      </c>
      <c r="F63" s="144" t="s">
        <v>33</v>
      </c>
      <c r="G63" s="144" t="s">
        <v>1208</v>
      </c>
    </row>
    <row r="64" spans="1:7" x14ac:dyDescent="0.35">
      <c r="A64" s="144" t="s">
        <v>23</v>
      </c>
      <c r="B64" s="144" t="s">
        <v>244</v>
      </c>
      <c r="C64" s="134">
        <v>1</v>
      </c>
      <c r="D64" s="148">
        <v>73.5</v>
      </c>
      <c r="E64" s="145" t="s">
        <v>64</v>
      </c>
      <c r="F64" s="144" t="s">
        <v>33</v>
      </c>
      <c r="G64" s="144" t="s">
        <v>1209</v>
      </c>
    </row>
    <row r="65" spans="1:7" x14ac:dyDescent="0.35">
      <c r="A65" s="144" t="s">
        <v>23</v>
      </c>
      <c r="B65" s="144" t="s">
        <v>211</v>
      </c>
      <c r="C65" s="134">
        <v>1</v>
      </c>
      <c r="D65" s="148">
        <v>73.5</v>
      </c>
      <c r="E65" s="145" t="s">
        <v>62</v>
      </c>
      <c r="F65" s="144" t="s">
        <v>33</v>
      </c>
      <c r="G65" s="144" t="s">
        <v>1210</v>
      </c>
    </row>
    <row r="66" spans="1:7" x14ac:dyDescent="0.35">
      <c r="A66" s="144" t="s">
        <v>23</v>
      </c>
      <c r="B66" s="144" t="s">
        <v>211</v>
      </c>
      <c r="C66" s="134">
        <v>1</v>
      </c>
      <c r="D66" s="148">
        <v>73.5</v>
      </c>
      <c r="E66" s="145" t="s">
        <v>62</v>
      </c>
      <c r="F66" s="144" t="s">
        <v>33</v>
      </c>
      <c r="G66" s="144" t="s">
        <v>1211</v>
      </c>
    </row>
    <row r="67" spans="1:7" x14ac:dyDescent="0.35">
      <c r="A67" s="144" t="s">
        <v>73</v>
      </c>
      <c r="B67" s="144" t="s">
        <v>163</v>
      </c>
      <c r="C67" s="134">
        <v>1</v>
      </c>
      <c r="D67" s="148">
        <v>73.5</v>
      </c>
      <c r="E67" s="145" t="s">
        <v>56</v>
      </c>
      <c r="F67" s="144" t="s">
        <v>33</v>
      </c>
      <c r="G67" s="144" t="s">
        <v>1212</v>
      </c>
    </row>
    <row r="68" spans="1:7" x14ac:dyDescent="0.35">
      <c r="A68" s="144" t="s">
        <v>6</v>
      </c>
      <c r="B68" s="144" t="s">
        <v>219</v>
      </c>
      <c r="C68" s="134">
        <v>1</v>
      </c>
      <c r="D68" s="148">
        <v>73.5</v>
      </c>
      <c r="E68" s="145" t="s">
        <v>876</v>
      </c>
      <c r="F68" s="144" t="s">
        <v>33</v>
      </c>
      <c r="G68" s="144" t="s">
        <v>1196</v>
      </c>
    </row>
    <row r="69" spans="1:7" x14ac:dyDescent="0.35">
      <c r="A69" s="144" t="s">
        <v>23</v>
      </c>
      <c r="B69" s="144" t="s">
        <v>211</v>
      </c>
      <c r="C69" s="134">
        <v>1</v>
      </c>
      <c r="D69" s="148">
        <v>73.5</v>
      </c>
      <c r="E69" s="145" t="s">
        <v>62</v>
      </c>
      <c r="F69" s="144" t="s">
        <v>33</v>
      </c>
      <c r="G69" s="144" t="s">
        <v>1197</v>
      </c>
    </row>
    <row r="70" spans="1:7" x14ac:dyDescent="0.35">
      <c r="A70" s="144" t="s">
        <v>23</v>
      </c>
      <c r="B70" s="144" t="s">
        <v>244</v>
      </c>
      <c r="C70" s="134">
        <v>1</v>
      </c>
      <c r="D70" s="148">
        <v>73.5</v>
      </c>
      <c r="E70" s="145" t="s">
        <v>64</v>
      </c>
      <c r="F70" s="144" t="s">
        <v>33</v>
      </c>
      <c r="G70" s="144" t="s">
        <v>1198</v>
      </c>
    </row>
    <row r="71" spans="1:7" x14ac:dyDescent="0.35">
      <c r="A71" s="144" t="s">
        <v>23</v>
      </c>
      <c r="B71" s="144" t="s">
        <v>211</v>
      </c>
      <c r="C71" s="134">
        <v>1</v>
      </c>
      <c r="D71" s="148">
        <v>73.5</v>
      </c>
      <c r="E71" s="145" t="s">
        <v>62</v>
      </c>
      <c r="F71" s="144" t="s">
        <v>33</v>
      </c>
      <c r="G71" s="144" t="s">
        <v>1199</v>
      </c>
    </row>
    <row r="72" spans="1:7" x14ac:dyDescent="0.35">
      <c r="A72" s="144" t="s">
        <v>23</v>
      </c>
      <c r="B72" s="144" t="s">
        <v>206</v>
      </c>
      <c r="C72" s="134">
        <v>1</v>
      </c>
      <c r="D72" s="148">
        <v>73.5</v>
      </c>
      <c r="E72" s="14" t="s">
        <v>63</v>
      </c>
      <c r="F72" s="144" t="s">
        <v>33</v>
      </c>
      <c r="G72" s="144" t="s">
        <v>1200</v>
      </c>
    </row>
    <row r="73" spans="1:7" x14ac:dyDescent="0.35">
      <c r="A73" s="144" t="s">
        <v>6</v>
      </c>
      <c r="B73" s="144" t="s">
        <v>219</v>
      </c>
      <c r="C73" s="134">
        <v>1</v>
      </c>
      <c r="D73" s="148">
        <v>73.5</v>
      </c>
      <c r="E73" s="145" t="s">
        <v>876</v>
      </c>
      <c r="F73" s="144" t="s">
        <v>33</v>
      </c>
      <c r="G73" s="144" t="s">
        <v>1201</v>
      </c>
    </row>
    <row r="74" spans="1:7" x14ac:dyDescent="0.35">
      <c r="A74" s="144" t="s">
        <v>6</v>
      </c>
      <c r="B74" s="144" t="s">
        <v>72</v>
      </c>
      <c r="C74" s="134">
        <v>1</v>
      </c>
      <c r="D74" s="148">
        <v>73.5</v>
      </c>
      <c r="E74" s="145" t="s">
        <v>1138</v>
      </c>
      <c r="F74" s="144" t="s">
        <v>33</v>
      </c>
      <c r="G74" s="144" t="s">
        <v>1202</v>
      </c>
    </row>
    <row r="75" spans="1:7" x14ac:dyDescent="0.35">
      <c r="A75" s="144" t="s">
        <v>6</v>
      </c>
      <c r="B75" s="144" t="s">
        <v>86</v>
      </c>
      <c r="C75" s="134">
        <v>1</v>
      </c>
      <c r="D75" s="148">
        <v>73.5</v>
      </c>
      <c r="E75" s="145" t="s">
        <v>47</v>
      </c>
      <c r="F75" s="144" t="s">
        <v>33</v>
      </c>
      <c r="G75" s="144" t="s">
        <v>1203</v>
      </c>
    </row>
    <row r="76" spans="1:7" x14ac:dyDescent="0.35">
      <c r="A76" s="144" t="s">
        <v>23</v>
      </c>
      <c r="B76" s="144" t="s">
        <v>211</v>
      </c>
      <c r="C76" s="134">
        <v>1</v>
      </c>
      <c r="D76" s="148">
        <v>73.5</v>
      </c>
      <c r="E76" s="145" t="s">
        <v>62</v>
      </c>
      <c r="F76" s="144" t="s">
        <v>33</v>
      </c>
      <c r="G76" s="144" t="s">
        <v>1204</v>
      </c>
    </row>
    <row r="77" spans="1:7" x14ac:dyDescent="0.35">
      <c r="A77" s="144" t="s">
        <v>6</v>
      </c>
      <c r="B77" s="144" t="s">
        <v>219</v>
      </c>
      <c r="C77" s="134">
        <v>1</v>
      </c>
      <c r="D77" s="148">
        <v>73.5</v>
      </c>
      <c r="E77" s="145" t="s">
        <v>876</v>
      </c>
      <c r="F77" s="144" t="s">
        <v>33</v>
      </c>
      <c r="G77" s="144" t="s">
        <v>1205</v>
      </c>
    </row>
    <row r="78" spans="1:7" x14ac:dyDescent="0.35">
      <c r="A78" s="144" t="s">
        <v>6</v>
      </c>
      <c r="B78" s="144" t="s">
        <v>86</v>
      </c>
      <c r="C78" s="134">
        <v>1</v>
      </c>
      <c r="D78" s="148">
        <v>73.5</v>
      </c>
      <c r="E78" s="145" t="s">
        <v>47</v>
      </c>
      <c r="F78" s="144" t="s">
        <v>33</v>
      </c>
      <c r="G78" s="144" t="s">
        <v>1206</v>
      </c>
    </row>
    <row r="79" spans="1:7" x14ac:dyDescent="0.35">
      <c r="A79" s="144" t="s">
        <v>23</v>
      </c>
      <c r="B79" s="144" t="s">
        <v>211</v>
      </c>
      <c r="C79" s="134">
        <v>1</v>
      </c>
      <c r="D79" s="148">
        <v>73.5</v>
      </c>
      <c r="E79" s="145" t="s">
        <v>62</v>
      </c>
      <c r="F79" s="144" t="s">
        <v>33</v>
      </c>
      <c r="G79" s="144" t="s">
        <v>1189</v>
      </c>
    </row>
    <row r="80" spans="1:7" x14ac:dyDescent="0.35">
      <c r="A80" s="144" t="s">
        <v>23</v>
      </c>
      <c r="B80" s="144" t="s">
        <v>211</v>
      </c>
      <c r="C80" s="134">
        <v>1</v>
      </c>
      <c r="D80" s="148">
        <v>73.5</v>
      </c>
      <c r="E80" s="145" t="s">
        <v>62</v>
      </c>
      <c r="F80" s="144" t="s">
        <v>33</v>
      </c>
      <c r="G80" s="144" t="s">
        <v>1190</v>
      </c>
    </row>
    <row r="81" spans="1:7" x14ac:dyDescent="0.35">
      <c r="A81" s="144" t="s">
        <v>23</v>
      </c>
      <c r="B81" s="144" t="s">
        <v>211</v>
      </c>
      <c r="C81" s="134">
        <v>1</v>
      </c>
      <c r="D81" s="148">
        <v>73.5</v>
      </c>
      <c r="E81" s="145" t="s">
        <v>62</v>
      </c>
      <c r="F81" s="144" t="s">
        <v>33</v>
      </c>
      <c r="G81" s="144" t="s">
        <v>1191</v>
      </c>
    </row>
    <row r="82" spans="1:7" x14ac:dyDescent="0.35">
      <c r="A82" s="144" t="s">
        <v>6</v>
      </c>
      <c r="B82" s="144" t="s">
        <v>219</v>
      </c>
      <c r="C82" s="134">
        <v>1</v>
      </c>
      <c r="D82" s="148">
        <v>73.5</v>
      </c>
      <c r="E82" s="145" t="s">
        <v>876</v>
      </c>
      <c r="F82" s="144" t="s">
        <v>33</v>
      </c>
      <c r="G82" s="144" t="s">
        <v>1192</v>
      </c>
    </row>
    <row r="83" spans="1:7" x14ac:dyDescent="0.35">
      <c r="A83" s="144" t="s">
        <v>6</v>
      </c>
      <c r="B83" s="144" t="s">
        <v>219</v>
      </c>
      <c r="C83" s="134">
        <v>1</v>
      </c>
      <c r="D83" s="148">
        <v>73.5</v>
      </c>
      <c r="E83" s="145" t="s">
        <v>876</v>
      </c>
      <c r="F83" s="144" t="s">
        <v>33</v>
      </c>
      <c r="G83" s="144" t="s">
        <v>1193</v>
      </c>
    </row>
    <row r="84" spans="1:7" x14ac:dyDescent="0.35">
      <c r="A84" s="144" t="s">
        <v>73</v>
      </c>
      <c r="B84" s="144" t="s">
        <v>163</v>
      </c>
      <c r="C84" s="134">
        <v>1</v>
      </c>
      <c r="D84" s="148">
        <v>73.5</v>
      </c>
      <c r="E84" s="145" t="s">
        <v>56</v>
      </c>
      <c r="F84" s="144" t="s">
        <v>33</v>
      </c>
      <c r="G84" s="144" t="s">
        <v>1194</v>
      </c>
    </row>
    <row r="85" spans="1:7" x14ac:dyDescent="0.35">
      <c r="A85" s="144" t="s">
        <v>73</v>
      </c>
      <c r="B85" s="144" t="s">
        <v>163</v>
      </c>
      <c r="C85" s="134">
        <v>1</v>
      </c>
      <c r="D85" s="148">
        <v>73.5</v>
      </c>
      <c r="E85" s="145" t="s">
        <v>56</v>
      </c>
      <c r="F85" s="144" t="s">
        <v>33</v>
      </c>
      <c r="G85" s="144" t="s">
        <v>1195</v>
      </c>
    </row>
    <row r="86" spans="1:7" x14ac:dyDescent="0.35">
      <c r="A86" s="144" t="s">
        <v>6</v>
      </c>
      <c r="B86" s="144" t="s">
        <v>86</v>
      </c>
      <c r="C86" s="188">
        <v>1</v>
      </c>
      <c r="D86" s="148">
        <v>15</v>
      </c>
      <c r="E86" s="144" t="s">
        <v>47</v>
      </c>
      <c r="F86" s="144" t="s">
        <v>35</v>
      </c>
      <c r="G86" s="144" t="s">
        <v>1226</v>
      </c>
    </row>
    <row r="87" spans="1:7" x14ac:dyDescent="0.35">
      <c r="A87" s="144" t="s">
        <v>23</v>
      </c>
      <c r="B87" s="144" t="s">
        <v>211</v>
      </c>
      <c r="C87" s="134">
        <v>1</v>
      </c>
      <c r="D87" s="148">
        <v>50</v>
      </c>
      <c r="E87" s="145" t="s">
        <v>62</v>
      </c>
      <c r="F87" s="144" t="s">
        <v>34</v>
      </c>
      <c r="G87" s="144" t="s">
        <v>1227</v>
      </c>
    </row>
    <row r="88" spans="1:7" x14ac:dyDescent="0.35">
      <c r="A88" s="144" t="s">
        <v>23</v>
      </c>
      <c r="B88" s="144" t="s">
        <v>206</v>
      </c>
      <c r="C88" s="134">
        <v>1</v>
      </c>
      <c r="D88" s="148">
        <v>50</v>
      </c>
      <c r="E88" s="145" t="s">
        <v>63</v>
      </c>
      <c r="F88" s="144" t="s">
        <v>34</v>
      </c>
      <c r="G88" s="144" t="s">
        <v>1228</v>
      </c>
    </row>
    <row r="89" spans="1:7" x14ac:dyDescent="0.35">
      <c r="A89" s="144" t="s">
        <v>23</v>
      </c>
      <c r="B89" s="144" t="s">
        <v>206</v>
      </c>
      <c r="C89" s="134">
        <v>1</v>
      </c>
      <c r="D89" s="155">
        <v>35</v>
      </c>
      <c r="E89" s="145" t="s">
        <v>63</v>
      </c>
      <c r="F89" s="144" t="s">
        <v>36</v>
      </c>
      <c r="G89" s="144" t="s">
        <v>1228</v>
      </c>
    </row>
    <row r="90" spans="1:7" x14ac:dyDescent="0.35">
      <c r="A90" s="144" t="s">
        <v>6</v>
      </c>
      <c r="B90" s="144" t="s">
        <v>86</v>
      </c>
      <c r="C90" s="134">
        <v>1</v>
      </c>
      <c r="D90" s="155">
        <v>35</v>
      </c>
      <c r="E90" s="144" t="s">
        <v>47</v>
      </c>
      <c r="F90" s="144" t="s">
        <v>36</v>
      </c>
      <c r="G90" s="144" t="s">
        <v>1229</v>
      </c>
    </row>
    <row r="91" spans="1:7" x14ac:dyDescent="0.35">
      <c r="A91" s="144"/>
      <c r="B91" s="144"/>
      <c r="C91" s="134">
        <v>1</v>
      </c>
      <c r="D91" s="148">
        <v>50</v>
      </c>
      <c r="E91" s="145" t="s">
        <v>51</v>
      </c>
      <c r="F91" s="144" t="s">
        <v>34</v>
      </c>
      <c r="G91" s="144" t="s">
        <v>1230</v>
      </c>
    </row>
    <row r="92" spans="1:7" x14ac:dyDescent="0.35">
      <c r="A92" s="144"/>
      <c r="B92" s="144"/>
      <c r="C92" s="134">
        <v>1</v>
      </c>
      <c r="D92" s="148">
        <v>15</v>
      </c>
      <c r="E92" s="145" t="s">
        <v>51</v>
      </c>
      <c r="F92" s="144" t="s">
        <v>35</v>
      </c>
      <c r="G92" s="144" t="s">
        <v>1230</v>
      </c>
    </row>
    <row r="93" spans="1:7" x14ac:dyDescent="0.35">
      <c r="A93" s="144" t="s">
        <v>6</v>
      </c>
      <c r="B93" s="144" t="s">
        <v>304</v>
      </c>
      <c r="C93" s="188">
        <v>1</v>
      </c>
      <c r="D93" s="148">
        <v>50</v>
      </c>
      <c r="E93" s="145" t="s">
        <v>52</v>
      </c>
      <c r="F93" s="144" t="s">
        <v>34</v>
      </c>
      <c r="G93" s="144" t="s">
        <v>1231</v>
      </c>
    </row>
    <row r="94" spans="1:7" x14ac:dyDescent="0.35">
      <c r="A94" s="144" t="s">
        <v>6</v>
      </c>
      <c r="B94" s="144" t="s">
        <v>304</v>
      </c>
      <c r="C94" s="134">
        <v>1</v>
      </c>
      <c r="D94" s="148">
        <v>15</v>
      </c>
      <c r="E94" s="145" t="s">
        <v>52</v>
      </c>
      <c r="F94" s="144" t="s">
        <v>35</v>
      </c>
      <c r="G94" s="144" t="s">
        <v>1231</v>
      </c>
    </row>
    <row r="95" spans="1:7" x14ac:dyDescent="0.35">
      <c r="A95" s="144" t="s">
        <v>23</v>
      </c>
      <c r="B95" s="144" t="s">
        <v>211</v>
      </c>
      <c r="C95" s="134">
        <v>1</v>
      </c>
      <c r="D95" s="155">
        <v>82</v>
      </c>
      <c r="E95" s="145" t="s">
        <v>62</v>
      </c>
      <c r="F95" s="124" t="s">
        <v>1051</v>
      </c>
      <c r="G95" s="144" t="s">
        <v>1232</v>
      </c>
    </row>
    <row r="96" spans="1:7" x14ac:dyDescent="0.35">
      <c r="A96" s="144" t="s">
        <v>23</v>
      </c>
      <c r="B96" s="144" t="s">
        <v>211</v>
      </c>
      <c r="C96" s="134">
        <v>1</v>
      </c>
      <c r="D96" s="126">
        <v>166.1</v>
      </c>
      <c r="E96" s="145" t="s">
        <v>62</v>
      </c>
      <c r="F96" s="124" t="s">
        <v>992</v>
      </c>
      <c r="G96" s="144" t="s">
        <v>1233</v>
      </c>
    </row>
    <row r="97" spans="1:7" x14ac:dyDescent="0.35">
      <c r="A97" s="144" t="s">
        <v>6</v>
      </c>
      <c r="B97" s="144" t="s">
        <v>142</v>
      </c>
      <c r="C97" s="134">
        <v>1</v>
      </c>
      <c r="D97" s="126">
        <v>166.1</v>
      </c>
      <c r="E97" s="145" t="s">
        <v>44</v>
      </c>
      <c r="F97" s="124" t="s">
        <v>992</v>
      </c>
      <c r="G97" s="144" t="s">
        <v>1234</v>
      </c>
    </row>
    <row r="98" spans="1:7" x14ac:dyDescent="0.35">
      <c r="A98" s="144" t="s">
        <v>23</v>
      </c>
      <c r="B98" s="144" t="s">
        <v>211</v>
      </c>
      <c r="C98" s="134">
        <v>1</v>
      </c>
      <c r="D98" s="126">
        <v>166.1</v>
      </c>
      <c r="E98" s="145" t="s">
        <v>62</v>
      </c>
      <c r="F98" s="124" t="s">
        <v>992</v>
      </c>
      <c r="G98" s="144" t="s">
        <v>1235</v>
      </c>
    </row>
    <row r="99" spans="1:7" x14ac:dyDescent="0.35">
      <c r="A99" s="144" t="s">
        <v>23</v>
      </c>
      <c r="B99" s="144" t="s">
        <v>211</v>
      </c>
      <c r="C99" s="134">
        <v>1</v>
      </c>
      <c r="D99" s="126">
        <v>166.1</v>
      </c>
      <c r="E99" s="145" t="s">
        <v>62</v>
      </c>
      <c r="F99" s="124" t="s">
        <v>992</v>
      </c>
      <c r="G99" s="144" t="s">
        <v>1236</v>
      </c>
    </row>
    <row r="100" spans="1:7" x14ac:dyDescent="0.35">
      <c r="A100" s="144" t="s">
        <v>6</v>
      </c>
      <c r="B100" s="144" t="s">
        <v>142</v>
      </c>
      <c r="C100" s="188">
        <v>1</v>
      </c>
      <c r="D100" s="126">
        <v>137.5</v>
      </c>
      <c r="E100" s="145" t="s">
        <v>44</v>
      </c>
      <c r="F100" s="124" t="s">
        <v>989</v>
      </c>
      <c r="G100" s="144" t="s">
        <v>1237</v>
      </c>
    </row>
    <row r="101" spans="1:7" x14ac:dyDescent="0.35">
      <c r="A101" s="144" t="s">
        <v>6</v>
      </c>
      <c r="B101" s="144" t="s">
        <v>219</v>
      </c>
      <c r="C101" s="134">
        <v>1</v>
      </c>
      <c r="D101" s="126">
        <v>137.5</v>
      </c>
      <c r="E101" s="14" t="s">
        <v>876</v>
      </c>
      <c r="F101" s="124" t="s">
        <v>989</v>
      </c>
      <c r="G101" s="144" t="s">
        <v>1238</v>
      </c>
    </row>
    <row r="102" spans="1:7" x14ac:dyDescent="0.35">
      <c r="A102" s="144" t="s">
        <v>23</v>
      </c>
      <c r="B102" s="144" t="s">
        <v>244</v>
      </c>
      <c r="C102" s="134">
        <v>1</v>
      </c>
      <c r="D102" s="126">
        <v>137.5</v>
      </c>
      <c r="E102" s="14" t="s">
        <v>64</v>
      </c>
      <c r="F102" s="124" t="s">
        <v>989</v>
      </c>
      <c r="G102" s="144" t="s">
        <v>1239</v>
      </c>
    </row>
    <row r="103" spans="1:7" x14ac:dyDescent="0.35">
      <c r="A103" s="144" t="s">
        <v>23</v>
      </c>
      <c r="B103" s="144" t="s">
        <v>211</v>
      </c>
      <c r="C103" s="134">
        <v>1</v>
      </c>
      <c r="D103" s="126">
        <v>137.5</v>
      </c>
      <c r="E103" s="145" t="s">
        <v>62</v>
      </c>
      <c r="F103" s="124" t="s">
        <v>989</v>
      </c>
      <c r="G103" s="144" t="s">
        <v>1240</v>
      </c>
    </row>
    <row r="104" spans="1:7" x14ac:dyDescent="0.35">
      <c r="A104" s="144" t="s">
        <v>23</v>
      </c>
      <c r="B104" s="144" t="s">
        <v>211</v>
      </c>
      <c r="C104" s="134">
        <v>1</v>
      </c>
      <c r="D104" s="126">
        <v>137.5</v>
      </c>
      <c r="E104" s="145" t="s">
        <v>62</v>
      </c>
      <c r="F104" s="124" t="s">
        <v>989</v>
      </c>
      <c r="G104" s="144" t="s">
        <v>1241</v>
      </c>
    </row>
    <row r="105" spans="1:7" x14ac:dyDescent="0.35">
      <c r="A105" s="144" t="s">
        <v>23</v>
      </c>
      <c r="B105" s="144" t="s">
        <v>211</v>
      </c>
      <c r="C105" s="188">
        <v>1</v>
      </c>
      <c r="D105" s="126">
        <v>137.5</v>
      </c>
      <c r="E105" s="145" t="s">
        <v>62</v>
      </c>
      <c r="F105" s="124" t="s">
        <v>989</v>
      </c>
      <c r="G105" s="144" t="s">
        <v>1242</v>
      </c>
    </row>
    <row r="106" spans="1:7" x14ac:dyDescent="0.35">
      <c r="A106" s="144" t="s">
        <v>23</v>
      </c>
      <c r="B106" s="144" t="s">
        <v>211</v>
      </c>
      <c r="C106" s="134">
        <v>1</v>
      </c>
      <c r="D106" s="148">
        <v>73.5</v>
      </c>
      <c r="E106" s="145" t="s">
        <v>62</v>
      </c>
      <c r="F106" s="144" t="s">
        <v>33</v>
      </c>
      <c r="G106" s="144" t="s">
        <v>1243</v>
      </c>
    </row>
    <row r="107" spans="1:7" x14ac:dyDescent="0.35">
      <c r="A107" s="144" t="s">
        <v>23</v>
      </c>
      <c r="B107" s="144" t="s">
        <v>211</v>
      </c>
      <c r="C107" s="134">
        <v>1</v>
      </c>
      <c r="D107" s="148">
        <v>73.5</v>
      </c>
      <c r="E107" s="145" t="s">
        <v>62</v>
      </c>
      <c r="F107" s="144" t="s">
        <v>33</v>
      </c>
      <c r="G107" s="144" t="s">
        <v>1244</v>
      </c>
    </row>
    <row r="108" spans="1:7" x14ac:dyDescent="0.35">
      <c r="A108" s="144" t="s">
        <v>6</v>
      </c>
      <c r="B108" s="144" t="s">
        <v>86</v>
      </c>
      <c r="C108" s="134">
        <v>1</v>
      </c>
      <c r="D108" s="148">
        <v>73.5</v>
      </c>
      <c r="E108" s="14" t="s">
        <v>47</v>
      </c>
      <c r="F108" s="144" t="s">
        <v>33</v>
      </c>
      <c r="G108" s="144" t="s">
        <v>1245</v>
      </c>
    </row>
    <row r="109" spans="1:7" x14ac:dyDescent="0.35">
      <c r="A109" s="144" t="s">
        <v>6</v>
      </c>
      <c r="B109" s="144" t="s">
        <v>219</v>
      </c>
      <c r="C109" s="134">
        <v>1</v>
      </c>
      <c r="D109" s="148">
        <v>73.5</v>
      </c>
      <c r="E109" s="14" t="s">
        <v>876</v>
      </c>
      <c r="F109" s="144" t="s">
        <v>33</v>
      </c>
      <c r="G109" s="144" t="s">
        <v>1049</v>
      </c>
    </row>
    <row r="110" spans="1:7" x14ac:dyDescent="0.35">
      <c r="A110" s="144" t="s">
        <v>23</v>
      </c>
      <c r="B110" s="144" t="s">
        <v>211</v>
      </c>
      <c r="C110" s="134">
        <v>1</v>
      </c>
      <c r="D110" s="148">
        <v>73.5</v>
      </c>
      <c r="E110" s="145" t="s">
        <v>62</v>
      </c>
      <c r="F110" s="144" t="s">
        <v>33</v>
      </c>
      <c r="G110" s="144" t="s">
        <v>1244</v>
      </c>
    </row>
    <row r="111" spans="1:7" x14ac:dyDescent="0.35">
      <c r="A111" s="144" t="s">
        <v>23</v>
      </c>
      <c r="B111" s="144" t="s">
        <v>211</v>
      </c>
      <c r="C111" s="134">
        <v>1</v>
      </c>
      <c r="D111" s="148">
        <v>73.5</v>
      </c>
      <c r="E111" s="145" t="s">
        <v>62</v>
      </c>
      <c r="F111" s="144" t="s">
        <v>33</v>
      </c>
      <c r="G111" s="144" t="s">
        <v>1246</v>
      </c>
    </row>
    <row r="112" spans="1:7" x14ac:dyDescent="0.35">
      <c r="A112" s="144" t="s">
        <v>73</v>
      </c>
      <c r="B112" s="144" t="s">
        <v>163</v>
      </c>
      <c r="C112" s="188">
        <v>1</v>
      </c>
      <c r="D112" s="148">
        <v>73.5</v>
      </c>
      <c r="E112" s="14" t="s">
        <v>56</v>
      </c>
      <c r="F112" s="144" t="s">
        <v>33</v>
      </c>
      <c r="G112" s="144" t="s">
        <v>1247</v>
      </c>
    </row>
    <row r="113" spans="1:7" x14ac:dyDescent="0.35">
      <c r="A113" s="144" t="s">
        <v>6</v>
      </c>
      <c r="B113" s="144" t="s">
        <v>219</v>
      </c>
      <c r="C113" s="134">
        <v>1</v>
      </c>
      <c r="D113" s="148">
        <v>73.5</v>
      </c>
      <c r="E113" s="14" t="s">
        <v>876</v>
      </c>
      <c r="F113" s="144" t="s">
        <v>33</v>
      </c>
      <c r="G113" s="144" t="s">
        <v>1248</v>
      </c>
    </row>
    <row r="114" spans="1:7" x14ac:dyDescent="0.35">
      <c r="A114" s="144" t="s">
        <v>23</v>
      </c>
      <c r="B114" s="144" t="s">
        <v>206</v>
      </c>
      <c r="C114" s="134">
        <v>1</v>
      </c>
      <c r="D114" s="148">
        <v>73.5</v>
      </c>
      <c r="E114" s="14" t="s">
        <v>63</v>
      </c>
      <c r="F114" s="144" t="s">
        <v>33</v>
      </c>
      <c r="G114" s="144" t="s">
        <v>1249</v>
      </c>
    </row>
    <row r="115" spans="1:7" x14ac:dyDescent="0.35">
      <c r="A115" s="144" t="s">
        <v>23</v>
      </c>
      <c r="B115" s="144" t="s">
        <v>211</v>
      </c>
      <c r="C115" s="134">
        <v>1</v>
      </c>
      <c r="D115" s="148">
        <v>73.5</v>
      </c>
      <c r="E115" s="145" t="s">
        <v>62</v>
      </c>
      <c r="F115" s="144" t="s">
        <v>33</v>
      </c>
      <c r="G115" s="144" t="s">
        <v>1250</v>
      </c>
    </row>
    <row r="116" spans="1:7" x14ac:dyDescent="0.35">
      <c r="A116" s="144" t="s">
        <v>6</v>
      </c>
      <c r="B116" s="144" t="s">
        <v>142</v>
      </c>
      <c r="C116" s="134">
        <v>1</v>
      </c>
      <c r="D116" s="148">
        <v>73.5</v>
      </c>
      <c r="E116" s="14" t="s">
        <v>44</v>
      </c>
      <c r="F116" s="144" t="s">
        <v>33</v>
      </c>
      <c r="G116" s="144" t="s">
        <v>1237</v>
      </c>
    </row>
    <row r="117" spans="1:7" x14ac:dyDescent="0.35">
      <c r="A117" s="144" t="s">
        <v>6</v>
      </c>
      <c r="B117" s="144" t="s">
        <v>86</v>
      </c>
      <c r="C117" s="188">
        <v>1</v>
      </c>
      <c r="D117" s="148">
        <v>73.5</v>
      </c>
      <c r="E117" s="14" t="s">
        <v>47</v>
      </c>
      <c r="F117" s="144" t="s">
        <v>33</v>
      </c>
      <c r="G117" s="144" t="s">
        <v>1251</v>
      </c>
    </row>
    <row r="118" spans="1:7" x14ac:dyDescent="0.35">
      <c r="A118" s="144" t="s">
        <v>23</v>
      </c>
      <c r="B118" s="144" t="s">
        <v>211</v>
      </c>
      <c r="C118" s="134">
        <v>1</v>
      </c>
      <c r="D118" s="148">
        <v>73.5</v>
      </c>
      <c r="E118" s="145" t="s">
        <v>62</v>
      </c>
      <c r="F118" s="144" t="s">
        <v>33</v>
      </c>
      <c r="G118" s="144" t="s">
        <v>1252</v>
      </c>
    </row>
    <row r="119" spans="1:7" x14ac:dyDescent="0.35">
      <c r="A119" s="144" t="s">
        <v>73</v>
      </c>
      <c r="B119" s="144" t="s">
        <v>163</v>
      </c>
      <c r="C119" s="134">
        <v>1</v>
      </c>
      <c r="D119" s="148">
        <v>73.5</v>
      </c>
      <c r="E119" s="14" t="s">
        <v>56</v>
      </c>
      <c r="F119" s="144" t="s">
        <v>33</v>
      </c>
      <c r="G119" s="144" t="s">
        <v>1253</v>
      </c>
    </row>
    <row r="120" spans="1:7" x14ac:dyDescent="0.35">
      <c r="A120" s="144" t="s">
        <v>73</v>
      </c>
      <c r="B120" s="144" t="s">
        <v>163</v>
      </c>
      <c r="C120" s="134">
        <v>1</v>
      </c>
      <c r="D120" s="148">
        <v>73.5</v>
      </c>
      <c r="E120" s="14" t="s">
        <v>56</v>
      </c>
      <c r="F120" s="144" t="s">
        <v>33</v>
      </c>
      <c r="G120" s="144" t="s">
        <v>1254</v>
      </c>
    </row>
    <row r="121" spans="1:7" x14ac:dyDescent="0.35">
      <c r="A121" s="144"/>
      <c r="B121" s="144"/>
      <c r="C121" s="134">
        <v>1</v>
      </c>
      <c r="D121" s="148">
        <v>73.5</v>
      </c>
      <c r="E121" s="14" t="s">
        <v>51</v>
      </c>
      <c r="F121" s="144" t="s">
        <v>33</v>
      </c>
      <c r="G121" s="144" t="s">
        <v>1255</v>
      </c>
    </row>
    <row r="122" spans="1:7" x14ac:dyDescent="0.35">
      <c r="A122" s="144" t="s">
        <v>73</v>
      </c>
      <c r="B122" s="144" t="s">
        <v>163</v>
      </c>
      <c r="C122" s="134">
        <v>1</v>
      </c>
      <c r="D122" s="148">
        <v>73.5</v>
      </c>
      <c r="E122" s="14" t="s">
        <v>56</v>
      </c>
      <c r="F122" s="144" t="s">
        <v>33</v>
      </c>
      <c r="G122" s="144" t="s">
        <v>1256</v>
      </c>
    </row>
    <row r="123" spans="1:7" x14ac:dyDescent="0.35">
      <c r="A123" s="144"/>
      <c r="B123" s="144" t="s">
        <v>163</v>
      </c>
      <c r="C123" s="188">
        <v>1</v>
      </c>
      <c r="D123" s="148">
        <v>15</v>
      </c>
      <c r="E123" s="145" t="s">
        <v>56</v>
      </c>
      <c r="F123" s="144" t="s">
        <v>35</v>
      </c>
      <c r="G123" s="144" t="s">
        <v>1260</v>
      </c>
    </row>
    <row r="124" spans="1:7" x14ac:dyDescent="0.35">
      <c r="A124" s="144"/>
      <c r="B124" s="144" t="s">
        <v>163</v>
      </c>
      <c r="C124" s="188">
        <v>1</v>
      </c>
      <c r="D124" s="126">
        <v>137.5</v>
      </c>
      <c r="E124" s="145" t="s">
        <v>56</v>
      </c>
      <c r="F124" s="124" t="s">
        <v>989</v>
      </c>
      <c r="G124" s="144" t="s">
        <v>1263</v>
      </c>
    </row>
  </sheetData>
  <protectedRanges>
    <protectedRange sqref="D46" name="Amount_2_1_1_1"/>
  </protectedRanges>
  <mergeCells count="1">
    <mergeCell ref="A1:G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F9E3A-E0D5-40CC-82AC-51C6C8EE363B}">
  <dimension ref="A1:G58"/>
  <sheetViews>
    <sheetView workbookViewId="0">
      <selection activeCell="B4" sqref="B4"/>
    </sheetView>
  </sheetViews>
  <sheetFormatPr defaultRowHeight="14.5" x14ac:dyDescent="0.35"/>
  <cols>
    <col min="1" max="1" width="12.54296875" bestFit="1" customWidth="1"/>
    <col min="2" max="2" width="16.7265625" bestFit="1" customWidth="1"/>
    <col min="4" max="4" width="17.7265625" bestFit="1" customWidth="1"/>
    <col min="5" max="5" width="41.1796875" bestFit="1" customWidth="1"/>
    <col min="6" max="6" width="48" bestFit="1" customWidth="1"/>
    <col min="7" max="7" width="36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4.25" customHeight="1" thickBot="1" x14ac:dyDescent="0.4">
      <c r="A2" s="189"/>
      <c r="B2" s="189"/>
      <c r="C2" s="189"/>
      <c r="D2" s="189"/>
      <c r="E2" s="189"/>
      <c r="F2" s="189"/>
      <c r="G2" s="189"/>
    </row>
    <row r="3" spans="1:7" ht="16.5" customHeight="1" x14ac:dyDescent="0.35">
      <c r="A3" s="6" t="s">
        <v>28</v>
      </c>
      <c r="B3" s="7" t="s">
        <v>1326</v>
      </c>
      <c r="C3" s="189"/>
      <c r="D3" s="189"/>
      <c r="E3" s="189"/>
      <c r="F3" s="189"/>
      <c r="G3" s="189"/>
    </row>
    <row r="4" spans="1:7" ht="16.5" customHeight="1" x14ac:dyDescent="0.35">
      <c r="A4" s="8" t="s">
        <v>29</v>
      </c>
      <c r="B4" s="9"/>
      <c r="C4" s="189"/>
      <c r="D4" s="189"/>
      <c r="E4" s="189"/>
      <c r="F4" s="189"/>
      <c r="G4" s="189"/>
    </row>
    <row r="5" spans="1:7" ht="17.25" customHeight="1" thickBot="1" x14ac:dyDescent="0.4">
      <c r="A5" s="10" t="s">
        <v>30</v>
      </c>
      <c r="B5" s="177"/>
      <c r="C5" s="189"/>
      <c r="D5" s="189"/>
      <c r="E5" s="189"/>
      <c r="F5" s="189"/>
      <c r="G5" s="189"/>
    </row>
    <row r="6" spans="1:7" ht="12.75" customHeight="1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23</v>
      </c>
      <c r="B9" s="144" t="s">
        <v>244</v>
      </c>
      <c r="C9" s="188">
        <v>1</v>
      </c>
      <c r="D9" s="148">
        <v>50</v>
      </c>
      <c r="E9" s="145" t="s">
        <v>64</v>
      </c>
      <c r="F9" s="144" t="s">
        <v>34</v>
      </c>
      <c r="G9" s="144" t="s">
        <v>1269</v>
      </c>
    </row>
    <row r="10" spans="1:7" x14ac:dyDescent="0.35">
      <c r="A10" s="144" t="s">
        <v>23</v>
      </c>
      <c r="B10" s="144" t="s">
        <v>244</v>
      </c>
      <c r="C10" s="188">
        <v>1</v>
      </c>
      <c r="D10" s="148">
        <v>15</v>
      </c>
      <c r="E10" s="145" t="s">
        <v>64</v>
      </c>
      <c r="F10" s="144" t="s">
        <v>35</v>
      </c>
      <c r="G10" s="144" t="s">
        <v>1269</v>
      </c>
    </row>
    <row r="11" spans="1:7" x14ac:dyDescent="0.35">
      <c r="A11" s="144" t="s">
        <v>6</v>
      </c>
      <c r="B11" s="144" t="s">
        <v>219</v>
      </c>
      <c r="C11" s="188">
        <v>1</v>
      </c>
      <c r="D11" s="155">
        <v>35</v>
      </c>
      <c r="E11" s="145" t="s">
        <v>876</v>
      </c>
      <c r="F11" s="144" t="s">
        <v>36</v>
      </c>
      <c r="G11" s="144" t="s">
        <v>1258</v>
      </c>
    </row>
    <row r="12" spans="1:7" x14ac:dyDescent="0.35">
      <c r="A12" s="144" t="s">
        <v>6</v>
      </c>
      <c r="B12" s="144" t="s">
        <v>72</v>
      </c>
      <c r="C12" s="188">
        <v>1</v>
      </c>
      <c r="D12" s="148">
        <v>15</v>
      </c>
      <c r="E12" s="145" t="s">
        <v>1138</v>
      </c>
      <c r="F12" s="144" t="s">
        <v>35</v>
      </c>
      <c r="G12" s="144" t="s">
        <v>1267</v>
      </c>
    </row>
    <row r="13" spans="1:7" x14ac:dyDescent="0.35">
      <c r="A13" s="144" t="s">
        <v>23</v>
      </c>
      <c r="B13" s="144" t="s">
        <v>211</v>
      </c>
      <c r="C13" s="188">
        <v>1</v>
      </c>
      <c r="D13" s="148">
        <v>15</v>
      </c>
      <c r="E13" s="145" t="s">
        <v>62</v>
      </c>
      <c r="F13" s="144" t="s">
        <v>35</v>
      </c>
      <c r="G13" s="144" t="s">
        <v>1268</v>
      </c>
    </row>
    <row r="14" spans="1:7" x14ac:dyDescent="0.35">
      <c r="A14" s="144" t="s">
        <v>23</v>
      </c>
      <c r="B14" s="144" t="s">
        <v>211</v>
      </c>
      <c r="C14" s="188">
        <v>1</v>
      </c>
      <c r="D14" s="148">
        <v>50</v>
      </c>
      <c r="E14" s="145" t="s">
        <v>62</v>
      </c>
      <c r="F14" s="144" t="s">
        <v>34</v>
      </c>
      <c r="G14" s="144" t="s">
        <v>1259</v>
      </c>
    </row>
    <row r="15" spans="1:7" x14ac:dyDescent="0.35">
      <c r="A15" s="144" t="s">
        <v>23</v>
      </c>
      <c r="B15" s="144" t="s">
        <v>211</v>
      </c>
      <c r="C15" s="188">
        <v>1</v>
      </c>
      <c r="D15" s="148">
        <v>50</v>
      </c>
      <c r="E15" s="145" t="s">
        <v>62</v>
      </c>
      <c r="F15" s="144" t="s">
        <v>34</v>
      </c>
      <c r="G15" s="144" t="s">
        <v>1261</v>
      </c>
    </row>
    <row r="16" spans="1:7" x14ac:dyDescent="0.35">
      <c r="A16" s="144" t="s">
        <v>23</v>
      </c>
      <c r="B16" s="144" t="s">
        <v>211</v>
      </c>
      <c r="C16" s="188">
        <v>1</v>
      </c>
      <c r="D16" s="148">
        <v>15</v>
      </c>
      <c r="E16" s="145" t="s">
        <v>62</v>
      </c>
      <c r="F16" s="144" t="s">
        <v>35</v>
      </c>
      <c r="G16" s="144" t="s">
        <v>1261</v>
      </c>
    </row>
    <row r="17" spans="1:7" x14ac:dyDescent="0.35">
      <c r="A17" s="144" t="s">
        <v>6</v>
      </c>
      <c r="B17" s="144" t="s">
        <v>86</v>
      </c>
      <c r="C17" s="188">
        <v>1</v>
      </c>
      <c r="D17" s="155">
        <v>35</v>
      </c>
      <c r="E17" s="145" t="s">
        <v>47</v>
      </c>
      <c r="F17" s="144" t="s">
        <v>36</v>
      </c>
      <c r="G17" s="144" t="s">
        <v>1262</v>
      </c>
    </row>
    <row r="18" spans="1:7" x14ac:dyDescent="0.35">
      <c r="A18" s="144" t="s">
        <v>6</v>
      </c>
      <c r="B18" t="s">
        <v>174</v>
      </c>
      <c r="C18" s="134">
        <v>1</v>
      </c>
      <c r="D18" s="197">
        <v>35</v>
      </c>
      <c r="E18" s="144" t="s">
        <v>55</v>
      </c>
      <c r="F18" s="144" t="s">
        <v>36</v>
      </c>
      <c r="G18" s="144" t="s">
        <v>1257</v>
      </c>
    </row>
    <row r="19" spans="1:7" x14ac:dyDescent="0.35">
      <c r="A19" s="144" t="s">
        <v>6</v>
      </c>
      <c r="B19" s="144" t="s">
        <v>86</v>
      </c>
      <c r="C19" s="188">
        <v>1</v>
      </c>
      <c r="D19" s="148">
        <v>15</v>
      </c>
      <c r="E19" s="145" t="s">
        <v>47</v>
      </c>
      <c r="F19" s="144" t="s">
        <v>35</v>
      </c>
      <c r="G19" s="144" t="s">
        <v>1264</v>
      </c>
    </row>
    <row r="20" spans="1:7" x14ac:dyDescent="0.35">
      <c r="A20" s="144" t="s">
        <v>6</v>
      </c>
      <c r="B20" s="144" t="s">
        <v>86</v>
      </c>
      <c r="C20" s="188">
        <v>1</v>
      </c>
      <c r="D20" s="148">
        <v>15</v>
      </c>
      <c r="E20" s="145" t="s">
        <v>47</v>
      </c>
      <c r="F20" s="144" t="s">
        <v>35</v>
      </c>
      <c r="G20" s="144" t="s">
        <v>1265</v>
      </c>
    </row>
    <row r="21" spans="1:7" x14ac:dyDescent="0.35">
      <c r="A21" s="144" t="s">
        <v>6</v>
      </c>
      <c r="B21" s="144" t="s">
        <v>86</v>
      </c>
      <c r="C21" s="188">
        <v>1</v>
      </c>
      <c r="D21" s="148">
        <v>50</v>
      </c>
      <c r="E21" s="145" t="s">
        <v>47</v>
      </c>
      <c r="F21" s="144" t="s">
        <v>34</v>
      </c>
      <c r="G21" s="144" t="s">
        <v>1265</v>
      </c>
    </row>
    <row r="22" spans="1:7" x14ac:dyDescent="0.35">
      <c r="A22" s="144" t="s">
        <v>6</v>
      </c>
      <c r="B22" s="144" t="s">
        <v>142</v>
      </c>
      <c r="C22" s="188">
        <v>1</v>
      </c>
      <c r="D22" s="148">
        <v>50</v>
      </c>
      <c r="E22" s="145" t="s">
        <v>44</v>
      </c>
      <c r="F22" s="144" t="s">
        <v>34</v>
      </c>
      <c r="G22" s="144" t="s">
        <v>1266</v>
      </c>
    </row>
    <row r="23" spans="1:7" x14ac:dyDescent="0.35">
      <c r="A23" s="144" t="s">
        <v>6</v>
      </c>
      <c r="B23" s="144" t="s">
        <v>86</v>
      </c>
      <c r="C23" s="188">
        <v>1</v>
      </c>
      <c r="D23" s="155">
        <v>35</v>
      </c>
      <c r="E23" s="145" t="s">
        <v>47</v>
      </c>
      <c r="F23" s="144" t="s">
        <v>36</v>
      </c>
      <c r="G23" s="144" t="s">
        <v>1270</v>
      </c>
    </row>
    <row r="24" spans="1:7" x14ac:dyDescent="0.35">
      <c r="A24" s="144" t="s">
        <v>23</v>
      </c>
      <c r="B24" s="144" t="s">
        <v>244</v>
      </c>
      <c r="C24" s="188">
        <v>1</v>
      </c>
      <c r="D24" s="148">
        <v>15</v>
      </c>
      <c r="E24" s="145" t="s">
        <v>64</v>
      </c>
      <c r="F24" s="144" t="s">
        <v>35</v>
      </c>
      <c r="G24" s="144" t="s">
        <v>1271</v>
      </c>
    </row>
    <row r="25" spans="1:7" x14ac:dyDescent="0.35">
      <c r="A25" s="144" t="s">
        <v>23</v>
      </c>
      <c r="B25" s="144" t="s">
        <v>244</v>
      </c>
      <c r="C25" s="188">
        <v>1</v>
      </c>
      <c r="D25" s="126">
        <v>166.1</v>
      </c>
      <c r="E25" s="145" t="s">
        <v>64</v>
      </c>
      <c r="F25" s="124" t="s">
        <v>992</v>
      </c>
      <c r="G25" s="191" t="s">
        <v>1272</v>
      </c>
    </row>
    <row r="26" spans="1:7" x14ac:dyDescent="0.35">
      <c r="A26" s="144" t="s">
        <v>23</v>
      </c>
      <c r="B26" s="144" t="s">
        <v>244</v>
      </c>
      <c r="C26" s="188">
        <v>1</v>
      </c>
      <c r="D26" s="126">
        <v>137.5</v>
      </c>
      <c r="E26" s="145" t="s">
        <v>64</v>
      </c>
      <c r="F26" s="124" t="s">
        <v>989</v>
      </c>
      <c r="G26" s="191" t="s">
        <v>1273</v>
      </c>
    </row>
    <row r="27" spans="1:7" x14ac:dyDescent="0.35">
      <c r="A27" s="144" t="s">
        <v>23</v>
      </c>
      <c r="B27" s="144" t="s">
        <v>244</v>
      </c>
      <c r="C27" s="188">
        <v>1</v>
      </c>
      <c r="D27" s="148">
        <v>15</v>
      </c>
      <c r="E27" s="145" t="s">
        <v>64</v>
      </c>
      <c r="F27" s="144" t="s">
        <v>35</v>
      </c>
      <c r="G27" s="191" t="s">
        <v>1274</v>
      </c>
    </row>
    <row r="28" spans="1:7" x14ac:dyDescent="0.35">
      <c r="A28" s="144" t="s">
        <v>6</v>
      </c>
      <c r="B28" s="144" t="s">
        <v>304</v>
      </c>
      <c r="C28" s="188">
        <v>1</v>
      </c>
      <c r="D28" s="148">
        <v>50</v>
      </c>
      <c r="E28" s="144" t="s">
        <v>52</v>
      </c>
      <c r="F28" s="144" t="s">
        <v>34</v>
      </c>
      <c r="G28" s="144" t="s">
        <v>1275</v>
      </c>
    </row>
    <row r="29" spans="1:7" x14ac:dyDescent="0.35">
      <c r="A29" s="144" t="s">
        <v>23</v>
      </c>
      <c r="B29" s="144" t="s">
        <v>211</v>
      </c>
      <c r="C29" s="188">
        <v>1</v>
      </c>
      <c r="D29" s="126">
        <v>35</v>
      </c>
      <c r="E29" s="144" t="s">
        <v>62</v>
      </c>
      <c r="F29" s="144" t="s">
        <v>36</v>
      </c>
      <c r="G29" s="144" t="s">
        <v>1276</v>
      </c>
    </row>
    <row r="30" spans="1:7" x14ac:dyDescent="0.35">
      <c r="A30" s="144" t="s">
        <v>23</v>
      </c>
      <c r="B30" s="144" t="s">
        <v>211</v>
      </c>
      <c r="C30" s="188">
        <v>1</v>
      </c>
      <c r="D30" s="148">
        <v>50</v>
      </c>
      <c r="E30" s="144" t="s">
        <v>62</v>
      </c>
      <c r="F30" s="144" t="s">
        <v>34</v>
      </c>
      <c r="G30" s="144" t="s">
        <v>1276</v>
      </c>
    </row>
    <row r="31" spans="1:7" x14ac:dyDescent="0.35">
      <c r="A31" s="144" t="s">
        <v>23</v>
      </c>
      <c r="B31" s="144" t="s">
        <v>211</v>
      </c>
      <c r="C31" s="188">
        <v>1</v>
      </c>
      <c r="D31" s="126">
        <v>15</v>
      </c>
      <c r="E31" s="144" t="s">
        <v>62</v>
      </c>
      <c r="F31" s="144" t="s">
        <v>35</v>
      </c>
      <c r="G31" s="144" t="s">
        <v>1276</v>
      </c>
    </row>
    <row r="32" spans="1:7" x14ac:dyDescent="0.35">
      <c r="A32" s="144" t="s">
        <v>6</v>
      </c>
      <c r="B32" s="144" t="s">
        <v>72</v>
      </c>
      <c r="C32" s="188">
        <v>1</v>
      </c>
      <c r="D32" s="148">
        <v>50</v>
      </c>
      <c r="E32" s="144" t="s">
        <v>1138</v>
      </c>
      <c r="F32" s="144" t="s">
        <v>34</v>
      </c>
      <c r="G32" s="191" t="s">
        <v>1277</v>
      </c>
    </row>
    <row r="33" spans="1:7" x14ac:dyDescent="0.35">
      <c r="A33" s="144" t="s">
        <v>23</v>
      </c>
      <c r="B33" s="144" t="s">
        <v>244</v>
      </c>
      <c r="C33" s="188">
        <v>1</v>
      </c>
      <c r="D33" s="148">
        <v>15</v>
      </c>
      <c r="E33" s="144" t="s">
        <v>64</v>
      </c>
      <c r="F33" s="144" t="s">
        <v>35</v>
      </c>
      <c r="G33" s="191" t="s">
        <v>1278</v>
      </c>
    </row>
    <row r="34" spans="1:7" x14ac:dyDescent="0.35">
      <c r="A34" s="144" t="s">
        <v>23</v>
      </c>
      <c r="B34" s="144" t="s">
        <v>211</v>
      </c>
      <c r="C34" s="188">
        <v>1</v>
      </c>
      <c r="D34" s="148">
        <v>15</v>
      </c>
      <c r="E34" s="144" t="s">
        <v>62</v>
      </c>
      <c r="F34" s="144" t="s">
        <v>35</v>
      </c>
      <c r="G34" s="191" t="s">
        <v>1281</v>
      </c>
    </row>
    <row r="35" spans="1:7" x14ac:dyDescent="0.35">
      <c r="A35" s="144" t="s">
        <v>6</v>
      </c>
      <c r="B35" s="144" t="s">
        <v>142</v>
      </c>
      <c r="C35" s="188">
        <v>1</v>
      </c>
      <c r="D35" s="148">
        <v>15</v>
      </c>
      <c r="E35" s="145" t="s">
        <v>44</v>
      </c>
      <c r="F35" s="144" t="s">
        <v>35</v>
      </c>
      <c r="G35" s="191" t="s">
        <v>1283</v>
      </c>
    </row>
    <row r="36" spans="1:7" x14ac:dyDescent="0.35">
      <c r="A36" s="144" t="s">
        <v>23</v>
      </c>
      <c r="B36" s="144" t="s">
        <v>211</v>
      </c>
      <c r="C36" s="188">
        <v>1</v>
      </c>
      <c r="D36" s="148">
        <v>15</v>
      </c>
      <c r="E36" s="145" t="s">
        <v>62</v>
      </c>
      <c r="F36" s="144" t="s">
        <v>35</v>
      </c>
      <c r="G36" s="191" t="s">
        <v>1284</v>
      </c>
    </row>
    <row r="37" spans="1:7" x14ac:dyDescent="0.35">
      <c r="A37" s="144" t="s">
        <v>6</v>
      </c>
      <c r="B37" s="144" t="s">
        <v>219</v>
      </c>
      <c r="C37" s="188">
        <v>1</v>
      </c>
      <c r="D37" s="155">
        <v>35</v>
      </c>
      <c r="E37" s="145" t="s">
        <v>876</v>
      </c>
      <c r="F37" s="144" t="s">
        <v>36</v>
      </c>
      <c r="G37" s="191" t="s">
        <v>1285</v>
      </c>
    </row>
    <row r="38" spans="1:7" x14ac:dyDescent="0.35">
      <c r="A38" s="144" t="s">
        <v>23</v>
      </c>
      <c r="B38" s="144" t="s">
        <v>211</v>
      </c>
      <c r="C38" s="188">
        <v>1</v>
      </c>
      <c r="D38" s="148">
        <v>50</v>
      </c>
      <c r="E38" s="145" t="s">
        <v>62</v>
      </c>
      <c r="F38" s="144" t="s">
        <v>34</v>
      </c>
      <c r="G38" s="191" t="s">
        <v>1286</v>
      </c>
    </row>
    <row r="39" spans="1:7" x14ac:dyDescent="0.35">
      <c r="A39" s="144"/>
      <c r="B39" s="144"/>
      <c r="C39" s="188"/>
      <c r="D39" s="148"/>
      <c r="E39" s="145"/>
      <c r="F39" s="144"/>
      <c r="G39" s="191"/>
    </row>
    <row r="40" spans="1:7" x14ac:dyDescent="0.35">
      <c r="A40" s="144"/>
      <c r="B40" s="144"/>
      <c r="C40" s="188"/>
      <c r="D40" s="148"/>
      <c r="E40" s="145"/>
      <c r="F40" s="144"/>
      <c r="G40" s="191"/>
    </row>
    <row r="41" spans="1:7" x14ac:dyDescent="0.35">
      <c r="A41" s="144"/>
      <c r="B41" s="144"/>
      <c r="C41" s="188"/>
      <c r="D41" s="148"/>
      <c r="E41" s="145"/>
      <c r="F41" s="144"/>
      <c r="G41" s="191"/>
    </row>
    <row r="42" spans="1:7" x14ac:dyDescent="0.35">
      <c r="A42" s="144"/>
      <c r="B42" s="144"/>
      <c r="C42" s="188"/>
      <c r="D42" s="148"/>
      <c r="E42" s="145"/>
      <c r="F42" s="144"/>
      <c r="G42" s="191"/>
    </row>
    <row r="43" spans="1:7" x14ac:dyDescent="0.35">
      <c r="A43" s="144"/>
      <c r="B43" s="144"/>
      <c r="C43" s="188"/>
      <c r="D43" s="148"/>
      <c r="E43" s="145"/>
      <c r="F43" s="144"/>
      <c r="G43" s="191"/>
    </row>
    <row r="44" spans="1:7" x14ac:dyDescent="0.35">
      <c r="A44" s="144"/>
      <c r="B44" s="144"/>
      <c r="C44" s="188"/>
      <c r="D44" s="148"/>
      <c r="E44" s="145"/>
      <c r="F44" s="144"/>
      <c r="G44" s="191"/>
    </row>
    <row r="45" spans="1:7" x14ac:dyDescent="0.35">
      <c r="A45" s="144"/>
      <c r="B45" s="144"/>
      <c r="C45" s="188"/>
      <c r="D45" s="148"/>
      <c r="E45" s="145"/>
      <c r="F45" s="144"/>
      <c r="G45" s="191"/>
    </row>
    <row r="46" spans="1:7" x14ac:dyDescent="0.35">
      <c r="A46" s="144"/>
      <c r="B46" s="144"/>
      <c r="C46" s="188"/>
      <c r="D46" s="148"/>
      <c r="E46" s="145"/>
      <c r="F46" s="144"/>
      <c r="G46" s="191"/>
    </row>
    <row r="47" spans="1:7" x14ac:dyDescent="0.35">
      <c r="A47" s="144"/>
      <c r="B47" s="144"/>
      <c r="C47" s="188"/>
      <c r="D47" s="148"/>
      <c r="E47" s="145"/>
      <c r="F47" s="144"/>
      <c r="G47" s="191"/>
    </row>
    <row r="48" spans="1:7" x14ac:dyDescent="0.35">
      <c r="A48" s="144"/>
      <c r="B48" s="144"/>
      <c r="C48" s="188"/>
      <c r="D48" s="148"/>
      <c r="E48" s="145"/>
      <c r="F48" s="144"/>
      <c r="G48" s="191"/>
    </row>
    <row r="49" spans="1:7" x14ac:dyDescent="0.35">
      <c r="A49" s="144"/>
      <c r="B49" s="144"/>
      <c r="C49" s="188"/>
      <c r="D49" s="148"/>
      <c r="E49" s="145"/>
      <c r="F49" s="144"/>
      <c r="G49" s="191"/>
    </row>
    <row r="50" spans="1:7" x14ac:dyDescent="0.35">
      <c r="A50" s="144"/>
      <c r="B50" s="144"/>
      <c r="C50" s="188"/>
      <c r="D50" s="148"/>
      <c r="E50" s="145"/>
      <c r="F50" s="144"/>
      <c r="G50" s="191"/>
    </row>
    <row r="51" spans="1:7" x14ac:dyDescent="0.35">
      <c r="A51" s="144"/>
      <c r="B51" s="144"/>
      <c r="C51" s="188"/>
      <c r="D51" s="148"/>
      <c r="E51" s="145"/>
      <c r="F51" s="144"/>
      <c r="G51" s="191"/>
    </row>
    <row r="52" spans="1:7" x14ac:dyDescent="0.35">
      <c r="A52" s="144"/>
      <c r="B52" s="144"/>
      <c r="C52" s="188"/>
      <c r="D52" s="148"/>
      <c r="E52" s="145"/>
      <c r="F52" s="144"/>
      <c r="G52" s="191"/>
    </row>
    <row r="53" spans="1:7" x14ac:dyDescent="0.35">
      <c r="A53" s="144"/>
      <c r="B53" s="144"/>
      <c r="C53" s="188"/>
      <c r="D53" s="148"/>
      <c r="E53" s="145"/>
      <c r="F53" s="144"/>
      <c r="G53" s="191"/>
    </row>
    <row r="54" spans="1:7" x14ac:dyDescent="0.35">
      <c r="A54" s="144"/>
      <c r="B54" s="144"/>
      <c r="C54" s="188"/>
      <c r="D54" s="148"/>
      <c r="E54" s="145"/>
      <c r="F54" s="144"/>
      <c r="G54" s="191"/>
    </row>
    <row r="55" spans="1:7" x14ac:dyDescent="0.35">
      <c r="A55" s="144"/>
      <c r="B55" s="144"/>
      <c r="C55" s="188"/>
      <c r="D55" s="148"/>
      <c r="E55" s="145"/>
      <c r="F55" s="144"/>
      <c r="G55" s="191"/>
    </row>
    <row r="56" spans="1:7" x14ac:dyDescent="0.35">
      <c r="A56" s="144"/>
      <c r="B56" s="144"/>
      <c r="C56" s="188"/>
      <c r="D56" s="148"/>
      <c r="E56" s="145"/>
      <c r="F56" s="144"/>
      <c r="G56" s="191"/>
    </row>
    <row r="57" spans="1:7" x14ac:dyDescent="0.35">
      <c r="A57" s="144"/>
      <c r="B57" s="144"/>
      <c r="C57" s="188"/>
      <c r="D57" s="148"/>
      <c r="E57" s="145"/>
      <c r="F57" s="144"/>
      <c r="G57" s="191"/>
    </row>
    <row r="58" spans="1:7" x14ac:dyDescent="0.35">
      <c r="A58" s="144"/>
      <c r="B58" s="144"/>
      <c r="C58" s="188"/>
      <c r="D58" s="148"/>
      <c r="E58" s="145"/>
      <c r="F58" s="144"/>
      <c r="G58" s="191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831AD-5B35-46FC-A9C1-E9E24266875B}">
  <dimension ref="A1:G84"/>
  <sheetViews>
    <sheetView workbookViewId="0">
      <selection activeCell="D9" sqref="D9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12.1796875" customWidth="1"/>
    <col min="4" max="4" width="17.7265625" bestFit="1" customWidth="1"/>
    <col min="5" max="5" width="51" customWidth="1"/>
    <col min="6" max="6" width="41.1796875" customWidth="1"/>
    <col min="7" max="7" width="36.179687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5" customHeight="1" x14ac:dyDescent="0.35">
      <c r="A3" s="6" t="s">
        <v>28</v>
      </c>
      <c r="B3" s="7" t="s">
        <v>1322</v>
      </c>
      <c r="C3" s="189"/>
      <c r="D3" s="189"/>
      <c r="E3" s="189"/>
      <c r="F3" s="189"/>
      <c r="G3" s="189"/>
    </row>
    <row r="4" spans="1:7" ht="18" customHeight="1" x14ac:dyDescent="0.35">
      <c r="A4" s="8" t="s">
        <v>29</v>
      </c>
      <c r="B4" s="9">
        <v>45450</v>
      </c>
      <c r="C4" s="189"/>
      <c r="D4" s="189"/>
      <c r="E4" s="189"/>
      <c r="F4" s="189"/>
      <c r="G4" s="189"/>
    </row>
    <row r="5" spans="1:7" ht="13.5" customHeight="1" thickBot="1" x14ac:dyDescent="0.4">
      <c r="A5" s="10" t="s">
        <v>30</v>
      </c>
      <c r="B5" s="177" t="s">
        <v>1323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35">
      <c r="A9" s="192" t="s">
        <v>6</v>
      </c>
      <c r="B9" s="192" t="s">
        <v>86</v>
      </c>
      <c r="C9" s="193">
        <v>1</v>
      </c>
      <c r="D9" s="194">
        <v>50</v>
      </c>
      <c r="E9" s="195" t="s">
        <v>47</v>
      </c>
      <c r="F9" s="192" t="s">
        <v>34</v>
      </c>
      <c r="G9" s="192" t="s">
        <v>1287</v>
      </c>
    </row>
    <row r="10" spans="1:7" s="196" customFormat="1" x14ac:dyDescent="0.35">
      <c r="A10" s="192" t="s">
        <v>6</v>
      </c>
      <c r="B10" s="192" t="s">
        <v>86</v>
      </c>
      <c r="C10" s="193">
        <v>1</v>
      </c>
      <c r="D10" s="194">
        <v>15</v>
      </c>
      <c r="E10" s="195" t="s">
        <v>47</v>
      </c>
      <c r="F10" s="192" t="s">
        <v>35</v>
      </c>
      <c r="G10" s="192" t="s">
        <v>1287</v>
      </c>
    </row>
    <row r="11" spans="1:7" s="196" customFormat="1" x14ac:dyDescent="0.35">
      <c r="A11" s="192" t="s">
        <v>23</v>
      </c>
      <c r="B11" s="192" t="s">
        <v>211</v>
      </c>
      <c r="C11" s="193">
        <v>1</v>
      </c>
      <c r="D11" s="194">
        <v>50</v>
      </c>
      <c r="E11" s="195" t="s">
        <v>62</v>
      </c>
      <c r="F11" s="192" t="s">
        <v>34</v>
      </c>
      <c r="G11" s="192" t="s">
        <v>1288</v>
      </c>
    </row>
    <row r="12" spans="1:7" s="196" customFormat="1" x14ac:dyDescent="0.35">
      <c r="A12" s="192" t="s">
        <v>6</v>
      </c>
      <c r="B12" s="192" t="s">
        <v>219</v>
      </c>
      <c r="C12" s="193">
        <v>1</v>
      </c>
      <c r="D12" s="194">
        <v>73.5</v>
      </c>
      <c r="E12" s="195" t="s">
        <v>876</v>
      </c>
      <c r="F12" s="192" t="s">
        <v>33</v>
      </c>
      <c r="G12" s="192" t="s">
        <v>1289</v>
      </c>
    </row>
    <row r="13" spans="1:7" s="196" customFormat="1" x14ac:dyDescent="0.35">
      <c r="A13" s="192" t="s">
        <v>6</v>
      </c>
      <c r="B13" s="192" t="s">
        <v>86</v>
      </c>
      <c r="C13" s="193">
        <v>1</v>
      </c>
      <c r="D13" s="194">
        <v>73.5</v>
      </c>
      <c r="E13" s="195" t="s">
        <v>47</v>
      </c>
      <c r="F13" s="192" t="s">
        <v>33</v>
      </c>
      <c r="G13" s="192" t="s">
        <v>1290</v>
      </c>
    </row>
    <row r="14" spans="1:7" s="196" customFormat="1" x14ac:dyDescent="0.35">
      <c r="A14" s="192" t="s">
        <v>23</v>
      </c>
      <c r="B14" s="192" t="s">
        <v>211</v>
      </c>
      <c r="C14" s="193">
        <v>1</v>
      </c>
      <c r="D14" s="194">
        <v>73.5</v>
      </c>
      <c r="E14" s="195" t="s">
        <v>62</v>
      </c>
      <c r="F14" s="192" t="s">
        <v>33</v>
      </c>
      <c r="G14" s="192" t="s">
        <v>1291</v>
      </c>
    </row>
    <row r="15" spans="1:7" s="196" customFormat="1" x14ac:dyDescent="0.35">
      <c r="A15" s="192" t="s">
        <v>23</v>
      </c>
      <c r="B15" s="192" t="s">
        <v>211</v>
      </c>
      <c r="C15" s="193">
        <v>1</v>
      </c>
      <c r="D15" s="194">
        <v>73.5</v>
      </c>
      <c r="E15" s="195" t="s">
        <v>62</v>
      </c>
      <c r="F15" s="192" t="s">
        <v>33</v>
      </c>
      <c r="G15" s="192" t="s">
        <v>1292</v>
      </c>
    </row>
    <row r="16" spans="1:7" s="196" customFormat="1" x14ac:dyDescent="0.35">
      <c r="A16" s="192" t="s">
        <v>6</v>
      </c>
      <c r="B16" s="192" t="s">
        <v>304</v>
      </c>
      <c r="C16" s="193">
        <v>1</v>
      </c>
      <c r="D16" s="194">
        <v>73.5</v>
      </c>
      <c r="E16" s="195" t="s">
        <v>52</v>
      </c>
      <c r="F16" s="192" t="s">
        <v>33</v>
      </c>
      <c r="G16" s="192" t="s">
        <v>1293</v>
      </c>
    </row>
    <row r="17" spans="1:7" s="196" customFormat="1" x14ac:dyDescent="0.35">
      <c r="A17" s="192" t="s">
        <v>23</v>
      </c>
      <c r="B17" s="192" t="s">
        <v>211</v>
      </c>
      <c r="C17" s="193">
        <v>1</v>
      </c>
      <c r="D17" s="194">
        <v>73.5</v>
      </c>
      <c r="E17" s="195" t="s">
        <v>62</v>
      </c>
      <c r="F17" s="192" t="s">
        <v>33</v>
      </c>
      <c r="G17" s="192" t="s">
        <v>1294</v>
      </c>
    </row>
    <row r="18" spans="1:7" s="196" customFormat="1" x14ac:dyDescent="0.35">
      <c r="A18" s="192" t="s">
        <v>23</v>
      </c>
      <c r="B18" s="192" t="s">
        <v>211</v>
      </c>
      <c r="C18" s="193">
        <v>1</v>
      </c>
      <c r="D18" s="194">
        <v>73.5</v>
      </c>
      <c r="E18" s="195" t="s">
        <v>62</v>
      </c>
      <c r="F18" s="192" t="s">
        <v>33</v>
      </c>
      <c r="G18" s="192" t="s">
        <v>1295</v>
      </c>
    </row>
    <row r="19" spans="1:7" s="196" customFormat="1" x14ac:dyDescent="0.35">
      <c r="A19" s="192" t="s">
        <v>6</v>
      </c>
      <c r="B19" s="192" t="s">
        <v>304</v>
      </c>
      <c r="C19" s="193">
        <v>1</v>
      </c>
      <c r="D19" s="194">
        <v>73.5</v>
      </c>
      <c r="E19" s="195" t="s">
        <v>52</v>
      </c>
      <c r="F19" s="192" t="s">
        <v>33</v>
      </c>
      <c r="G19" s="192" t="s">
        <v>1296</v>
      </c>
    </row>
    <row r="20" spans="1:7" s="196" customFormat="1" x14ac:dyDescent="0.35">
      <c r="A20" s="192" t="s">
        <v>6</v>
      </c>
      <c r="B20" s="192" t="s">
        <v>86</v>
      </c>
      <c r="C20" s="193">
        <v>1</v>
      </c>
      <c r="D20" s="194">
        <v>73.5</v>
      </c>
      <c r="E20" s="195" t="s">
        <v>47</v>
      </c>
      <c r="F20" s="192" t="s">
        <v>33</v>
      </c>
      <c r="G20" s="192" t="s">
        <v>1297</v>
      </c>
    </row>
    <row r="21" spans="1:7" s="196" customFormat="1" x14ac:dyDescent="0.35">
      <c r="A21" s="192" t="s">
        <v>6</v>
      </c>
      <c r="B21" s="192" t="s">
        <v>219</v>
      </c>
      <c r="C21" s="193">
        <v>1</v>
      </c>
      <c r="D21" s="194">
        <v>73.5</v>
      </c>
      <c r="E21" s="195" t="s">
        <v>876</v>
      </c>
      <c r="F21" s="192" t="s">
        <v>33</v>
      </c>
      <c r="G21" s="192" t="s">
        <v>1298</v>
      </c>
    </row>
    <row r="22" spans="1:7" s="196" customFormat="1" x14ac:dyDescent="0.35">
      <c r="A22" s="192" t="s">
        <v>23</v>
      </c>
      <c r="B22" s="192" t="s">
        <v>211</v>
      </c>
      <c r="C22" s="193">
        <v>1</v>
      </c>
      <c r="D22" s="194">
        <v>73.5</v>
      </c>
      <c r="E22" s="195" t="s">
        <v>62</v>
      </c>
      <c r="F22" s="192" t="s">
        <v>33</v>
      </c>
      <c r="G22" s="192" t="s">
        <v>1299</v>
      </c>
    </row>
    <row r="23" spans="1:7" s="196" customFormat="1" x14ac:dyDescent="0.35">
      <c r="A23" s="192" t="s">
        <v>23</v>
      </c>
      <c r="B23" s="144" t="s">
        <v>244</v>
      </c>
      <c r="C23" s="193">
        <v>1</v>
      </c>
      <c r="D23" s="194">
        <v>73.5</v>
      </c>
      <c r="E23" s="195" t="s">
        <v>64</v>
      </c>
      <c r="F23" s="192" t="s">
        <v>33</v>
      </c>
      <c r="G23" s="192" t="s">
        <v>1300</v>
      </c>
    </row>
    <row r="24" spans="1:7" s="196" customFormat="1" x14ac:dyDescent="0.35">
      <c r="A24" s="192" t="s">
        <v>6</v>
      </c>
      <c r="B24" s="144" t="s">
        <v>142</v>
      </c>
      <c r="C24" s="193">
        <v>1</v>
      </c>
      <c r="D24" s="194">
        <v>73.5</v>
      </c>
      <c r="E24" s="195" t="s">
        <v>44</v>
      </c>
      <c r="F24" s="192" t="s">
        <v>33</v>
      </c>
      <c r="G24" s="192" t="s">
        <v>1301</v>
      </c>
    </row>
    <row r="25" spans="1:7" s="196" customFormat="1" x14ac:dyDescent="0.35">
      <c r="A25" s="192" t="s">
        <v>6</v>
      </c>
      <c r="B25" s="144" t="s">
        <v>142</v>
      </c>
      <c r="C25" s="193">
        <v>1</v>
      </c>
      <c r="D25" s="194">
        <v>73.5</v>
      </c>
      <c r="E25" s="195" t="s">
        <v>44</v>
      </c>
      <c r="F25" s="192" t="s">
        <v>33</v>
      </c>
      <c r="G25" s="192" t="s">
        <v>1302</v>
      </c>
    </row>
    <row r="26" spans="1:7" s="196" customFormat="1" x14ac:dyDescent="0.35">
      <c r="A26" s="192" t="s">
        <v>6</v>
      </c>
      <c r="B26" s="144" t="s">
        <v>142</v>
      </c>
      <c r="C26" s="193">
        <v>1</v>
      </c>
      <c r="D26" s="194">
        <v>73.5</v>
      </c>
      <c r="E26" s="195" t="s">
        <v>44</v>
      </c>
      <c r="F26" s="192" t="s">
        <v>33</v>
      </c>
      <c r="G26" s="192" t="s">
        <v>1303</v>
      </c>
    </row>
    <row r="27" spans="1:7" s="196" customFormat="1" x14ac:dyDescent="0.35">
      <c r="A27" s="192" t="s">
        <v>6</v>
      </c>
      <c r="B27" s="144" t="s">
        <v>219</v>
      </c>
      <c r="C27" s="193">
        <v>1</v>
      </c>
      <c r="D27" s="194">
        <v>73.5</v>
      </c>
      <c r="E27" s="195" t="s">
        <v>876</v>
      </c>
      <c r="F27" s="192" t="s">
        <v>33</v>
      </c>
      <c r="G27" s="192" t="s">
        <v>1304</v>
      </c>
    </row>
    <row r="28" spans="1:7" s="196" customFormat="1" x14ac:dyDescent="0.35">
      <c r="A28" s="192"/>
      <c r="B28" s="144" t="s">
        <v>163</v>
      </c>
      <c r="C28" s="193">
        <v>1</v>
      </c>
      <c r="D28" s="194">
        <v>73.5</v>
      </c>
      <c r="E28" s="195" t="s">
        <v>56</v>
      </c>
      <c r="F28" s="192" t="s">
        <v>33</v>
      </c>
      <c r="G28" s="192" t="s">
        <v>1305</v>
      </c>
    </row>
    <row r="29" spans="1:7" x14ac:dyDescent="0.35">
      <c r="A29" s="192" t="s">
        <v>23</v>
      </c>
      <c r="B29" s="144" t="s">
        <v>211</v>
      </c>
      <c r="C29" s="193">
        <v>1</v>
      </c>
      <c r="D29" s="155">
        <v>35</v>
      </c>
      <c r="E29" s="145" t="s">
        <v>62</v>
      </c>
      <c r="F29" s="144" t="s">
        <v>36</v>
      </c>
      <c r="G29" s="191" t="s">
        <v>1282</v>
      </c>
    </row>
    <row r="30" spans="1:7" x14ac:dyDescent="0.35">
      <c r="A30" s="192" t="s">
        <v>6</v>
      </c>
      <c r="B30" s="144" t="s">
        <v>72</v>
      </c>
      <c r="C30" s="193">
        <v>1</v>
      </c>
      <c r="D30" s="148">
        <v>15</v>
      </c>
      <c r="E30" s="144" t="s">
        <v>1138</v>
      </c>
      <c r="F30" s="144" t="s">
        <v>35</v>
      </c>
      <c r="G30" s="191" t="s">
        <v>1280</v>
      </c>
    </row>
    <row r="31" spans="1:7" x14ac:dyDescent="0.35">
      <c r="A31" s="192" t="s">
        <v>6</v>
      </c>
      <c r="B31" s="144" t="s">
        <v>219</v>
      </c>
      <c r="C31" s="193">
        <v>1</v>
      </c>
      <c r="D31" s="148">
        <v>15</v>
      </c>
      <c r="E31" s="144" t="s">
        <v>876</v>
      </c>
      <c r="F31" s="144" t="s">
        <v>35</v>
      </c>
      <c r="G31" s="191" t="s">
        <v>1279</v>
      </c>
    </row>
    <row r="32" spans="1:7" x14ac:dyDescent="0.35">
      <c r="A32" s="192"/>
      <c r="B32" s="144" t="s">
        <v>163</v>
      </c>
      <c r="C32" s="193">
        <v>1</v>
      </c>
      <c r="D32" s="148">
        <v>15</v>
      </c>
      <c r="E32" s="145" t="s">
        <v>56</v>
      </c>
      <c r="F32" s="144" t="s">
        <v>35</v>
      </c>
      <c r="G32" s="144" t="s">
        <v>1306</v>
      </c>
    </row>
    <row r="33" spans="1:7" x14ac:dyDescent="0.35">
      <c r="A33" s="144" t="s">
        <v>6</v>
      </c>
      <c r="B33" s="144" t="s">
        <v>219</v>
      </c>
      <c r="C33" s="193">
        <v>1</v>
      </c>
      <c r="D33" s="148">
        <v>15</v>
      </c>
      <c r="E33" s="145" t="s">
        <v>876</v>
      </c>
      <c r="F33" s="144" t="s">
        <v>35</v>
      </c>
      <c r="G33" s="144" t="s">
        <v>1307</v>
      </c>
    </row>
    <row r="34" spans="1:7" x14ac:dyDescent="0.35">
      <c r="A34" s="144" t="s">
        <v>6</v>
      </c>
      <c r="B34" s="144" t="s">
        <v>219</v>
      </c>
      <c r="C34" s="193">
        <v>1</v>
      </c>
      <c r="D34" s="148">
        <v>50</v>
      </c>
      <c r="E34" s="145" t="s">
        <v>876</v>
      </c>
      <c r="F34" s="144" t="s">
        <v>34</v>
      </c>
      <c r="G34" s="144" t="s">
        <v>1307</v>
      </c>
    </row>
    <row r="35" spans="1:7" x14ac:dyDescent="0.35">
      <c r="A35" s="144"/>
      <c r="B35" s="144" t="s">
        <v>163</v>
      </c>
      <c r="C35" s="193">
        <v>1</v>
      </c>
      <c r="D35" s="148">
        <v>15</v>
      </c>
      <c r="E35" s="145" t="s">
        <v>56</v>
      </c>
      <c r="F35" s="144" t="s">
        <v>35</v>
      </c>
      <c r="G35" s="144" t="s">
        <v>1313</v>
      </c>
    </row>
    <row r="36" spans="1:7" x14ac:dyDescent="0.35">
      <c r="A36" s="144"/>
      <c r="B36" s="144" t="s">
        <v>163</v>
      </c>
      <c r="C36" s="193">
        <v>1</v>
      </c>
      <c r="D36" s="148">
        <v>15</v>
      </c>
      <c r="E36" s="145" t="s">
        <v>56</v>
      </c>
      <c r="F36" s="144" t="s">
        <v>35</v>
      </c>
      <c r="G36" s="144" t="s">
        <v>1314</v>
      </c>
    </row>
    <row r="37" spans="1:7" x14ac:dyDescent="0.35">
      <c r="A37" s="144"/>
      <c r="B37" s="144" t="s">
        <v>163</v>
      </c>
      <c r="C37" s="193">
        <v>1</v>
      </c>
      <c r="D37" s="148">
        <v>50</v>
      </c>
      <c r="E37" s="145" t="s">
        <v>56</v>
      </c>
      <c r="F37" s="144" t="s">
        <v>34</v>
      </c>
      <c r="G37" s="144" t="s">
        <v>1314</v>
      </c>
    </row>
    <row r="38" spans="1:7" x14ac:dyDescent="0.35">
      <c r="A38" s="144" t="s">
        <v>6</v>
      </c>
      <c r="B38" s="144" t="s">
        <v>219</v>
      </c>
      <c r="C38" s="193">
        <v>1</v>
      </c>
      <c r="D38" s="155">
        <v>35</v>
      </c>
      <c r="E38" s="145" t="s">
        <v>876</v>
      </c>
      <c r="F38" s="144" t="s">
        <v>36</v>
      </c>
      <c r="G38" s="144" t="s">
        <v>1315</v>
      </c>
    </row>
    <row r="39" spans="1:7" x14ac:dyDescent="0.35">
      <c r="A39" s="144" t="s">
        <v>6</v>
      </c>
      <c r="B39" s="144" t="s">
        <v>219</v>
      </c>
      <c r="C39" s="193">
        <v>1</v>
      </c>
      <c r="D39" s="148">
        <v>50</v>
      </c>
      <c r="E39" s="145" t="s">
        <v>876</v>
      </c>
      <c r="F39" s="144" t="s">
        <v>34</v>
      </c>
      <c r="G39" s="144" t="s">
        <v>1315</v>
      </c>
    </row>
    <row r="40" spans="1:7" x14ac:dyDescent="0.35">
      <c r="A40" s="144" t="s">
        <v>6</v>
      </c>
      <c r="B40" s="144" t="s">
        <v>219</v>
      </c>
      <c r="C40" s="193">
        <v>1</v>
      </c>
      <c r="D40" s="148">
        <v>15</v>
      </c>
      <c r="E40" s="145" t="s">
        <v>876</v>
      </c>
      <c r="F40" s="144" t="s">
        <v>35</v>
      </c>
      <c r="G40" s="144" t="s">
        <v>1315</v>
      </c>
    </row>
    <row r="41" spans="1:7" x14ac:dyDescent="0.35">
      <c r="A41" s="144" t="s">
        <v>6</v>
      </c>
      <c r="B41" s="144" t="s">
        <v>219</v>
      </c>
      <c r="C41" s="193">
        <v>1</v>
      </c>
      <c r="D41" s="148">
        <v>50</v>
      </c>
      <c r="E41" s="145" t="s">
        <v>876</v>
      </c>
      <c r="F41" s="144" t="s">
        <v>34</v>
      </c>
      <c r="G41" s="144" t="s">
        <v>1316</v>
      </c>
    </row>
    <row r="42" spans="1:7" x14ac:dyDescent="0.35">
      <c r="A42" s="144" t="s">
        <v>6</v>
      </c>
      <c r="B42" s="144" t="s">
        <v>219</v>
      </c>
      <c r="C42" s="193">
        <v>1</v>
      </c>
      <c r="D42" s="148">
        <v>15</v>
      </c>
      <c r="E42" s="145" t="s">
        <v>876</v>
      </c>
      <c r="F42" s="144" t="s">
        <v>35</v>
      </c>
      <c r="G42" s="144" t="s">
        <v>1316</v>
      </c>
    </row>
    <row r="43" spans="1:7" x14ac:dyDescent="0.35">
      <c r="A43" s="192" t="s">
        <v>23</v>
      </c>
      <c r="B43" s="192" t="s">
        <v>211</v>
      </c>
      <c r="C43" s="193">
        <v>1</v>
      </c>
      <c r="D43" s="148">
        <v>50</v>
      </c>
      <c r="E43" s="195" t="s">
        <v>62</v>
      </c>
      <c r="F43" s="144" t="s">
        <v>34</v>
      </c>
      <c r="G43" s="144" t="s">
        <v>1317</v>
      </c>
    </row>
    <row r="44" spans="1:7" x14ac:dyDescent="0.35">
      <c r="A44" s="192" t="s">
        <v>23</v>
      </c>
      <c r="B44" s="192" t="s">
        <v>211</v>
      </c>
      <c r="C44" s="193">
        <v>1</v>
      </c>
      <c r="D44" s="148">
        <v>15</v>
      </c>
      <c r="E44" s="195" t="s">
        <v>62</v>
      </c>
      <c r="F44" s="144" t="s">
        <v>35</v>
      </c>
      <c r="G44" s="144" t="s">
        <v>1317</v>
      </c>
    </row>
    <row r="45" spans="1:7" x14ac:dyDescent="0.35">
      <c r="A45" s="144"/>
      <c r="B45" s="144" t="s">
        <v>163</v>
      </c>
      <c r="C45" s="193">
        <v>1</v>
      </c>
      <c r="D45" s="148">
        <v>50</v>
      </c>
      <c r="E45" s="145" t="s">
        <v>56</v>
      </c>
      <c r="F45" s="144" t="s">
        <v>34</v>
      </c>
      <c r="G45" s="144" t="s">
        <v>1318</v>
      </c>
    </row>
    <row r="46" spans="1:7" x14ac:dyDescent="0.35">
      <c r="A46" s="144"/>
      <c r="B46" s="144"/>
      <c r="C46" s="144"/>
      <c r="D46" s="144"/>
      <c r="E46" s="144"/>
      <c r="F46" s="144"/>
      <c r="G46" s="144"/>
    </row>
    <row r="47" spans="1:7" x14ac:dyDescent="0.35">
      <c r="A47" s="144"/>
      <c r="B47" s="144"/>
      <c r="C47" s="144"/>
      <c r="D47" s="144"/>
      <c r="E47" s="144"/>
      <c r="F47" s="144"/>
      <c r="G47" s="144"/>
    </row>
    <row r="48" spans="1:7" x14ac:dyDescent="0.35">
      <c r="A48" s="144"/>
      <c r="B48" s="144"/>
      <c r="C48" s="144"/>
      <c r="D48" s="144"/>
      <c r="E48" s="144"/>
      <c r="F48" s="144"/>
      <c r="G48" s="144"/>
    </row>
    <row r="49" spans="1:7" x14ac:dyDescent="0.35">
      <c r="A49" s="144"/>
      <c r="B49" s="144"/>
      <c r="C49" s="144"/>
      <c r="D49" s="144"/>
      <c r="E49" s="144"/>
      <c r="F49" s="144"/>
      <c r="G49" s="144"/>
    </row>
    <row r="50" spans="1:7" x14ac:dyDescent="0.35">
      <c r="A50" s="144"/>
      <c r="B50" s="144"/>
      <c r="C50" s="144"/>
      <c r="D50" s="144"/>
      <c r="E50" s="144"/>
      <c r="F50" s="144"/>
      <c r="G50" s="144"/>
    </row>
    <row r="51" spans="1:7" x14ac:dyDescent="0.35">
      <c r="A51" s="144"/>
      <c r="B51" s="144"/>
      <c r="C51" s="144"/>
      <c r="D51" s="144"/>
      <c r="E51" s="144"/>
      <c r="F51" s="144"/>
      <c r="G51" s="144"/>
    </row>
    <row r="52" spans="1:7" x14ac:dyDescent="0.35">
      <c r="A52" s="144"/>
      <c r="B52" s="144"/>
      <c r="C52" s="144"/>
      <c r="D52" s="144"/>
      <c r="E52" s="144"/>
      <c r="F52" s="144"/>
      <c r="G52" s="144"/>
    </row>
    <row r="53" spans="1:7" x14ac:dyDescent="0.35">
      <c r="A53" s="144"/>
      <c r="B53" s="144"/>
      <c r="C53" s="144"/>
      <c r="D53" s="144"/>
      <c r="E53" s="144"/>
      <c r="F53" s="144"/>
      <c r="G53" s="144"/>
    </row>
    <row r="54" spans="1:7" x14ac:dyDescent="0.35">
      <c r="A54" s="144"/>
      <c r="B54" s="144"/>
      <c r="C54" s="144"/>
      <c r="D54" s="144"/>
      <c r="E54" s="144"/>
      <c r="F54" s="144"/>
      <c r="G54" s="144"/>
    </row>
    <row r="55" spans="1:7" x14ac:dyDescent="0.35">
      <c r="A55" s="144"/>
      <c r="B55" s="144"/>
      <c r="C55" s="144"/>
      <c r="D55" s="144"/>
      <c r="E55" s="144"/>
      <c r="F55" s="144"/>
      <c r="G55" s="144"/>
    </row>
    <row r="56" spans="1:7" x14ac:dyDescent="0.35">
      <c r="A56" s="144"/>
      <c r="B56" s="144"/>
      <c r="C56" s="144"/>
      <c r="D56" s="144"/>
      <c r="E56" s="144"/>
      <c r="F56" s="144"/>
      <c r="G56" s="144"/>
    </row>
    <row r="57" spans="1:7" x14ac:dyDescent="0.35">
      <c r="A57" s="144"/>
      <c r="B57" s="144"/>
      <c r="C57" s="144"/>
      <c r="D57" s="144"/>
      <c r="E57" s="144"/>
      <c r="F57" s="144"/>
      <c r="G57" s="144"/>
    </row>
    <row r="58" spans="1:7" x14ac:dyDescent="0.35">
      <c r="A58" s="144"/>
      <c r="B58" s="144"/>
      <c r="C58" s="144"/>
      <c r="D58" s="144"/>
      <c r="E58" s="144"/>
      <c r="F58" s="144"/>
      <c r="G58" s="144"/>
    </row>
    <row r="59" spans="1:7" x14ac:dyDescent="0.35">
      <c r="A59" s="144"/>
      <c r="B59" s="144"/>
      <c r="C59" s="144"/>
      <c r="D59" s="144"/>
      <c r="E59" s="144"/>
      <c r="F59" s="144"/>
      <c r="G59" s="144"/>
    </row>
    <row r="60" spans="1:7" x14ac:dyDescent="0.35">
      <c r="A60" s="144"/>
      <c r="B60" s="144"/>
      <c r="C60" s="144"/>
      <c r="D60" s="144"/>
      <c r="E60" s="144"/>
      <c r="F60" s="144"/>
      <c r="G60" s="144"/>
    </row>
    <row r="61" spans="1:7" x14ac:dyDescent="0.35">
      <c r="A61" s="144"/>
      <c r="B61" s="144"/>
      <c r="C61" s="144"/>
      <c r="D61" s="144"/>
      <c r="E61" s="144"/>
      <c r="F61" s="144"/>
      <c r="G61" s="144"/>
    </row>
    <row r="62" spans="1:7" x14ac:dyDescent="0.35">
      <c r="A62" s="144"/>
      <c r="B62" s="144"/>
      <c r="C62" s="144"/>
      <c r="D62" s="144"/>
      <c r="E62" s="144"/>
      <c r="F62" s="144"/>
      <c r="G62" s="144"/>
    </row>
    <row r="63" spans="1:7" x14ac:dyDescent="0.35">
      <c r="A63" s="144"/>
      <c r="B63" s="144"/>
      <c r="C63" s="144"/>
      <c r="D63" s="144"/>
      <c r="E63" s="144"/>
      <c r="F63" s="144"/>
      <c r="G63" s="144"/>
    </row>
    <row r="64" spans="1:7" x14ac:dyDescent="0.35">
      <c r="A64" s="144"/>
      <c r="B64" s="144"/>
      <c r="C64" s="144"/>
      <c r="D64" s="144"/>
      <c r="E64" s="144"/>
      <c r="F64" s="144"/>
      <c r="G64" s="144"/>
    </row>
    <row r="65" spans="1:7" x14ac:dyDescent="0.35">
      <c r="A65" s="144"/>
      <c r="B65" s="144"/>
      <c r="C65" s="144"/>
      <c r="D65" s="144"/>
      <c r="E65" s="144"/>
      <c r="F65" s="144"/>
      <c r="G65" s="144"/>
    </row>
    <row r="66" spans="1:7" x14ac:dyDescent="0.35">
      <c r="A66" s="144"/>
      <c r="B66" s="144"/>
      <c r="C66" s="144"/>
      <c r="D66" s="144"/>
      <c r="E66" s="144"/>
      <c r="F66" s="144"/>
      <c r="G66" s="144"/>
    </row>
    <row r="67" spans="1:7" x14ac:dyDescent="0.35">
      <c r="A67" s="144"/>
      <c r="B67" s="144"/>
      <c r="C67" s="144"/>
      <c r="D67" s="144"/>
      <c r="E67" s="144"/>
      <c r="F67" s="144"/>
      <c r="G67" s="144"/>
    </row>
    <row r="68" spans="1:7" x14ac:dyDescent="0.35">
      <c r="A68" s="144"/>
      <c r="B68" s="144"/>
      <c r="C68" s="144"/>
      <c r="D68" s="144"/>
      <c r="E68" s="144"/>
      <c r="F68" s="144"/>
      <c r="G68" s="144"/>
    </row>
    <row r="69" spans="1:7" x14ac:dyDescent="0.35">
      <c r="A69" s="144"/>
      <c r="B69" s="144"/>
      <c r="C69" s="144"/>
      <c r="D69" s="144"/>
      <c r="E69" s="144"/>
      <c r="F69" s="144"/>
      <c r="G69" s="144"/>
    </row>
    <row r="70" spans="1:7" x14ac:dyDescent="0.35">
      <c r="A70" s="144"/>
      <c r="B70" s="144"/>
      <c r="C70" s="144"/>
      <c r="D70" s="144"/>
      <c r="E70" s="144"/>
      <c r="F70" s="144"/>
      <c r="G70" s="144"/>
    </row>
    <row r="71" spans="1:7" x14ac:dyDescent="0.35">
      <c r="A71" s="144"/>
      <c r="B71" s="144"/>
      <c r="C71" s="144"/>
      <c r="D71" s="144"/>
      <c r="E71" s="144"/>
      <c r="F71" s="144"/>
      <c r="G71" s="144"/>
    </row>
    <row r="72" spans="1:7" x14ac:dyDescent="0.35">
      <c r="A72" s="144"/>
      <c r="B72" s="144"/>
      <c r="C72" s="144"/>
      <c r="D72" s="144"/>
      <c r="E72" s="144"/>
      <c r="F72" s="144"/>
      <c r="G72" s="144"/>
    </row>
    <row r="73" spans="1:7" x14ac:dyDescent="0.35">
      <c r="A73" s="144"/>
      <c r="B73" s="144"/>
      <c r="C73" s="144"/>
      <c r="D73" s="144"/>
      <c r="E73" s="144"/>
      <c r="F73" s="144"/>
      <c r="G73" s="144"/>
    </row>
    <row r="74" spans="1:7" x14ac:dyDescent="0.35">
      <c r="A74" s="144"/>
      <c r="B74" s="144"/>
      <c r="C74" s="144"/>
      <c r="D74" s="144"/>
      <c r="E74" s="144"/>
      <c r="F74" s="144"/>
      <c r="G74" s="144"/>
    </row>
    <row r="75" spans="1:7" x14ac:dyDescent="0.35">
      <c r="A75" s="144"/>
      <c r="B75" s="144"/>
      <c r="C75" s="144"/>
      <c r="D75" s="144"/>
      <c r="E75" s="144"/>
      <c r="F75" s="144"/>
      <c r="G75" s="144"/>
    </row>
    <row r="76" spans="1:7" x14ac:dyDescent="0.35">
      <c r="A76" s="144"/>
      <c r="B76" s="144"/>
      <c r="C76" s="144"/>
      <c r="D76" s="144"/>
      <c r="E76" s="144"/>
      <c r="F76" s="144"/>
      <c r="G76" s="144"/>
    </row>
    <row r="77" spans="1:7" x14ac:dyDescent="0.35">
      <c r="A77" s="144"/>
      <c r="B77" s="144"/>
      <c r="C77" s="144"/>
      <c r="D77" s="144"/>
      <c r="E77" s="144"/>
      <c r="F77" s="144"/>
      <c r="G77" s="144"/>
    </row>
    <row r="78" spans="1:7" x14ac:dyDescent="0.35">
      <c r="A78" s="144"/>
      <c r="B78" s="144"/>
      <c r="C78" s="144"/>
      <c r="D78" s="144"/>
      <c r="E78" s="144"/>
      <c r="F78" s="144"/>
      <c r="G78" s="144"/>
    </row>
    <row r="79" spans="1:7" x14ac:dyDescent="0.35">
      <c r="A79" s="144"/>
      <c r="B79" s="144"/>
      <c r="C79" s="144"/>
      <c r="D79" s="144"/>
      <c r="E79" s="144"/>
      <c r="F79" s="144"/>
      <c r="G79" s="144"/>
    </row>
    <row r="80" spans="1:7" x14ac:dyDescent="0.35">
      <c r="A80" s="144"/>
      <c r="B80" s="144"/>
      <c r="C80" s="144"/>
      <c r="D80" s="144"/>
      <c r="E80" s="144"/>
      <c r="F80" s="144"/>
      <c r="G80" s="144"/>
    </row>
    <row r="81" spans="1:7" x14ac:dyDescent="0.35">
      <c r="A81" s="144"/>
      <c r="B81" s="144"/>
      <c r="C81" s="144"/>
      <c r="D81" s="144"/>
      <c r="E81" s="144"/>
      <c r="F81" s="144"/>
      <c r="G81" s="144"/>
    </row>
    <row r="82" spans="1:7" x14ac:dyDescent="0.35">
      <c r="A82" s="144"/>
      <c r="B82" s="144"/>
      <c r="C82" s="144"/>
      <c r="D82" s="144"/>
      <c r="E82" s="144"/>
      <c r="F82" s="144"/>
      <c r="G82" s="144"/>
    </row>
    <row r="83" spans="1:7" x14ac:dyDescent="0.35">
      <c r="A83" s="144"/>
      <c r="B83" s="144"/>
      <c r="C83" s="144"/>
      <c r="D83" s="144"/>
      <c r="E83" s="144"/>
      <c r="F83" s="144"/>
      <c r="G83" s="144"/>
    </row>
    <row r="84" spans="1:7" x14ac:dyDescent="0.35">
      <c r="A84" s="144"/>
      <c r="B84" s="144"/>
      <c r="C84" s="144"/>
      <c r="D84" s="144"/>
      <c r="E84" s="144"/>
      <c r="F84" s="144"/>
      <c r="G84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FF774-EC2A-4CAD-BEC7-C7002A20E379}">
  <dimension ref="A1:G42"/>
  <sheetViews>
    <sheetView workbookViewId="0">
      <selection activeCell="E25" sqref="E25"/>
    </sheetView>
  </sheetViews>
  <sheetFormatPr defaultColWidth="9.1796875" defaultRowHeight="14.5" x14ac:dyDescent="0.35"/>
  <cols>
    <col min="1" max="1" width="12.54296875" bestFit="1" customWidth="1"/>
    <col min="2" max="2" width="16.7265625" bestFit="1" customWidth="1"/>
    <col min="3" max="3" width="4.1796875" bestFit="1" customWidth="1"/>
    <col min="4" max="4" width="17.7265625" bestFit="1" customWidth="1"/>
    <col min="5" max="5" width="41.1796875" bestFit="1" customWidth="1"/>
    <col min="6" max="6" width="37.7265625" bestFit="1" customWidth="1"/>
    <col min="7" max="7" width="36.1796875" bestFit="1" customWidth="1"/>
  </cols>
  <sheetData>
    <row r="1" spans="1:7" ht="26" x14ac:dyDescent="0.35">
      <c r="A1" s="254" t="s">
        <v>1312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5" customHeight="1" x14ac:dyDescent="0.35">
      <c r="A3" s="6" t="s">
        <v>28</v>
      </c>
      <c r="B3" s="7" t="s">
        <v>1324</v>
      </c>
      <c r="C3" s="189"/>
      <c r="D3" s="189"/>
      <c r="E3" s="189"/>
      <c r="F3" s="189"/>
      <c r="G3" s="189"/>
    </row>
    <row r="4" spans="1:7" ht="18" customHeight="1" x14ac:dyDescent="0.35">
      <c r="A4" s="8" t="s">
        <v>29</v>
      </c>
      <c r="B4" s="9">
        <v>45460</v>
      </c>
      <c r="C4" s="189"/>
      <c r="D4" s="189"/>
      <c r="E4" s="189"/>
      <c r="F4" s="189"/>
      <c r="G4" s="189"/>
    </row>
    <row r="5" spans="1:7" ht="13.5" customHeight="1" thickBot="1" x14ac:dyDescent="0.4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35">
      <c r="A9" s="192" t="s">
        <v>1308</v>
      </c>
      <c r="B9" s="145" t="s">
        <v>1311</v>
      </c>
      <c r="C9" s="193">
        <v>1</v>
      </c>
      <c r="D9" s="194">
        <v>407.25</v>
      </c>
      <c r="E9" s="201" t="s">
        <v>51</v>
      </c>
      <c r="F9" s="192" t="s">
        <v>1309</v>
      </c>
      <c r="G9" s="192" t="s">
        <v>1310</v>
      </c>
    </row>
    <row r="10" spans="1:7" s="196" customFormat="1" x14ac:dyDescent="0.35">
      <c r="C10" s="198"/>
      <c r="D10" s="199"/>
      <c r="E10" s="200"/>
    </row>
    <row r="11" spans="1:7" s="196" customFormat="1" x14ac:dyDescent="0.35">
      <c r="C11" s="198"/>
      <c r="D11" s="199"/>
      <c r="E11" s="200"/>
    </row>
    <row r="12" spans="1:7" s="196" customFormat="1" x14ac:dyDescent="0.35">
      <c r="C12" s="198"/>
      <c r="D12" s="199"/>
      <c r="E12" s="200"/>
    </row>
    <row r="13" spans="1:7" s="196" customFormat="1" x14ac:dyDescent="0.35">
      <c r="C13" s="198"/>
      <c r="D13" s="199"/>
      <c r="E13" s="200"/>
    </row>
    <row r="14" spans="1:7" s="196" customFormat="1" x14ac:dyDescent="0.35">
      <c r="C14" s="198"/>
      <c r="D14" s="199"/>
      <c r="E14" s="200"/>
    </row>
    <row r="15" spans="1:7" s="196" customFormat="1" x14ac:dyDescent="0.35">
      <c r="C15" s="198"/>
      <c r="D15" s="199"/>
      <c r="E15" s="200"/>
    </row>
    <row r="16" spans="1:7" s="196" customFormat="1" x14ac:dyDescent="0.35">
      <c r="C16" s="198"/>
      <c r="D16" s="199"/>
      <c r="E16" s="200"/>
    </row>
    <row r="17" spans="1:7" s="196" customFormat="1" x14ac:dyDescent="0.35">
      <c r="C17" s="198"/>
      <c r="D17" s="199"/>
      <c r="E17" s="200"/>
    </row>
    <row r="18" spans="1:7" s="196" customFormat="1" x14ac:dyDescent="0.35">
      <c r="C18" s="198"/>
      <c r="D18" s="199"/>
      <c r="E18" s="200"/>
    </row>
    <row r="19" spans="1:7" s="196" customFormat="1" x14ac:dyDescent="0.35">
      <c r="C19" s="198"/>
      <c r="D19" s="199"/>
      <c r="E19" s="200"/>
    </row>
    <row r="20" spans="1:7" s="196" customFormat="1" x14ac:dyDescent="0.35">
      <c r="C20" s="198"/>
      <c r="D20" s="199"/>
      <c r="E20" s="200"/>
    </row>
    <row r="21" spans="1:7" s="196" customFormat="1" x14ac:dyDescent="0.35">
      <c r="C21" s="198"/>
      <c r="D21" s="199"/>
      <c r="E21" s="200"/>
    </row>
    <row r="22" spans="1:7" s="196" customFormat="1" x14ac:dyDescent="0.35">
      <c r="C22" s="198"/>
      <c r="D22" s="199"/>
      <c r="E22" s="200"/>
    </row>
    <row r="23" spans="1:7" s="196" customFormat="1" x14ac:dyDescent="0.35">
      <c r="B23"/>
      <c r="C23" s="198"/>
      <c r="D23" s="199"/>
      <c r="E23" s="200"/>
    </row>
    <row r="24" spans="1:7" s="196" customFormat="1" x14ac:dyDescent="0.35">
      <c r="B24"/>
      <c r="C24" s="198"/>
      <c r="D24" s="199"/>
      <c r="E24" s="200"/>
    </row>
    <row r="25" spans="1:7" s="196" customFormat="1" x14ac:dyDescent="0.35">
      <c r="B25"/>
      <c r="C25" s="198"/>
      <c r="D25" s="199"/>
      <c r="E25" s="200"/>
    </row>
    <row r="26" spans="1:7" s="196" customFormat="1" x14ac:dyDescent="0.35">
      <c r="B26"/>
      <c r="C26" s="198"/>
      <c r="D26" s="199"/>
      <c r="E26" s="200"/>
    </row>
    <row r="27" spans="1:7" s="196" customFormat="1" x14ac:dyDescent="0.35">
      <c r="B27"/>
      <c r="C27" s="198"/>
      <c r="D27" s="199"/>
      <c r="E27" s="200"/>
    </row>
    <row r="28" spans="1:7" s="196" customFormat="1" x14ac:dyDescent="0.35">
      <c r="B28"/>
      <c r="C28" s="198"/>
      <c r="D28" s="199"/>
      <c r="E28" s="200"/>
    </row>
    <row r="29" spans="1:7" x14ac:dyDescent="0.35">
      <c r="A29" s="196"/>
      <c r="C29" s="198"/>
      <c r="D29" s="184"/>
      <c r="E29" s="14"/>
      <c r="G29" s="25"/>
    </row>
    <row r="30" spans="1:7" x14ac:dyDescent="0.35">
      <c r="A30" s="196"/>
      <c r="C30" s="198"/>
      <c r="D30" s="96"/>
      <c r="G30" s="25"/>
    </row>
    <row r="31" spans="1:7" x14ac:dyDescent="0.35">
      <c r="A31" s="196"/>
      <c r="C31" s="198"/>
      <c r="D31" s="96"/>
      <c r="G31" s="25"/>
    </row>
    <row r="32" spans="1:7" x14ac:dyDescent="0.35">
      <c r="A32" s="196"/>
      <c r="C32" s="198"/>
      <c r="D32" s="96"/>
      <c r="E32" s="14"/>
    </row>
    <row r="33" spans="3:5" x14ac:dyDescent="0.35">
      <c r="C33" s="198"/>
      <c r="D33" s="96"/>
      <c r="E33" s="14"/>
    </row>
    <row r="34" spans="3:5" x14ac:dyDescent="0.35">
      <c r="C34" s="198"/>
      <c r="D34" s="96"/>
      <c r="E34" s="14"/>
    </row>
    <row r="35" spans="3:5" x14ac:dyDescent="0.35">
      <c r="C35" s="198"/>
    </row>
    <row r="36" spans="3:5" x14ac:dyDescent="0.35">
      <c r="C36" s="198"/>
    </row>
    <row r="37" spans="3:5" x14ac:dyDescent="0.35">
      <c r="C37" s="198"/>
    </row>
    <row r="38" spans="3:5" x14ac:dyDescent="0.35">
      <c r="C38" s="198"/>
    </row>
    <row r="39" spans="3:5" x14ac:dyDescent="0.35">
      <c r="C39" s="198"/>
    </row>
    <row r="40" spans="3:5" x14ac:dyDescent="0.35">
      <c r="C40" s="198"/>
    </row>
    <row r="41" spans="3:5" x14ac:dyDescent="0.35">
      <c r="C41" s="198"/>
    </row>
    <row r="42" spans="3:5" x14ac:dyDescent="0.35">
      <c r="C42" s="198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A7661-0A90-4D34-ABA1-893B0735EE97}">
  <dimension ref="A1:CU84"/>
  <sheetViews>
    <sheetView workbookViewId="0">
      <selection activeCell="E16" sqref="E16"/>
    </sheetView>
  </sheetViews>
  <sheetFormatPr defaultColWidth="9.1796875" defaultRowHeight="14.5" x14ac:dyDescent="0.35"/>
  <cols>
    <col min="1" max="1" width="12.54296875" bestFit="1" customWidth="1"/>
    <col min="2" max="2" width="16.7265625" bestFit="1" customWidth="1"/>
    <col min="3" max="3" width="12.1796875" customWidth="1"/>
    <col min="4" max="4" width="17.7265625" bestFit="1" customWidth="1"/>
    <col min="5" max="5" width="51" customWidth="1"/>
    <col min="6" max="6" width="48" bestFit="1" customWidth="1"/>
    <col min="7" max="7" width="43.45312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5" customHeight="1" x14ac:dyDescent="0.35">
      <c r="A3" s="6" t="s">
        <v>28</v>
      </c>
      <c r="B3" s="7" t="s">
        <v>1391</v>
      </c>
      <c r="C3" s="189"/>
      <c r="D3" s="189"/>
      <c r="E3" s="189"/>
      <c r="F3" s="189"/>
      <c r="G3" s="189"/>
    </row>
    <row r="4" spans="1:7" ht="18" customHeight="1" x14ac:dyDescent="0.35">
      <c r="A4" s="8" t="s">
        <v>29</v>
      </c>
      <c r="B4" s="9">
        <v>45475</v>
      </c>
      <c r="C4" s="189"/>
      <c r="D4" s="189"/>
      <c r="E4" s="189"/>
      <c r="F4" s="189"/>
      <c r="G4" s="189"/>
    </row>
    <row r="5" spans="1:7" ht="13.5" customHeight="1" thickBot="1" x14ac:dyDescent="0.4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35">
      <c r="A9" s="144" t="s">
        <v>6</v>
      </c>
      <c r="B9" s="144" t="s">
        <v>72</v>
      </c>
      <c r="C9" s="193">
        <v>1</v>
      </c>
      <c r="D9" s="155">
        <v>35</v>
      </c>
      <c r="E9" s="145" t="s">
        <v>1138</v>
      </c>
      <c r="F9" s="144" t="s">
        <v>36</v>
      </c>
      <c r="G9" s="192" t="s">
        <v>1319</v>
      </c>
    </row>
    <row r="10" spans="1:7" s="196" customFormat="1" x14ac:dyDescent="0.35">
      <c r="A10" s="144" t="s">
        <v>6</v>
      </c>
      <c r="B10" s="144" t="s">
        <v>219</v>
      </c>
      <c r="C10" s="193">
        <v>1</v>
      </c>
      <c r="D10" s="148">
        <v>50</v>
      </c>
      <c r="E10" s="145" t="s">
        <v>876</v>
      </c>
      <c r="F10" s="144" t="s">
        <v>34</v>
      </c>
      <c r="G10" s="192" t="s">
        <v>1320</v>
      </c>
    </row>
    <row r="11" spans="1:7" s="196" customFormat="1" x14ac:dyDescent="0.35">
      <c r="A11" s="144" t="s">
        <v>6</v>
      </c>
      <c r="B11" s="144" t="s">
        <v>219</v>
      </c>
      <c r="C11" s="193">
        <v>1</v>
      </c>
      <c r="D11" s="148">
        <v>15</v>
      </c>
      <c r="E11" s="145" t="s">
        <v>876</v>
      </c>
      <c r="F11" s="144" t="s">
        <v>35</v>
      </c>
      <c r="G11" s="192" t="s">
        <v>1320</v>
      </c>
    </row>
    <row r="12" spans="1:7" s="196" customFormat="1" x14ac:dyDescent="0.35">
      <c r="A12" s="144" t="s">
        <v>23</v>
      </c>
      <c r="B12" s="144" t="s">
        <v>211</v>
      </c>
      <c r="C12" s="193">
        <v>1</v>
      </c>
      <c r="D12" s="148">
        <v>15</v>
      </c>
      <c r="E12" s="145" t="s">
        <v>62</v>
      </c>
      <c r="F12" s="144" t="s">
        <v>35</v>
      </c>
      <c r="G12" s="192" t="s">
        <v>1321</v>
      </c>
    </row>
    <row r="13" spans="1:7" s="196" customFormat="1" x14ac:dyDescent="0.35">
      <c r="A13" s="144" t="s">
        <v>6</v>
      </c>
      <c r="B13" s="144" t="s">
        <v>72</v>
      </c>
      <c r="C13" s="193">
        <v>1</v>
      </c>
      <c r="D13" s="148">
        <v>50</v>
      </c>
      <c r="E13" s="145" t="s">
        <v>1138</v>
      </c>
      <c r="F13" s="144" t="s">
        <v>34</v>
      </c>
      <c r="G13" s="192" t="s">
        <v>1331</v>
      </c>
    </row>
    <row r="14" spans="1:7" s="196" customFormat="1" x14ac:dyDescent="0.35">
      <c r="A14" s="144" t="s">
        <v>6</v>
      </c>
      <c r="B14" s="144" t="s">
        <v>72</v>
      </c>
      <c r="C14" s="193">
        <v>1</v>
      </c>
      <c r="D14" s="148">
        <v>15</v>
      </c>
      <c r="E14" s="145" t="s">
        <v>1138</v>
      </c>
      <c r="F14" s="144" t="s">
        <v>35</v>
      </c>
      <c r="G14" s="192" t="s">
        <v>1331</v>
      </c>
    </row>
    <row r="15" spans="1:7" s="196" customFormat="1" x14ac:dyDescent="0.35">
      <c r="A15" s="144" t="s">
        <v>73</v>
      </c>
      <c r="B15" s="144" t="s">
        <v>163</v>
      </c>
      <c r="C15" s="193">
        <v>1</v>
      </c>
      <c r="D15" s="155">
        <v>35</v>
      </c>
      <c r="E15" s="145" t="s">
        <v>56</v>
      </c>
      <c r="F15" s="144" t="s">
        <v>36</v>
      </c>
      <c r="G15" s="192" t="s">
        <v>1332</v>
      </c>
    </row>
    <row r="16" spans="1:7" s="196" customFormat="1" x14ac:dyDescent="0.35">
      <c r="A16" s="144" t="s">
        <v>73</v>
      </c>
      <c r="B16" s="144" t="s">
        <v>163</v>
      </c>
      <c r="C16" s="193">
        <v>1</v>
      </c>
      <c r="D16" s="148">
        <v>50</v>
      </c>
      <c r="E16" s="145" t="s">
        <v>56</v>
      </c>
      <c r="F16" s="144" t="s">
        <v>34</v>
      </c>
      <c r="G16" s="192" t="s">
        <v>1332</v>
      </c>
    </row>
    <row r="17" spans="1:7" s="196" customFormat="1" x14ac:dyDescent="0.35">
      <c r="A17" s="144" t="s">
        <v>73</v>
      </c>
      <c r="B17" s="144" t="s">
        <v>163</v>
      </c>
      <c r="C17" s="193">
        <v>1</v>
      </c>
      <c r="D17" s="148">
        <v>15</v>
      </c>
      <c r="E17" s="145" t="s">
        <v>56</v>
      </c>
      <c r="F17" s="144" t="s">
        <v>35</v>
      </c>
      <c r="G17" s="192" t="s">
        <v>1332</v>
      </c>
    </row>
    <row r="18" spans="1:7" s="196" customFormat="1" x14ac:dyDescent="0.35">
      <c r="A18" s="144" t="s">
        <v>23</v>
      </c>
      <c r="B18" s="144" t="s">
        <v>211</v>
      </c>
      <c r="C18" s="193">
        <v>1</v>
      </c>
      <c r="D18" s="148">
        <v>15</v>
      </c>
      <c r="E18" s="145" t="s">
        <v>62</v>
      </c>
      <c r="F18" s="144" t="s">
        <v>35</v>
      </c>
      <c r="G18" s="192" t="s">
        <v>1333</v>
      </c>
    </row>
    <row r="19" spans="1:7" s="196" customFormat="1" x14ac:dyDescent="0.35">
      <c r="A19" s="144" t="s">
        <v>6</v>
      </c>
      <c r="B19" s="144" t="s">
        <v>142</v>
      </c>
      <c r="C19" s="193">
        <v>1</v>
      </c>
      <c r="D19" s="148">
        <v>15</v>
      </c>
      <c r="E19" s="145" t="s">
        <v>44</v>
      </c>
      <c r="F19" s="144" t="s">
        <v>34</v>
      </c>
      <c r="G19" s="192" t="s">
        <v>1334</v>
      </c>
    </row>
    <row r="20" spans="1:7" s="196" customFormat="1" x14ac:dyDescent="0.35">
      <c r="A20" s="144" t="s">
        <v>6</v>
      </c>
      <c r="B20" s="144" t="s">
        <v>142</v>
      </c>
      <c r="C20" s="193">
        <v>1</v>
      </c>
      <c r="D20" s="148">
        <v>50</v>
      </c>
      <c r="E20" s="145" t="s">
        <v>44</v>
      </c>
      <c r="F20" s="144" t="s">
        <v>35</v>
      </c>
      <c r="G20" s="192" t="s">
        <v>1334</v>
      </c>
    </row>
    <row r="21" spans="1:7" s="196" customFormat="1" x14ac:dyDescent="0.35">
      <c r="A21" s="144" t="s">
        <v>6</v>
      </c>
      <c r="B21" s="144" t="s">
        <v>86</v>
      </c>
      <c r="C21" s="193">
        <v>1</v>
      </c>
      <c r="D21" s="148">
        <v>15</v>
      </c>
      <c r="E21" s="145" t="s">
        <v>47</v>
      </c>
      <c r="F21" s="144" t="s">
        <v>35</v>
      </c>
      <c r="G21" s="192" t="s">
        <v>1335</v>
      </c>
    </row>
    <row r="22" spans="1:7" s="196" customFormat="1" x14ac:dyDescent="0.35">
      <c r="A22" s="144" t="s">
        <v>23</v>
      </c>
      <c r="B22" s="144" t="s">
        <v>211</v>
      </c>
      <c r="C22" s="193">
        <v>1</v>
      </c>
      <c r="D22" s="148">
        <v>50</v>
      </c>
      <c r="E22" s="145" t="s">
        <v>62</v>
      </c>
      <c r="F22" s="144" t="s">
        <v>34</v>
      </c>
      <c r="G22" s="192" t="s">
        <v>1336</v>
      </c>
    </row>
    <row r="23" spans="1:7" s="196" customFormat="1" x14ac:dyDescent="0.35">
      <c r="A23" s="144" t="s">
        <v>23</v>
      </c>
      <c r="B23" s="144" t="s">
        <v>211</v>
      </c>
      <c r="C23" s="193">
        <v>1</v>
      </c>
      <c r="D23" s="148">
        <v>15</v>
      </c>
      <c r="E23" s="145" t="s">
        <v>62</v>
      </c>
      <c r="F23" s="144" t="s">
        <v>35</v>
      </c>
      <c r="G23" s="192" t="s">
        <v>1336</v>
      </c>
    </row>
    <row r="24" spans="1:7" s="196" customFormat="1" x14ac:dyDescent="0.35">
      <c r="A24" s="144" t="s">
        <v>23</v>
      </c>
      <c r="B24" s="144" t="s">
        <v>244</v>
      </c>
      <c r="C24" s="193">
        <v>1</v>
      </c>
      <c r="D24" s="148">
        <v>50</v>
      </c>
      <c r="E24" s="145" t="s">
        <v>64</v>
      </c>
      <c r="F24" s="144" t="s">
        <v>34</v>
      </c>
      <c r="G24" s="192" t="s">
        <v>1337</v>
      </c>
    </row>
    <row r="25" spans="1:7" s="196" customFormat="1" x14ac:dyDescent="0.35">
      <c r="A25" s="144" t="s">
        <v>73</v>
      </c>
      <c r="B25" s="144" t="s">
        <v>163</v>
      </c>
      <c r="C25" s="193">
        <v>1</v>
      </c>
      <c r="D25" s="126">
        <v>137.5</v>
      </c>
      <c r="E25" s="145" t="s">
        <v>56</v>
      </c>
      <c r="F25" s="124" t="s">
        <v>989</v>
      </c>
      <c r="G25" s="192" t="s">
        <v>1338</v>
      </c>
    </row>
    <row r="26" spans="1:7" s="196" customFormat="1" x14ac:dyDescent="0.35">
      <c r="A26" s="144" t="s">
        <v>6</v>
      </c>
      <c r="B26" s="144" t="s">
        <v>219</v>
      </c>
      <c r="C26" s="193">
        <v>1</v>
      </c>
      <c r="D26" s="126">
        <v>137.5</v>
      </c>
      <c r="E26" s="145" t="s">
        <v>876</v>
      </c>
      <c r="F26" s="124" t="s">
        <v>989</v>
      </c>
      <c r="G26" s="192" t="s">
        <v>1339</v>
      </c>
    </row>
    <row r="27" spans="1:7" s="196" customFormat="1" x14ac:dyDescent="0.35">
      <c r="A27" s="144" t="s">
        <v>23</v>
      </c>
      <c r="B27" s="144" t="s">
        <v>211</v>
      </c>
      <c r="C27" s="193">
        <v>1</v>
      </c>
      <c r="D27" s="126">
        <v>137.5</v>
      </c>
      <c r="E27" s="145" t="s">
        <v>62</v>
      </c>
      <c r="F27" s="124" t="s">
        <v>989</v>
      </c>
      <c r="G27" s="192" t="s">
        <v>1340</v>
      </c>
    </row>
    <row r="28" spans="1:7" s="196" customFormat="1" x14ac:dyDescent="0.35">
      <c r="A28" s="144" t="s">
        <v>23</v>
      </c>
      <c r="B28" s="144" t="s">
        <v>211</v>
      </c>
      <c r="C28" s="193">
        <v>1</v>
      </c>
      <c r="D28" s="126">
        <v>137.5</v>
      </c>
      <c r="E28" s="145" t="s">
        <v>62</v>
      </c>
      <c r="F28" s="124" t="s">
        <v>989</v>
      </c>
      <c r="G28" s="192" t="s">
        <v>1341</v>
      </c>
    </row>
    <row r="29" spans="1:7" x14ac:dyDescent="0.35">
      <c r="A29" s="144" t="s">
        <v>73</v>
      </c>
      <c r="B29" s="144" t="s">
        <v>163</v>
      </c>
      <c r="C29" s="193">
        <v>1</v>
      </c>
      <c r="D29" s="126">
        <v>166.1</v>
      </c>
      <c r="E29" s="145" t="s">
        <v>56</v>
      </c>
      <c r="F29" s="124" t="s">
        <v>992</v>
      </c>
      <c r="G29" s="192" t="s">
        <v>1342</v>
      </c>
    </row>
    <row r="30" spans="1:7" x14ac:dyDescent="0.35">
      <c r="A30" s="144" t="s">
        <v>6</v>
      </c>
      <c r="B30" s="144" t="s">
        <v>219</v>
      </c>
      <c r="C30" s="193">
        <v>1</v>
      </c>
      <c r="D30" s="126">
        <v>137.5</v>
      </c>
      <c r="E30" s="145" t="s">
        <v>876</v>
      </c>
      <c r="F30" s="124" t="s">
        <v>989</v>
      </c>
      <c r="G30" s="191" t="s">
        <v>1343</v>
      </c>
    </row>
    <row r="31" spans="1:7" x14ac:dyDescent="0.35">
      <c r="A31" s="144" t="s">
        <v>6</v>
      </c>
      <c r="B31" s="144" t="s">
        <v>219</v>
      </c>
      <c r="C31" s="193">
        <v>1</v>
      </c>
      <c r="D31" s="126">
        <v>166.1</v>
      </c>
      <c r="E31" s="145" t="s">
        <v>876</v>
      </c>
      <c r="F31" s="124" t="s">
        <v>992</v>
      </c>
      <c r="G31" s="191" t="s">
        <v>1344</v>
      </c>
    </row>
    <row r="32" spans="1:7" x14ac:dyDescent="0.35">
      <c r="A32" s="144" t="s">
        <v>6</v>
      </c>
      <c r="B32" s="144" t="s">
        <v>219</v>
      </c>
      <c r="C32" s="193">
        <v>1</v>
      </c>
      <c r="D32" s="126">
        <v>166.1</v>
      </c>
      <c r="E32" s="145" t="s">
        <v>876</v>
      </c>
      <c r="F32" s="124" t="s">
        <v>992</v>
      </c>
      <c r="G32" s="144" t="s">
        <v>1345</v>
      </c>
    </row>
    <row r="33" spans="1:7" x14ac:dyDescent="0.35">
      <c r="A33" s="144" t="s">
        <v>6</v>
      </c>
      <c r="B33" s="144" t="s">
        <v>219</v>
      </c>
      <c r="C33" s="193">
        <v>1</v>
      </c>
      <c r="D33" s="126">
        <v>137.5</v>
      </c>
      <c r="E33" s="145" t="s">
        <v>876</v>
      </c>
      <c r="F33" s="124" t="s">
        <v>989</v>
      </c>
      <c r="G33" s="144" t="s">
        <v>1346</v>
      </c>
    </row>
    <row r="34" spans="1:7" x14ac:dyDescent="0.35">
      <c r="A34" s="144" t="s">
        <v>6</v>
      </c>
      <c r="B34" s="144" t="s">
        <v>142</v>
      </c>
      <c r="C34" s="193">
        <v>1</v>
      </c>
      <c r="D34" s="126">
        <v>137.5</v>
      </c>
      <c r="E34" s="145" t="s">
        <v>44</v>
      </c>
      <c r="F34" s="124" t="s">
        <v>989</v>
      </c>
      <c r="G34" s="144" t="s">
        <v>1347</v>
      </c>
    </row>
    <row r="35" spans="1:7" x14ac:dyDescent="0.35">
      <c r="A35" s="144" t="s">
        <v>6</v>
      </c>
      <c r="B35" s="144" t="s">
        <v>219</v>
      </c>
      <c r="C35" s="193">
        <v>1</v>
      </c>
      <c r="D35" s="126">
        <v>137.5</v>
      </c>
      <c r="E35" s="145" t="s">
        <v>876</v>
      </c>
      <c r="F35" s="124" t="s">
        <v>989</v>
      </c>
      <c r="G35" s="144" t="s">
        <v>1348</v>
      </c>
    </row>
    <row r="36" spans="1:7" x14ac:dyDescent="0.35">
      <c r="A36" s="144" t="s">
        <v>23</v>
      </c>
      <c r="B36" s="144" t="s">
        <v>206</v>
      </c>
      <c r="C36" s="193">
        <v>1</v>
      </c>
      <c r="D36" s="126">
        <v>166.1</v>
      </c>
      <c r="E36" s="145" t="s">
        <v>63</v>
      </c>
      <c r="F36" s="124" t="s">
        <v>992</v>
      </c>
      <c r="G36" s="144" t="s">
        <v>1349</v>
      </c>
    </row>
    <row r="37" spans="1:7" x14ac:dyDescent="0.35">
      <c r="A37" s="144" t="s">
        <v>23</v>
      </c>
      <c r="B37" s="144" t="s">
        <v>211</v>
      </c>
      <c r="C37" s="193">
        <v>1</v>
      </c>
      <c r="D37" s="126">
        <v>166.1</v>
      </c>
      <c r="E37" s="145" t="s">
        <v>62</v>
      </c>
      <c r="F37" s="124" t="s">
        <v>992</v>
      </c>
      <c r="G37" s="144" t="s">
        <v>1350</v>
      </c>
    </row>
    <row r="38" spans="1:7" x14ac:dyDescent="0.35">
      <c r="A38" s="144" t="s">
        <v>6</v>
      </c>
      <c r="B38" s="144" t="s">
        <v>219</v>
      </c>
      <c r="C38" s="193">
        <v>1</v>
      </c>
      <c r="D38" s="126">
        <v>166.1</v>
      </c>
      <c r="E38" s="145" t="s">
        <v>876</v>
      </c>
      <c r="F38" s="124" t="s">
        <v>992</v>
      </c>
      <c r="G38" s="144" t="s">
        <v>1351</v>
      </c>
    </row>
    <row r="39" spans="1:7" x14ac:dyDescent="0.35">
      <c r="A39" s="144" t="s">
        <v>23</v>
      </c>
      <c r="B39" s="144" t="s">
        <v>244</v>
      </c>
      <c r="C39" s="193">
        <v>1</v>
      </c>
      <c r="D39" s="126">
        <v>166.1</v>
      </c>
      <c r="E39" s="145" t="s">
        <v>64</v>
      </c>
      <c r="F39" s="124" t="s">
        <v>992</v>
      </c>
      <c r="G39" s="144" t="s">
        <v>1352</v>
      </c>
    </row>
    <row r="40" spans="1:7" x14ac:dyDescent="0.35">
      <c r="A40" s="144" t="s">
        <v>23</v>
      </c>
      <c r="B40" s="144" t="s">
        <v>211</v>
      </c>
      <c r="C40" s="193">
        <v>1</v>
      </c>
      <c r="D40" s="126">
        <v>166.1</v>
      </c>
      <c r="E40" s="145" t="s">
        <v>62</v>
      </c>
      <c r="F40" s="124" t="s">
        <v>992</v>
      </c>
      <c r="G40" s="192" t="s">
        <v>1353</v>
      </c>
    </row>
    <row r="41" spans="1:7" x14ac:dyDescent="0.35">
      <c r="A41" s="144" t="s">
        <v>23</v>
      </c>
      <c r="B41" s="144" t="s">
        <v>206</v>
      </c>
      <c r="C41" s="193">
        <v>1</v>
      </c>
      <c r="D41" s="126">
        <v>137.5</v>
      </c>
      <c r="E41" s="145" t="s">
        <v>63</v>
      </c>
      <c r="F41" s="124" t="s">
        <v>989</v>
      </c>
      <c r="G41" s="144" t="s">
        <v>1354</v>
      </c>
    </row>
    <row r="42" spans="1:7" x14ac:dyDescent="0.35">
      <c r="A42" s="144" t="s">
        <v>73</v>
      </c>
      <c r="B42" s="144" t="s">
        <v>163</v>
      </c>
      <c r="C42" s="193">
        <v>1</v>
      </c>
      <c r="D42" s="126">
        <v>137.5</v>
      </c>
      <c r="E42" s="145" t="s">
        <v>56</v>
      </c>
      <c r="F42" s="124" t="s">
        <v>989</v>
      </c>
      <c r="G42" s="144" t="s">
        <v>1355</v>
      </c>
    </row>
    <row r="43" spans="1:7" x14ac:dyDescent="0.35">
      <c r="A43" s="144" t="s">
        <v>23</v>
      </c>
      <c r="B43" s="144" t="s">
        <v>211</v>
      </c>
      <c r="C43" s="193">
        <v>1</v>
      </c>
      <c r="D43" s="126">
        <v>137.5</v>
      </c>
      <c r="E43" s="145" t="s">
        <v>62</v>
      </c>
      <c r="F43" s="124" t="s">
        <v>989</v>
      </c>
      <c r="G43" s="144" t="s">
        <v>1356</v>
      </c>
    </row>
    <row r="44" spans="1:7" x14ac:dyDescent="0.35">
      <c r="A44" s="144" t="s">
        <v>6</v>
      </c>
      <c r="B44" s="144" t="s">
        <v>219</v>
      </c>
      <c r="C44" s="193">
        <v>1</v>
      </c>
      <c r="D44" s="126">
        <v>137.5</v>
      </c>
      <c r="E44" s="145" t="s">
        <v>876</v>
      </c>
      <c r="F44" s="124" t="s">
        <v>989</v>
      </c>
      <c r="G44" s="144" t="s">
        <v>1357</v>
      </c>
    </row>
    <row r="45" spans="1:7" x14ac:dyDescent="0.35">
      <c r="A45" s="144" t="s">
        <v>23</v>
      </c>
      <c r="B45" s="144" t="s">
        <v>244</v>
      </c>
      <c r="C45" s="193">
        <v>1</v>
      </c>
      <c r="D45" s="126">
        <v>137.5</v>
      </c>
      <c r="E45" s="145" t="s">
        <v>64</v>
      </c>
      <c r="F45" s="124" t="s">
        <v>989</v>
      </c>
      <c r="G45" s="144" t="s">
        <v>1358</v>
      </c>
    </row>
    <row r="46" spans="1:7" x14ac:dyDescent="0.35">
      <c r="A46" s="144" t="s">
        <v>23</v>
      </c>
      <c r="B46" s="144" t="s">
        <v>211</v>
      </c>
      <c r="C46" s="193">
        <v>1</v>
      </c>
      <c r="D46" s="126">
        <v>166.1</v>
      </c>
      <c r="E46" s="145" t="s">
        <v>62</v>
      </c>
      <c r="F46" s="124" t="s">
        <v>992</v>
      </c>
      <c r="G46" s="144" t="s">
        <v>1359</v>
      </c>
    </row>
    <row r="47" spans="1:7" x14ac:dyDescent="0.35">
      <c r="A47" s="144" t="s">
        <v>23</v>
      </c>
      <c r="B47" s="144" t="s">
        <v>211</v>
      </c>
      <c r="C47" s="193">
        <v>1</v>
      </c>
      <c r="D47" s="126">
        <v>137.5</v>
      </c>
      <c r="E47" s="145" t="s">
        <v>62</v>
      </c>
      <c r="F47" s="124" t="s">
        <v>989</v>
      </c>
      <c r="G47" s="144" t="s">
        <v>1360</v>
      </c>
    </row>
    <row r="48" spans="1:7" x14ac:dyDescent="0.35">
      <c r="A48" s="144" t="s">
        <v>23</v>
      </c>
      <c r="B48" s="144" t="s">
        <v>211</v>
      </c>
      <c r="C48" s="193">
        <v>1</v>
      </c>
      <c r="D48" s="126">
        <v>166.1</v>
      </c>
      <c r="E48" s="145" t="s">
        <v>62</v>
      </c>
      <c r="F48" s="124" t="s">
        <v>992</v>
      </c>
      <c r="G48" s="144" t="s">
        <v>1361</v>
      </c>
    </row>
    <row r="49" spans="1:7" x14ac:dyDescent="0.35">
      <c r="A49" s="144" t="s">
        <v>23</v>
      </c>
      <c r="B49" s="144" t="s">
        <v>211</v>
      </c>
      <c r="C49" s="193">
        <v>1</v>
      </c>
      <c r="D49" s="126">
        <v>137.5</v>
      </c>
      <c r="E49" s="145" t="s">
        <v>62</v>
      </c>
      <c r="F49" s="124" t="s">
        <v>989</v>
      </c>
      <c r="G49" s="144" t="s">
        <v>1362</v>
      </c>
    </row>
    <row r="50" spans="1:7" x14ac:dyDescent="0.35">
      <c r="A50" s="144" t="s">
        <v>6</v>
      </c>
      <c r="B50" s="144" t="s">
        <v>219</v>
      </c>
      <c r="C50" s="193">
        <v>1</v>
      </c>
      <c r="D50" s="126">
        <v>166.1</v>
      </c>
      <c r="E50" s="145" t="s">
        <v>876</v>
      </c>
      <c r="F50" s="124" t="s">
        <v>992</v>
      </c>
      <c r="G50" s="144" t="s">
        <v>1363</v>
      </c>
    </row>
    <row r="51" spans="1:7" x14ac:dyDescent="0.35">
      <c r="A51" s="144" t="s">
        <v>6</v>
      </c>
      <c r="B51" s="144" t="s">
        <v>219</v>
      </c>
      <c r="C51" s="193">
        <v>1</v>
      </c>
      <c r="D51" s="126">
        <v>137.5</v>
      </c>
      <c r="E51" s="145" t="s">
        <v>876</v>
      </c>
      <c r="F51" s="124" t="s">
        <v>989</v>
      </c>
      <c r="G51" s="144" t="s">
        <v>1364</v>
      </c>
    </row>
    <row r="52" spans="1:7" x14ac:dyDescent="0.35">
      <c r="A52" s="144" t="s">
        <v>6</v>
      </c>
      <c r="B52" s="144" t="s">
        <v>86</v>
      </c>
      <c r="C52" s="193">
        <v>1</v>
      </c>
      <c r="D52" s="126">
        <v>166.1</v>
      </c>
      <c r="E52" s="145" t="s">
        <v>47</v>
      </c>
      <c r="F52" s="124" t="s">
        <v>992</v>
      </c>
      <c r="G52" s="144" t="s">
        <v>1365</v>
      </c>
    </row>
    <row r="53" spans="1:7" x14ac:dyDescent="0.35">
      <c r="A53" s="144" t="s">
        <v>6</v>
      </c>
      <c r="B53" s="144" t="s">
        <v>86</v>
      </c>
      <c r="C53" s="193">
        <v>1</v>
      </c>
      <c r="D53" s="126">
        <v>137.5</v>
      </c>
      <c r="E53" s="145" t="s">
        <v>47</v>
      </c>
      <c r="F53" s="124" t="s">
        <v>989</v>
      </c>
      <c r="G53" s="144" t="s">
        <v>1366</v>
      </c>
    </row>
    <row r="54" spans="1:7" x14ac:dyDescent="0.35">
      <c r="A54" s="144" t="s">
        <v>23</v>
      </c>
      <c r="B54" s="144" t="s">
        <v>211</v>
      </c>
      <c r="C54" s="193">
        <v>1</v>
      </c>
      <c r="D54" s="126">
        <v>166.1</v>
      </c>
      <c r="E54" s="145" t="s">
        <v>62</v>
      </c>
      <c r="F54" s="124" t="s">
        <v>992</v>
      </c>
      <c r="G54" s="144" t="s">
        <v>1367</v>
      </c>
    </row>
    <row r="55" spans="1:7" x14ac:dyDescent="0.35">
      <c r="A55" s="144" t="s">
        <v>23</v>
      </c>
      <c r="B55" s="144" t="s">
        <v>211</v>
      </c>
      <c r="C55" s="193">
        <v>1</v>
      </c>
      <c r="D55" s="126">
        <v>137.5</v>
      </c>
      <c r="E55" s="145" t="s">
        <v>62</v>
      </c>
      <c r="F55" s="124" t="s">
        <v>989</v>
      </c>
      <c r="G55" s="144" t="s">
        <v>1368</v>
      </c>
    </row>
    <row r="56" spans="1:7" x14ac:dyDescent="0.35">
      <c r="A56" s="144" t="s">
        <v>23</v>
      </c>
      <c r="B56" s="144" t="s">
        <v>211</v>
      </c>
      <c r="C56" s="193">
        <v>1</v>
      </c>
      <c r="D56" s="126">
        <v>166.1</v>
      </c>
      <c r="E56" s="145" t="s">
        <v>62</v>
      </c>
      <c r="F56" s="124" t="s">
        <v>992</v>
      </c>
      <c r="G56" s="144" t="s">
        <v>1369</v>
      </c>
    </row>
    <row r="57" spans="1:7" x14ac:dyDescent="0.35">
      <c r="A57" s="144" t="s">
        <v>23</v>
      </c>
      <c r="B57" s="144" t="s">
        <v>211</v>
      </c>
      <c r="C57" s="193">
        <v>1</v>
      </c>
      <c r="D57" s="126">
        <v>137.5</v>
      </c>
      <c r="E57" s="145" t="s">
        <v>62</v>
      </c>
      <c r="F57" s="124" t="s">
        <v>989</v>
      </c>
      <c r="G57" s="144" t="s">
        <v>1370</v>
      </c>
    </row>
    <row r="58" spans="1:7" x14ac:dyDescent="0.35">
      <c r="A58" s="144" t="s">
        <v>23</v>
      </c>
      <c r="B58" s="144" t="s">
        <v>211</v>
      </c>
      <c r="C58" s="193">
        <v>1</v>
      </c>
      <c r="D58" s="126">
        <v>137.5</v>
      </c>
      <c r="E58" s="145" t="s">
        <v>62</v>
      </c>
      <c r="F58" s="124" t="s">
        <v>989</v>
      </c>
      <c r="G58" s="144" t="s">
        <v>1371</v>
      </c>
    </row>
    <row r="59" spans="1:7" x14ac:dyDescent="0.35">
      <c r="A59" s="144" t="s">
        <v>73</v>
      </c>
      <c r="B59" s="144" t="s">
        <v>163</v>
      </c>
      <c r="C59" s="193">
        <v>1</v>
      </c>
      <c r="D59" s="126">
        <v>166.1</v>
      </c>
      <c r="E59" s="145" t="s">
        <v>56</v>
      </c>
      <c r="F59" s="124" t="s">
        <v>992</v>
      </c>
      <c r="G59" s="144" t="s">
        <v>1372</v>
      </c>
    </row>
    <row r="60" spans="1:7" x14ac:dyDescent="0.35">
      <c r="A60" s="144" t="s">
        <v>23</v>
      </c>
      <c r="B60" s="144" t="s">
        <v>244</v>
      </c>
      <c r="C60" s="193">
        <v>1</v>
      </c>
      <c r="D60" s="126">
        <v>137.5</v>
      </c>
      <c r="E60" s="145" t="s">
        <v>64</v>
      </c>
      <c r="F60" s="124" t="s">
        <v>989</v>
      </c>
      <c r="G60" s="144" t="s">
        <v>1373</v>
      </c>
    </row>
    <row r="61" spans="1:7" x14ac:dyDescent="0.35">
      <c r="A61" s="144" t="s">
        <v>23</v>
      </c>
      <c r="B61" s="144" t="s">
        <v>211</v>
      </c>
      <c r="C61" s="193">
        <v>1</v>
      </c>
      <c r="D61" s="126">
        <v>137.5</v>
      </c>
      <c r="E61" s="145" t="s">
        <v>62</v>
      </c>
      <c r="F61" s="124" t="s">
        <v>989</v>
      </c>
      <c r="G61" s="144" t="s">
        <v>1374</v>
      </c>
    </row>
    <row r="62" spans="1:7" x14ac:dyDescent="0.35">
      <c r="A62" s="144" t="s">
        <v>73</v>
      </c>
      <c r="B62" s="144" t="s">
        <v>163</v>
      </c>
      <c r="C62" s="193">
        <v>1</v>
      </c>
      <c r="D62" s="126">
        <v>137.5</v>
      </c>
      <c r="E62" s="145" t="s">
        <v>56</v>
      </c>
      <c r="F62" s="124" t="s">
        <v>989</v>
      </c>
      <c r="G62" s="144" t="s">
        <v>1375</v>
      </c>
    </row>
    <row r="63" spans="1:7" x14ac:dyDescent="0.35">
      <c r="A63" s="144" t="s">
        <v>23</v>
      </c>
      <c r="B63" s="144" t="s">
        <v>211</v>
      </c>
      <c r="C63" s="193">
        <v>1</v>
      </c>
      <c r="D63" s="126">
        <v>137.5</v>
      </c>
      <c r="E63" s="145" t="s">
        <v>62</v>
      </c>
      <c r="F63" s="124" t="s">
        <v>989</v>
      </c>
      <c r="G63" s="144" t="s">
        <v>1376</v>
      </c>
    </row>
    <row r="64" spans="1:7" x14ac:dyDescent="0.35">
      <c r="A64" s="144" t="s">
        <v>23</v>
      </c>
      <c r="B64" s="144" t="s">
        <v>211</v>
      </c>
      <c r="C64" s="193">
        <v>1</v>
      </c>
      <c r="D64" s="126">
        <v>137.5</v>
      </c>
      <c r="E64" s="145" t="s">
        <v>62</v>
      </c>
      <c r="F64" s="124" t="s">
        <v>989</v>
      </c>
      <c r="G64" s="144" t="s">
        <v>1377</v>
      </c>
    </row>
    <row r="65" spans="1:99" x14ac:dyDescent="0.35">
      <c r="A65" s="144" t="s">
        <v>6</v>
      </c>
      <c r="B65" s="144" t="s">
        <v>219</v>
      </c>
      <c r="C65" s="193">
        <v>1</v>
      </c>
      <c r="D65" s="148">
        <v>88</v>
      </c>
      <c r="E65" s="145" t="s">
        <v>876</v>
      </c>
      <c r="F65" s="144" t="s">
        <v>1051</v>
      </c>
      <c r="G65" s="144" t="s">
        <v>1378</v>
      </c>
    </row>
    <row r="66" spans="1:99" x14ac:dyDescent="0.35">
      <c r="A66" s="144" t="s">
        <v>23</v>
      </c>
      <c r="B66" s="144" t="s">
        <v>244</v>
      </c>
      <c r="C66" s="193">
        <v>1</v>
      </c>
      <c r="D66" s="148">
        <v>15</v>
      </c>
      <c r="E66" s="145" t="s">
        <v>64</v>
      </c>
      <c r="F66" s="144" t="s">
        <v>35</v>
      </c>
      <c r="G66" s="144" t="s">
        <v>1379</v>
      </c>
    </row>
    <row r="67" spans="1:99" s="149" customFormat="1" x14ac:dyDescent="0.35">
      <c r="A67" s="124" t="s">
        <v>6</v>
      </c>
      <c r="B67" s="203" t="s">
        <v>1383</v>
      </c>
      <c r="C67" s="202">
        <v>1</v>
      </c>
      <c r="D67" s="126">
        <v>15</v>
      </c>
      <c r="E67" s="204" t="s">
        <v>51</v>
      </c>
      <c r="F67" s="124" t="s">
        <v>35</v>
      </c>
      <c r="G67" s="124" t="s">
        <v>1380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</row>
    <row r="68" spans="1:99" s="149" customFormat="1" x14ac:dyDescent="0.35">
      <c r="A68" s="124" t="s">
        <v>6</v>
      </c>
      <c r="B68" s="203" t="s">
        <v>1382</v>
      </c>
      <c r="C68" s="202">
        <v>1</v>
      </c>
      <c r="D68" s="126">
        <v>50</v>
      </c>
      <c r="E68" s="204" t="s">
        <v>51</v>
      </c>
      <c r="F68" s="124" t="s">
        <v>34</v>
      </c>
      <c r="G68" s="124" t="s">
        <v>1380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</row>
    <row r="69" spans="1:99" x14ac:dyDescent="0.35">
      <c r="A69" s="144" t="s">
        <v>6</v>
      </c>
      <c r="B69" s="144" t="s">
        <v>142</v>
      </c>
      <c r="C69" s="193">
        <v>1</v>
      </c>
      <c r="D69" s="148">
        <v>35</v>
      </c>
      <c r="E69" s="145" t="s">
        <v>44</v>
      </c>
      <c r="F69" s="144" t="s">
        <v>36</v>
      </c>
      <c r="G69" s="144" t="s">
        <v>1381</v>
      </c>
    </row>
    <row r="70" spans="1:99" x14ac:dyDescent="0.35">
      <c r="A70" s="144" t="s">
        <v>6</v>
      </c>
      <c r="B70" s="144" t="s">
        <v>219</v>
      </c>
      <c r="C70" s="193">
        <v>1</v>
      </c>
      <c r="D70" s="148">
        <v>15</v>
      </c>
      <c r="E70" s="145" t="s">
        <v>876</v>
      </c>
      <c r="F70" s="124" t="s">
        <v>35</v>
      </c>
      <c r="G70" s="144" t="s">
        <v>1384</v>
      </c>
    </row>
    <row r="71" spans="1:99" x14ac:dyDescent="0.35">
      <c r="A71" s="144" t="s">
        <v>6</v>
      </c>
      <c r="B71" s="144" t="s">
        <v>219</v>
      </c>
      <c r="C71" s="193">
        <v>1</v>
      </c>
      <c r="D71" s="155">
        <v>35</v>
      </c>
      <c r="E71" s="145" t="s">
        <v>876</v>
      </c>
      <c r="F71" s="144" t="s">
        <v>36</v>
      </c>
      <c r="G71" s="144" t="s">
        <v>1385</v>
      </c>
    </row>
    <row r="72" spans="1:99" x14ac:dyDescent="0.35">
      <c r="A72" s="144" t="s">
        <v>6</v>
      </c>
      <c r="B72" s="144" t="s">
        <v>219</v>
      </c>
      <c r="C72" s="193">
        <v>1</v>
      </c>
      <c r="D72" s="155">
        <v>35</v>
      </c>
      <c r="E72" s="145" t="s">
        <v>876</v>
      </c>
      <c r="F72" s="144" t="s">
        <v>36</v>
      </c>
      <c r="G72" s="144" t="s">
        <v>1386</v>
      </c>
    </row>
    <row r="73" spans="1:99" x14ac:dyDescent="0.35">
      <c r="A73" s="144" t="s">
        <v>6</v>
      </c>
      <c r="B73" s="144" t="s">
        <v>219</v>
      </c>
      <c r="C73" s="193">
        <v>1</v>
      </c>
      <c r="D73" s="126">
        <v>50</v>
      </c>
      <c r="E73" s="145" t="s">
        <v>876</v>
      </c>
      <c r="F73" s="124" t="s">
        <v>34</v>
      </c>
      <c r="G73" s="144" t="s">
        <v>1386</v>
      </c>
    </row>
    <row r="74" spans="1:99" x14ac:dyDescent="0.35">
      <c r="A74" s="144" t="s">
        <v>6</v>
      </c>
      <c r="B74" s="144" t="s">
        <v>219</v>
      </c>
      <c r="C74" s="193">
        <v>1</v>
      </c>
      <c r="D74" s="148">
        <v>15</v>
      </c>
      <c r="E74" s="145" t="s">
        <v>876</v>
      </c>
      <c r="F74" s="124" t="s">
        <v>35</v>
      </c>
      <c r="G74" s="144" t="s">
        <v>1386</v>
      </c>
    </row>
    <row r="75" spans="1:99" x14ac:dyDescent="0.35">
      <c r="A75" s="144" t="s">
        <v>6</v>
      </c>
      <c r="B75" s="144" t="s">
        <v>219</v>
      </c>
      <c r="C75" s="193">
        <v>1</v>
      </c>
      <c r="D75" s="148">
        <v>15</v>
      </c>
      <c r="E75" s="145" t="s">
        <v>876</v>
      </c>
      <c r="F75" s="124" t="s">
        <v>35</v>
      </c>
      <c r="G75" s="144" t="s">
        <v>1387</v>
      </c>
    </row>
    <row r="76" spans="1:99" x14ac:dyDescent="0.35">
      <c r="A76" s="144" t="s">
        <v>23</v>
      </c>
      <c r="B76" s="144" t="s">
        <v>244</v>
      </c>
      <c r="C76" s="193">
        <v>1</v>
      </c>
      <c r="D76" s="148">
        <v>15</v>
      </c>
      <c r="E76" s="145" t="s">
        <v>64</v>
      </c>
      <c r="F76" s="124" t="s">
        <v>35</v>
      </c>
      <c r="G76" s="144" t="s">
        <v>1388</v>
      </c>
    </row>
    <row r="77" spans="1:99" x14ac:dyDescent="0.35">
      <c r="A77" s="144" t="s">
        <v>6</v>
      </c>
      <c r="B77" s="144" t="s">
        <v>72</v>
      </c>
      <c r="C77" s="193">
        <v>1</v>
      </c>
      <c r="D77" s="126">
        <v>50</v>
      </c>
      <c r="E77" s="145" t="s">
        <v>1138</v>
      </c>
      <c r="F77" s="124" t="s">
        <v>34</v>
      </c>
      <c r="G77" s="144" t="s">
        <v>1389</v>
      </c>
    </row>
    <row r="78" spans="1:99" x14ac:dyDescent="0.35">
      <c r="A78" s="144" t="s">
        <v>6</v>
      </c>
      <c r="B78" s="144" t="s">
        <v>72</v>
      </c>
      <c r="C78" s="193">
        <v>1</v>
      </c>
      <c r="D78" s="148">
        <v>15</v>
      </c>
      <c r="E78" s="145" t="s">
        <v>1138</v>
      </c>
      <c r="F78" s="124" t="s">
        <v>35</v>
      </c>
      <c r="G78" s="144" t="s">
        <v>1389</v>
      </c>
    </row>
    <row r="79" spans="1:99" x14ac:dyDescent="0.35">
      <c r="A79" s="144" t="s">
        <v>6</v>
      </c>
      <c r="B79" s="144" t="s">
        <v>219</v>
      </c>
      <c r="C79" s="193">
        <v>1</v>
      </c>
      <c r="D79" s="126">
        <v>166.1</v>
      </c>
      <c r="E79" s="145" t="s">
        <v>876</v>
      </c>
      <c r="F79" s="124" t="s">
        <v>992</v>
      </c>
      <c r="G79" s="144" t="s">
        <v>1390</v>
      </c>
    </row>
    <row r="80" spans="1:99" x14ac:dyDescent="0.35">
      <c r="A80" s="144"/>
      <c r="B80" s="144"/>
      <c r="C80" s="144"/>
      <c r="D80" s="144"/>
      <c r="E80" s="144"/>
      <c r="F80" s="144"/>
      <c r="G80" s="144"/>
    </row>
    <row r="81" spans="1:7" x14ac:dyDescent="0.35">
      <c r="A81" s="144"/>
      <c r="B81" s="144"/>
      <c r="C81" s="144"/>
      <c r="D81" s="144"/>
      <c r="E81" s="144"/>
      <c r="F81" s="144"/>
      <c r="G81" s="144"/>
    </row>
    <row r="82" spans="1:7" x14ac:dyDescent="0.35">
      <c r="A82" s="144"/>
      <c r="B82" s="144"/>
      <c r="C82" s="144"/>
      <c r="D82" s="144"/>
      <c r="E82" s="144"/>
      <c r="F82" s="144"/>
      <c r="G82" s="144"/>
    </row>
    <row r="83" spans="1:7" x14ac:dyDescent="0.35">
      <c r="A83" s="144"/>
      <c r="B83" s="144"/>
      <c r="C83" s="144"/>
      <c r="D83" s="144"/>
      <c r="E83" s="144"/>
      <c r="F83" s="144"/>
      <c r="G83" s="144"/>
    </row>
    <row r="84" spans="1:7" x14ac:dyDescent="0.35">
      <c r="A84" s="144"/>
      <c r="B84" s="144"/>
      <c r="C84" s="144"/>
      <c r="D84" s="144"/>
      <c r="E84" s="144"/>
      <c r="F84" s="144"/>
      <c r="G84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3A0F-A16B-40B4-8235-21FD40B56CD1}">
  <dimension ref="A1:G24"/>
  <sheetViews>
    <sheetView workbookViewId="0">
      <selection activeCell="B6" sqref="B6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1535</v>
      </c>
    </row>
    <row r="4" spans="1:7" x14ac:dyDescent="0.35">
      <c r="A4" s="8" t="s">
        <v>29</v>
      </c>
      <c r="B4" s="9">
        <v>45567</v>
      </c>
    </row>
    <row r="5" spans="1:7" ht="15" thickBot="1" x14ac:dyDescent="0.4">
      <c r="A5" s="10" t="s">
        <v>30</v>
      </c>
      <c r="B5" s="11" t="s">
        <v>1325</v>
      </c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35">
      <c r="A9" s="131" t="s">
        <v>6</v>
      </c>
      <c r="B9" s="134" t="s">
        <v>549</v>
      </c>
      <c r="C9" s="134">
        <v>1</v>
      </c>
      <c r="D9" s="147">
        <f>-SUM(D10:D21)</f>
        <v>-3568.6</v>
      </c>
      <c r="E9" s="131" t="s">
        <v>12</v>
      </c>
      <c r="F9" s="131" t="s">
        <v>980</v>
      </c>
      <c r="G9" s="130"/>
    </row>
    <row r="10" spans="1:7" x14ac:dyDescent="0.35">
      <c r="A10" s="144" t="s">
        <v>6</v>
      </c>
      <c r="B10" s="26" t="s">
        <v>1393</v>
      </c>
      <c r="C10" s="125">
        <v>1</v>
      </c>
      <c r="D10" s="126">
        <v>466.5</v>
      </c>
      <c r="E10" s="144" t="s">
        <v>52</v>
      </c>
      <c r="F10" s="128" t="s">
        <v>1394</v>
      </c>
      <c r="G10" s="124" t="s">
        <v>933</v>
      </c>
    </row>
    <row r="11" spans="1:7" x14ac:dyDescent="0.35">
      <c r="A11" s="144" t="s">
        <v>6</v>
      </c>
      <c r="B11" t="s">
        <v>1059</v>
      </c>
      <c r="C11" s="125">
        <v>1</v>
      </c>
      <c r="D11" s="126">
        <v>466.5</v>
      </c>
      <c r="E11" s="144" t="s">
        <v>52</v>
      </c>
      <c r="F11" s="124" t="s">
        <v>1395</v>
      </c>
      <c r="G11" s="124" t="s">
        <v>923</v>
      </c>
    </row>
    <row r="12" spans="1:7" x14ac:dyDescent="0.35">
      <c r="A12" s="144" t="s">
        <v>6</v>
      </c>
      <c r="B12" s="144" t="s">
        <v>1452</v>
      </c>
      <c r="C12" s="125">
        <v>1</v>
      </c>
      <c r="D12" s="126">
        <v>466.5</v>
      </c>
      <c r="E12" s="144" t="s">
        <v>52</v>
      </c>
      <c r="F12" s="128" t="s">
        <v>1396</v>
      </c>
      <c r="G12" s="124" t="s">
        <v>555</v>
      </c>
    </row>
    <row r="13" spans="1:7" x14ac:dyDescent="0.35">
      <c r="A13" s="144" t="s">
        <v>6</v>
      </c>
      <c r="B13" s="144" t="s">
        <v>1453</v>
      </c>
      <c r="C13" s="134">
        <v>1</v>
      </c>
      <c r="D13" s="148">
        <v>67</v>
      </c>
      <c r="E13" s="144" t="s">
        <v>62</v>
      </c>
      <c r="F13" s="206" t="s">
        <v>928</v>
      </c>
      <c r="G13" s="144" t="s">
        <v>556</v>
      </c>
    </row>
    <row r="14" spans="1:7" x14ac:dyDescent="0.35">
      <c r="A14" s="144" t="s">
        <v>6</v>
      </c>
      <c r="B14" s="144" t="s">
        <v>1453</v>
      </c>
      <c r="C14" s="134">
        <v>1</v>
      </c>
      <c r="D14" s="148">
        <v>67</v>
      </c>
      <c r="E14" s="144" t="s">
        <v>62</v>
      </c>
      <c r="F14" s="206" t="s">
        <v>927</v>
      </c>
      <c r="G14" s="144" t="s">
        <v>557</v>
      </c>
    </row>
    <row r="15" spans="1:7" x14ac:dyDescent="0.35">
      <c r="A15" s="144" t="s">
        <v>6</v>
      </c>
      <c r="B15" t="s">
        <v>1392</v>
      </c>
      <c r="C15" s="134">
        <v>1</v>
      </c>
      <c r="D15" s="148">
        <v>453.6</v>
      </c>
      <c r="E15" s="144" t="s">
        <v>52</v>
      </c>
      <c r="F15" s="206" t="s">
        <v>1400</v>
      </c>
      <c r="G15" s="144" t="s">
        <v>558</v>
      </c>
    </row>
    <row r="16" spans="1:7" x14ac:dyDescent="0.35">
      <c r="A16" s="144" t="s">
        <v>6</v>
      </c>
      <c r="B16" s="144" t="s">
        <v>1453</v>
      </c>
      <c r="C16" s="134">
        <v>1</v>
      </c>
      <c r="D16" s="148">
        <v>67</v>
      </c>
      <c r="E16" s="144" t="s">
        <v>62</v>
      </c>
      <c r="F16" s="206" t="s">
        <v>929</v>
      </c>
      <c r="G16" s="144" t="s">
        <v>930</v>
      </c>
    </row>
    <row r="17" spans="1:7" x14ac:dyDescent="0.35">
      <c r="A17" s="144" t="s">
        <v>6</v>
      </c>
      <c r="B17" s="144" t="s">
        <v>1454</v>
      </c>
      <c r="C17" s="125">
        <v>1</v>
      </c>
      <c r="D17" s="126">
        <v>466.5</v>
      </c>
      <c r="E17" s="144" t="s">
        <v>52</v>
      </c>
      <c r="F17" s="144" t="s">
        <v>1397</v>
      </c>
      <c r="G17" s="144" t="s">
        <v>986</v>
      </c>
    </row>
    <row r="18" spans="1:7" ht="15.75" customHeight="1" x14ac:dyDescent="0.35">
      <c r="A18" s="144" t="s">
        <v>6</v>
      </c>
      <c r="B18" s="144" t="s">
        <v>1455</v>
      </c>
      <c r="C18" s="125">
        <v>1</v>
      </c>
      <c r="D18" s="126">
        <v>524</v>
      </c>
      <c r="E18" s="144" t="s">
        <v>52</v>
      </c>
      <c r="F18" s="124" t="s">
        <v>1398</v>
      </c>
      <c r="G18" s="124" t="s">
        <v>560</v>
      </c>
    </row>
    <row r="19" spans="1:7" x14ac:dyDescent="0.35">
      <c r="A19" s="144" t="s">
        <v>6</v>
      </c>
      <c r="B19" s="144" t="s">
        <v>1454</v>
      </c>
      <c r="C19" s="125">
        <v>1</v>
      </c>
      <c r="D19" s="126">
        <v>524</v>
      </c>
      <c r="E19" s="144" t="s">
        <v>52</v>
      </c>
      <c r="F19" s="144" t="s">
        <v>1399</v>
      </c>
      <c r="G19" s="144" t="s">
        <v>563</v>
      </c>
    </row>
    <row r="20" spans="1:7" x14ac:dyDescent="0.35">
      <c r="A20" s="144"/>
      <c r="B20" s="144"/>
      <c r="C20" s="125"/>
      <c r="D20" s="126"/>
      <c r="E20" s="144"/>
      <c r="F20" s="144"/>
      <c r="G20" s="144"/>
    </row>
    <row r="21" spans="1:7" x14ac:dyDescent="0.35">
      <c r="A21" s="144"/>
      <c r="B21" s="144"/>
      <c r="C21" s="125"/>
      <c r="D21" s="126"/>
      <c r="E21" s="144"/>
      <c r="F21" s="144"/>
      <c r="G21" s="144"/>
    </row>
    <row r="22" spans="1:7" x14ac:dyDescent="0.35">
      <c r="A22" s="144"/>
      <c r="B22" s="144"/>
      <c r="C22" s="144"/>
      <c r="D22" s="126"/>
      <c r="E22" s="144"/>
      <c r="F22" s="144"/>
      <c r="G22" s="144"/>
    </row>
    <row r="23" spans="1:7" x14ac:dyDescent="0.35">
      <c r="A23" s="144"/>
      <c r="B23" s="144"/>
      <c r="C23" s="144"/>
      <c r="D23" s="144"/>
      <c r="E23" s="144"/>
      <c r="F23" s="144"/>
      <c r="G23" s="144"/>
    </row>
    <row r="24" spans="1:7" x14ac:dyDescent="0.35">
      <c r="A24" s="144"/>
      <c r="B24" s="144"/>
      <c r="C24" s="144"/>
      <c r="D24" s="144"/>
      <c r="E24" s="144"/>
      <c r="F24" s="144"/>
      <c r="G24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BDCDF72-1148-4929-99FE-8664DFAEC1FF}">
          <x14:formula1>
            <xm:f>'Lookup Values'!$G$2:$G$35</xm:f>
          </x14:formula1>
          <xm:sqref>E32:E35 E10:E16 E18:E19 E40</xm:sqref>
        </x14:dataValidation>
      </x14:dataValidation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8104-03CF-480C-9A95-7E76E2849B46}">
  <dimension ref="A1:CU84"/>
  <sheetViews>
    <sheetView workbookViewId="0">
      <selection activeCell="F34" sqref="F34"/>
    </sheetView>
  </sheetViews>
  <sheetFormatPr defaultColWidth="9.1796875" defaultRowHeight="14.5" x14ac:dyDescent="0.35"/>
  <cols>
    <col min="1" max="1" width="12.54296875" bestFit="1" customWidth="1"/>
    <col min="2" max="2" width="16.7265625" bestFit="1" customWidth="1"/>
    <col min="3" max="3" width="12.1796875" customWidth="1"/>
    <col min="4" max="4" width="17.7265625" bestFit="1" customWidth="1"/>
    <col min="5" max="5" width="51" customWidth="1"/>
    <col min="6" max="6" width="48" bestFit="1" customWidth="1"/>
    <col min="7" max="7" width="43.45312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5" customHeight="1" x14ac:dyDescent="0.35">
      <c r="A3" s="6" t="s">
        <v>28</v>
      </c>
      <c r="B3" s="7" t="s">
        <v>1426</v>
      </c>
      <c r="C3" s="189"/>
      <c r="D3" s="189"/>
      <c r="E3" s="189"/>
      <c r="F3" s="189"/>
      <c r="G3" s="189"/>
    </row>
    <row r="4" spans="1:7" ht="18" customHeight="1" x14ac:dyDescent="0.35">
      <c r="A4" s="8" t="s">
        <v>29</v>
      </c>
      <c r="B4" s="9">
        <v>45524</v>
      </c>
      <c r="C4" s="189"/>
      <c r="D4" s="189"/>
      <c r="E4" s="189"/>
      <c r="F4" s="189"/>
      <c r="G4" s="189"/>
    </row>
    <row r="5" spans="1:7" ht="13.5" customHeight="1" thickBot="1" x14ac:dyDescent="0.4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s="196" customFormat="1" x14ac:dyDescent="0.35">
      <c r="A9" s="144" t="s">
        <v>6</v>
      </c>
      <c r="B9" s="144" t="s">
        <v>219</v>
      </c>
      <c r="C9" s="193">
        <v>1</v>
      </c>
      <c r="D9" s="126">
        <v>56</v>
      </c>
      <c r="E9" s="145" t="s">
        <v>876</v>
      </c>
      <c r="F9" s="144" t="s">
        <v>34</v>
      </c>
      <c r="G9" s="192" t="s">
        <v>1401</v>
      </c>
    </row>
    <row r="10" spans="1:7" s="196" customFormat="1" x14ac:dyDescent="0.35">
      <c r="A10" s="144" t="s">
        <v>6</v>
      </c>
      <c r="B10" s="144" t="s">
        <v>219</v>
      </c>
      <c r="C10" s="193">
        <v>1</v>
      </c>
      <c r="D10" s="126">
        <v>22</v>
      </c>
      <c r="E10" s="145" t="s">
        <v>876</v>
      </c>
      <c r="F10" s="144" t="s">
        <v>35</v>
      </c>
      <c r="G10" s="192" t="s">
        <v>1401</v>
      </c>
    </row>
    <row r="11" spans="1:7" s="196" customFormat="1" x14ac:dyDescent="0.35">
      <c r="A11" s="144"/>
      <c r="B11" s="144" t="s">
        <v>163</v>
      </c>
      <c r="C11" s="193">
        <v>1</v>
      </c>
      <c r="D11" s="126">
        <v>89</v>
      </c>
      <c r="E11" s="145" t="s">
        <v>56</v>
      </c>
      <c r="F11" s="124" t="s">
        <v>1051</v>
      </c>
      <c r="G11" s="192" t="s">
        <v>1402</v>
      </c>
    </row>
    <row r="12" spans="1:7" s="196" customFormat="1" x14ac:dyDescent="0.35">
      <c r="A12" s="144" t="s">
        <v>6</v>
      </c>
      <c r="B12" s="144" t="s">
        <v>219</v>
      </c>
      <c r="C12" s="193">
        <v>1</v>
      </c>
      <c r="D12" s="126">
        <v>37</v>
      </c>
      <c r="E12" s="145" t="s">
        <v>876</v>
      </c>
      <c r="F12" s="124" t="s">
        <v>36</v>
      </c>
      <c r="G12" s="192" t="s">
        <v>1403</v>
      </c>
    </row>
    <row r="13" spans="1:7" s="196" customFormat="1" x14ac:dyDescent="0.35">
      <c r="A13" s="144" t="s">
        <v>6</v>
      </c>
      <c r="B13" s="144" t="s">
        <v>142</v>
      </c>
      <c r="C13" s="193">
        <v>1</v>
      </c>
      <c r="D13" s="126">
        <v>22</v>
      </c>
      <c r="E13" s="145" t="s">
        <v>44</v>
      </c>
      <c r="F13" s="124" t="s">
        <v>35</v>
      </c>
      <c r="G13" s="192" t="s">
        <v>1404</v>
      </c>
    </row>
    <row r="14" spans="1:7" s="196" customFormat="1" x14ac:dyDescent="0.35">
      <c r="A14" s="144" t="s">
        <v>6</v>
      </c>
      <c r="B14" s="144" t="s">
        <v>72</v>
      </c>
      <c r="C14" s="193">
        <v>1</v>
      </c>
      <c r="D14" s="126">
        <v>37</v>
      </c>
      <c r="E14" s="145" t="s">
        <v>1138</v>
      </c>
      <c r="F14" s="124" t="s">
        <v>36</v>
      </c>
      <c r="G14" s="192" t="s">
        <v>1405</v>
      </c>
    </row>
    <row r="15" spans="1:7" s="196" customFormat="1" x14ac:dyDescent="0.35">
      <c r="A15" s="144" t="s">
        <v>6</v>
      </c>
      <c r="B15" s="144" t="s">
        <v>86</v>
      </c>
      <c r="C15" s="193">
        <v>1</v>
      </c>
      <c r="D15" s="126">
        <v>37</v>
      </c>
      <c r="E15" s="145" t="s">
        <v>47</v>
      </c>
      <c r="F15" s="124" t="s">
        <v>36</v>
      </c>
      <c r="G15" s="192" t="s">
        <v>1406</v>
      </c>
    </row>
    <row r="16" spans="1:7" s="196" customFormat="1" x14ac:dyDescent="0.35">
      <c r="A16" s="144" t="s">
        <v>6</v>
      </c>
      <c r="B16" s="144" t="s">
        <v>86</v>
      </c>
      <c r="C16" s="193">
        <v>1</v>
      </c>
      <c r="D16" s="126">
        <v>22</v>
      </c>
      <c r="E16" s="145" t="s">
        <v>47</v>
      </c>
      <c r="F16" s="124" t="s">
        <v>35</v>
      </c>
      <c r="G16" s="192" t="s">
        <v>1406</v>
      </c>
    </row>
    <row r="17" spans="1:7" s="196" customFormat="1" x14ac:dyDescent="0.35">
      <c r="A17" s="144" t="s">
        <v>6</v>
      </c>
      <c r="B17" s="144" t="s">
        <v>86</v>
      </c>
      <c r="C17" s="193">
        <v>1</v>
      </c>
      <c r="D17" s="126">
        <v>56</v>
      </c>
      <c r="E17" s="145" t="s">
        <v>47</v>
      </c>
      <c r="F17" s="124" t="s">
        <v>34</v>
      </c>
      <c r="G17" s="192" t="s">
        <v>1406</v>
      </c>
    </row>
    <row r="18" spans="1:7" s="196" customFormat="1" x14ac:dyDescent="0.35">
      <c r="A18" s="144" t="s">
        <v>6</v>
      </c>
      <c r="B18" s="144" t="s">
        <v>219</v>
      </c>
      <c r="C18" s="193">
        <v>1</v>
      </c>
      <c r="D18" s="126">
        <v>166.1</v>
      </c>
      <c r="E18" s="145" t="s">
        <v>876</v>
      </c>
      <c r="F18" s="124" t="s">
        <v>992</v>
      </c>
      <c r="G18" s="192" t="s">
        <v>1407</v>
      </c>
    </row>
    <row r="19" spans="1:7" s="196" customFormat="1" x14ac:dyDescent="0.35">
      <c r="A19" s="144" t="s">
        <v>6</v>
      </c>
      <c r="B19" s="144" t="s">
        <v>219</v>
      </c>
      <c r="C19" s="193">
        <v>1</v>
      </c>
      <c r="D19" s="126">
        <v>166.1</v>
      </c>
      <c r="E19" s="145" t="s">
        <v>876</v>
      </c>
      <c r="F19" s="124" t="s">
        <v>992</v>
      </c>
      <c r="G19" s="192" t="s">
        <v>1408</v>
      </c>
    </row>
    <row r="20" spans="1:7" s="196" customFormat="1" x14ac:dyDescent="0.35">
      <c r="A20" s="144" t="s">
        <v>6</v>
      </c>
      <c r="B20" s="144" t="s">
        <v>219</v>
      </c>
      <c r="C20" s="193">
        <v>1</v>
      </c>
      <c r="D20" s="126">
        <v>137.5</v>
      </c>
      <c r="E20" s="145" t="s">
        <v>876</v>
      </c>
      <c r="F20" s="124" t="s">
        <v>989</v>
      </c>
      <c r="G20" s="192" t="s">
        <v>1409</v>
      </c>
    </row>
    <row r="21" spans="1:7" s="196" customFormat="1" x14ac:dyDescent="0.35">
      <c r="A21" s="144" t="s">
        <v>23</v>
      </c>
      <c r="B21" s="144" t="s">
        <v>211</v>
      </c>
      <c r="C21" s="193">
        <v>1</v>
      </c>
      <c r="D21" s="126">
        <v>37</v>
      </c>
      <c r="E21" s="145" t="s">
        <v>62</v>
      </c>
      <c r="F21" s="124" t="s">
        <v>36</v>
      </c>
      <c r="G21" s="192" t="s">
        <v>1410</v>
      </c>
    </row>
    <row r="22" spans="1:7" s="196" customFormat="1" x14ac:dyDescent="0.35">
      <c r="A22" s="144" t="s">
        <v>23</v>
      </c>
      <c r="B22" s="144" t="s">
        <v>211</v>
      </c>
      <c r="C22" s="193">
        <v>1</v>
      </c>
      <c r="D22" s="126">
        <v>56</v>
      </c>
      <c r="E22" s="145" t="s">
        <v>62</v>
      </c>
      <c r="F22" s="124" t="s">
        <v>34</v>
      </c>
      <c r="G22" s="192" t="s">
        <v>1410</v>
      </c>
    </row>
    <row r="23" spans="1:7" s="196" customFormat="1" x14ac:dyDescent="0.35">
      <c r="A23" s="144" t="s">
        <v>6</v>
      </c>
      <c r="B23" s="144" t="s">
        <v>219</v>
      </c>
      <c r="C23" s="193">
        <v>1</v>
      </c>
      <c r="D23" s="126">
        <v>56</v>
      </c>
      <c r="E23" s="145" t="s">
        <v>876</v>
      </c>
      <c r="F23" s="124" t="s">
        <v>34</v>
      </c>
      <c r="G23" s="192" t="s">
        <v>1411</v>
      </c>
    </row>
    <row r="24" spans="1:7" s="196" customFormat="1" x14ac:dyDescent="0.35">
      <c r="A24" s="144" t="s">
        <v>6</v>
      </c>
      <c r="B24" s="144" t="s">
        <v>219</v>
      </c>
      <c r="C24" s="193">
        <v>1</v>
      </c>
      <c r="D24" s="126">
        <v>22</v>
      </c>
      <c r="E24" s="145" t="s">
        <v>876</v>
      </c>
      <c r="F24" s="124" t="s">
        <v>35</v>
      </c>
      <c r="G24" s="192" t="s">
        <v>1411</v>
      </c>
    </row>
    <row r="25" spans="1:7" s="196" customFormat="1" x14ac:dyDescent="0.35">
      <c r="A25" s="144" t="s">
        <v>6</v>
      </c>
      <c r="B25" s="144" t="s">
        <v>86</v>
      </c>
      <c r="C25" s="193">
        <v>1</v>
      </c>
      <c r="D25" s="126">
        <v>56</v>
      </c>
      <c r="E25" s="145" t="s">
        <v>47</v>
      </c>
      <c r="F25" s="124" t="s">
        <v>34</v>
      </c>
      <c r="G25" s="192" t="s">
        <v>1412</v>
      </c>
    </row>
    <row r="26" spans="1:7" s="196" customFormat="1" x14ac:dyDescent="0.35">
      <c r="A26" s="144" t="s">
        <v>6</v>
      </c>
      <c r="B26" s="144" t="s">
        <v>86</v>
      </c>
      <c r="C26" s="193">
        <v>1</v>
      </c>
      <c r="D26" s="126">
        <v>22</v>
      </c>
      <c r="E26" s="145" t="s">
        <v>47</v>
      </c>
      <c r="F26" s="124" t="s">
        <v>35</v>
      </c>
      <c r="G26" s="192" t="s">
        <v>1412</v>
      </c>
    </row>
    <row r="27" spans="1:7" s="196" customFormat="1" x14ac:dyDescent="0.35">
      <c r="A27" s="144" t="s">
        <v>6</v>
      </c>
      <c r="B27" s="144" t="s">
        <v>86</v>
      </c>
      <c r="C27" s="193">
        <v>1</v>
      </c>
      <c r="D27" s="126">
        <v>37</v>
      </c>
      <c r="E27" s="145" t="s">
        <v>47</v>
      </c>
      <c r="F27" s="124" t="s">
        <v>36</v>
      </c>
      <c r="G27" s="192" t="s">
        <v>1413</v>
      </c>
    </row>
    <row r="28" spans="1:7" s="196" customFormat="1" x14ac:dyDescent="0.35">
      <c r="A28" t="s">
        <v>6</v>
      </c>
      <c r="B28" t="s">
        <v>86</v>
      </c>
      <c r="C28" s="193">
        <v>1</v>
      </c>
      <c r="D28" s="148">
        <v>56</v>
      </c>
      <c r="E28" s="145" t="s">
        <v>47</v>
      </c>
      <c r="F28" s="144" t="s">
        <v>34</v>
      </c>
      <c r="G28" s="192" t="s">
        <v>1414</v>
      </c>
    </row>
    <row r="29" spans="1:7" x14ac:dyDescent="0.35">
      <c r="A29" s="76" t="s">
        <v>23</v>
      </c>
      <c r="B29" t="s">
        <v>206</v>
      </c>
      <c r="C29" s="193">
        <v>1</v>
      </c>
      <c r="D29" s="148">
        <v>22</v>
      </c>
      <c r="E29" s="14" t="s">
        <v>63</v>
      </c>
      <c r="F29" s="144" t="s">
        <v>35</v>
      </c>
      <c r="G29" s="192" t="s">
        <v>1415</v>
      </c>
    </row>
    <row r="30" spans="1:7" x14ac:dyDescent="0.35">
      <c r="A30" s="144"/>
      <c r="B30" s="144"/>
      <c r="C30" s="193"/>
      <c r="D30" s="126"/>
      <c r="E30" s="145"/>
      <c r="F30" s="124"/>
      <c r="G30" s="191"/>
    </row>
    <row r="31" spans="1:7" x14ac:dyDescent="0.35">
      <c r="A31" s="144"/>
      <c r="B31" s="144"/>
      <c r="C31" s="193"/>
      <c r="D31" s="126"/>
      <c r="E31" s="145"/>
      <c r="F31" s="124"/>
      <c r="G31" s="191"/>
    </row>
    <row r="32" spans="1:7" x14ac:dyDescent="0.35">
      <c r="A32" s="144"/>
      <c r="B32" s="144"/>
      <c r="C32" s="193"/>
      <c r="D32" s="126"/>
      <c r="E32" s="145"/>
      <c r="F32" s="124"/>
      <c r="G32" s="144"/>
    </row>
    <row r="33" spans="1:7" x14ac:dyDescent="0.35">
      <c r="A33" s="144"/>
      <c r="B33" s="144"/>
      <c r="C33" s="193"/>
      <c r="D33" s="126"/>
      <c r="E33" s="145"/>
      <c r="F33" s="124"/>
      <c r="G33" s="144"/>
    </row>
    <row r="34" spans="1:7" x14ac:dyDescent="0.35">
      <c r="A34" s="144"/>
      <c r="B34" s="144"/>
      <c r="C34" s="193"/>
      <c r="D34" s="126"/>
      <c r="E34" s="145"/>
      <c r="F34" s="124"/>
      <c r="G34" s="144"/>
    </row>
    <row r="35" spans="1:7" x14ac:dyDescent="0.35">
      <c r="A35" s="144"/>
      <c r="B35" s="144"/>
      <c r="C35" s="193"/>
      <c r="D35" s="126"/>
      <c r="E35" s="145"/>
      <c r="F35" s="124"/>
      <c r="G35" s="144"/>
    </row>
    <row r="36" spans="1:7" x14ac:dyDescent="0.35">
      <c r="A36" s="144"/>
      <c r="B36" s="144"/>
      <c r="C36" s="193"/>
      <c r="D36" s="126"/>
      <c r="E36" s="145"/>
      <c r="F36" s="124"/>
      <c r="G36" s="144"/>
    </row>
    <row r="37" spans="1:7" x14ac:dyDescent="0.35">
      <c r="A37" s="144"/>
      <c r="B37" s="144"/>
      <c r="C37" s="193"/>
      <c r="D37" s="126"/>
      <c r="E37" s="145"/>
      <c r="F37" s="124"/>
      <c r="G37" s="144"/>
    </row>
    <row r="38" spans="1:7" x14ac:dyDescent="0.35">
      <c r="A38" s="144"/>
      <c r="B38" s="144"/>
      <c r="C38" s="193"/>
      <c r="D38" s="126"/>
      <c r="E38" s="145"/>
      <c r="F38" s="124"/>
      <c r="G38" s="144"/>
    </row>
    <row r="39" spans="1:7" x14ac:dyDescent="0.35">
      <c r="A39" s="144"/>
      <c r="B39" s="144"/>
      <c r="C39" s="193"/>
      <c r="D39" s="126"/>
      <c r="E39" s="145"/>
      <c r="F39" s="124"/>
      <c r="G39" s="144"/>
    </row>
    <row r="40" spans="1:7" x14ac:dyDescent="0.35">
      <c r="A40" s="144"/>
      <c r="B40" s="144"/>
      <c r="C40" s="193"/>
      <c r="D40" s="126"/>
      <c r="E40" s="145"/>
      <c r="F40" s="124"/>
      <c r="G40" s="192"/>
    </row>
    <row r="41" spans="1:7" x14ac:dyDescent="0.35">
      <c r="A41" s="144"/>
      <c r="B41" s="144"/>
      <c r="C41" s="193"/>
      <c r="D41" s="126"/>
      <c r="E41" s="145"/>
      <c r="F41" s="124"/>
      <c r="G41" s="144"/>
    </row>
    <row r="42" spans="1:7" x14ac:dyDescent="0.35">
      <c r="A42" s="144"/>
      <c r="B42" s="144"/>
      <c r="C42" s="193"/>
      <c r="D42" s="126"/>
      <c r="E42" s="145"/>
      <c r="F42" s="124"/>
      <c r="G42" s="144"/>
    </row>
    <row r="43" spans="1:7" x14ac:dyDescent="0.35">
      <c r="A43" s="144"/>
      <c r="B43" s="144"/>
      <c r="C43" s="193"/>
      <c r="D43" s="126"/>
      <c r="E43" s="145"/>
      <c r="F43" s="124"/>
      <c r="G43" s="144"/>
    </row>
    <row r="44" spans="1:7" x14ac:dyDescent="0.35">
      <c r="A44" s="144"/>
      <c r="B44" s="144"/>
      <c r="C44" s="193"/>
      <c r="D44" s="126"/>
      <c r="E44" s="145"/>
      <c r="F44" s="124"/>
      <c r="G44" s="144"/>
    </row>
    <row r="45" spans="1:7" x14ac:dyDescent="0.35">
      <c r="A45" s="144"/>
      <c r="B45" s="144"/>
      <c r="C45" s="193"/>
      <c r="D45" s="126"/>
      <c r="E45" s="145"/>
      <c r="F45" s="124"/>
      <c r="G45" s="144"/>
    </row>
    <row r="46" spans="1:7" x14ac:dyDescent="0.35">
      <c r="A46" s="144"/>
      <c r="B46" s="144"/>
      <c r="C46" s="193"/>
      <c r="D46" s="126"/>
      <c r="E46" s="145"/>
      <c r="F46" s="124"/>
      <c r="G46" s="144"/>
    </row>
    <row r="47" spans="1:7" x14ac:dyDescent="0.35">
      <c r="A47" s="144"/>
      <c r="B47" s="144"/>
      <c r="C47" s="193"/>
      <c r="D47" s="126"/>
      <c r="E47" s="145"/>
      <c r="F47" s="124"/>
      <c r="G47" s="144"/>
    </row>
    <row r="48" spans="1:7" x14ac:dyDescent="0.35">
      <c r="A48" s="144"/>
      <c r="B48" s="144"/>
      <c r="C48" s="193"/>
      <c r="D48" s="126"/>
      <c r="E48" s="145"/>
      <c r="F48" s="124"/>
      <c r="G48" s="144"/>
    </row>
    <row r="49" spans="1:7" x14ac:dyDescent="0.35">
      <c r="A49" s="144"/>
      <c r="B49" s="144"/>
      <c r="C49" s="193"/>
      <c r="D49" s="126"/>
      <c r="E49" s="145"/>
      <c r="F49" s="124"/>
      <c r="G49" s="144"/>
    </row>
    <row r="50" spans="1:7" x14ac:dyDescent="0.35">
      <c r="A50" s="144"/>
      <c r="B50" s="144"/>
      <c r="C50" s="193"/>
      <c r="D50" s="126"/>
      <c r="E50" s="145"/>
      <c r="F50" s="124"/>
      <c r="G50" s="144"/>
    </row>
    <row r="51" spans="1:7" x14ac:dyDescent="0.35">
      <c r="A51" s="144"/>
      <c r="B51" s="144"/>
      <c r="C51" s="193"/>
      <c r="D51" s="126"/>
      <c r="E51" s="145"/>
      <c r="F51" s="124"/>
      <c r="G51" s="144"/>
    </row>
    <row r="52" spans="1:7" x14ac:dyDescent="0.35">
      <c r="A52" s="144"/>
      <c r="B52" s="144"/>
      <c r="C52" s="193"/>
      <c r="D52" s="126"/>
      <c r="E52" s="145"/>
      <c r="F52" s="124"/>
      <c r="G52" s="144"/>
    </row>
    <row r="53" spans="1:7" x14ac:dyDescent="0.35">
      <c r="A53" s="144"/>
      <c r="B53" s="144"/>
      <c r="C53" s="193"/>
      <c r="D53" s="126"/>
      <c r="E53" s="145"/>
      <c r="F53" s="124"/>
      <c r="G53" s="144"/>
    </row>
    <row r="54" spans="1:7" x14ac:dyDescent="0.35">
      <c r="A54" s="144"/>
      <c r="B54" s="144"/>
      <c r="C54" s="193"/>
      <c r="D54" s="126"/>
      <c r="E54" s="145"/>
      <c r="F54" s="124"/>
      <c r="G54" s="144"/>
    </row>
    <row r="55" spans="1:7" x14ac:dyDescent="0.35">
      <c r="A55" s="144"/>
      <c r="B55" s="144"/>
      <c r="C55" s="193"/>
      <c r="D55" s="126"/>
      <c r="E55" s="145"/>
      <c r="F55" s="124"/>
      <c r="G55" s="144"/>
    </row>
    <row r="56" spans="1:7" x14ac:dyDescent="0.35">
      <c r="A56" s="144"/>
      <c r="B56" s="144"/>
      <c r="C56" s="193"/>
      <c r="D56" s="126"/>
      <c r="E56" s="145"/>
      <c r="F56" s="124"/>
      <c r="G56" s="144"/>
    </row>
    <row r="57" spans="1:7" x14ac:dyDescent="0.35">
      <c r="A57" s="144"/>
      <c r="B57" s="144"/>
      <c r="C57" s="193"/>
      <c r="D57" s="126"/>
      <c r="E57" s="145"/>
      <c r="F57" s="124"/>
      <c r="G57" s="144"/>
    </row>
    <row r="58" spans="1:7" x14ac:dyDescent="0.35">
      <c r="A58" s="144"/>
      <c r="B58" s="144"/>
      <c r="C58" s="193"/>
      <c r="D58" s="126"/>
      <c r="E58" s="145"/>
      <c r="F58" s="124"/>
      <c r="G58" s="144"/>
    </row>
    <row r="59" spans="1:7" x14ac:dyDescent="0.35">
      <c r="A59" s="144"/>
      <c r="B59" s="144"/>
      <c r="C59" s="193"/>
      <c r="D59" s="126"/>
      <c r="E59" s="145"/>
      <c r="F59" s="124"/>
      <c r="G59" s="144"/>
    </row>
    <row r="60" spans="1:7" x14ac:dyDescent="0.35">
      <c r="A60" s="144"/>
      <c r="B60" s="144"/>
      <c r="C60" s="193"/>
      <c r="D60" s="126"/>
      <c r="E60" s="145"/>
      <c r="F60" s="124"/>
      <c r="G60" s="144"/>
    </row>
    <row r="61" spans="1:7" x14ac:dyDescent="0.35">
      <c r="A61" s="144"/>
      <c r="B61" s="144"/>
      <c r="C61" s="193"/>
      <c r="D61" s="126"/>
      <c r="E61" s="145"/>
      <c r="F61" s="124"/>
      <c r="G61" s="144"/>
    </row>
    <row r="62" spans="1:7" x14ac:dyDescent="0.35">
      <c r="A62" s="144"/>
      <c r="B62" s="144"/>
      <c r="C62" s="193"/>
      <c r="D62" s="126"/>
      <c r="E62" s="145"/>
      <c r="F62" s="124"/>
      <c r="G62" s="144"/>
    </row>
    <row r="63" spans="1:7" x14ac:dyDescent="0.35">
      <c r="A63" s="144"/>
      <c r="B63" s="144"/>
      <c r="C63" s="193"/>
      <c r="D63" s="126"/>
      <c r="E63" s="145"/>
      <c r="F63" s="124"/>
      <c r="G63" s="144"/>
    </row>
    <row r="64" spans="1:7" x14ac:dyDescent="0.35">
      <c r="A64" s="144"/>
      <c r="B64" s="144"/>
      <c r="C64" s="193"/>
      <c r="D64" s="126"/>
      <c r="E64" s="145"/>
      <c r="F64" s="124"/>
      <c r="G64" s="144"/>
    </row>
    <row r="65" spans="1:99" x14ac:dyDescent="0.35">
      <c r="A65" s="144"/>
      <c r="B65" s="144"/>
      <c r="C65" s="193"/>
      <c r="D65" s="148"/>
      <c r="E65" s="145"/>
      <c r="F65" s="144"/>
      <c r="G65" s="144"/>
    </row>
    <row r="66" spans="1:99" x14ac:dyDescent="0.35">
      <c r="A66" s="144"/>
      <c r="B66" s="144"/>
      <c r="C66" s="193"/>
      <c r="D66" s="148"/>
      <c r="E66" s="145"/>
      <c r="F66" s="144"/>
      <c r="G66" s="144"/>
    </row>
    <row r="67" spans="1:99" s="149" customFormat="1" x14ac:dyDescent="0.35">
      <c r="A67" s="124"/>
      <c r="B67" s="203"/>
      <c r="C67" s="202"/>
      <c r="D67" s="126"/>
      <c r="E67" s="204"/>
      <c r="F67" s="124"/>
      <c r="G67" s="124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</row>
    <row r="68" spans="1:99" s="149" customFormat="1" x14ac:dyDescent="0.35">
      <c r="A68" s="124"/>
      <c r="B68" s="203"/>
      <c r="C68" s="202"/>
      <c r="D68" s="126"/>
      <c r="E68" s="204"/>
      <c r="F68" s="124"/>
      <c r="G68" s="124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</row>
    <row r="69" spans="1:99" x14ac:dyDescent="0.35">
      <c r="A69" s="144"/>
      <c r="B69" s="144"/>
      <c r="C69" s="193"/>
      <c r="D69" s="148"/>
      <c r="E69" s="145"/>
      <c r="F69" s="144"/>
      <c r="G69" s="144"/>
    </row>
    <row r="70" spans="1:99" x14ac:dyDescent="0.35">
      <c r="A70" s="144"/>
      <c r="B70" s="144"/>
      <c r="C70" s="193"/>
      <c r="D70" s="148"/>
      <c r="E70" s="145"/>
      <c r="F70" s="124"/>
      <c r="G70" s="144"/>
    </row>
    <row r="71" spans="1:99" x14ac:dyDescent="0.35">
      <c r="A71" s="144"/>
      <c r="B71" s="144"/>
      <c r="C71" s="193"/>
      <c r="D71" s="155"/>
      <c r="E71" s="145"/>
      <c r="F71" s="144"/>
      <c r="G71" s="144"/>
    </row>
    <row r="72" spans="1:99" x14ac:dyDescent="0.35">
      <c r="A72" s="144"/>
      <c r="B72" s="144"/>
      <c r="C72" s="193"/>
      <c r="D72" s="155"/>
      <c r="E72" s="145"/>
      <c r="F72" s="144"/>
      <c r="G72" s="144"/>
    </row>
    <row r="73" spans="1:99" x14ac:dyDescent="0.35">
      <c r="A73" s="144"/>
      <c r="B73" s="144"/>
      <c r="C73" s="193"/>
      <c r="D73" s="126"/>
      <c r="E73" s="145"/>
      <c r="F73" s="124"/>
      <c r="G73" s="144"/>
    </row>
    <row r="74" spans="1:99" x14ac:dyDescent="0.35">
      <c r="A74" s="144"/>
      <c r="B74" s="144"/>
      <c r="C74" s="193"/>
      <c r="D74" s="148"/>
      <c r="E74" s="145"/>
      <c r="F74" s="124"/>
      <c r="G74" s="144"/>
    </row>
    <row r="75" spans="1:99" x14ac:dyDescent="0.35">
      <c r="A75" s="144"/>
      <c r="B75" s="144"/>
      <c r="C75" s="193"/>
      <c r="D75" s="148"/>
      <c r="E75" s="145"/>
      <c r="F75" s="124"/>
      <c r="G75" s="144"/>
    </row>
    <row r="76" spans="1:99" x14ac:dyDescent="0.35">
      <c r="A76" s="144"/>
      <c r="B76" s="144"/>
      <c r="C76" s="193"/>
      <c r="D76" s="148"/>
      <c r="E76" s="145"/>
      <c r="F76" s="124"/>
      <c r="G76" s="144"/>
    </row>
    <row r="77" spans="1:99" x14ac:dyDescent="0.35">
      <c r="A77" s="144"/>
      <c r="B77" s="144"/>
      <c r="C77" s="193"/>
      <c r="D77" s="126"/>
      <c r="E77" s="145"/>
      <c r="F77" s="124"/>
      <c r="G77" s="144"/>
    </row>
    <row r="78" spans="1:99" x14ac:dyDescent="0.35">
      <c r="A78" s="144"/>
      <c r="B78" s="144"/>
      <c r="C78" s="193"/>
      <c r="D78" s="148"/>
      <c r="E78" s="145"/>
      <c r="F78" s="124"/>
      <c r="G78" s="144"/>
    </row>
    <row r="79" spans="1:99" x14ac:dyDescent="0.35">
      <c r="A79" s="144"/>
      <c r="B79" s="144"/>
      <c r="C79" s="193"/>
      <c r="D79" s="126"/>
      <c r="E79" s="145"/>
      <c r="F79" s="124"/>
      <c r="G79" s="144"/>
    </row>
    <row r="80" spans="1:99" x14ac:dyDescent="0.35">
      <c r="A80" s="144"/>
      <c r="B80" s="144"/>
      <c r="C80" s="144"/>
      <c r="D80" s="144"/>
      <c r="E80" s="144"/>
      <c r="F80" s="144"/>
      <c r="G80" s="144"/>
    </row>
    <row r="81" spans="1:7" x14ac:dyDescent="0.35">
      <c r="A81" s="144"/>
      <c r="B81" s="144"/>
      <c r="C81" s="144"/>
      <c r="D81" s="144"/>
      <c r="E81" s="144"/>
      <c r="F81" s="144"/>
      <c r="G81" s="144"/>
    </row>
    <row r="82" spans="1:7" x14ac:dyDescent="0.35">
      <c r="A82" s="144"/>
      <c r="B82" s="144"/>
      <c r="C82" s="144"/>
      <c r="D82" s="144"/>
      <c r="E82" s="144"/>
      <c r="F82" s="144"/>
      <c r="G82" s="144"/>
    </row>
    <row r="83" spans="1:7" x14ac:dyDescent="0.35">
      <c r="A83" s="144"/>
      <c r="B83" s="144"/>
      <c r="C83" s="144"/>
      <c r="D83" s="144"/>
      <c r="E83" s="144"/>
      <c r="F83" s="144"/>
      <c r="G83" s="144"/>
    </row>
    <row r="84" spans="1:7" x14ac:dyDescent="0.35">
      <c r="A84" s="144"/>
      <c r="B84" s="144"/>
      <c r="C84" s="144"/>
      <c r="D84" s="144"/>
      <c r="E84" s="144"/>
      <c r="F84" s="144"/>
      <c r="G84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C0D7F-D07A-4B18-ABA3-CAC9EDBD92B2}">
  <dimension ref="A1:G35"/>
  <sheetViews>
    <sheetView workbookViewId="0">
      <selection activeCell="B14" sqref="B14"/>
    </sheetView>
  </sheetViews>
  <sheetFormatPr defaultRowHeight="14.5" x14ac:dyDescent="0.35"/>
  <cols>
    <col min="1" max="1" width="12.54296875" bestFit="1" customWidth="1"/>
    <col min="2" max="2" width="18.453125" customWidth="1"/>
    <col min="3" max="3" width="15.1796875" customWidth="1"/>
    <col min="4" max="4" width="17.26953125" customWidth="1"/>
    <col min="5" max="5" width="41.1796875" bestFit="1" customWidth="1"/>
    <col min="6" max="6" width="46.453125" customWidth="1"/>
    <col min="7" max="7" width="41.179687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6.5" customHeight="1" x14ac:dyDescent="0.35">
      <c r="A3" s="6" t="s">
        <v>28</v>
      </c>
      <c r="B3" s="7" t="s">
        <v>1459</v>
      </c>
      <c r="C3" s="189"/>
      <c r="D3" s="189"/>
      <c r="E3" s="189"/>
      <c r="F3" s="189"/>
      <c r="G3" s="189"/>
    </row>
    <row r="4" spans="1:7" ht="15.75" customHeight="1" x14ac:dyDescent="0.35">
      <c r="A4" s="8" t="s">
        <v>29</v>
      </c>
      <c r="B4" s="9">
        <v>45573</v>
      </c>
      <c r="C4" s="189"/>
      <c r="D4" s="189"/>
      <c r="E4" s="189"/>
      <c r="F4" s="189"/>
      <c r="G4" s="189"/>
    </row>
    <row r="5" spans="1:7" ht="16.5" customHeight="1" thickBot="1" x14ac:dyDescent="0.4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73</v>
      </c>
      <c r="B9" s="144" t="s">
        <v>163</v>
      </c>
      <c r="C9" s="188">
        <v>1</v>
      </c>
      <c r="D9" s="148">
        <v>22</v>
      </c>
      <c r="E9" s="145" t="s">
        <v>56</v>
      </c>
      <c r="F9" s="144" t="s">
        <v>35</v>
      </c>
      <c r="G9" s="144" t="s">
        <v>1416</v>
      </c>
    </row>
    <row r="10" spans="1:7" x14ac:dyDescent="0.35">
      <c r="A10" s="144" t="s">
        <v>23</v>
      </c>
      <c r="B10" s="144" t="s">
        <v>244</v>
      </c>
      <c r="C10" s="188">
        <v>1</v>
      </c>
      <c r="D10" s="148">
        <v>56</v>
      </c>
      <c r="E10" s="145" t="s">
        <v>64</v>
      </c>
      <c r="F10" s="144" t="s">
        <v>34</v>
      </c>
      <c r="G10" s="144" t="s">
        <v>1417</v>
      </c>
    </row>
    <row r="11" spans="1:7" x14ac:dyDescent="0.35">
      <c r="A11" s="144" t="s">
        <v>23</v>
      </c>
      <c r="B11" s="144" t="s">
        <v>244</v>
      </c>
      <c r="C11" s="188">
        <v>1</v>
      </c>
      <c r="D11" s="148">
        <v>22</v>
      </c>
      <c r="E11" s="145" t="s">
        <v>64</v>
      </c>
      <c r="F11" s="144" t="s">
        <v>35</v>
      </c>
      <c r="G11" s="144" t="s">
        <v>1417</v>
      </c>
    </row>
    <row r="12" spans="1:7" x14ac:dyDescent="0.35">
      <c r="A12" s="144" t="s">
        <v>6</v>
      </c>
      <c r="B12" s="144" t="s">
        <v>219</v>
      </c>
      <c r="C12" s="188">
        <v>1</v>
      </c>
      <c r="D12" s="148">
        <v>56</v>
      </c>
      <c r="E12" s="145" t="s">
        <v>876</v>
      </c>
      <c r="F12" s="144" t="s">
        <v>34</v>
      </c>
      <c r="G12" s="144" t="s">
        <v>1418</v>
      </c>
    </row>
    <row r="13" spans="1:7" x14ac:dyDescent="0.35">
      <c r="A13" s="144" t="s">
        <v>6</v>
      </c>
      <c r="B13" s="144" t="s">
        <v>219</v>
      </c>
      <c r="C13" s="188">
        <v>1</v>
      </c>
      <c r="D13" s="148">
        <v>22</v>
      </c>
      <c r="E13" s="145" t="s">
        <v>876</v>
      </c>
      <c r="F13" s="144" t="s">
        <v>35</v>
      </c>
      <c r="G13" s="144" t="s">
        <v>1418</v>
      </c>
    </row>
    <row r="14" spans="1:7" x14ac:dyDescent="0.35">
      <c r="A14" s="144" t="s">
        <v>6</v>
      </c>
      <c r="B14" s="144" t="s">
        <v>219</v>
      </c>
      <c r="C14" s="188">
        <v>1</v>
      </c>
      <c r="D14" s="155">
        <v>37</v>
      </c>
      <c r="E14" s="145" t="s">
        <v>876</v>
      </c>
      <c r="F14" s="144" t="s">
        <v>36</v>
      </c>
      <c r="G14" s="144" t="s">
        <v>1419</v>
      </c>
    </row>
    <row r="15" spans="1:7" x14ac:dyDescent="0.35">
      <c r="A15" s="144" t="s">
        <v>6</v>
      </c>
      <c r="B15" s="144" t="s">
        <v>219</v>
      </c>
      <c r="C15" s="188">
        <v>1</v>
      </c>
      <c r="D15" s="148">
        <v>22</v>
      </c>
      <c r="E15" s="145" t="s">
        <v>876</v>
      </c>
      <c r="F15" s="144" t="s">
        <v>34</v>
      </c>
      <c r="G15" s="144" t="s">
        <v>1419</v>
      </c>
    </row>
    <row r="16" spans="1:7" x14ac:dyDescent="0.35">
      <c r="A16" s="144" t="s">
        <v>6</v>
      </c>
      <c r="B16" s="144" t="s">
        <v>86</v>
      </c>
      <c r="C16" s="188">
        <v>1</v>
      </c>
      <c r="D16" s="148">
        <v>22</v>
      </c>
      <c r="E16" s="145" t="s">
        <v>47</v>
      </c>
      <c r="F16" s="144" t="s">
        <v>35</v>
      </c>
      <c r="G16" s="144" t="s">
        <v>1420</v>
      </c>
    </row>
    <row r="17" spans="1:7" x14ac:dyDescent="0.35">
      <c r="A17" s="144" t="s">
        <v>73</v>
      </c>
      <c r="B17" s="144" t="s">
        <v>163</v>
      </c>
      <c r="C17" s="188">
        <v>1</v>
      </c>
      <c r="D17" s="148">
        <v>56</v>
      </c>
      <c r="E17" s="145" t="s">
        <v>56</v>
      </c>
      <c r="F17" s="144" t="s">
        <v>34</v>
      </c>
      <c r="G17" s="144" t="s">
        <v>1421</v>
      </c>
    </row>
    <row r="18" spans="1:7" x14ac:dyDescent="0.35">
      <c r="A18" s="144" t="s">
        <v>73</v>
      </c>
      <c r="B18" s="144" t="s">
        <v>163</v>
      </c>
      <c r="C18" s="188">
        <v>1</v>
      </c>
      <c r="D18" s="148">
        <v>22</v>
      </c>
      <c r="E18" s="145" t="s">
        <v>56</v>
      </c>
      <c r="F18" s="144" t="s">
        <v>35</v>
      </c>
      <c r="G18" s="144" t="s">
        <v>1421</v>
      </c>
    </row>
    <row r="19" spans="1:7" x14ac:dyDescent="0.35">
      <c r="A19" s="144" t="s">
        <v>6</v>
      </c>
      <c r="B19" s="144" t="s">
        <v>72</v>
      </c>
      <c r="C19" s="188">
        <v>1</v>
      </c>
      <c r="D19" s="148">
        <v>56</v>
      </c>
      <c r="E19" s="145" t="s">
        <v>1138</v>
      </c>
      <c r="F19" s="144" t="s">
        <v>34</v>
      </c>
      <c r="G19" s="144" t="s">
        <v>1422</v>
      </c>
    </row>
    <row r="20" spans="1:7" x14ac:dyDescent="0.35">
      <c r="A20" s="144" t="s">
        <v>6</v>
      </c>
      <c r="B20" s="144" t="s">
        <v>72</v>
      </c>
      <c r="C20" s="188">
        <v>1</v>
      </c>
      <c r="D20" s="148">
        <v>22</v>
      </c>
      <c r="E20" s="145" t="s">
        <v>1138</v>
      </c>
      <c r="F20" s="144" t="s">
        <v>35</v>
      </c>
      <c r="G20" s="144" t="s">
        <v>1422</v>
      </c>
    </row>
    <row r="21" spans="1:7" x14ac:dyDescent="0.35">
      <c r="A21" s="144" t="s">
        <v>6</v>
      </c>
      <c r="B21" s="144" t="s">
        <v>219</v>
      </c>
      <c r="C21" s="188">
        <v>1</v>
      </c>
      <c r="D21" s="155">
        <v>37</v>
      </c>
      <c r="E21" s="145" t="s">
        <v>876</v>
      </c>
      <c r="F21" s="144" t="s">
        <v>36</v>
      </c>
      <c r="G21" s="144" t="s">
        <v>1423</v>
      </c>
    </row>
    <row r="22" spans="1:7" x14ac:dyDescent="0.35">
      <c r="A22" s="144" t="s">
        <v>6</v>
      </c>
      <c r="B22" s="144" t="s">
        <v>219</v>
      </c>
      <c r="C22" s="188">
        <v>1</v>
      </c>
      <c r="D22" s="148">
        <v>22</v>
      </c>
      <c r="E22" s="145" t="s">
        <v>876</v>
      </c>
      <c r="F22" s="144" t="s">
        <v>35</v>
      </c>
      <c r="G22" s="144" t="s">
        <v>1423</v>
      </c>
    </row>
    <row r="23" spans="1:7" x14ac:dyDescent="0.35">
      <c r="A23" s="144" t="s">
        <v>6</v>
      </c>
      <c r="B23" s="144" t="s">
        <v>1425</v>
      </c>
      <c r="C23" s="188">
        <v>1</v>
      </c>
      <c r="D23" s="148">
        <v>22</v>
      </c>
      <c r="E23" s="145" t="s">
        <v>51</v>
      </c>
      <c r="F23" s="144" t="s">
        <v>35</v>
      </c>
      <c r="G23" s="144" t="s">
        <v>1424</v>
      </c>
    </row>
    <row r="24" spans="1:7" x14ac:dyDescent="0.35">
      <c r="A24" s="144" t="s">
        <v>6</v>
      </c>
      <c r="B24" s="144" t="s">
        <v>72</v>
      </c>
      <c r="C24" s="188">
        <v>1</v>
      </c>
      <c r="D24" s="155">
        <v>37</v>
      </c>
      <c r="E24" s="145" t="s">
        <v>1138</v>
      </c>
      <c r="F24" s="144" t="s">
        <v>36</v>
      </c>
      <c r="G24" s="144" t="s">
        <v>1427</v>
      </c>
    </row>
    <row r="25" spans="1:7" x14ac:dyDescent="0.35">
      <c r="A25" s="144" t="s">
        <v>23</v>
      </c>
      <c r="B25" s="144" t="s">
        <v>244</v>
      </c>
      <c r="C25" s="188">
        <v>1</v>
      </c>
      <c r="D25" s="148">
        <v>56</v>
      </c>
      <c r="E25" s="145" t="s">
        <v>64</v>
      </c>
      <c r="F25" s="144" t="s">
        <v>34</v>
      </c>
      <c r="G25" s="144" t="s">
        <v>1428</v>
      </c>
    </row>
    <row r="26" spans="1:7" x14ac:dyDescent="0.35">
      <c r="A26" s="144" t="s">
        <v>23</v>
      </c>
      <c r="B26" s="144" t="s">
        <v>244</v>
      </c>
      <c r="C26" s="188">
        <v>1</v>
      </c>
      <c r="D26" s="148">
        <v>56</v>
      </c>
      <c r="E26" s="145" t="s">
        <v>64</v>
      </c>
      <c r="F26" s="144" t="s">
        <v>34</v>
      </c>
      <c r="G26" s="144" t="s">
        <v>1429</v>
      </c>
    </row>
    <row r="27" spans="1:7" x14ac:dyDescent="0.35">
      <c r="A27" s="144" t="s">
        <v>23</v>
      </c>
      <c r="B27" s="144" t="s">
        <v>244</v>
      </c>
      <c r="C27" s="188">
        <v>1</v>
      </c>
      <c r="D27" s="148">
        <v>22</v>
      </c>
      <c r="E27" s="145" t="s">
        <v>64</v>
      </c>
      <c r="F27" s="144" t="s">
        <v>35</v>
      </c>
      <c r="G27" s="144" t="s">
        <v>1429</v>
      </c>
    </row>
    <row r="28" spans="1:7" x14ac:dyDescent="0.35">
      <c r="A28" s="144" t="s">
        <v>6</v>
      </c>
      <c r="B28" s="144" t="s">
        <v>219</v>
      </c>
      <c r="C28" s="188">
        <v>1</v>
      </c>
      <c r="D28" s="148">
        <v>22</v>
      </c>
      <c r="E28" s="145" t="s">
        <v>876</v>
      </c>
      <c r="F28" s="144" t="s">
        <v>35</v>
      </c>
      <c r="G28" s="144" t="s">
        <v>1430</v>
      </c>
    </row>
    <row r="29" spans="1:7" x14ac:dyDescent="0.35">
      <c r="A29" s="144" t="s">
        <v>6</v>
      </c>
      <c r="B29" s="144" t="s">
        <v>219</v>
      </c>
      <c r="C29" s="188">
        <v>1</v>
      </c>
      <c r="D29" s="155">
        <v>37</v>
      </c>
      <c r="E29" s="145" t="s">
        <v>876</v>
      </c>
      <c r="F29" s="144" t="s">
        <v>36</v>
      </c>
      <c r="G29" s="144" t="s">
        <v>1431</v>
      </c>
    </row>
    <row r="30" spans="1:7" x14ac:dyDescent="0.35">
      <c r="A30" s="144"/>
      <c r="B30" s="144"/>
      <c r="C30" s="144"/>
      <c r="D30" s="144"/>
      <c r="E30" s="144"/>
      <c r="F30" s="144"/>
      <c r="G30" s="144"/>
    </row>
    <row r="31" spans="1:7" x14ac:dyDescent="0.35">
      <c r="A31" s="144"/>
      <c r="B31" s="144"/>
      <c r="C31" s="144"/>
      <c r="D31" s="144"/>
      <c r="E31" s="144"/>
      <c r="F31" s="144"/>
      <c r="G31" s="144"/>
    </row>
    <row r="32" spans="1:7" x14ac:dyDescent="0.35">
      <c r="A32" s="144"/>
      <c r="B32" s="144"/>
      <c r="C32" s="144"/>
      <c r="D32" s="144"/>
      <c r="E32" s="144"/>
      <c r="F32" s="144"/>
      <c r="G32" s="144"/>
    </row>
    <row r="33" spans="1:7" x14ac:dyDescent="0.35">
      <c r="A33" s="144"/>
      <c r="B33" s="144"/>
      <c r="C33" s="144"/>
      <c r="D33" s="144"/>
      <c r="E33" s="144"/>
      <c r="F33" s="144"/>
      <c r="G33" s="144"/>
    </row>
    <row r="34" spans="1:7" x14ac:dyDescent="0.35">
      <c r="A34" s="144"/>
      <c r="B34" s="144"/>
      <c r="C34" s="144"/>
      <c r="D34" s="144"/>
      <c r="E34" s="144"/>
      <c r="F34" s="144"/>
      <c r="G34" s="144"/>
    </row>
    <row r="35" spans="1:7" x14ac:dyDescent="0.35">
      <c r="A35" s="144"/>
      <c r="B35" s="144"/>
      <c r="C35" s="144"/>
      <c r="D35" s="144"/>
      <c r="E35" s="144"/>
      <c r="F35" s="144"/>
      <c r="G35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90A7-78ED-41AC-BEC3-E0ED705F664D}">
  <dimension ref="A1:K32"/>
  <sheetViews>
    <sheetView workbookViewId="0">
      <selection activeCell="G35" sqref="G35"/>
    </sheetView>
  </sheetViews>
  <sheetFormatPr defaultRowHeight="14.5" x14ac:dyDescent="0.35"/>
  <cols>
    <col min="1" max="1" width="13.26953125" customWidth="1"/>
    <col min="2" max="2" width="18.81640625" customWidth="1"/>
    <col min="3" max="3" width="12.81640625" customWidth="1"/>
    <col min="4" max="4" width="17.7265625" bestFit="1" customWidth="1"/>
    <col min="5" max="5" width="42" customWidth="1"/>
    <col min="6" max="6" width="43.7265625" customWidth="1"/>
    <col min="7" max="7" width="59.1796875" customWidth="1"/>
    <col min="8" max="8" width="12.7265625" customWidth="1"/>
  </cols>
  <sheetData>
    <row r="1" spans="1:8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8" ht="14.25" customHeight="1" thickBot="1" x14ac:dyDescent="0.4">
      <c r="A2" s="189"/>
      <c r="B2" s="189"/>
      <c r="C2" s="189"/>
      <c r="D2" s="189"/>
      <c r="E2" s="189"/>
      <c r="F2" s="189"/>
      <c r="G2" s="189"/>
    </row>
    <row r="3" spans="1:8" ht="15" customHeight="1" x14ac:dyDescent="0.35">
      <c r="A3" s="6" t="s">
        <v>28</v>
      </c>
      <c r="B3" s="7" t="s">
        <v>1459</v>
      </c>
      <c r="C3" s="189"/>
      <c r="D3" s="189"/>
      <c r="E3" s="189"/>
      <c r="F3" s="189"/>
      <c r="G3" s="189"/>
    </row>
    <row r="4" spans="1:8" ht="14.25" customHeight="1" x14ac:dyDescent="0.35">
      <c r="A4" s="8" t="s">
        <v>29</v>
      </c>
      <c r="B4" s="9">
        <v>45573</v>
      </c>
      <c r="C4" s="189"/>
      <c r="D4" s="189"/>
      <c r="E4" s="189"/>
      <c r="F4" s="189"/>
      <c r="G4" s="189"/>
    </row>
    <row r="5" spans="1:8" ht="16.5" customHeight="1" thickBot="1" x14ac:dyDescent="0.4">
      <c r="A5" s="10" t="s">
        <v>30</v>
      </c>
      <c r="B5" s="177" t="s">
        <v>1325</v>
      </c>
      <c r="C5" s="189"/>
      <c r="D5" s="189"/>
      <c r="E5" s="189"/>
      <c r="F5" s="189"/>
      <c r="G5" s="189"/>
    </row>
    <row r="6" spans="1:8" ht="15" customHeight="1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8" x14ac:dyDescent="0.35">
      <c r="A9" s="144" t="s">
        <v>6</v>
      </c>
      <c r="B9" s="144" t="s">
        <v>1425</v>
      </c>
      <c r="C9" s="188">
        <v>1</v>
      </c>
      <c r="D9" s="148">
        <v>22</v>
      </c>
      <c r="E9" s="145" t="s">
        <v>51</v>
      </c>
      <c r="F9" s="144" t="s">
        <v>35</v>
      </c>
      <c r="G9" s="144" t="s">
        <v>1432</v>
      </c>
      <c r="H9" s="207"/>
    </row>
    <row r="10" spans="1:8" x14ac:dyDescent="0.35">
      <c r="A10" s="144" t="s">
        <v>23</v>
      </c>
      <c r="B10" s="144" t="s">
        <v>211</v>
      </c>
      <c r="C10" s="188">
        <v>1</v>
      </c>
      <c r="D10" s="148">
        <v>22</v>
      </c>
      <c r="E10" s="145" t="s">
        <v>62</v>
      </c>
      <c r="F10" s="144" t="s">
        <v>35</v>
      </c>
      <c r="G10" s="144" t="s">
        <v>1433</v>
      </c>
    </row>
    <row r="11" spans="1:8" x14ac:dyDescent="0.35">
      <c r="A11" s="144" t="s">
        <v>6</v>
      </c>
      <c r="B11" s="144" t="s">
        <v>219</v>
      </c>
      <c r="C11" s="188">
        <v>1</v>
      </c>
      <c r="D11" s="148">
        <v>56</v>
      </c>
      <c r="E11" s="145" t="s">
        <v>876</v>
      </c>
      <c r="F11" s="144" t="s">
        <v>34</v>
      </c>
      <c r="G11" s="144" t="s">
        <v>1434</v>
      </c>
    </row>
    <row r="12" spans="1:8" x14ac:dyDescent="0.35">
      <c r="A12" s="144" t="s">
        <v>6</v>
      </c>
      <c r="B12" s="144" t="s">
        <v>219</v>
      </c>
      <c r="C12" s="188">
        <v>1</v>
      </c>
      <c r="D12" s="148">
        <v>22</v>
      </c>
      <c r="E12" s="145" t="s">
        <v>876</v>
      </c>
      <c r="F12" s="144" t="s">
        <v>35</v>
      </c>
      <c r="G12" s="144" t="s">
        <v>1434</v>
      </c>
    </row>
    <row r="13" spans="1:8" x14ac:dyDescent="0.35">
      <c r="A13" s="144" t="s">
        <v>6</v>
      </c>
      <c r="B13" s="144" t="s">
        <v>219</v>
      </c>
      <c r="C13" s="188">
        <v>1</v>
      </c>
      <c r="D13" s="148">
        <v>22</v>
      </c>
      <c r="E13" s="145" t="s">
        <v>876</v>
      </c>
      <c r="F13" s="144" t="s">
        <v>35</v>
      </c>
      <c r="G13" s="144" t="s">
        <v>1435</v>
      </c>
    </row>
    <row r="14" spans="1:8" x14ac:dyDescent="0.35">
      <c r="A14" s="144" t="s">
        <v>23</v>
      </c>
      <c r="B14" s="144" t="s">
        <v>211</v>
      </c>
      <c r="C14" s="188">
        <v>1</v>
      </c>
      <c r="D14" s="148">
        <v>22</v>
      </c>
      <c r="E14" s="145" t="s">
        <v>62</v>
      </c>
      <c r="F14" s="144" t="s">
        <v>35</v>
      </c>
      <c r="G14" s="144" t="s">
        <v>1436</v>
      </c>
    </row>
    <row r="15" spans="1:8" x14ac:dyDescent="0.35">
      <c r="A15" s="144" t="s">
        <v>6</v>
      </c>
      <c r="B15" s="144" t="s">
        <v>219</v>
      </c>
      <c r="C15" s="188">
        <v>1</v>
      </c>
      <c r="D15" s="148">
        <v>56</v>
      </c>
      <c r="E15" s="145" t="s">
        <v>876</v>
      </c>
      <c r="F15" s="144" t="s">
        <v>34</v>
      </c>
      <c r="G15" s="144" t="s">
        <v>1437</v>
      </c>
    </row>
    <row r="16" spans="1:8" x14ac:dyDescent="0.35">
      <c r="A16" s="144" t="s">
        <v>6</v>
      </c>
      <c r="B16" s="144" t="s">
        <v>219</v>
      </c>
      <c r="C16" s="188">
        <v>1</v>
      </c>
      <c r="D16" s="148">
        <v>22</v>
      </c>
      <c r="E16" s="145" t="s">
        <v>876</v>
      </c>
      <c r="F16" s="144" t="s">
        <v>35</v>
      </c>
      <c r="G16" s="144" t="s">
        <v>1437</v>
      </c>
    </row>
    <row r="17" spans="1:11" x14ac:dyDescent="0.35">
      <c r="A17" s="144" t="s">
        <v>6</v>
      </c>
      <c r="B17" s="144" t="s">
        <v>142</v>
      </c>
      <c r="C17" s="188">
        <v>1</v>
      </c>
      <c r="D17" s="148">
        <v>56</v>
      </c>
      <c r="E17" s="145" t="s">
        <v>44</v>
      </c>
      <c r="F17" s="144" t="s">
        <v>34</v>
      </c>
      <c r="G17" s="144" t="s">
        <v>1438</v>
      </c>
    </row>
    <row r="18" spans="1:11" x14ac:dyDescent="0.35">
      <c r="A18" s="144" t="s">
        <v>6</v>
      </c>
      <c r="B18" s="144" t="s">
        <v>142</v>
      </c>
      <c r="C18" s="188">
        <v>1</v>
      </c>
      <c r="D18" s="148">
        <v>22</v>
      </c>
      <c r="E18" s="145" t="s">
        <v>44</v>
      </c>
      <c r="F18" s="144" t="s">
        <v>35</v>
      </c>
      <c r="G18" s="144" t="s">
        <v>1438</v>
      </c>
    </row>
    <row r="19" spans="1:11" x14ac:dyDescent="0.35">
      <c r="A19" s="144" t="s">
        <v>6</v>
      </c>
      <c r="B19" s="144" t="s">
        <v>142</v>
      </c>
      <c r="C19" s="188">
        <v>1</v>
      </c>
      <c r="D19" s="148">
        <v>56</v>
      </c>
      <c r="E19" s="145" t="s">
        <v>44</v>
      </c>
      <c r="F19" s="144" t="s">
        <v>34</v>
      </c>
      <c r="G19" s="144" t="s">
        <v>1439</v>
      </c>
    </row>
    <row r="20" spans="1:11" x14ac:dyDescent="0.35">
      <c r="A20" s="144" t="s">
        <v>6</v>
      </c>
      <c r="B20" s="144" t="s">
        <v>142</v>
      </c>
      <c r="C20" s="188">
        <v>1</v>
      </c>
      <c r="D20" s="148">
        <v>22</v>
      </c>
      <c r="E20" s="145" t="s">
        <v>44</v>
      </c>
      <c r="F20" s="144" t="s">
        <v>35</v>
      </c>
      <c r="G20" s="144" t="s">
        <v>1439</v>
      </c>
    </row>
    <row r="21" spans="1:11" x14ac:dyDescent="0.35">
      <c r="A21" s="144" t="s">
        <v>6</v>
      </c>
      <c r="B21" s="144" t="s">
        <v>304</v>
      </c>
      <c r="C21" s="188">
        <v>1</v>
      </c>
      <c r="D21" s="148">
        <v>22</v>
      </c>
      <c r="E21" s="145" t="s">
        <v>52</v>
      </c>
      <c r="F21" s="144" t="s">
        <v>35</v>
      </c>
      <c r="G21" s="144" t="s">
        <v>1440</v>
      </c>
    </row>
    <row r="22" spans="1:11" x14ac:dyDescent="0.35">
      <c r="A22" s="144" t="s">
        <v>23</v>
      </c>
      <c r="B22" s="144" t="s">
        <v>211</v>
      </c>
      <c r="C22" s="188">
        <v>1</v>
      </c>
      <c r="D22" s="148">
        <v>56</v>
      </c>
      <c r="E22" s="145" t="s">
        <v>62</v>
      </c>
      <c r="F22" s="144" t="s">
        <v>34</v>
      </c>
      <c r="G22" s="144" t="s">
        <v>1441</v>
      </c>
    </row>
    <row r="23" spans="1:11" x14ac:dyDescent="0.35">
      <c r="A23" s="144" t="s">
        <v>23</v>
      </c>
      <c r="B23" s="144" t="s">
        <v>244</v>
      </c>
      <c r="C23" s="188">
        <v>1</v>
      </c>
      <c r="D23" s="148">
        <v>22</v>
      </c>
      <c r="E23" s="145" t="s">
        <v>64</v>
      </c>
      <c r="F23" s="144" t="s">
        <v>35</v>
      </c>
      <c r="G23" s="144" t="s">
        <v>1442</v>
      </c>
    </row>
    <row r="24" spans="1:11" x14ac:dyDescent="0.35">
      <c r="A24" s="144" t="s">
        <v>23</v>
      </c>
      <c r="B24" s="144" t="s">
        <v>211</v>
      </c>
      <c r="C24" s="188">
        <v>1</v>
      </c>
      <c r="D24" s="148">
        <v>22</v>
      </c>
      <c r="E24" s="145" t="s">
        <v>62</v>
      </c>
      <c r="F24" s="144" t="s">
        <v>35</v>
      </c>
      <c r="G24" s="144" t="s">
        <v>1443</v>
      </c>
    </row>
    <row r="25" spans="1:11" x14ac:dyDescent="0.35">
      <c r="A25" s="144" t="s">
        <v>6</v>
      </c>
      <c r="B25" s="144" t="s">
        <v>219</v>
      </c>
      <c r="C25" s="188">
        <v>1</v>
      </c>
      <c r="D25" s="148">
        <v>56</v>
      </c>
      <c r="E25" s="14" t="s">
        <v>876</v>
      </c>
      <c r="F25" s="144" t="s">
        <v>34</v>
      </c>
      <c r="G25" s="144" t="s">
        <v>1444</v>
      </c>
    </row>
    <row r="26" spans="1:11" x14ac:dyDescent="0.35">
      <c r="A26" s="144" t="s">
        <v>6</v>
      </c>
      <c r="B26" s="144" t="s">
        <v>219</v>
      </c>
      <c r="C26" s="188">
        <v>1</v>
      </c>
      <c r="D26" s="155">
        <v>37</v>
      </c>
      <c r="E26" s="14" t="s">
        <v>876</v>
      </c>
      <c r="F26" s="144" t="s">
        <v>36</v>
      </c>
      <c r="G26" s="144" t="s">
        <v>1444</v>
      </c>
    </row>
    <row r="27" spans="1:11" x14ac:dyDescent="0.35">
      <c r="A27" s="208" t="s">
        <v>6</v>
      </c>
      <c r="B27" s="208" t="s">
        <v>219</v>
      </c>
      <c r="C27" s="209">
        <v>1</v>
      </c>
      <c r="D27" s="210">
        <v>22</v>
      </c>
      <c r="E27" s="14" t="s">
        <v>876</v>
      </c>
      <c r="F27" s="208" t="s">
        <v>35</v>
      </c>
      <c r="G27" s="208" t="s">
        <v>1445</v>
      </c>
    </row>
    <row r="28" spans="1:11" x14ac:dyDescent="0.35">
      <c r="A28" s="144" t="s">
        <v>23</v>
      </c>
      <c r="B28" s="144" t="s">
        <v>244</v>
      </c>
      <c r="C28" s="188">
        <v>1</v>
      </c>
      <c r="D28" s="148">
        <v>56</v>
      </c>
      <c r="E28" s="145" t="s">
        <v>64</v>
      </c>
      <c r="F28" s="144" t="s">
        <v>34</v>
      </c>
      <c r="G28" s="144" t="s">
        <v>1446</v>
      </c>
    </row>
    <row r="29" spans="1:11" x14ac:dyDescent="0.35">
      <c r="A29" s="144" t="s">
        <v>23</v>
      </c>
      <c r="B29" s="144" t="s">
        <v>244</v>
      </c>
      <c r="C29" s="188">
        <v>1</v>
      </c>
      <c r="D29" s="155">
        <v>37</v>
      </c>
      <c r="E29" s="145" t="s">
        <v>64</v>
      </c>
      <c r="F29" s="144" t="s">
        <v>36</v>
      </c>
      <c r="G29" s="144" t="s">
        <v>1446</v>
      </c>
    </row>
    <row r="30" spans="1:11" x14ac:dyDescent="0.35">
      <c r="A30" s="144"/>
      <c r="B30" s="144" t="s">
        <v>163</v>
      </c>
      <c r="C30" s="188">
        <v>1</v>
      </c>
      <c r="D30" s="148">
        <v>56</v>
      </c>
      <c r="E30" s="145" t="s">
        <v>56</v>
      </c>
      <c r="F30" s="144" t="s">
        <v>34</v>
      </c>
      <c r="G30" s="144" t="s">
        <v>1447</v>
      </c>
      <c r="K30" s="96"/>
    </row>
    <row r="31" spans="1:11" x14ac:dyDescent="0.35">
      <c r="A31" s="144"/>
      <c r="B31" s="144" t="s">
        <v>163</v>
      </c>
      <c r="C31" s="188">
        <v>1</v>
      </c>
      <c r="D31" s="148">
        <v>22</v>
      </c>
      <c r="E31" s="145" t="s">
        <v>56</v>
      </c>
      <c r="F31" s="144" t="s">
        <v>35</v>
      </c>
      <c r="G31" s="144" t="s">
        <v>1447</v>
      </c>
    </row>
    <row r="32" spans="1:11" x14ac:dyDescent="0.35">
      <c r="A32" s="144"/>
      <c r="B32" s="144"/>
      <c r="C32" s="188">
        <v>1</v>
      </c>
      <c r="D32" s="144"/>
      <c r="E32" s="144"/>
      <c r="F32" s="144"/>
      <c r="G32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D7A3-13FA-4673-93BC-0B4AD6601DE3}">
  <dimension ref="A1:H80"/>
  <sheetViews>
    <sheetView workbookViewId="0">
      <selection activeCell="B5" sqref="B5"/>
    </sheetView>
  </sheetViews>
  <sheetFormatPr defaultRowHeight="14.5" x14ac:dyDescent="0.35"/>
  <cols>
    <col min="1" max="1" width="12.81640625" customWidth="1"/>
    <col min="2" max="2" width="17.81640625" customWidth="1"/>
    <col min="3" max="3" width="12" customWidth="1"/>
    <col min="4" max="4" width="19.1796875" customWidth="1"/>
    <col min="5" max="5" width="50.453125" customWidth="1"/>
    <col min="6" max="6" width="46.54296875" customWidth="1"/>
    <col min="7" max="7" width="51.453125" customWidth="1"/>
    <col min="8" max="8" width="34.5429687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16.5" customHeight="1" thickBot="1" x14ac:dyDescent="0.4">
      <c r="A2" s="189"/>
      <c r="B2" s="189"/>
      <c r="C2" s="189"/>
      <c r="D2" s="189"/>
      <c r="E2" s="189"/>
      <c r="F2" s="189"/>
      <c r="G2" s="189"/>
    </row>
    <row r="3" spans="1:7" ht="15" customHeight="1" x14ac:dyDescent="0.35">
      <c r="A3" s="6" t="s">
        <v>28</v>
      </c>
      <c r="B3" s="7" t="s">
        <v>1533</v>
      </c>
      <c r="C3" s="189"/>
      <c r="D3" s="189"/>
      <c r="E3" s="189"/>
      <c r="F3" s="189"/>
      <c r="G3" s="189"/>
    </row>
    <row r="4" spans="1:7" ht="15" customHeight="1" x14ac:dyDescent="0.35">
      <c r="A4" s="8" t="s">
        <v>29</v>
      </c>
      <c r="B4" s="9">
        <v>45607</v>
      </c>
      <c r="C4" s="189"/>
      <c r="D4" s="189"/>
      <c r="E4" s="189"/>
      <c r="F4" s="189"/>
      <c r="G4" s="189"/>
    </row>
    <row r="5" spans="1:7" ht="15" customHeight="1" thickBot="1" x14ac:dyDescent="0.4">
      <c r="A5" s="10" t="s">
        <v>30</v>
      </c>
      <c r="B5" s="177" t="s">
        <v>1534</v>
      </c>
      <c r="C5" s="189"/>
      <c r="D5" s="189"/>
      <c r="E5" s="189"/>
      <c r="F5" s="189"/>
      <c r="G5" s="189"/>
    </row>
    <row r="6" spans="1:7" ht="15.75" customHeight="1" x14ac:dyDescent="0.35">
      <c r="A6" s="1"/>
      <c r="B6" s="190"/>
      <c r="C6" s="189"/>
      <c r="D6" s="189"/>
      <c r="E6" s="189"/>
      <c r="F6" s="189"/>
      <c r="G6" s="189"/>
    </row>
    <row r="7" spans="1:7" ht="15" customHeight="1" x14ac:dyDescent="0.35"/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23</v>
      </c>
      <c r="B9" s="144" t="s">
        <v>211</v>
      </c>
      <c r="C9" s="188">
        <v>1</v>
      </c>
      <c r="D9" s="148">
        <v>56</v>
      </c>
      <c r="E9" s="145" t="s">
        <v>62</v>
      </c>
      <c r="F9" s="144" t="s">
        <v>34</v>
      </c>
      <c r="G9" s="144" t="s">
        <v>1457</v>
      </c>
    </row>
    <row r="10" spans="1:7" x14ac:dyDescent="0.35">
      <c r="A10" s="144" t="s">
        <v>23</v>
      </c>
      <c r="B10" s="144" t="s">
        <v>211</v>
      </c>
      <c r="C10" s="188">
        <v>1</v>
      </c>
      <c r="D10" s="148">
        <v>22</v>
      </c>
      <c r="E10" s="145" t="s">
        <v>62</v>
      </c>
      <c r="F10" s="144" t="s">
        <v>35</v>
      </c>
      <c r="G10" s="144" t="s">
        <v>1457</v>
      </c>
    </row>
    <row r="11" spans="1:7" x14ac:dyDescent="0.35">
      <c r="A11" s="144" t="s">
        <v>23</v>
      </c>
      <c r="B11" s="144" t="s">
        <v>211</v>
      </c>
      <c r="C11" s="188">
        <v>1</v>
      </c>
      <c r="D11" s="148">
        <v>56</v>
      </c>
      <c r="E11" s="145" t="s">
        <v>62</v>
      </c>
      <c r="F11" s="144" t="s">
        <v>34</v>
      </c>
      <c r="G11" s="144" t="s">
        <v>1458</v>
      </c>
    </row>
    <row r="12" spans="1:7" x14ac:dyDescent="0.35">
      <c r="A12" s="144" t="s">
        <v>6</v>
      </c>
      <c r="B12" s="144" t="s">
        <v>219</v>
      </c>
      <c r="C12" s="188">
        <v>1</v>
      </c>
      <c r="D12" s="148">
        <v>22</v>
      </c>
      <c r="E12" s="145" t="s">
        <v>876</v>
      </c>
      <c r="F12" s="144" t="s">
        <v>35</v>
      </c>
      <c r="G12" s="144" t="s">
        <v>1460</v>
      </c>
    </row>
    <row r="13" spans="1:7" x14ac:dyDescent="0.35">
      <c r="A13" s="144" t="s">
        <v>23</v>
      </c>
      <c r="B13" s="144" t="s">
        <v>211</v>
      </c>
      <c r="C13" s="188">
        <v>1</v>
      </c>
      <c r="D13" s="126">
        <v>166.1</v>
      </c>
      <c r="E13" s="145" t="s">
        <v>62</v>
      </c>
      <c r="F13" s="124" t="s">
        <v>992</v>
      </c>
      <c r="G13" s="144" t="s">
        <v>1353</v>
      </c>
    </row>
    <row r="14" spans="1:7" x14ac:dyDescent="0.35">
      <c r="A14" s="144" t="s">
        <v>6</v>
      </c>
      <c r="B14" s="144" t="s">
        <v>219</v>
      </c>
      <c r="C14" s="188">
        <v>1</v>
      </c>
      <c r="D14" s="126">
        <v>137.5</v>
      </c>
      <c r="E14" s="145" t="s">
        <v>876</v>
      </c>
      <c r="F14" s="124" t="s">
        <v>989</v>
      </c>
      <c r="G14" s="144" t="s">
        <v>1461</v>
      </c>
    </row>
    <row r="15" spans="1:7" x14ac:dyDescent="0.35">
      <c r="A15" s="144" t="s">
        <v>6</v>
      </c>
      <c r="B15" s="144" t="s">
        <v>219</v>
      </c>
      <c r="C15" s="188">
        <v>1</v>
      </c>
      <c r="D15" s="126">
        <v>166.1</v>
      </c>
      <c r="E15" s="145" t="s">
        <v>876</v>
      </c>
      <c r="F15" s="124" t="s">
        <v>992</v>
      </c>
      <c r="G15" s="144" t="s">
        <v>1462</v>
      </c>
    </row>
    <row r="16" spans="1:7" x14ac:dyDescent="0.35">
      <c r="A16" s="144" t="s">
        <v>6</v>
      </c>
      <c r="B16" s="144" t="s">
        <v>219</v>
      </c>
      <c r="C16" s="188">
        <v>1</v>
      </c>
      <c r="D16" s="126">
        <v>166.1</v>
      </c>
      <c r="E16" s="145" t="s">
        <v>876</v>
      </c>
      <c r="F16" s="124" t="s">
        <v>992</v>
      </c>
      <c r="G16" s="144" t="s">
        <v>1463</v>
      </c>
    </row>
    <row r="17" spans="1:8" x14ac:dyDescent="0.35">
      <c r="A17" s="144" t="s">
        <v>6</v>
      </c>
      <c r="B17" s="144" t="s">
        <v>219</v>
      </c>
      <c r="C17" s="188">
        <v>1</v>
      </c>
      <c r="D17" s="126">
        <v>137.5</v>
      </c>
      <c r="E17" s="145" t="s">
        <v>876</v>
      </c>
      <c r="F17" s="124" t="s">
        <v>989</v>
      </c>
      <c r="G17" s="144" t="s">
        <v>1464</v>
      </c>
    </row>
    <row r="18" spans="1:8" x14ac:dyDescent="0.35">
      <c r="A18" s="144" t="s">
        <v>6</v>
      </c>
      <c r="B18" s="144" t="s">
        <v>219</v>
      </c>
      <c r="C18" s="188">
        <v>1</v>
      </c>
      <c r="D18" s="126">
        <v>166.1</v>
      </c>
      <c r="E18" s="145" t="s">
        <v>876</v>
      </c>
      <c r="F18" s="124" t="s">
        <v>992</v>
      </c>
      <c r="G18" s="144" t="s">
        <v>1465</v>
      </c>
    </row>
    <row r="19" spans="1:8" x14ac:dyDescent="0.35">
      <c r="A19" s="144" t="s">
        <v>6</v>
      </c>
      <c r="B19" s="144" t="s">
        <v>219</v>
      </c>
      <c r="C19" s="188">
        <v>1</v>
      </c>
      <c r="D19" s="126">
        <v>137.5</v>
      </c>
      <c r="E19" s="145" t="s">
        <v>876</v>
      </c>
      <c r="F19" s="124" t="s">
        <v>989</v>
      </c>
      <c r="G19" s="144" t="s">
        <v>1466</v>
      </c>
    </row>
    <row r="20" spans="1:8" x14ac:dyDescent="0.35">
      <c r="A20" s="144" t="s">
        <v>6</v>
      </c>
      <c r="B20" s="144" t="s">
        <v>219</v>
      </c>
      <c r="C20" s="188">
        <v>1</v>
      </c>
      <c r="D20" s="126">
        <v>166.1</v>
      </c>
      <c r="E20" s="145" t="s">
        <v>876</v>
      </c>
      <c r="F20" s="124" t="s">
        <v>992</v>
      </c>
      <c r="G20" s="144" t="s">
        <v>1467</v>
      </c>
    </row>
    <row r="21" spans="1:8" x14ac:dyDescent="0.35">
      <c r="A21" s="144" t="s">
        <v>6</v>
      </c>
      <c r="B21" s="144" t="s">
        <v>219</v>
      </c>
      <c r="C21" s="188">
        <v>1</v>
      </c>
      <c r="D21" s="126">
        <v>137.5</v>
      </c>
      <c r="E21" s="145" t="s">
        <v>876</v>
      </c>
      <c r="F21" s="124" t="s">
        <v>989</v>
      </c>
      <c r="G21" s="144" t="s">
        <v>1468</v>
      </c>
    </row>
    <row r="22" spans="1:8" x14ac:dyDescent="0.35">
      <c r="A22" s="144" t="s">
        <v>6</v>
      </c>
      <c r="B22" s="144" t="s">
        <v>219</v>
      </c>
      <c r="C22" s="188">
        <v>1</v>
      </c>
      <c r="D22" s="126">
        <v>137.5</v>
      </c>
      <c r="E22" s="145" t="s">
        <v>876</v>
      </c>
      <c r="F22" s="124" t="s">
        <v>989</v>
      </c>
      <c r="G22" s="144" t="s">
        <v>1469</v>
      </c>
    </row>
    <row r="23" spans="1:8" x14ac:dyDescent="0.35">
      <c r="A23" s="144" t="s">
        <v>6</v>
      </c>
      <c r="B23" s="144" t="s">
        <v>219</v>
      </c>
      <c r="C23" s="188">
        <v>1</v>
      </c>
      <c r="D23" s="126">
        <v>137.5</v>
      </c>
      <c r="E23" s="145" t="s">
        <v>876</v>
      </c>
      <c r="F23" s="124" t="s">
        <v>989</v>
      </c>
      <c r="G23" s="144" t="s">
        <v>1470</v>
      </c>
    </row>
    <row r="24" spans="1:8" x14ac:dyDescent="0.35">
      <c r="A24" s="144" t="s">
        <v>23</v>
      </c>
      <c r="B24" s="144" t="s">
        <v>211</v>
      </c>
      <c r="C24" s="188">
        <v>1</v>
      </c>
      <c r="D24" s="148">
        <v>22</v>
      </c>
      <c r="E24" s="145" t="s">
        <v>62</v>
      </c>
      <c r="F24" s="144" t="s">
        <v>35</v>
      </c>
      <c r="G24" s="144" t="s">
        <v>1471</v>
      </c>
    </row>
    <row r="25" spans="1:8" x14ac:dyDescent="0.35">
      <c r="A25" s="144" t="s">
        <v>6</v>
      </c>
      <c r="B25" s="144" t="s">
        <v>1382</v>
      </c>
      <c r="C25" s="134">
        <v>1</v>
      </c>
      <c r="D25" s="215">
        <v>56</v>
      </c>
      <c r="E25" s="214" t="s">
        <v>51</v>
      </c>
      <c r="F25" s="216" t="s">
        <v>34</v>
      </c>
      <c r="G25" s="216" t="s">
        <v>1472</v>
      </c>
      <c r="H25" s="213"/>
    </row>
    <row r="26" spans="1:8" x14ac:dyDescent="0.35">
      <c r="A26" s="144" t="s">
        <v>6</v>
      </c>
      <c r="B26" s="144" t="s">
        <v>1382</v>
      </c>
      <c r="C26" s="134">
        <v>1</v>
      </c>
      <c r="D26" s="215">
        <v>22</v>
      </c>
      <c r="E26" s="214" t="s">
        <v>51</v>
      </c>
      <c r="F26" s="216" t="s">
        <v>35</v>
      </c>
      <c r="G26" s="216" t="s">
        <v>1472</v>
      </c>
      <c r="H26" s="213"/>
    </row>
    <row r="27" spans="1:8" x14ac:dyDescent="0.35">
      <c r="A27" s="144" t="s">
        <v>23</v>
      </c>
      <c r="B27" s="144" t="s">
        <v>244</v>
      </c>
      <c r="C27" s="188">
        <v>1</v>
      </c>
      <c r="D27" s="148">
        <v>56</v>
      </c>
      <c r="E27" s="145" t="s">
        <v>64</v>
      </c>
      <c r="F27" s="144" t="s">
        <v>34</v>
      </c>
      <c r="G27" s="144" t="s">
        <v>1473</v>
      </c>
    </row>
    <row r="28" spans="1:8" x14ac:dyDescent="0.35">
      <c r="A28" s="144" t="s">
        <v>23</v>
      </c>
      <c r="B28" s="144" t="s">
        <v>244</v>
      </c>
      <c r="C28" s="188">
        <v>1</v>
      </c>
      <c r="D28" s="148">
        <v>22</v>
      </c>
      <c r="E28" s="145" t="s">
        <v>64</v>
      </c>
      <c r="F28" s="144" t="s">
        <v>35</v>
      </c>
      <c r="G28" s="144" t="s">
        <v>1473</v>
      </c>
    </row>
    <row r="29" spans="1:8" x14ac:dyDescent="0.35">
      <c r="A29" s="144" t="s">
        <v>23</v>
      </c>
      <c r="B29" s="144" t="s">
        <v>244</v>
      </c>
      <c r="C29" s="188">
        <v>1</v>
      </c>
      <c r="D29" s="155">
        <v>37</v>
      </c>
      <c r="E29" s="145" t="s">
        <v>64</v>
      </c>
      <c r="F29" s="144" t="s">
        <v>36</v>
      </c>
      <c r="G29" s="144" t="s">
        <v>1473</v>
      </c>
    </row>
    <row r="30" spans="1:8" x14ac:dyDescent="0.35">
      <c r="A30" s="144" t="s">
        <v>23</v>
      </c>
      <c r="B30" s="144" t="s">
        <v>211</v>
      </c>
      <c r="C30" s="188">
        <v>1</v>
      </c>
      <c r="D30" s="148">
        <v>56</v>
      </c>
      <c r="E30" s="145" t="s">
        <v>62</v>
      </c>
      <c r="F30" s="144" t="s">
        <v>34</v>
      </c>
      <c r="G30" s="144" t="s">
        <v>1474</v>
      </c>
    </row>
    <row r="31" spans="1:8" x14ac:dyDescent="0.35">
      <c r="A31" s="144" t="s">
        <v>6</v>
      </c>
      <c r="B31" s="144" t="s">
        <v>86</v>
      </c>
      <c r="C31" s="188">
        <v>1</v>
      </c>
      <c r="D31" s="148">
        <v>56</v>
      </c>
      <c r="E31" s="145" t="s">
        <v>47</v>
      </c>
      <c r="F31" s="144" t="s">
        <v>34</v>
      </c>
      <c r="G31" s="144" t="s">
        <v>1475</v>
      </c>
    </row>
    <row r="32" spans="1:8" x14ac:dyDescent="0.35">
      <c r="A32" s="144" t="s">
        <v>6</v>
      </c>
      <c r="B32" s="144" t="s">
        <v>86</v>
      </c>
      <c r="C32" s="188">
        <v>1</v>
      </c>
      <c r="D32" s="148">
        <v>22</v>
      </c>
      <c r="E32" s="145" t="s">
        <v>47</v>
      </c>
      <c r="F32" s="144" t="s">
        <v>35</v>
      </c>
      <c r="G32" s="144" t="s">
        <v>1475</v>
      </c>
    </row>
    <row r="33" spans="1:7" x14ac:dyDescent="0.35">
      <c r="A33" s="144" t="s">
        <v>23</v>
      </c>
      <c r="B33" s="144" t="s">
        <v>244</v>
      </c>
      <c r="C33" s="188">
        <v>1</v>
      </c>
      <c r="D33" s="148">
        <v>56</v>
      </c>
      <c r="E33" s="145" t="s">
        <v>64</v>
      </c>
      <c r="F33" s="144" t="s">
        <v>34</v>
      </c>
      <c r="G33" s="144" t="s">
        <v>1476</v>
      </c>
    </row>
    <row r="34" spans="1:7" x14ac:dyDescent="0.35">
      <c r="A34" s="144" t="s">
        <v>23</v>
      </c>
      <c r="B34" s="144" t="s">
        <v>244</v>
      </c>
      <c r="C34" s="188">
        <v>1</v>
      </c>
      <c r="D34" s="148">
        <v>22</v>
      </c>
      <c r="E34" s="145" t="s">
        <v>64</v>
      </c>
      <c r="F34" s="144" t="s">
        <v>35</v>
      </c>
      <c r="G34" s="144" t="s">
        <v>1476</v>
      </c>
    </row>
    <row r="35" spans="1:7" x14ac:dyDescent="0.35">
      <c r="A35" s="144" t="s">
        <v>23</v>
      </c>
      <c r="B35" s="144" t="s">
        <v>244</v>
      </c>
      <c r="C35" s="188">
        <v>1</v>
      </c>
      <c r="D35" s="155">
        <v>37</v>
      </c>
      <c r="E35" s="145" t="s">
        <v>64</v>
      </c>
      <c r="F35" s="144" t="s">
        <v>36</v>
      </c>
      <c r="G35" s="144" t="s">
        <v>1477</v>
      </c>
    </row>
    <row r="36" spans="1:7" x14ac:dyDescent="0.35">
      <c r="A36" s="144" t="s">
        <v>23</v>
      </c>
      <c r="B36" s="144" t="s">
        <v>211</v>
      </c>
      <c r="C36" s="188">
        <v>1</v>
      </c>
      <c r="D36" s="148">
        <v>56</v>
      </c>
      <c r="E36" s="145" t="s">
        <v>62</v>
      </c>
      <c r="F36" s="144" t="s">
        <v>34</v>
      </c>
      <c r="G36" s="144" t="s">
        <v>1478</v>
      </c>
    </row>
    <row r="37" spans="1:7" x14ac:dyDescent="0.35">
      <c r="A37" s="144" t="s">
        <v>23</v>
      </c>
      <c r="B37" s="144" t="s">
        <v>211</v>
      </c>
      <c r="C37" s="188">
        <v>1</v>
      </c>
      <c r="D37" s="148">
        <v>22</v>
      </c>
      <c r="E37" s="145" t="s">
        <v>62</v>
      </c>
      <c r="F37" s="144" t="s">
        <v>35</v>
      </c>
      <c r="G37" s="144" t="s">
        <v>1478</v>
      </c>
    </row>
    <row r="38" spans="1:7" x14ac:dyDescent="0.35">
      <c r="A38" s="144" t="s">
        <v>6</v>
      </c>
      <c r="B38" s="144" t="s">
        <v>86</v>
      </c>
      <c r="C38" s="188">
        <v>1</v>
      </c>
      <c r="D38" s="148">
        <v>78.75</v>
      </c>
      <c r="E38" s="145" t="s">
        <v>47</v>
      </c>
      <c r="F38" s="144" t="s">
        <v>33</v>
      </c>
      <c r="G38" s="144" t="s">
        <v>1479</v>
      </c>
    </row>
    <row r="39" spans="1:7" x14ac:dyDescent="0.35">
      <c r="A39" s="144" t="s">
        <v>23</v>
      </c>
      <c r="B39" s="144" t="s">
        <v>244</v>
      </c>
      <c r="C39" s="188">
        <v>1</v>
      </c>
      <c r="D39" s="148">
        <v>78.75</v>
      </c>
      <c r="E39" s="145" t="s">
        <v>64</v>
      </c>
      <c r="F39" s="144" t="s">
        <v>33</v>
      </c>
      <c r="G39" s="144" t="s">
        <v>1480</v>
      </c>
    </row>
    <row r="40" spans="1:7" x14ac:dyDescent="0.35">
      <c r="A40" s="144"/>
      <c r="B40" s="144" t="s">
        <v>163</v>
      </c>
      <c r="C40" s="188">
        <v>1</v>
      </c>
      <c r="D40" s="148">
        <v>78.75</v>
      </c>
      <c r="E40" s="145" t="s">
        <v>56</v>
      </c>
      <c r="F40" s="144" t="s">
        <v>33</v>
      </c>
      <c r="G40" s="144" t="s">
        <v>1482</v>
      </c>
    </row>
    <row r="41" spans="1:7" x14ac:dyDescent="0.35">
      <c r="A41" s="144"/>
      <c r="B41" s="144" t="s">
        <v>163</v>
      </c>
      <c r="C41" s="188">
        <v>1</v>
      </c>
      <c r="D41" s="148">
        <v>78.75</v>
      </c>
      <c r="E41" s="145" t="s">
        <v>56</v>
      </c>
      <c r="F41" s="144" t="s">
        <v>33</v>
      </c>
      <c r="G41" s="144" t="s">
        <v>1481</v>
      </c>
    </row>
    <row r="42" spans="1:7" x14ac:dyDescent="0.35">
      <c r="A42" s="144" t="s">
        <v>23</v>
      </c>
      <c r="B42" s="144" t="s">
        <v>211</v>
      </c>
      <c r="C42" s="188">
        <v>1</v>
      </c>
      <c r="D42" s="148">
        <v>78.75</v>
      </c>
      <c r="E42" s="145" t="s">
        <v>62</v>
      </c>
      <c r="F42" s="144" t="s">
        <v>33</v>
      </c>
      <c r="G42" s="144" t="s">
        <v>1483</v>
      </c>
    </row>
    <row r="43" spans="1:7" x14ac:dyDescent="0.35">
      <c r="A43" s="144" t="s">
        <v>6</v>
      </c>
      <c r="B43" s="144" t="s">
        <v>86</v>
      </c>
      <c r="C43" s="188">
        <v>1</v>
      </c>
      <c r="D43" s="148">
        <v>78.75</v>
      </c>
      <c r="E43" s="145" t="s">
        <v>47</v>
      </c>
      <c r="F43" s="144" t="s">
        <v>33</v>
      </c>
      <c r="G43" s="144" t="s">
        <v>1484</v>
      </c>
    </row>
    <row r="44" spans="1:7" x14ac:dyDescent="0.35">
      <c r="A44" s="144" t="s">
        <v>23</v>
      </c>
      <c r="B44" s="144" t="s">
        <v>211</v>
      </c>
      <c r="C44" s="188">
        <v>1</v>
      </c>
      <c r="D44" s="148">
        <v>78.75</v>
      </c>
      <c r="E44" s="145" t="s">
        <v>62</v>
      </c>
      <c r="F44" s="144" t="s">
        <v>33</v>
      </c>
      <c r="G44" s="144" t="s">
        <v>1485</v>
      </c>
    </row>
    <row r="45" spans="1:7" x14ac:dyDescent="0.35">
      <c r="A45" s="144" t="s">
        <v>6</v>
      </c>
      <c r="B45" s="144" t="s">
        <v>219</v>
      </c>
      <c r="C45" s="188">
        <v>1</v>
      </c>
      <c r="D45" s="148">
        <v>78.75</v>
      </c>
      <c r="E45" s="145" t="s">
        <v>876</v>
      </c>
      <c r="F45" s="144" t="s">
        <v>33</v>
      </c>
      <c r="G45" s="144" t="s">
        <v>1486</v>
      </c>
    </row>
    <row r="46" spans="1:7" x14ac:dyDescent="0.35">
      <c r="A46" s="144" t="s">
        <v>6</v>
      </c>
      <c r="B46" s="144" t="s">
        <v>219</v>
      </c>
      <c r="C46" s="188">
        <v>1</v>
      </c>
      <c r="D46" s="148">
        <v>78.75</v>
      </c>
      <c r="E46" s="145" t="s">
        <v>876</v>
      </c>
      <c r="F46" s="144" t="s">
        <v>33</v>
      </c>
      <c r="G46" s="144" t="s">
        <v>1487</v>
      </c>
    </row>
    <row r="47" spans="1:7" x14ac:dyDescent="0.35">
      <c r="A47" s="144" t="s">
        <v>6</v>
      </c>
      <c r="B47" s="144" t="s">
        <v>219</v>
      </c>
      <c r="C47" s="188">
        <v>1</v>
      </c>
      <c r="D47" s="148">
        <v>78.75</v>
      </c>
      <c r="E47" s="145" t="s">
        <v>876</v>
      </c>
      <c r="F47" s="144" t="s">
        <v>33</v>
      </c>
      <c r="G47" s="144" t="s">
        <v>1488</v>
      </c>
    </row>
    <row r="48" spans="1:7" x14ac:dyDescent="0.35">
      <c r="A48" s="144" t="s">
        <v>6</v>
      </c>
      <c r="B48" s="144" t="s">
        <v>219</v>
      </c>
      <c r="C48" s="188">
        <v>1</v>
      </c>
      <c r="D48" s="148">
        <v>78.75</v>
      </c>
      <c r="E48" s="145" t="s">
        <v>876</v>
      </c>
      <c r="F48" s="144" t="s">
        <v>33</v>
      </c>
      <c r="G48" s="144" t="s">
        <v>1489</v>
      </c>
    </row>
    <row r="49" spans="1:7" x14ac:dyDescent="0.35">
      <c r="A49" s="144" t="s">
        <v>23</v>
      </c>
      <c r="B49" s="144" t="s">
        <v>211</v>
      </c>
      <c r="C49" s="188">
        <v>1</v>
      </c>
      <c r="D49" s="148">
        <v>78.75</v>
      </c>
      <c r="E49" s="145" t="s">
        <v>62</v>
      </c>
      <c r="F49" s="144" t="s">
        <v>33</v>
      </c>
      <c r="G49" s="144" t="s">
        <v>1490</v>
      </c>
    </row>
    <row r="50" spans="1:7" x14ac:dyDescent="0.35">
      <c r="A50" s="144" t="s">
        <v>23</v>
      </c>
      <c r="B50" s="144" t="s">
        <v>211</v>
      </c>
      <c r="C50" s="188">
        <v>1</v>
      </c>
      <c r="D50" s="148">
        <v>78.75</v>
      </c>
      <c r="E50" s="145" t="s">
        <v>62</v>
      </c>
      <c r="F50" s="144" t="s">
        <v>33</v>
      </c>
      <c r="G50" s="144" t="s">
        <v>1491</v>
      </c>
    </row>
    <row r="51" spans="1:7" x14ac:dyDescent="0.35">
      <c r="A51" s="144" t="s">
        <v>6</v>
      </c>
      <c r="B51" s="144" t="s">
        <v>219</v>
      </c>
      <c r="C51" s="188">
        <v>1</v>
      </c>
      <c r="D51" s="148">
        <v>78.75</v>
      </c>
      <c r="E51" s="145" t="s">
        <v>876</v>
      </c>
      <c r="F51" s="144" t="s">
        <v>33</v>
      </c>
      <c r="G51" s="144" t="s">
        <v>1492</v>
      </c>
    </row>
    <row r="52" spans="1:7" x14ac:dyDescent="0.35">
      <c r="A52" s="144"/>
      <c r="B52" s="144" t="s">
        <v>163</v>
      </c>
      <c r="C52" s="188">
        <v>1</v>
      </c>
      <c r="D52" s="148">
        <v>22</v>
      </c>
      <c r="E52" s="145" t="s">
        <v>56</v>
      </c>
      <c r="F52" s="144" t="s">
        <v>35</v>
      </c>
      <c r="G52" s="144" t="s">
        <v>1493</v>
      </c>
    </row>
    <row r="53" spans="1:7" x14ac:dyDescent="0.35">
      <c r="A53" s="144" t="s">
        <v>23</v>
      </c>
      <c r="B53" s="144" t="s">
        <v>211</v>
      </c>
      <c r="C53" s="188">
        <v>1</v>
      </c>
      <c r="D53" s="155">
        <v>37</v>
      </c>
      <c r="E53" s="145" t="s">
        <v>62</v>
      </c>
      <c r="F53" s="144" t="s">
        <v>36</v>
      </c>
      <c r="G53" s="144" t="s">
        <v>1494</v>
      </c>
    </row>
    <row r="54" spans="1:7" x14ac:dyDescent="0.35">
      <c r="A54" s="144" t="s">
        <v>23</v>
      </c>
      <c r="B54" s="144" t="s">
        <v>211</v>
      </c>
      <c r="C54" s="188">
        <v>1</v>
      </c>
      <c r="D54" s="148">
        <v>56</v>
      </c>
      <c r="E54" s="145" t="s">
        <v>62</v>
      </c>
      <c r="F54" s="144" t="s">
        <v>34</v>
      </c>
      <c r="G54" s="144" t="s">
        <v>1494</v>
      </c>
    </row>
    <row r="55" spans="1:7" x14ac:dyDescent="0.35">
      <c r="A55" s="144" t="s">
        <v>23</v>
      </c>
      <c r="B55" s="144" t="s">
        <v>211</v>
      </c>
      <c r="C55" s="188">
        <v>1</v>
      </c>
      <c r="D55" s="148">
        <v>22</v>
      </c>
      <c r="E55" s="145" t="s">
        <v>62</v>
      </c>
      <c r="F55" s="144" t="s">
        <v>35</v>
      </c>
      <c r="G55" s="144" t="s">
        <v>1494</v>
      </c>
    </row>
    <row r="56" spans="1:7" x14ac:dyDescent="0.35">
      <c r="A56" s="144"/>
      <c r="B56" s="144" t="s">
        <v>163</v>
      </c>
      <c r="C56" s="188">
        <v>1</v>
      </c>
      <c r="D56" s="148">
        <v>56</v>
      </c>
      <c r="E56" s="145" t="s">
        <v>56</v>
      </c>
      <c r="F56" s="144" t="s">
        <v>34</v>
      </c>
      <c r="G56" s="144" t="s">
        <v>1495</v>
      </c>
    </row>
    <row r="57" spans="1:7" x14ac:dyDescent="0.35">
      <c r="A57" s="144"/>
      <c r="B57" s="144" t="s">
        <v>163</v>
      </c>
      <c r="C57" s="188">
        <v>1</v>
      </c>
      <c r="D57" s="155">
        <v>37</v>
      </c>
      <c r="E57" s="145" t="s">
        <v>56</v>
      </c>
      <c r="F57" s="144" t="s">
        <v>36</v>
      </c>
      <c r="G57" s="144" t="s">
        <v>1496</v>
      </c>
    </row>
    <row r="58" spans="1:7" x14ac:dyDescent="0.35">
      <c r="A58" s="144"/>
      <c r="B58" s="144" t="s">
        <v>163</v>
      </c>
      <c r="C58" s="188">
        <v>1</v>
      </c>
      <c r="D58" s="148">
        <v>56</v>
      </c>
      <c r="E58" s="145" t="s">
        <v>56</v>
      </c>
      <c r="F58" s="144" t="s">
        <v>34</v>
      </c>
      <c r="G58" s="144" t="s">
        <v>1496</v>
      </c>
    </row>
    <row r="59" spans="1:7" x14ac:dyDescent="0.35">
      <c r="A59" s="144"/>
      <c r="B59" s="144" t="s">
        <v>163</v>
      </c>
      <c r="C59" s="188">
        <v>1</v>
      </c>
      <c r="D59" s="148">
        <v>22</v>
      </c>
      <c r="E59" s="145" t="s">
        <v>56</v>
      </c>
      <c r="F59" s="144" t="s">
        <v>35</v>
      </c>
      <c r="G59" s="144" t="s">
        <v>1496</v>
      </c>
    </row>
    <row r="60" spans="1:7" x14ac:dyDescent="0.35">
      <c r="A60" s="144" t="s">
        <v>6</v>
      </c>
      <c r="B60" t="s">
        <v>1382</v>
      </c>
      <c r="C60" s="188">
        <v>1</v>
      </c>
      <c r="D60" s="148">
        <v>22</v>
      </c>
      <c r="E60" s="14" t="s">
        <v>51</v>
      </c>
      <c r="F60" s="144" t="s">
        <v>35</v>
      </c>
      <c r="G60" s="144" t="s">
        <v>1497</v>
      </c>
    </row>
    <row r="61" spans="1:7" x14ac:dyDescent="0.35">
      <c r="A61" s="144"/>
      <c r="B61" s="144"/>
      <c r="C61" s="188">
        <v>1</v>
      </c>
      <c r="D61" s="144"/>
      <c r="E61" s="144"/>
      <c r="F61" s="144"/>
      <c r="G61" s="144"/>
    </row>
    <row r="62" spans="1:7" x14ac:dyDescent="0.35">
      <c r="A62" s="144"/>
      <c r="B62" s="144"/>
      <c r="C62" s="188">
        <v>1</v>
      </c>
      <c r="D62" s="144"/>
      <c r="E62" s="144"/>
      <c r="F62" s="144"/>
      <c r="G62" s="144"/>
    </row>
    <row r="63" spans="1:7" x14ac:dyDescent="0.35">
      <c r="A63" s="144"/>
      <c r="B63" s="144"/>
      <c r="C63" s="188">
        <v>1</v>
      </c>
      <c r="D63" s="144"/>
      <c r="E63" s="144"/>
      <c r="F63" s="144"/>
      <c r="G63" s="144"/>
    </row>
    <row r="64" spans="1:7" x14ac:dyDescent="0.35">
      <c r="A64" s="144"/>
      <c r="B64" s="144"/>
      <c r="C64" s="188">
        <v>1</v>
      </c>
      <c r="D64" s="144"/>
      <c r="E64" s="144"/>
      <c r="F64" s="144"/>
      <c r="G64" s="144"/>
    </row>
    <row r="65" spans="1:7" x14ac:dyDescent="0.35">
      <c r="A65" s="144"/>
      <c r="B65" s="144"/>
      <c r="C65" s="188">
        <v>1</v>
      </c>
      <c r="D65" s="144"/>
      <c r="E65" s="144"/>
      <c r="F65" s="144"/>
      <c r="G65" s="144"/>
    </row>
    <row r="66" spans="1:7" x14ac:dyDescent="0.35">
      <c r="A66" s="144"/>
      <c r="B66" s="144"/>
      <c r="C66" s="188">
        <v>1</v>
      </c>
      <c r="D66" s="144"/>
      <c r="E66" s="144"/>
      <c r="F66" s="144"/>
      <c r="G66" s="144"/>
    </row>
    <row r="67" spans="1:7" x14ac:dyDescent="0.35">
      <c r="A67" s="144"/>
      <c r="B67" s="144"/>
      <c r="C67" s="188">
        <v>1</v>
      </c>
      <c r="D67" s="144"/>
      <c r="E67" s="144"/>
      <c r="F67" s="144"/>
      <c r="G67" s="144"/>
    </row>
    <row r="68" spans="1:7" x14ac:dyDescent="0.35">
      <c r="A68" s="144"/>
      <c r="B68" s="144"/>
      <c r="C68" s="188">
        <v>1</v>
      </c>
      <c r="D68" s="144"/>
      <c r="E68" s="144"/>
      <c r="F68" s="144"/>
      <c r="G68" s="144"/>
    </row>
    <row r="69" spans="1:7" x14ac:dyDescent="0.35">
      <c r="A69" s="144"/>
      <c r="B69" s="144"/>
      <c r="C69" s="188">
        <v>1</v>
      </c>
      <c r="D69" s="144"/>
      <c r="E69" s="144"/>
      <c r="F69" s="144"/>
      <c r="G69" s="144"/>
    </row>
    <row r="70" spans="1:7" x14ac:dyDescent="0.35">
      <c r="A70" s="144"/>
      <c r="B70" s="144"/>
      <c r="C70" s="188">
        <v>1</v>
      </c>
      <c r="D70" s="144"/>
      <c r="E70" s="144"/>
      <c r="F70" s="144"/>
      <c r="G70" s="144"/>
    </row>
    <row r="71" spans="1:7" x14ac:dyDescent="0.35">
      <c r="A71" s="144"/>
      <c r="B71" s="144"/>
      <c r="C71" s="188">
        <v>1</v>
      </c>
      <c r="D71" s="144"/>
      <c r="E71" s="144"/>
      <c r="F71" s="144"/>
      <c r="G71" s="144"/>
    </row>
    <row r="72" spans="1:7" x14ac:dyDescent="0.35">
      <c r="A72" s="144"/>
      <c r="B72" s="144"/>
      <c r="C72" s="188">
        <v>1</v>
      </c>
      <c r="D72" s="144"/>
      <c r="E72" s="144"/>
      <c r="F72" s="144"/>
      <c r="G72" s="144"/>
    </row>
    <row r="73" spans="1:7" x14ac:dyDescent="0.35">
      <c r="A73" s="144"/>
      <c r="B73" s="144"/>
      <c r="C73" s="188">
        <v>1</v>
      </c>
      <c r="D73" s="144"/>
      <c r="E73" s="144"/>
      <c r="F73" s="144"/>
      <c r="G73" s="144"/>
    </row>
    <row r="74" spans="1:7" x14ac:dyDescent="0.35">
      <c r="A74" s="144"/>
      <c r="B74" s="144"/>
      <c r="C74" s="188">
        <v>1</v>
      </c>
      <c r="D74" s="144"/>
      <c r="E74" s="144"/>
      <c r="F74" s="144"/>
      <c r="G74" s="144"/>
    </row>
    <row r="75" spans="1:7" x14ac:dyDescent="0.35">
      <c r="A75" s="144"/>
      <c r="B75" s="144"/>
      <c r="C75" s="188">
        <v>1</v>
      </c>
      <c r="D75" s="144"/>
      <c r="E75" s="144"/>
      <c r="F75" s="144"/>
      <c r="G75" s="144"/>
    </row>
    <row r="76" spans="1:7" x14ac:dyDescent="0.35">
      <c r="A76" s="144"/>
      <c r="B76" s="144"/>
      <c r="C76" s="188">
        <v>1</v>
      </c>
      <c r="D76" s="144"/>
      <c r="E76" s="144"/>
      <c r="F76" s="144"/>
      <c r="G76" s="144"/>
    </row>
    <row r="77" spans="1:7" x14ac:dyDescent="0.35">
      <c r="A77" s="144"/>
      <c r="B77" s="144"/>
      <c r="C77" s="188">
        <v>1</v>
      </c>
      <c r="D77" s="144"/>
      <c r="E77" s="144"/>
      <c r="F77" s="144"/>
      <c r="G77" s="144"/>
    </row>
    <row r="78" spans="1:7" x14ac:dyDescent="0.35">
      <c r="A78" s="144"/>
      <c r="B78" s="144"/>
      <c r="C78" s="188">
        <v>1</v>
      </c>
      <c r="D78" s="144"/>
      <c r="E78" s="144"/>
      <c r="F78" s="144"/>
      <c r="G78" s="144"/>
    </row>
    <row r="79" spans="1:7" x14ac:dyDescent="0.35">
      <c r="A79" s="144"/>
      <c r="B79" s="144"/>
      <c r="C79" s="188">
        <v>1</v>
      </c>
      <c r="D79" s="144"/>
      <c r="E79" s="144"/>
      <c r="F79" s="144"/>
      <c r="G79" s="144"/>
    </row>
    <row r="80" spans="1:7" x14ac:dyDescent="0.35">
      <c r="A80" s="144"/>
      <c r="B80" s="144"/>
      <c r="C80" s="188">
        <v>1</v>
      </c>
      <c r="D80" s="144"/>
      <c r="E80" s="144"/>
      <c r="F80" s="144"/>
      <c r="G80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9CCAA-8D86-4E9C-A7D7-21024DBB468A}">
  <dimension ref="A1:G24"/>
  <sheetViews>
    <sheetView workbookViewId="0">
      <selection activeCell="D31" sqref="D31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1689</v>
      </c>
    </row>
    <row r="4" spans="1:7" x14ac:dyDescent="0.35">
      <c r="A4" s="8" t="s">
        <v>29</v>
      </c>
      <c r="B4" s="9">
        <v>45630</v>
      </c>
    </row>
    <row r="5" spans="1:7" ht="15" thickBot="1" x14ac:dyDescent="0.4">
      <c r="A5" s="10" t="s">
        <v>30</v>
      </c>
      <c r="B5" s="177" t="s">
        <v>1534</v>
      </c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35">
      <c r="A9" s="131" t="s">
        <v>6</v>
      </c>
      <c r="B9" s="134" t="s">
        <v>549</v>
      </c>
      <c r="C9" s="134">
        <v>1</v>
      </c>
      <c r="D9" s="147">
        <f>-SUM(D10:D21)</f>
        <v>-275.5</v>
      </c>
      <c r="E9" s="131" t="s">
        <v>12</v>
      </c>
      <c r="F9" s="131" t="s">
        <v>1448</v>
      </c>
      <c r="G9" s="130"/>
    </row>
    <row r="10" spans="1:7" x14ac:dyDescent="0.35">
      <c r="A10" t="s">
        <v>6</v>
      </c>
      <c r="B10" s="134" t="s">
        <v>1456</v>
      </c>
      <c r="C10" s="125">
        <v>1</v>
      </c>
      <c r="D10" s="126">
        <v>275.5</v>
      </c>
      <c r="E10" s="212" t="s">
        <v>1450</v>
      </c>
      <c r="F10" s="124" t="s">
        <v>1449</v>
      </c>
      <c r="G10" s="211" t="s">
        <v>1451</v>
      </c>
    </row>
    <row r="11" spans="1:7" x14ac:dyDescent="0.35">
      <c r="A11" s="144"/>
      <c r="B11" s="144"/>
      <c r="C11" s="125"/>
      <c r="D11" s="126"/>
      <c r="E11" s="144"/>
      <c r="F11" s="124"/>
      <c r="G11" s="124"/>
    </row>
    <row r="12" spans="1:7" x14ac:dyDescent="0.35">
      <c r="A12" s="144"/>
      <c r="B12" s="144"/>
      <c r="C12" s="125"/>
      <c r="D12" s="126"/>
      <c r="E12" s="144"/>
      <c r="F12" s="128"/>
      <c r="G12" s="124"/>
    </row>
    <row r="13" spans="1:7" x14ac:dyDescent="0.35">
      <c r="A13" s="144"/>
      <c r="B13" s="144"/>
      <c r="C13" s="134"/>
      <c r="D13" s="148"/>
      <c r="E13" s="144"/>
      <c r="F13" s="206"/>
      <c r="G13" s="144"/>
    </row>
    <row r="14" spans="1:7" x14ac:dyDescent="0.35">
      <c r="A14" s="144"/>
      <c r="B14" s="144"/>
      <c r="C14" s="134"/>
      <c r="D14" s="148"/>
      <c r="E14" s="144"/>
      <c r="F14" s="206"/>
      <c r="G14" s="144"/>
    </row>
    <row r="15" spans="1:7" x14ac:dyDescent="0.35">
      <c r="A15" s="144"/>
      <c r="C15" s="134"/>
      <c r="D15" s="148"/>
      <c r="E15" s="144"/>
      <c r="F15" s="206"/>
      <c r="G15" s="144"/>
    </row>
    <row r="16" spans="1:7" x14ac:dyDescent="0.35">
      <c r="A16" s="144"/>
      <c r="B16" s="144"/>
      <c r="C16" s="134"/>
      <c r="D16" s="148"/>
      <c r="E16" s="144"/>
      <c r="F16" s="206"/>
      <c r="G16" s="144"/>
    </row>
    <row r="17" spans="1:7" x14ac:dyDescent="0.35">
      <c r="A17" s="144"/>
      <c r="B17" s="144"/>
      <c r="C17" s="125"/>
      <c r="D17" s="126"/>
      <c r="E17" s="144"/>
      <c r="F17" s="144"/>
      <c r="G17" s="144"/>
    </row>
    <row r="18" spans="1:7" ht="15.75" customHeight="1" x14ac:dyDescent="0.35">
      <c r="A18" s="144"/>
      <c r="B18" s="144"/>
      <c r="C18" s="125"/>
      <c r="D18" s="126"/>
      <c r="E18" s="144"/>
      <c r="F18" s="124"/>
      <c r="G18" s="124"/>
    </row>
    <row r="19" spans="1:7" x14ac:dyDescent="0.35">
      <c r="A19" s="144"/>
      <c r="B19" s="144"/>
      <c r="C19" s="125"/>
      <c r="D19" s="126"/>
      <c r="E19" s="144"/>
      <c r="F19" s="144"/>
      <c r="G19" s="144"/>
    </row>
    <row r="20" spans="1:7" x14ac:dyDescent="0.35">
      <c r="A20" s="144"/>
      <c r="B20" s="144"/>
      <c r="C20" s="125"/>
      <c r="D20" s="126"/>
      <c r="E20" s="144"/>
      <c r="F20" s="144"/>
      <c r="G20" s="144"/>
    </row>
    <row r="21" spans="1:7" x14ac:dyDescent="0.35">
      <c r="A21" s="144"/>
      <c r="B21" s="144"/>
      <c r="C21" s="125"/>
      <c r="D21" s="126"/>
      <c r="E21" s="144"/>
      <c r="F21" s="144"/>
      <c r="G21" s="144"/>
    </row>
    <row r="22" spans="1:7" x14ac:dyDescent="0.35">
      <c r="A22" s="144"/>
      <c r="B22" s="144"/>
      <c r="C22" s="144"/>
      <c r="D22" s="126"/>
      <c r="E22" s="144"/>
      <c r="F22" s="144"/>
      <c r="G22" s="144"/>
    </row>
    <row r="23" spans="1:7" x14ac:dyDescent="0.35">
      <c r="A23" s="144"/>
      <c r="B23" s="144"/>
      <c r="C23" s="144"/>
      <c r="D23" s="144"/>
      <c r="E23" s="144"/>
      <c r="F23" s="144"/>
      <c r="G23" s="144"/>
    </row>
    <row r="24" spans="1:7" x14ac:dyDescent="0.35">
      <c r="A24" s="144"/>
      <c r="B24" s="144"/>
      <c r="C24" s="144"/>
      <c r="D24" s="144"/>
      <c r="E24" s="144"/>
      <c r="F24" s="144"/>
      <c r="G24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8EDFB6E-CA65-4B36-BE16-56DB588171EC}">
          <x14:formula1>
            <xm:f>'Lookup Values'!$G$2:$G$35</xm:f>
          </x14:formula1>
          <xm:sqref>E32:E35 E40 E18:E19 E11:E16</xm:sqref>
        </x14:dataValidation>
      </x14:dataValidation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EA58A-401D-4540-8777-2940C3017B09}">
  <dimension ref="A1:G71"/>
  <sheetViews>
    <sheetView workbookViewId="0">
      <selection activeCell="F24" sqref="F24"/>
    </sheetView>
  </sheetViews>
  <sheetFormatPr defaultRowHeight="14.5" x14ac:dyDescent="0.35"/>
  <cols>
    <col min="1" max="1" width="11.81640625" customWidth="1"/>
    <col min="2" max="2" width="20.453125" customWidth="1"/>
    <col min="3" max="3" width="10.453125" customWidth="1"/>
    <col min="4" max="4" width="18" customWidth="1"/>
    <col min="5" max="5" width="49.7265625" customWidth="1"/>
    <col min="6" max="6" width="53.54296875" customWidth="1"/>
    <col min="7" max="7" width="62.72656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7" t="s">
        <v>1536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45630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77" t="s">
        <v>1534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x14ac:dyDescent="0.35">
      <c r="A9" s="144" t="s">
        <v>23</v>
      </c>
      <c r="B9" s="144" t="s">
        <v>244</v>
      </c>
      <c r="C9" s="188">
        <v>1</v>
      </c>
      <c r="D9" s="148">
        <v>22</v>
      </c>
      <c r="E9" s="145" t="s">
        <v>64</v>
      </c>
      <c r="F9" s="144" t="s">
        <v>35</v>
      </c>
      <c r="G9" s="144" t="s">
        <v>1498</v>
      </c>
    </row>
    <row r="10" spans="1:7" x14ac:dyDescent="0.35">
      <c r="A10" s="144" t="s">
        <v>6</v>
      </c>
      <c r="B10" s="144" t="s">
        <v>142</v>
      </c>
      <c r="C10" s="188">
        <v>1</v>
      </c>
      <c r="D10" s="148">
        <v>22</v>
      </c>
      <c r="E10" s="145" t="s">
        <v>64</v>
      </c>
      <c r="F10" s="144" t="s">
        <v>35</v>
      </c>
      <c r="G10" s="144" t="s">
        <v>1499</v>
      </c>
    </row>
    <row r="11" spans="1:7" x14ac:dyDescent="0.35">
      <c r="A11" s="144" t="s">
        <v>6</v>
      </c>
      <c r="B11" s="144" t="s">
        <v>142</v>
      </c>
      <c r="C11" s="188">
        <v>1</v>
      </c>
      <c r="D11" s="148">
        <v>56</v>
      </c>
      <c r="E11" s="145" t="s">
        <v>44</v>
      </c>
      <c r="F11" s="144" t="s">
        <v>34</v>
      </c>
      <c r="G11" s="144" t="s">
        <v>1500</v>
      </c>
    </row>
    <row r="12" spans="1:7" x14ac:dyDescent="0.35">
      <c r="A12" s="144" t="s">
        <v>6</v>
      </c>
      <c r="B12" s="144" t="s">
        <v>142</v>
      </c>
      <c r="C12" s="188">
        <v>1</v>
      </c>
      <c r="D12" s="148">
        <v>22</v>
      </c>
      <c r="E12" s="145" t="s">
        <v>44</v>
      </c>
      <c r="F12" s="144" t="s">
        <v>35</v>
      </c>
      <c r="G12" s="144" t="s">
        <v>1501</v>
      </c>
    </row>
    <row r="13" spans="1:7" x14ac:dyDescent="0.35">
      <c r="A13" s="144" t="s">
        <v>6</v>
      </c>
      <c r="B13" s="144" t="s">
        <v>142</v>
      </c>
      <c r="C13" s="188">
        <v>1</v>
      </c>
      <c r="D13" s="148">
        <v>56</v>
      </c>
      <c r="E13" s="145" t="s">
        <v>44</v>
      </c>
      <c r="F13" s="144" t="s">
        <v>34</v>
      </c>
      <c r="G13" s="144" t="s">
        <v>1502</v>
      </c>
    </row>
    <row r="14" spans="1:7" x14ac:dyDescent="0.35">
      <c r="A14" s="144" t="s">
        <v>6</v>
      </c>
      <c r="B14" s="144" t="s">
        <v>142</v>
      </c>
      <c r="C14" s="188">
        <v>1</v>
      </c>
      <c r="D14" s="148">
        <v>22</v>
      </c>
      <c r="E14" s="145" t="s">
        <v>44</v>
      </c>
      <c r="F14" s="144" t="s">
        <v>35</v>
      </c>
      <c r="G14" s="144" t="s">
        <v>1502</v>
      </c>
    </row>
    <row r="15" spans="1:7" x14ac:dyDescent="0.35">
      <c r="A15" s="144" t="s">
        <v>6</v>
      </c>
      <c r="B15" s="144" t="s">
        <v>142</v>
      </c>
      <c r="C15" s="188">
        <v>1</v>
      </c>
      <c r="D15" s="148">
        <v>22</v>
      </c>
      <c r="E15" s="145" t="s">
        <v>44</v>
      </c>
      <c r="F15" s="144" t="s">
        <v>35</v>
      </c>
      <c r="G15" s="144" t="s">
        <v>1503</v>
      </c>
    </row>
    <row r="16" spans="1:7" x14ac:dyDescent="0.35">
      <c r="A16" s="76" t="s">
        <v>23</v>
      </c>
      <c r="B16" t="s">
        <v>206</v>
      </c>
      <c r="C16" s="188">
        <v>1</v>
      </c>
      <c r="D16" s="155">
        <v>37</v>
      </c>
      <c r="E16" s="14" t="s">
        <v>63</v>
      </c>
      <c r="F16" s="144" t="s">
        <v>36</v>
      </c>
      <c r="G16" s="144" t="s">
        <v>1504</v>
      </c>
    </row>
    <row r="17" spans="1:7" x14ac:dyDescent="0.35">
      <c r="A17" s="144" t="s">
        <v>6</v>
      </c>
      <c r="B17" s="144" t="s">
        <v>142</v>
      </c>
      <c r="C17" s="188">
        <v>1</v>
      </c>
      <c r="D17" s="148">
        <v>56</v>
      </c>
      <c r="E17" s="145" t="s">
        <v>44</v>
      </c>
      <c r="F17" s="144" t="s">
        <v>34</v>
      </c>
      <c r="G17" s="144" t="s">
        <v>1505</v>
      </c>
    </row>
    <row r="18" spans="1:7" x14ac:dyDescent="0.35">
      <c r="A18" s="144" t="s">
        <v>6</v>
      </c>
      <c r="B18" s="144" t="s">
        <v>142</v>
      </c>
      <c r="C18" s="188">
        <v>1</v>
      </c>
      <c r="D18" s="148">
        <v>22</v>
      </c>
      <c r="E18" s="145" t="s">
        <v>44</v>
      </c>
      <c r="F18" s="144" t="s">
        <v>35</v>
      </c>
      <c r="G18" s="144" t="s">
        <v>1505</v>
      </c>
    </row>
    <row r="19" spans="1:7" x14ac:dyDescent="0.35">
      <c r="A19" s="144" t="s">
        <v>73</v>
      </c>
      <c r="B19" t="s">
        <v>163</v>
      </c>
      <c r="C19" s="188">
        <v>1</v>
      </c>
      <c r="D19" s="148">
        <v>22</v>
      </c>
      <c r="E19" s="14" t="s">
        <v>56</v>
      </c>
      <c r="F19" s="144" t="s">
        <v>35</v>
      </c>
      <c r="G19" s="144" t="s">
        <v>1506</v>
      </c>
    </row>
    <row r="20" spans="1:7" x14ac:dyDescent="0.35">
      <c r="A20" s="144" t="s">
        <v>6</v>
      </c>
      <c r="B20" s="144" t="s">
        <v>142</v>
      </c>
      <c r="C20" s="188">
        <v>1</v>
      </c>
      <c r="D20" s="155">
        <v>37</v>
      </c>
      <c r="E20" s="145" t="s">
        <v>44</v>
      </c>
      <c r="F20" s="144" t="s">
        <v>36</v>
      </c>
      <c r="G20" s="144" t="s">
        <v>1507</v>
      </c>
    </row>
    <row r="21" spans="1:7" x14ac:dyDescent="0.35">
      <c r="A21" s="144" t="s">
        <v>6</v>
      </c>
      <c r="B21" s="144" t="s">
        <v>219</v>
      </c>
      <c r="C21" s="188">
        <v>1</v>
      </c>
      <c r="D21" s="148">
        <v>22</v>
      </c>
      <c r="E21" s="145" t="s">
        <v>876</v>
      </c>
      <c r="F21" s="144" t="s">
        <v>35</v>
      </c>
      <c r="G21" s="144" t="s">
        <v>1508</v>
      </c>
    </row>
    <row r="22" spans="1:7" x14ac:dyDescent="0.35">
      <c r="A22" s="144" t="s">
        <v>6</v>
      </c>
      <c r="B22" s="144" t="s">
        <v>219</v>
      </c>
      <c r="C22" s="188">
        <v>1</v>
      </c>
      <c r="D22" s="155">
        <v>37</v>
      </c>
      <c r="E22" s="145" t="s">
        <v>876</v>
      </c>
      <c r="F22" s="144" t="s">
        <v>36</v>
      </c>
      <c r="G22" s="144" t="s">
        <v>1508</v>
      </c>
    </row>
    <row r="23" spans="1:7" x14ac:dyDescent="0.35">
      <c r="A23" s="144" t="s">
        <v>6</v>
      </c>
      <c r="B23" s="144" t="s">
        <v>219</v>
      </c>
      <c r="C23" s="188">
        <v>1</v>
      </c>
      <c r="D23" s="148">
        <v>56</v>
      </c>
      <c r="E23" s="145" t="s">
        <v>876</v>
      </c>
      <c r="F23" s="144" t="s">
        <v>34</v>
      </c>
      <c r="G23" s="144" t="s">
        <v>1509</v>
      </c>
    </row>
    <row r="24" spans="1:7" x14ac:dyDescent="0.35">
      <c r="A24" s="144" t="s">
        <v>6</v>
      </c>
      <c r="B24" s="144" t="s">
        <v>219</v>
      </c>
      <c r="C24" s="188">
        <v>1</v>
      </c>
      <c r="D24" s="155">
        <v>37</v>
      </c>
      <c r="E24" s="145" t="s">
        <v>876</v>
      </c>
      <c r="F24" s="144" t="s">
        <v>36</v>
      </c>
      <c r="G24" s="144" t="s">
        <v>1509</v>
      </c>
    </row>
    <row r="25" spans="1:7" x14ac:dyDescent="0.35">
      <c r="A25" s="144" t="s">
        <v>6</v>
      </c>
      <c r="B25" s="144" t="s">
        <v>219</v>
      </c>
      <c r="C25" s="134">
        <v>1</v>
      </c>
      <c r="D25" s="148">
        <v>56</v>
      </c>
      <c r="E25" s="145" t="s">
        <v>876</v>
      </c>
      <c r="F25" s="144" t="s">
        <v>34</v>
      </c>
      <c r="G25" s="216" t="s">
        <v>1510</v>
      </c>
    </row>
    <row r="26" spans="1:7" x14ac:dyDescent="0.35">
      <c r="A26" s="144" t="s">
        <v>6</v>
      </c>
      <c r="B26" s="144" t="s">
        <v>219</v>
      </c>
      <c r="C26" s="134">
        <v>1</v>
      </c>
      <c r="D26" s="148">
        <v>22</v>
      </c>
      <c r="E26" s="145" t="s">
        <v>876</v>
      </c>
      <c r="F26" s="144" t="s">
        <v>35</v>
      </c>
      <c r="G26" s="216" t="s">
        <v>1510</v>
      </c>
    </row>
    <row r="27" spans="1:7" x14ac:dyDescent="0.35">
      <c r="A27" s="144" t="s">
        <v>6</v>
      </c>
      <c r="B27" s="144" t="s">
        <v>219</v>
      </c>
      <c r="C27" s="188">
        <v>1</v>
      </c>
      <c r="D27" s="155">
        <v>37</v>
      </c>
      <c r="E27" s="145" t="s">
        <v>876</v>
      </c>
      <c r="F27" s="144" t="s">
        <v>36</v>
      </c>
      <c r="G27" s="144" t="s">
        <v>1511</v>
      </c>
    </row>
    <row r="28" spans="1:7" x14ac:dyDescent="0.35">
      <c r="A28" s="144" t="s">
        <v>73</v>
      </c>
      <c r="B28" s="144" t="s">
        <v>163</v>
      </c>
      <c r="C28" s="134">
        <v>1</v>
      </c>
      <c r="D28" s="148">
        <v>56</v>
      </c>
      <c r="E28" s="145" t="s">
        <v>56</v>
      </c>
      <c r="F28" s="144" t="s">
        <v>34</v>
      </c>
      <c r="G28" s="216" t="s">
        <v>1512</v>
      </c>
    </row>
    <row r="29" spans="1:7" x14ac:dyDescent="0.35">
      <c r="A29" s="144" t="s">
        <v>23</v>
      </c>
      <c r="B29" s="144" t="s">
        <v>244</v>
      </c>
      <c r="C29" s="188">
        <v>1</v>
      </c>
      <c r="D29" s="126">
        <v>78.75</v>
      </c>
      <c r="E29" s="145" t="s">
        <v>64</v>
      </c>
      <c r="F29" s="124" t="s">
        <v>33</v>
      </c>
      <c r="G29" s="144" t="s">
        <v>1513</v>
      </c>
    </row>
    <row r="30" spans="1:7" x14ac:dyDescent="0.35">
      <c r="A30" s="144" t="s">
        <v>23</v>
      </c>
      <c r="B30" s="144" t="s">
        <v>211</v>
      </c>
      <c r="C30" s="134">
        <v>1</v>
      </c>
      <c r="D30" s="126">
        <v>78.75</v>
      </c>
      <c r="E30" s="145" t="s">
        <v>62</v>
      </c>
      <c r="F30" s="124" t="s">
        <v>33</v>
      </c>
      <c r="G30" s="216" t="s">
        <v>1514</v>
      </c>
    </row>
    <row r="31" spans="1:7" x14ac:dyDescent="0.35">
      <c r="A31" s="144" t="s">
        <v>23</v>
      </c>
      <c r="B31" s="144" t="s">
        <v>211</v>
      </c>
      <c r="C31" s="188">
        <v>1</v>
      </c>
      <c r="D31" s="126">
        <v>78.75</v>
      </c>
      <c r="E31" s="145" t="s">
        <v>62</v>
      </c>
      <c r="F31" s="124" t="s">
        <v>33</v>
      </c>
      <c r="G31" s="144" t="s">
        <v>1515</v>
      </c>
    </row>
    <row r="32" spans="1:7" x14ac:dyDescent="0.35">
      <c r="A32" s="144" t="s">
        <v>23</v>
      </c>
      <c r="B32" s="144" t="s">
        <v>211</v>
      </c>
      <c r="C32" s="134">
        <v>1</v>
      </c>
      <c r="D32" s="126">
        <v>78.75</v>
      </c>
      <c r="E32" s="145" t="s">
        <v>62</v>
      </c>
      <c r="F32" s="124" t="s">
        <v>33</v>
      </c>
      <c r="G32" s="216" t="s">
        <v>1516</v>
      </c>
    </row>
    <row r="33" spans="1:7" x14ac:dyDescent="0.35">
      <c r="A33" s="144" t="s">
        <v>6</v>
      </c>
      <c r="B33" s="144" t="s">
        <v>86</v>
      </c>
      <c r="C33" s="188">
        <v>1</v>
      </c>
      <c r="D33" s="126">
        <v>78.75</v>
      </c>
      <c r="E33" s="145" t="s">
        <v>47</v>
      </c>
      <c r="F33" s="124" t="s">
        <v>33</v>
      </c>
      <c r="G33" s="144" t="s">
        <v>1517</v>
      </c>
    </row>
    <row r="34" spans="1:7" x14ac:dyDescent="0.35">
      <c r="A34" s="144" t="s">
        <v>6</v>
      </c>
      <c r="B34" s="144" t="s">
        <v>219</v>
      </c>
      <c r="C34" s="134">
        <v>1</v>
      </c>
      <c r="D34" s="126">
        <v>78.75</v>
      </c>
      <c r="E34" s="145" t="s">
        <v>876</v>
      </c>
      <c r="F34" s="124" t="s">
        <v>33</v>
      </c>
      <c r="G34" s="216" t="s">
        <v>1518</v>
      </c>
    </row>
    <row r="35" spans="1:7" x14ac:dyDescent="0.35">
      <c r="A35" s="144" t="s">
        <v>23</v>
      </c>
      <c r="B35" s="144" t="s">
        <v>211</v>
      </c>
      <c r="C35" s="188">
        <v>1</v>
      </c>
      <c r="D35" s="126">
        <v>78.75</v>
      </c>
      <c r="E35" s="145" t="s">
        <v>62</v>
      </c>
      <c r="F35" s="124" t="s">
        <v>33</v>
      </c>
      <c r="G35" s="144" t="s">
        <v>1519</v>
      </c>
    </row>
    <row r="36" spans="1:7" x14ac:dyDescent="0.35">
      <c r="A36" s="206" t="s">
        <v>73</v>
      </c>
      <c r="B36" s="144" t="s">
        <v>163</v>
      </c>
      <c r="C36" s="134">
        <v>1</v>
      </c>
      <c r="D36" s="155">
        <v>37</v>
      </c>
      <c r="E36" s="145" t="s">
        <v>56</v>
      </c>
      <c r="F36" s="144" t="s">
        <v>36</v>
      </c>
      <c r="G36" s="216" t="s">
        <v>1520</v>
      </c>
    </row>
    <row r="37" spans="1:7" x14ac:dyDescent="0.35">
      <c r="A37" s="206" t="s">
        <v>73</v>
      </c>
      <c r="B37" s="144" t="s">
        <v>163</v>
      </c>
      <c r="C37" s="188">
        <v>1</v>
      </c>
      <c r="D37" s="148">
        <v>56</v>
      </c>
      <c r="E37" s="145" t="s">
        <v>56</v>
      </c>
      <c r="F37" s="144" t="s">
        <v>34</v>
      </c>
      <c r="G37" s="144" t="s">
        <v>1520</v>
      </c>
    </row>
    <row r="38" spans="1:7" x14ac:dyDescent="0.35">
      <c r="A38" s="206" t="s">
        <v>73</v>
      </c>
      <c r="B38" s="144" t="s">
        <v>163</v>
      </c>
      <c r="C38" s="134">
        <v>1</v>
      </c>
      <c r="D38" s="148">
        <v>22</v>
      </c>
      <c r="E38" s="145" t="s">
        <v>56</v>
      </c>
      <c r="F38" s="144" t="s">
        <v>35</v>
      </c>
      <c r="G38" s="144" t="s">
        <v>1520</v>
      </c>
    </row>
    <row r="39" spans="1:7" x14ac:dyDescent="0.35">
      <c r="A39" s="206" t="s">
        <v>6</v>
      </c>
      <c r="B39" s="144" t="s">
        <v>219</v>
      </c>
      <c r="C39" s="188">
        <v>1</v>
      </c>
      <c r="D39" s="126">
        <v>137.5</v>
      </c>
      <c r="E39" s="204" t="s">
        <v>876</v>
      </c>
      <c r="F39" s="124" t="s">
        <v>989</v>
      </c>
      <c r="G39" s="144" t="s">
        <v>1518</v>
      </c>
    </row>
    <row r="40" spans="1:7" x14ac:dyDescent="0.35">
      <c r="A40" s="206" t="s">
        <v>23</v>
      </c>
      <c r="B40" s="144" t="s">
        <v>211</v>
      </c>
      <c r="C40" s="134">
        <v>1</v>
      </c>
      <c r="D40" s="126">
        <v>137.5</v>
      </c>
      <c r="E40" s="204" t="s">
        <v>62</v>
      </c>
      <c r="F40" s="124" t="s">
        <v>989</v>
      </c>
      <c r="G40" s="144" t="s">
        <v>1519</v>
      </c>
    </row>
    <row r="41" spans="1:7" x14ac:dyDescent="0.35">
      <c r="A41" s="206" t="s">
        <v>6</v>
      </c>
      <c r="B41" s="144" t="s">
        <v>219</v>
      </c>
      <c r="C41" s="188">
        <v>1</v>
      </c>
      <c r="D41" s="126">
        <v>137.5</v>
      </c>
      <c r="E41" s="204" t="s">
        <v>876</v>
      </c>
      <c r="F41" s="124" t="s">
        <v>989</v>
      </c>
      <c r="G41" s="144" t="s">
        <v>1521</v>
      </c>
    </row>
    <row r="42" spans="1:7" x14ac:dyDescent="0.35">
      <c r="A42" s="206" t="s">
        <v>6</v>
      </c>
      <c r="B42" s="144" t="s">
        <v>219</v>
      </c>
      <c r="C42" s="188">
        <v>1</v>
      </c>
      <c r="D42" s="126">
        <v>137.5</v>
      </c>
      <c r="E42" s="204" t="s">
        <v>876</v>
      </c>
      <c r="F42" s="124" t="s">
        <v>989</v>
      </c>
      <c r="G42" s="216" t="s">
        <v>1522</v>
      </c>
    </row>
    <row r="43" spans="1:7" x14ac:dyDescent="0.35">
      <c r="A43" s="206" t="s">
        <v>6</v>
      </c>
      <c r="B43" s="144" t="s">
        <v>1425</v>
      </c>
      <c r="C43" s="188">
        <v>1</v>
      </c>
      <c r="D43" s="148">
        <v>56</v>
      </c>
      <c r="E43" s="145" t="s">
        <v>51</v>
      </c>
      <c r="F43" s="144" t="s">
        <v>34</v>
      </c>
      <c r="G43" s="144" t="s">
        <v>1523</v>
      </c>
    </row>
    <row r="44" spans="1:7" x14ac:dyDescent="0.35">
      <c r="A44" s="206" t="s">
        <v>6</v>
      </c>
      <c r="B44" s="144" t="s">
        <v>1425</v>
      </c>
      <c r="C44" s="134">
        <v>1</v>
      </c>
      <c r="D44" s="148">
        <v>22</v>
      </c>
      <c r="E44" s="145" t="s">
        <v>51</v>
      </c>
      <c r="F44" s="144" t="s">
        <v>35</v>
      </c>
      <c r="G44" s="216" t="s">
        <v>1523</v>
      </c>
    </row>
    <row r="45" spans="1:7" x14ac:dyDescent="0.35">
      <c r="A45" s="206" t="s">
        <v>6</v>
      </c>
      <c r="B45" s="144" t="s">
        <v>219</v>
      </c>
      <c r="C45" s="188">
        <v>1</v>
      </c>
      <c r="D45" s="148">
        <v>56</v>
      </c>
      <c r="E45" s="204" t="s">
        <v>876</v>
      </c>
      <c r="F45" s="144" t="s">
        <v>34</v>
      </c>
      <c r="G45" s="144" t="s">
        <v>1524</v>
      </c>
    </row>
    <row r="46" spans="1:7" x14ac:dyDescent="0.35">
      <c r="A46" s="206" t="s">
        <v>6</v>
      </c>
      <c r="B46" s="144" t="s">
        <v>219</v>
      </c>
      <c r="C46" s="134">
        <v>1</v>
      </c>
      <c r="D46" s="148">
        <v>22</v>
      </c>
      <c r="E46" s="204" t="s">
        <v>876</v>
      </c>
      <c r="F46" s="144" t="s">
        <v>35</v>
      </c>
      <c r="G46" s="144" t="s">
        <v>1524</v>
      </c>
    </row>
    <row r="47" spans="1:7" x14ac:dyDescent="0.35">
      <c r="A47" s="206" t="s">
        <v>6</v>
      </c>
      <c r="B47" s="144" t="s">
        <v>72</v>
      </c>
      <c r="C47" s="188">
        <v>1</v>
      </c>
      <c r="D47" s="155">
        <v>37</v>
      </c>
      <c r="E47" s="145" t="s">
        <v>1138</v>
      </c>
      <c r="F47" s="144" t="s">
        <v>36</v>
      </c>
      <c r="G47" s="144" t="s">
        <v>1525</v>
      </c>
    </row>
    <row r="48" spans="1:7" x14ac:dyDescent="0.35">
      <c r="A48" s="206" t="s">
        <v>23</v>
      </c>
      <c r="B48" s="144" t="s">
        <v>211</v>
      </c>
      <c r="C48" s="134">
        <v>1</v>
      </c>
      <c r="D48" s="155">
        <v>166.1</v>
      </c>
      <c r="E48" s="145" t="s">
        <v>62</v>
      </c>
      <c r="F48" s="144" t="s">
        <v>992</v>
      </c>
      <c r="G48" s="216" t="s">
        <v>1526</v>
      </c>
    </row>
    <row r="49" spans="1:7" x14ac:dyDescent="0.35">
      <c r="A49" t="s">
        <v>23</v>
      </c>
      <c r="B49" s="144" t="s">
        <v>244</v>
      </c>
      <c r="C49" s="188">
        <v>1</v>
      </c>
      <c r="D49" s="155">
        <v>166.1</v>
      </c>
      <c r="E49" s="145" t="s">
        <v>64</v>
      </c>
      <c r="F49" s="144" t="s">
        <v>992</v>
      </c>
      <c r="G49" s="144" t="s">
        <v>1527</v>
      </c>
    </row>
    <row r="50" spans="1:7" x14ac:dyDescent="0.35">
      <c r="A50" s="206" t="s">
        <v>73</v>
      </c>
      <c r="B50" s="144" t="s">
        <v>163</v>
      </c>
      <c r="C50" s="134">
        <v>1</v>
      </c>
      <c r="D50" s="155">
        <v>166.1</v>
      </c>
      <c r="E50" s="145" t="s">
        <v>56</v>
      </c>
      <c r="F50" s="144" t="s">
        <v>992</v>
      </c>
      <c r="G50" s="216" t="s">
        <v>1528</v>
      </c>
    </row>
    <row r="51" spans="1:7" x14ac:dyDescent="0.35">
      <c r="A51" t="s">
        <v>23</v>
      </c>
      <c r="B51" s="144" t="s">
        <v>211</v>
      </c>
      <c r="C51" s="188">
        <v>1</v>
      </c>
      <c r="D51" s="155">
        <v>166.1</v>
      </c>
      <c r="E51" s="145" t="s">
        <v>62</v>
      </c>
      <c r="F51" s="144" t="s">
        <v>992</v>
      </c>
      <c r="G51" s="144" t="s">
        <v>1529</v>
      </c>
    </row>
    <row r="52" spans="1:7" x14ac:dyDescent="0.35">
      <c r="A52" t="s">
        <v>6</v>
      </c>
      <c r="B52" s="144" t="s">
        <v>219</v>
      </c>
      <c r="C52" s="134">
        <v>1</v>
      </c>
      <c r="D52" s="155">
        <v>166.1</v>
      </c>
      <c r="E52" s="145" t="s">
        <v>876</v>
      </c>
      <c r="F52" s="144" t="s">
        <v>992</v>
      </c>
      <c r="G52" s="216" t="s">
        <v>1530</v>
      </c>
    </row>
    <row r="53" spans="1:7" x14ac:dyDescent="0.35">
      <c r="A53" s="206" t="s">
        <v>23</v>
      </c>
      <c r="B53" s="144" t="s">
        <v>211</v>
      </c>
      <c r="C53" s="188">
        <v>1</v>
      </c>
      <c r="D53" s="155">
        <v>137.5</v>
      </c>
      <c r="E53" s="145" t="s">
        <v>62</v>
      </c>
      <c r="F53" s="144" t="s">
        <v>989</v>
      </c>
      <c r="G53" s="144" t="s">
        <v>1531</v>
      </c>
    </row>
    <row r="54" spans="1:7" x14ac:dyDescent="0.35">
      <c r="A54" s="206" t="s">
        <v>73</v>
      </c>
      <c r="B54" s="144" t="s">
        <v>163</v>
      </c>
      <c r="C54" s="134">
        <v>1</v>
      </c>
      <c r="D54" s="155">
        <v>137.5</v>
      </c>
      <c r="E54" s="145" t="s">
        <v>56</v>
      </c>
      <c r="F54" s="144" t="s">
        <v>989</v>
      </c>
      <c r="G54" s="216" t="s">
        <v>1532</v>
      </c>
    </row>
    <row r="55" spans="1:7" x14ac:dyDescent="0.35">
      <c r="A55" t="s">
        <v>23</v>
      </c>
      <c r="B55" s="144" t="s">
        <v>244</v>
      </c>
      <c r="C55" s="188">
        <v>1</v>
      </c>
      <c r="D55" s="155">
        <v>137.5</v>
      </c>
      <c r="E55" s="145" t="s">
        <v>64</v>
      </c>
      <c r="F55" s="144" t="s">
        <v>989</v>
      </c>
      <c r="G55" s="144" t="s">
        <v>1480</v>
      </c>
    </row>
    <row r="56" spans="1:7" x14ac:dyDescent="0.35">
      <c r="A56" t="s">
        <v>23</v>
      </c>
      <c r="B56" s="144" t="s">
        <v>211</v>
      </c>
      <c r="C56" s="134">
        <v>1</v>
      </c>
      <c r="D56" s="155">
        <v>137.5</v>
      </c>
      <c r="E56" s="145" t="s">
        <v>62</v>
      </c>
      <c r="F56" s="144" t="s">
        <v>989</v>
      </c>
      <c r="G56" s="216" t="s">
        <v>1483</v>
      </c>
    </row>
    <row r="57" spans="1:7" x14ac:dyDescent="0.35">
      <c r="A57" s="206"/>
      <c r="B57" s="144"/>
      <c r="C57" s="188">
        <v>1</v>
      </c>
      <c r="D57" s="148"/>
      <c r="E57" s="145"/>
      <c r="F57" s="144"/>
      <c r="G57" s="144"/>
    </row>
    <row r="58" spans="1:7" x14ac:dyDescent="0.35">
      <c r="A58" s="144"/>
      <c r="B58" s="144"/>
      <c r="C58" s="134">
        <v>1</v>
      </c>
      <c r="D58" s="215"/>
      <c r="E58" s="214"/>
      <c r="F58" s="216"/>
      <c r="G58" s="216"/>
    </row>
    <row r="59" spans="1:7" x14ac:dyDescent="0.35">
      <c r="A59" s="144"/>
      <c r="B59" s="144"/>
      <c r="C59" s="188">
        <v>1</v>
      </c>
      <c r="D59" s="148"/>
      <c r="E59" s="145"/>
      <c r="F59" s="144"/>
      <c r="G59" s="144"/>
    </row>
    <row r="60" spans="1:7" x14ac:dyDescent="0.35">
      <c r="A60" s="144"/>
      <c r="B60" s="144"/>
      <c r="C60" s="134">
        <v>1</v>
      </c>
      <c r="D60" s="215"/>
      <c r="E60" s="214"/>
      <c r="F60" s="216"/>
      <c r="G60" s="216"/>
    </row>
    <row r="61" spans="1:7" x14ac:dyDescent="0.35">
      <c r="A61" s="144"/>
      <c r="B61" s="144"/>
      <c r="C61" s="188">
        <v>1</v>
      </c>
      <c r="D61" s="148"/>
      <c r="E61" s="145"/>
      <c r="F61" s="144"/>
      <c r="G61" s="144"/>
    </row>
    <row r="62" spans="1:7" x14ac:dyDescent="0.35">
      <c r="A62" s="144"/>
      <c r="B62" s="144"/>
      <c r="C62" s="134">
        <v>1</v>
      </c>
      <c r="D62" s="215"/>
      <c r="E62" s="214"/>
      <c r="F62" s="216"/>
      <c r="G62" s="216"/>
    </row>
    <row r="63" spans="1:7" x14ac:dyDescent="0.35">
      <c r="A63" s="144"/>
      <c r="B63" s="144"/>
      <c r="C63" s="188">
        <v>1</v>
      </c>
      <c r="D63" s="148"/>
      <c r="E63" s="145"/>
      <c r="F63" s="144"/>
      <c r="G63" s="144"/>
    </row>
    <row r="64" spans="1:7" x14ac:dyDescent="0.35">
      <c r="A64" s="144"/>
      <c r="B64" s="144"/>
      <c r="C64" s="134">
        <v>1</v>
      </c>
      <c r="D64" s="215"/>
      <c r="E64" s="214"/>
      <c r="F64" s="216"/>
      <c r="G64" s="216"/>
    </row>
    <row r="65" spans="1:7" x14ac:dyDescent="0.35">
      <c r="A65" s="144"/>
      <c r="B65" s="144"/>
      <c r="C65" s="188">
        <v>1</v>
      </c>
      <c r="D65" s="148"/>
      <c r="E65" s="145"/>
      <c r="F65" s="144"/>
      <c r="G65" s="144"/>
    </row>
    <row r="66" spans="1:7" x14ac:dyDescent="0.35">
      <c r="A66" s="144"/>
      <c r="B66" s="144"/>
      <c r="C66" s="134">
        <v>1</v>
      </c>
      <c r="D66" s="215"/>
      <c r="E66" s="214"/>
      <c r="F66" s="216"/>
      <c r="G66" s="216"/>
    </row>
    <row r="67" spans="1:7" x14ac:dyDescent="0.35">
      <c r="A67" s="144"/>
      <c r="B67" s="144"/>
      <c r="C67" s="188">
        <v>1</v>
      </c>
      <c r="D67" s="148"/>
      <c r="E67" s="145"/>
      <c r="F67" s="144"/>
      <c r="G67" s="144"/>
    </row>
    <row r="68" spans="1:7" x14ac:dyDescent="0.35">
      <c r="A68" s="144"/>
      <c r="B68" s="144"/>
      <c r="C68" s="134">
        <v>1</v>
      </c>
      <c r="D68" s="215"/>
      <c r="E68" s="214"/>
      <c r="F68" s="216"/>
      <c r="G68" s="216"/>
    </row>
    <row r="69" spans="1:7" x14ac:dyDescent="0.35">
      <c r="A69" s="144"/>
      <c r="B69" s="144"/>
      <c r="C69" s="188">
        <v>1</v>
      </c>
      <c r="D69" s="148"/>
      <c r="E69" s="145"/>
      <c r="F69" s="144"/>
      <c r="G69" s="144"/>
    </row>
    <row r="70" spans="1:7" x14ac:dyDescent="0.35">
      <c r="A70" s="144"/>
      <c r="B70" s="144"/>
      <c r="C70" s="134">
        <v>1</v>
      </c>
      <c r="D70" s="215"/>
      <c r="E70" s="214"/>
      <c r="F70" s="216"/>
      <c r="G70" s="216"/>
    </row>
    <row r="71" spans="1:7" x14ac:dyDescent="0.35">
      <c r="A71" s="144"/>
      <c r="B71" s="144"/>
      <c r="C71" s="188">
        <v>1</v>
      </c>
      <c r="D71" s="148"/>
      <c r="E71" s="145"/>
      <c r="F71" s="144"/>
      <c r="G71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4155C-7D9E-4378-B0D5-ADF9B78A70CE}">
  <dimension ref="A1:G66"/>
  <sheetViews>
    <sheetView workbookViewId="0">
      <selection activeCell="B3" sqref="B3"/>
    </sheetView>
  </sheetViews>
  <sheetFormatPr defaultRowHeight="14.5" x14ac:dyDescent="0.35"/>
  <cols>
    <col min="1" max="1" width="12.54296875" bestFit="1" customWidth="1"/>
    <col min="2" max="2" width="19.7265625" customWidth="1"/>
    <col min="3" max="3" width="12" customWidth="1"/>
    <col min="4" max="4" width="17.7265625" bestFit="1" customWidth="1"/>
    <col min="5" max="5" width="43.453125" customWidth="1"/>
    <col min="6" max="6" width="48" bestFit="1" customWidth="1"/>
    <col min="7" max="7" width="36.816406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8.75" customHeight="1" x14ac:dyDescent="0.35">
      <c r="A3" s="6" t="s">
        <v>28</v>
      </c>
      <c r="B3" s="218" t="s">
        <v>1591</v>
      </c>
      <c r="C3" s="189"/>
      <c r="D3" s="189"/>
      <c r="E3" s="189"/>
      <c r="F3" s="189"/>
      <c r="G3" s="189"/>
    </row>
    <row r="4" spans="1:7" ht="19.5" customHeight="1" x14ac:dyDescent="0.35">
      <c r="A4" s="8" t="s">
        <v>29</v>
      </c>
      <c r="B4" s="9">
        <v>45687</v>
      </c>
      <c r="C4" s="189"/>
      <c r="D4" s="189"/>
      <c r="E4" s="189"/>
      <c r="F4" s="189"/>
      <c r="G4" s="189"/>
    </row>
    <row r="5" spans="1:7" ht="19.5" customHeight="1" thickBot="1" x14ac:dyDescent="0.4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7" ht="14.25" customHeight="1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72" t="s">
        <v>0</v>
      </c>
      <c r="B8" s="73" t="s">
        <v>1</v>
      </c>
      <c r="C8" s="73" t="s">
        <v>71</v>
      </c>
      <c r="D8" s="74" t="s">
        <v>2</v>
      </c>
      <c r="E8" s="73" t="s">
        <v>4</v>
      </c>
      <c r="F8" s="73" t="s">
        <v>81</v>
      </c>
      <c r="G8" s="152" t="s">
        <v>77</v>
      </c>
    </row>
    <row r="9" spans="1:7" ht="14.25" customHeight="1" x14ac:dyDescent="0.35">
      <c r="A9" s="144" t="s">
        <v>23</v>
      </c>
      <c r="B9" s="144" t="s">
        <v>211</v>
      </c>
      <c r="C9" s="188">
        <v>1</v>
      </c>
      <c r="D9" s="148">
        <v>78.75</v>
      </c>
      <c r="E9" s="145" t="s">
        <v>62</v>
      </c>
      <c r="F9" s="144" t="s">
        <v>33</v>
      </c>
      <c r="G9" s="144" t="s">
        <v>1545</v>
      </c>
    </row>
    <row r="10" spans="1:7" x14ac:dyDescent="0.35">
      <c r="A10" s="144" t="s">
        <v>6</v>
      </c>
      <c r="B10" s="144" t="s">
        <v>219</v>
      </c>
      <c r="C10" s="188">
        <v>1</v>
      </c>
      <c r="D10" s="148">
        <v>78.75</v>
      </c>
      <c r="E10" s="145" t="s">
        <v>876</v>
      </c>
      <c r="F10" s="144" t="s">
        <v>33</v>
      </c>
      <c r="G10" s="144" t="s">
        <v>1544</v>
      </c>
    </row>
    <row r="11" spans="1:7" x14ac:dyDescent="0.35">
      <c r="A11" s="144" t="s">
        <v>23</v>
      </c>
      <c r="B11" s="144" t="s">
        <v>211</v>
      </c>
      <c r="C11" s="188">
        <v>1</v>
      </c>
      <c r="D11" s="148">
        <v>78.75</v>
      </c>
      <c r="E11" s="145" t="s">
        <v>62</v>
      </c>
      <c r="F11" s="144" t="s">
        <v>33</v>
      </c>
      <c r="G11" s="144" t="s">
        <v>1543</v>
      </c>
    </row>
    <row r="12" spans="1:7" x14ac:dyDescent="0.35">
      <c r="A12" s="144"/>
      <c r="B12" s="144" t="s">
        <v>163</v>
      </c>
      <c r="C12" s="188">
        <v>1</v>
      </c>
      <c r="D12" s="148">
        <v>78.75</v>
      </c>
      <c r="E12" s="145" t="s">
        <v>56</v>
      </c>
      <c r="F12" s="144" t="s">
        <v>33</v>
      </c>
      <c r="G12" s="144" t="s">
        <v>1542</v>
      </c>
    </row>
    <row r="13" spans="1:7" x14ac:dyDescent="0.35">
      <c r="A13" s="144" t="s">
        <v>23</v>
      </c>
      <c r="B13" s="144" t="s">
        <v>244</v>
      </c>
      <c r="C13" s="188">
        <v>1</v>
      </c>
      <c r="D13" s="148">
        <v>78.75</v>
      </c>
      <c r="E13" s="145" t="s">
        <v>64</v>
      </c>
      <c r="F13" s="144" t="s">
        <v>33</v>
      </c>
      <c r="G13" s="144" t="s">
        <v>1539</v>
      </c>
    </row>
    <row r="14" spans="1:7" x14ac:dyDescent="0.35">
      <c r="A14" s="144"/>
      <c r="B14" s="144" t="s">
        <v>163</v>
      </c>
      <c r="C14" s="188">
        <v>1</v>
      </c>
      <c r="D14" s="148">
        <v>78.75</v>
      </c>
      <c r="E14" s="145" t="s">
        <v>56</v>
      </c>
      <c r="F14" s="144" t="s">
        <v>33</v>
      </c>
      <c r="G14" s="144" t="s">
        <v>1541</v>
      </c>
    </row>
    <row r="15" spans="1:7" x14ac:dyDescent="0.35">
      <c r="A15" s="144" t="s">
        <v>6</v>
      </c>
      <c r="B15" s="144" t="s">
        <v>219</v>
      </c>
      <c r="C15" s="188">
        <v>1</v>
      </c>
      <c r="D15" s="148">
        <v>78.75</v>
      </c>
      <c r="E15" s="145" t="s">
        <v>876</v>
      </c>
      <c r="F15" s="144" t="s">
        <v>33</v>
      </c>
      <c r="G15" s="144" t="s">
        <v>1538</v>
      </c>
    </row>
    <row r="16" spans="1:7" x14ac:dyDescent="0.35">
      <c r="A16" s="144" t="s">
        <v>6</v>
      </c>
      <c r="B16" s="144" t="s">
        <v>219</v>
      </c>
      <c r="C16" s="188">
        <v>1</v>
      </c>
      <c r="D16" s="148">
        <v>78.75</v>
      </c>
      <c r="E16" s="145" t="s">
        <v>876</v>
      </c>
      <c r="F16" s="144" t="s">
        <v>33</v>
      </c>
      <c r="G16" s="144" t="s">
        <v>1511</v>
      </c>
    </row>
    <row r="17" spans="1:7" x14ac:dyDescent="0.35">
      <c r="A17" s="144" t="s">
        <v>6</v>
      </c>
      <c r="B17" s="144" t="s">
        <v>219</v>
      </c>
      <c r="C17" s="188">
        <v>1</v>
      </c>
      <c r="D17" s="148">
        <v>78.75</v>
      </c>
      <c r="E17" s="145" t="s">
        <v>876</v>
      </c>
      <c r="F17" s="144" t="s">
        <v>33</v>
      </c>
      <c r="G17" s="144" t="s">
        <v>1540</v>
      </c>
    </row>
    <row r="18" spans="1:7" x14ac:dyDescent="0.35">
      <c r="A18" s="144"/>
      <c r="B18" s="144" t="s">
        <v>163</v>
      </c>
      <c r="C18" s="188">
        <v>1</v>
      </c>
      <c r="D18" s="148">
        <v>78.75</v>
      </c>
      <c r="E18" s="145" t="s">
        <v>56</v>
      </c>
      <c r="F18" s="144" t="s">
        <v>33</v>
      </c>
      <c r="G18" s="144" t="s">
        <v>1537</v>
      </c>
    </row>
    <row r="19" spans="1:7" x14ac:dyDescent="0.35">
      <c r="A19" s="144" t="s">
        <v>6</v>
      </c>
      <c r="B19" s="144" t="s">
        <v>219</v>
      </c>
      <c r="C19" s="188">
        <v>1</v>
      </c>
      <c r="D19" s="148">
        <v>56</v>
      </c>
      <c r="E19" s="145" t="s">
        <v>876</v>
      </c>
      <c r="F19" s="144" t="s">
        <v>34</v>
      </c>
      <c r="G19" s="144" t="s">
        <v>1546</v>
      </c>
    </row>
    <row r="20" spans="1:7" x14ac:dyDescent="0.35">
      <c r="A20" s="144" t="s">
        <v>6</v>
      </c>
      <c r="B20" s="144" t="s">
        <v>219</v>
      </c>
      <c r="C20" s="188">
        <v>1</v>
      </c>
      <c r="D20" s="148">
        <v>22</v>
      </c>
      <c r="E20" s="145" t="s">
        <v>876</v>
      </c>
      <c r="F20" s="144" t="s">
        <v>35</v>
      </c>
      <c r="G20" s="144" t="s">
        <v>1546</v>
      </c>
    </row>
    <row r="21" spans="1:7" x14ac:dyDescent="0.35">
      <c r="A21" s="144" t="s">
        <v>23</v>
      </c>
      <c r="B21" s="144" t="s">
        <v>211</v>
      </c>
      <c r="C21" s="188">
        <v>1</v>
      </c>
      <c r="D21" s="148">
        <v>137.5</v>
      </c>
      <c r="E21" s="145" t="s">
        <v>62</v>
      </c>
      <c r="F21" s="144" t="s">
        <v>989</v>
      </c>
      <c r="G21" s="144" t="s">
        <v>1547</v>
      </c>
    </row>
    <row r="22" spans="1:7" x14ac:dyDescent="0.35">
      <c r="A22" s="144" t="s">
        <v>6</v>
      </c>
      <c r="B22" s="144" t="s">
        <v>219</v>
      </c>
      <c r="C22" s="188">
        <v>1</v>
      </c>
      <c r="D22" s="148">
        <v>137.5</v>
      </c>
      <c r="E22" s="145" t="s">
        <v>876</v>
      </c>
      <c r="F22" s="144" t="s">
        <v>989</v>
      </c>
      <c r="G22" s="144" t="s">
        <v>1548</v>
      </c>
    </row>
    <row r="23" spans="1:7" x14ac:dyDescent="0.35">
      <c r="A23" s="144" t="s">
        <v>6</v>
      </c>
      <c r="B23" s="144" t="s">
        <v>219</v>
      </c>
      <c r="C23" s="188">
        <v>1</v>
      </c>
      <c r="D23" s="148">
        <v>137.5</v>
      </c>
      <c r="E23" s="145" t="s">
        <v>876</v>
      </c>
      <c r="F23" s="144" t="s">
        <v>989</v>
      </c>
      <c r="G23" s="144" t="s">
        <v>1549</v>
      </c>
    </row>
    <row r="24" spans="1:7" x14ac:dyDescent="0.35">
      <c r="A24" s="144" t="s">
        <v>6</v>
      </c>
      <c r="B24" s="144" t="s">
        <v>219</v>
      </c>
      <c r="C24" s="188">
        <v>1</v>
      </c>
      <c r="D24" s="155">
        <v>37</v>
      </c>
      <c r="E24" s="145" t="s">
        <v>876</v>
      </c>
      <c r="F24" s="144" t="s">
        <v>36</v>
      </c>
      <c r="G24" s="144" t="s">
        <v>1550</v>
      </c>
    </row>
    <row r="25" spans="1:7" x14ac:dyDescent="0.35">
      <c r="A25" s="144" t="s">
        <v>6</v>
      </c>
      <c r="B25" s="144" t="s">
        <v>219</v>
      </c>
      <c r="C25" s="188">
        <v>1</v>
      </c>
      <c r="D25" s="148">
        <v>56</v>
      </c>
      <c r="E25" s="145" t="s">
        <v>876</v>
      </c>
      <c r="F25" s="144" t="s">
        <v>34</v>
      </c>
      <c r="G25" s="144" t="s">
        <v>1550</v>
      </c>
    </row>
    <row r="26" spans="1:7" x14ac:dyDescent="0.35">
      <c r="A26" s="144" t="s">
        <v>6</v>
      </c>
      <c r="B26" s="144" t="s">
        <v>219</v>
      </c>
      <c r="C26" s="188">
        <v>1</v>
      </c>
      <c r="D26" s="148">
        <v>22</v>
      </c>
      <c r="E26" s="145" t="s">
        <v>876</v>
      </c>
      <c r="F26" s="144" t="s">
        <v>35</v>
      </c>
      <c r="G26" s="144" t="s">
        <v>1550</v>
      </c>
    </row>
    <row r="27" spans="1:7" x14ac:dyDescent="0.35">
      <c r="A27" s="144" t="s">
        <v>6</v>
      </c>
      <c r="B27" s="144" t="s">
        <v>219</v>
      </c>
      <c r="C27" s="188">
        <v>1</v>
      </c>
      <c r="D27" s="148">
        <v>56</v>
      </c>
      <c r="E27" s="145" t="s">
        <v>876</v>
      </c>
      <c r="F27" s="144" t="s">
        <v>34</v>
      </c>
      <c r="G27" s="144" t="s">
        <v>1551</v>
      </c>
    </row>
    <row r="28" spans="1:7" x14ac:dyDescent="0.35">
      <c r="A28" s="144" t="s">
        <v>6</v>
      </c>
      <c r="B28" s="144" t="s">
        <v>219</v>
      </c>
      <c r="C28" s="188">
        <v>1</v>
      </c>
      <c r="D28" s="148">
        <v>22</v>
      </c>
      <c r="E28" s="145" t="s">
        <v>876</v>
      </c>
      <c r="F28" s="144" t="s">
        <v>35</v>
      </c>
      <c r="G28" s="144" t="s">
        <v>1551</v>
      </c>
    </row>
    <row r="29" spans="1:7" x14ac:dyDescent="0.35">
      <c r="A29" s="144" t="s">
        <v>6</v>
      </c>
      <c r="B29" s="144" t="s">
        <v>86</v>
      </c>
      <c r="C29" s="188">
        <v>1</v>
      </c>
      <c r="D29" s="155">
        <v>37</v>
      </c>
      <c r="E29" s="145" t="s">
        <v>47</v>
      </c>
      <c r="F29" s="144" t="s">
        <v>36</v>
      </c>
      <c r="G29" s="144" t="s">
        <v>1552</v>
      </c>
    </row>
    <row r="30" spans="1:7" x14ac:dyDescent="0.35">
      <c r="A30" s="144" t="s">
        <v>23</v>
      </c>
      <c r="B30" s="144" t="s">
        <v>211</v>
      </c>
      <c r="C30" s="188">
        <v>1</v>
      </c>
      <c r="D30" s="148">
        <v>22</v>
      </c>
      <c r="E30" s="145" t="s">
        <v>62</v>
      </c>
      <c r="F30" s="144" t="s">
        <v>35</v>
      </c>
      <c r="G30" s="144" t="s">
        <v>1553</v>
      </c>
    </row>
    <row r="31" spans="1:7" x14ac:dyDescent="0.35">
      <c r="A31" s="144" t="s">
        <v>6</v>
      </c>
      <c r="B31" s="144" t="s">
        <v>72</v>
      </c>
      <c r="C31" s="188">
        <v>1</v>
      </c>
      <c r="D31" s="155">
        <v>37</v>
      </c>
      <c r="E31" s="145" t="s">
        <v>1138</v>
      </c>
      <c r="F31" s="144" t="s">
        <v>36</v>
      </c>
      <c r="G31" s="217" t="s">
        <v>1554</v>
      </c>
    </row>
    <row r="32" spans="1:7" x14ac:dyDescent="0.35">
      <c r="A32" s="144" t="s">
        <v>6</v>
      </c>
      <c r="B32" s="144" t="s">
        <v>142</v>
      </c>
      <c r="C32" s="188">
        <v>1</v>
      </c>
      <c r="D32" s="148">
        <v>22</v>
      </c>
      <c r="E32" s="145" t="s">
        <v>44</v>
      </c>
      <c r="F32" s="144" t="s">
        <v>35</v>
      </c>
      <c r="G32" s="217" t="s">
        <v>1556</v>
      </c>
    </row>
    <row r="33" spans="1:7" x14ac:dyDescent="0.35">
      <c r="A33" s="144" t="s">
        <v>6</v>
      </c>
      <c r="B33" s="144" t="s">
        <v>142</v>
      </c>
      <c r="C33" s="188">
        <v>1</v>
      </c>
      <c r="D33" s="148">
        <v>22</v>
      </c>
      <c r="E33" s="145" t="s">
        <v>44</v>
      </c>
      <c r="F33" s="144" t="s">
        <v>35</v>
      </c>
      <c r="G33" s="217" t="s">
        <v>1555</v>
      </c>
    </row>
    <row r="34" spans="1:7" x14ac:dyDescent="0.35">
      <c r="A34" s="144" t="s">
        <v>6</v>
      </c>
      <c r="B34" s="144" t="s">
        <v>219</v>
      </c>
      <c r="C34" s="188">
        <v>1</v>
      </c>
      <c r="D34" s="155">
        <v>37</v>
      </c>
      <c r="E34" s="145" t="s">
        <v>876</v>
      </c>
      <c r="F34" s="144" t="s">
        <v>36</v>
      </c>
      <c r="G34" s="217" t="s">
        <v>1557</v>
      </c>
    </row>
    <row r="35" spans="1:7" x14ac:dyDescent="0.35">
      <c r="A35" s="144" t="s">
        <v>6</v>
      </c>
      <c r="B35" s="144" t="s">
        <v>219</v>
      </c>
      <c r="C35" s="188">
        <v>1</v>
      </c>
      <c r="D35" s="148">
        <v>22</v>
      </c>
      <c r="E35" s="145" t="s">
        <v>876</v>
      </c>
      <c r="F35" s="144" t="s">
        <v>35</v>
      </c>
      <c r="G35" s="144" t="s">
        <v>1558</v>
      </c>
    </row>
    <row r="36" spans="1:7" x14ac:dyDescent="0.35">
      <c r="A36" s="144" t="s">
        <v>6</v>
      </c>
      <c r="B36" s="144" t="s">
        <v>219</v>
      </c>
      <c r="C36" s="188">
        <v>1</v>
      </c>
      <c r="D36" s="148">
        <v>56</v>
      </c>
      <c r="E36" s="145" t="s">
        <v>876</v>
      </c>
      <c r="F36" s="144" t="s">
        <v>34</v>
      </c>
      <c r="G36" s="144" t="s">
        <v>1558</v>
      </c>
    </row>
    <row r="37" spans="1:7" x14ac:dyDescent="0.35">
      <c r="A37" s="144" t="s">
        <v>6</v>
      </c>
      <c r="B37" s="166" t="s">
        <v>8</v>
      </c>
      <c r="C37" s="188">
        <v>1</v>
      </c>
      <c r="D37" s="155">
        <v>37</v>
      </c>
      <c r="E37" s="145" t="s">
        <v>61</v>
      </c>
      <c r="F37" s="144" t="s">
        <v>36</v>
      </c>
      <c r="G37" s="144" t="s">
        <v>1559</v>
      </c>
    </row>
    <row r="38" spans="1:7" x14ac:dyDescent="0.35">
      <c r="A38" s="144" t="s">
        <v>6</v>
      </c>
      <c r="B38" s="144" t="s">
        <v>219</v>
      </c>
      <c r="C38" s="188">
        <v>1</v>
      </c>
      <c r="D38" s="155">
        <v>166.1</v>
      </c>
      <c r="E38" s="145" t="s">
        <v>876</v>
      </c>
      <c r="F38" s="144" t="s">
        <v>992</v>
      </c>
      <c r="G38" s="144" t="s">
        <v>1560</v>
      </c>
    </row>
    <row r="39" spans="1:7" x14ac:dyDescent="0.35">
      <c r="A39" s="144" t="s">
        <v>6</v>
      </c>
      <c r="B39" s="144" t="s">
        <v>219</v>
      </c>
      <c r="C39" s="188">
        <v>1</v>
      </c>
      <c r="D39" s="155">
        <v>166.1</v>
      </c>
      <c r="E39" s="145" t="s">
        <v>876</v>
      </c>
      <c r="F39" s="144" t="s">
        <v>992</v>
      </c>
      <c r="G39" s="144" t="s">
        <v>1561</v>
      </c>
    </row>
    <row r="40" spans="1:7" x14ac:dyDescent="0.35">
      <c r="A40" s="144" t="s">
        <v>23</v>
      </c>
      <c r="B40" s="144" t="s">
        <v>211</v>
      </c>
      <c r="C40" s="188">
        <v>1</v>
      </c>
      <c r="D40" s="155">
        <v>166.1</v>
      </c>
      <c r="E40" s="14" t="s">
        <v>62</v>
      </c>
      <c r="F40" s="144" t="s">
        <v>992</v>
      </c>
      <c r="G40" s="144" t="s">
        <v>1562</v>
      </c>
    </row>
    <row r="41" spans="1:7" x14ac:dyDescent="0.35">
      <c r="A41" s="144" t="s">
        <v>6</v>
      </c>
      <c r="B41" s="166" t="s">
        <v>8</v>
      </c>
      <c r="C41" s="188">
        <v>1</v>
      </c>
      <c r="D41" s="155">
        <v>37</v>
      </c>
      <c r="E41" s="14" t="s">
        <v>61</v>
      </c>
      <c r="F41" s="144" t="s">
        <v>36</v>
      </c>
      <c r="G41" s="144" t="s">
        <v>1563</v>
      </c>
    </row>
    <row r="42" spans="1:7" x14ac:dyDescent="0.35">
      <c r="A42" s="144" t="s">
        <v>6</v>
      </c>
      <c r="B42" s="144" t="s">
        <v>72</v>
      </c>
      <c r="C42" s="188">
        <v>1</v>
      </c>
      <c r="D42" s="148">
        <v>56</v>
      </c>
      <c r="E42" s="145" t="s">
        <v>1138</v>
      </c>
      <c r="F42" s="144" t="s">
        <v>34</v>
      </c>
      <c r="G42" s="144" t="s">
        <v>1564</v>
      </c>
    </row>
    <row r="43" spans="1:7" x14ac:dyDescent="0.35">
      <c r="A43" s="144" t="s">
        <v>6</v>
      </c>
      <c r="B43" s="144" t="s">
        <v>219</v>
      </c>
      <c r="C43" s="188">
        <v>1</v>
      </c>
      <c r="D43" s="155">
        <v>37</v>
      </c>
      <c r="E43" s="145" t="s">
        <v>876</v>
      </c>
      <c r="F43" s="144" t="s">
        <v>36</v>
      </c>
      <c r="G43" s="144" t="s">
        <v>1565</v>
      </c>
    </row>
    <row r="44" spans="1:7" x14ac:dyDescent="0.35">
      <c r="A44" s="144" t="s">
        <v>6</v>
      </c>
      <c r="B44" s="144" t="s">
        <v>72</v>
      </c>
      <c r="C44" s="188">
        <v>1</v>
      </c>
      <c r="D44" s="148">
        <v>56</v>
      </c>
      <c r="E44" s="145" t="s">
        <v>1138</v>
      </c>
      <c r="F44" s="144" t="s">
        <v>34</v>
      </c>
      <c r="G44" s="144" t="s">
        <v>1566</v>
      </c>
    </row>
    <row r="45" spans="1:7" x14ac:dyDescent="0.35">
      <c r="A45" s="144"/>
      <c r="B45" s="144" t="s">
        <v>163</v>
      </c>
      <c r="C45" s="188">
        <v>1</v>
      </c>
      <c r="D45" s="148">
        <v>137.5</v>
      </c>
      <c r="E45" s="145" t="s">
        <v>56</v>
      </c>
      <c r="F45" s="144" t="s">
        <v>989</v>
      </c>
      <c r="G45" s="144" t="s">
        <v>1567</v>
      </c>
    </row>
    <row r="46" spans="1:7" x14ac:dyDescent="0.35">
      <c r="A46" s="144" t="s">
        <v>6</v>
      </c>
      <c r="B46" s="144" t="s">
        <v>219</v>
      </c>
      <c r="C46" s="188">
        <v>1</v>
      </c>
      <c r="D46" s="148">
        <v>137.5</v>
      </c>
      <c r="E46" s="145" t="s">
        <v>876</v>
      </c>
      <c r="F46" s="144" t="s">
        <v>989</v>
      </c>
      <c r="G46" s="144" t="s">
        <v>1568</v>
      </c>
    </row>
    <row r="47" spans="1:7" x14ac:dyDescent="0.35">
      <c r="A47" s="144" t="s">
        <v>23</v>
      </c>
      <c r="B47" s="144" t="s">
        <v>211</v>
      </c>
      <c r="C47" s="188">
        <v>1</v>
      </c>
      <c r="D47" s="155">
        <v>166.1</v>
      </c>
      <c r="E47" s="145" t="s">
        <v>62</v>
      </c>
      <c r="F47" s="144" t="s">
        <v>992</v>
      </c>
      <c r="G47" s="144" t="s">
        <v>1569</v>
      </c>
    </row>
    <row r="48" spans="1:7" x14ac:dyDescent="0.35">
      <c r="A48" s="144" t="s">
        <v>23</v>
      </c>
      <c r="B48" s="144" t="s">
        <v>211</v>
      </c>
      <c r="C48" s="188">
        <v>1</v>
      </c>
      <c r="D48" s="148">
        <v>137.5</v>
      </c>
      <c r="E48" s="145" t="s">
        <v>62</v>
      </c>
      <c r="F48" s="144" t="s">
        <v>989</v>
      </c>
      <c r="G48" s="144" t="s">
        <v>1570</v>
      </c>
    </row>
    <row r="49" spans="1:7" x14ac:dyDescent="0.35">
      <c r="A49" t="s">
        <v>6</v>
      </c>
      <c r="B49" t="s">
        <v>86</v>
      </c>
      <c r="C49" s="188">
        <v>1</v>
      </c>
      <c r="D49" s="148">
        <v>137.5</v>
      </c>
      <c r="E49" s="14" t="s">
        <v>47</v>
      </c>
      <c r="F49" s="144" t="s">
        <v>989</v>
      </c>
      <c r="G49" s="144" t="s">
        <v>1571</v>
      </c>
    </row>
    <row r="50" spans="1:7" x14ac:dyDescent="0.35">
      <c r="A50" t="s">
        <v>6</v>
      </c>
      <c r="B50" t="s">
        <v>72</v>
      </c>
      <c r="C50" s="188">
        <v>1</v>
      </c>
      <c r="D50" s="126">
        <v>78.75</v>
      </c>
      <c r="E50" s="14" t="s">
        <v>1138</v>
      </c>
      <c r="F50" s="124" t="s">
        <v>33</v>
      </c>
      <c r="G50" s="144" t="s">
        <v>1554</v>
      </c>
    </row>
    <row r="51" spans="1:7" x14ac:dyDescent="0.35">
      <c r="A51" s="144"/>
      <c r="B51" s="144" t="s">
        <v>163</v>
      </c>
      <c r="C51" s="188">
        <v>1</v>
      </c>
      <c r="D51" s="126">
        <v>78.75</v>
      </c>
      <c r="E51" s="145" t="s">
        <v>56</v>
      </c>
      <c r="F51" s="124" t="s">
        <v>33</v>
      </c>
      <c r="G51" s="144" t="s">
        <v>1567</v>
      </c>
    </row>
    <row r="52" spans="1:7" x14ac:dyDescent="0.35">
      <c r="A52" s="144" t="s">
        <v>6</v>
      </c>
      <c r="B52" s="144" t="s">
        <v>219</v>
      </c>
      <c r="C52" s="188">
        <v>1</v>
      </c>
      <c r="D52" s="126">
        <v>78.75</v>
      </c>
      <c r="E52" s="145" t="s">
        <v>876</v>
      </c>
      <c r="F52" s="124" t="s">
        <v>33</v>
      </c>
      <c r="G52" s="144" t="s">
        <v>1548</v>
      </c>
    </row>
    <row r="53" spans="1:7" x14ac:dyDescent="0.35">
      <c r="A53" s="144" t="s">
        <v>6</v>
      </c>
      <c r="B53" s="144" t="s">
        <v>219</v>
      </c>
      <c r="C53" s="188">
        <v>1</v>
      </c>
      <c r="D53" s="126">
        <v>78.75</v>
      </c>
      <c r="E53" s="145" t="s">
        <v>876</v>
      </c>
      <c r="F53" s="124" t="s">
        <v>33</v>
      </c>
      <c r="G53" s="144" t="s">
        <v>1572</v>
      </c>
    </row>
    <row r="54" spans="1:7" x14ac:dyDescent="0.35">
      <c r="A54" s="144" t="s">
        <v>6</v>
      </c>
      <c r="B54" s="144" t="s">
        <v>219</v>
      </c>
      <c r="C54" s="188">
        <v>1</v>
      </c>
      <c r="D54" s="126">
        <v>78.75</v>
      </c>
      <c r="E54" s="145" t="s">
        <v>876</v>
      </c>
      <c r="F54" s="124" t="s">
        <v>33</v>
      </c>
      <c r="G54" s="144" t="s">
        <v>1568</v>
      </c>
    </row>
    <row r="55" spans="1:7" x14ac:dyDescent="0.35">
      <c r="A55" s="144" t="s">
        <v>6</v>
      </c>
      <c r="B55" s="144" t="s">
        <v>72</v>
      </c>
      <c r="C55" s="188">
        <v>1</v>
      </c>
      <c r="D55" s="126">
        <v>78.75</v>
      </c>
      <c r="E55" s="145" t="s">
        <v>1138</v>
      </c>
      <c r="F55" s="124" t="s">
        <v>33</v>
      </c>
      <c r="G55" s="144" t="s">
        <v>1573</v>
      </c>
    </row>
    <row r="56" spans="1:7" x14ac:dyDescent="0.35">
      <c r="A56" s="144" t="s">
        <v>23</v>
      </c>
      <c r="B56" s="144" t="s">
        <v>211</v>
      </c>
      <c r="C56" s="188">
        <v>1</v>
      </c>
      <c r="D56" s="126">
        <v>78.75</v>
      </c>
      <c r="E56" s="145" t="s">
        <v>62</v>
      </c>
      <c r="F56" s="124" t="s">
        <v>33</v>
      </c>
      <c r="G56" s="144" t="s">
        <v>1574</v>
      </c>
    </row>
    <row r="57" spans="1:7" x14ac:dyDescent="0.35">
      <c r="A57" s="144" t="s">
        <v>6</v>
      </c>
      <c r="B57" s="144" t="s">
        <v>72</v>
      </c>
      <c r="C57" s="188">
        <v>1</v>
      </c>
      <c r="D57" s="126">
        <v>78.75</v>
      </c>
      <c r="E57" s="145" t="s">
        <v>1138</v>
      </c>
      <c r="F57" s="124" t="s">
        <v>33</v>
      </c>
      <c r="G57" s="144" t="s">
        <v>1575</v>
      </c>
    </row>
    <row r="58" spans="1:7" x14ac:dyDescent="0.35">
      <c r="A58" s="144" t="s">
        <v>23</v>
      </c>
      <c r="B58" s="144" t="s">
        <v>211</v>
      </c>
      <c r="C58" s="188">
        <v>1</v>
      </c>
      <c r="D58" s="126">
        <v>78.75</v>
      </c>
      <c r="E58" s="145" t="s">
        <v>62</v>
      </c>
      <c r="F58" s="124" t="s">
        <v>33</v>
      </c>
      <c r="G58" s="144" t="s">
        <v>1576</v>
      </c>
    </row>
    <row r="59" spans="1:7" x14ac:dyDescent="0.35">
      <c r="A59" s="144" t="s">
        <v>6</v>
      </c>
      <c r="B59" s="144" t="s">
        <v>72</v>
      </c>
      <c r="C59" s="188">
        <v>1</v>
      </c>
      <c r="D59" s="126">
        <v>78.75</v>
      </c>
      <c r="E59" s="145" t="s">
        <v>1138</v>
      </c>
      <c r="F59" s="124" t="s">
        <v>33</v>
      </c>
      <c r="G59" s="144" t="s">
        <v>1577</v>
      </c>
    </row>
    <row r="60" spans="1:7" x14ac:dyDescent="0.35">
      <c r="A60" s="144" t="s">
        <v>6</v>
      </c>
      <c r="B60" s="144" t="s">
        <v>142</v>
      </c>
      <c r="C60" s="188">
        <v>1</v>
      </c>
      <c r="D60" s="126">
        <v>78.75</v>
      </c>
      <c r="E60" s="145" t="s">
        <v>44</v>
      </c>
      <c r="F60" s="124" t="s">
        <v>33</v>
      </c>
      <c r="G60" s="144" t="s">
        <v>1578</v>
      </c>
    </row>
    <row r="61" spans="1:7" x14ac:dyDescent="0.35">
      <c r="A61" s="144"/>
      <c r="B61" s="144" t="s">
        <v>163</v>
      </c>
      <c r="C61" s="188">
        <v>1</v>
      </c>
      <c r="D61" s="126">
        <v>78.75</v>
      </c>
      <c r="E61" s="145" t="s">
        <v>56</v>
      </c>
      <c r="F61" s="124" t="s">
        <v>33</v>
      </c>
      <c r="G61" s="144" t="s">
        <v>1579</v>
      </c>
    </row>
    <row r="62" spans="1:7" x14ac:dyDescent="0.35">
      <c r="A62" s="144" t="s">
        <v>6</v>
      </c>
      <c r="B62" s="144" t="s">
        <v>142</v>
      </c>
      <c r="C62" s="188">
        <v>1</v>
      </c>
      <c r="D62" s="126">
        <v>78.75</v>
      </c>
      <c r="E62" s="145" t="s">
        <v>44</v>
      </c>
      <c r="F62" s="124" t="s">
        <v>33</v>
      </c>
      <c r="G62" s="144" t="s">
        <v>1580</v>
      </c>
    </row>
    <row r="63" spans="1:7" x14ac:dyDescent="0.35">
      <c r="A63" s="144"/>
      <c r="B63" s="144" t="s">
        <v>163</v>
      </c>
      <c r="C63" s="188">
        <v>1</v>
      </c>
      <c r="D63" s="126">
        <v>78.75</v>
      </c>
      <c r="E63" s="145" t="s">
        <v>56</v>
      </c>
      <c r="F63" s="124" t="s">
        <v>33</v>
      </c>
      <c r="G63" s="144" t="s">
        <v>1581</v>
      </c>
    </row>
    <row r="64" spans="1:7" x14ac:dyDescent="0.35">
      <c r="A64" s="144" t="s">
        <v>6</v>
      </c>
      <c r="B64" s="144" t="s">
        <v>142</v>
      </c>
      <c r="C64" s="188">
        <v>1</v>
      </c>
      <c r="D64" s="126">
        <v>78.75</v>
      </c>
      <c r="E64" s="145" t="s">
        <v>44</v>
      </c>
      <c r="F64" s="124" t="s">
        <v>33</v>
      </c>
      <c r="G64" s="144" t="s">
        <v>1582</v>
      </c>
    </row>
    <row r="65" spans="1:7" x14ac:dyDescent="0.35">
      <c r="A65" s="144"/>
      <c r="B65" s="144"/>
      <c r="C65" s="188">
        <v>1</v>
      </c>
      <c r="D65" s="126"/>
      <c r="E65" s="144"/>
      <c r="F65" s="124"/>
      <c r="G65" s="144"/>
    </row>
    <row r="66" spans="1:7" x14ac:dyDescent="0.35">
      <c r="A66" s="144"/>
      <c r="B66" s="144"/>
      <c r="C66" s="188">
        <v>1</v>
      </c>
      <c r="D66" s="144"/>
      <c r="E66" s="144"/>
      <c r="F66" s="144"/>
      <c r="G66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7E8CC-B881-4527-8926-AA0A41B6EFEC}">
  <dimension ref="A1:H85"/>
  <sheetViews>
    <sheetView workbookViewId="0">
      <selection activeCell="F9" sqref="F9"/>
    </sheetView>
  </sheetViews>
  <sheetFormatPr defaultRowHeight="14.5" x14ac:dyDescent="0.35"/>
  <cols>
    <col min="1" max="1" width="13.54296875" customWidth="1"/>
    <col min="2" max="2" width="19" customWidth="1"/>
    <col min="3" max="3" width="13.81640625" customWidth="1"/>
    <col min="4" max="4" width="18.7265625" customWidth="1"/>
    <col min="5" max="5" width="43.54296875" customWidth="1"/>
    <col min="6" max="6" width="48" bestFit="1" customWidth="1"/>
    <col min="7" max="7" width="33.7265625" customWidth="1"/>
    <col min="8" max="8" width="50.4531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7.25" customHeight="1" x14ac:dyDescent="0.35">
      <c r="A3" s="6" t="s">
        <v>28</v>
      </c>
      <c r="B3" s="7" t="s">
        <v>1645</v>
      </c>
      <c r="C3" s="189"/>
      <c r="D3" s="189"/>
      <c r="E3" s="189"/>
      <c r="F3" s="189"/>
      <c r="G3" s="189"/>
    </row>
    <row r="4" spans="1:7" ht="17.25" customHeight="1" x14ac:dyDescent="0.35">
      <c r="A4" s="8" t="s">
        <v>29</v>
      </c>
      <c r="B4" s="9">
        <v>45692</v>
      </c>
      <c r="C4" s="189"/>
      <c r="D4" s="189"/>
      <c r="E4" s="189"/>
      <c r="F4" s="189"/>
      <c r="G4" s="189"/>
    </row>
    <row r="5" spans="1:7" ht="17.25" customHeight="1" thickBot="1" x14ac:dyDescent="0.4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35">
      <c r="A9" s="144" t="s">
        <v>23</v>
      </c>
      <c r="B9" s="144" t="s">
        <v>244</v>
      </c>
      <c r="C9" s="188">
        <v>1</v>
      </c>
      <c r="D9" s="155">
        <v>37</v>
      </c>
      <c r="E9" s="145" t="s">
        <v>64</v>
      </c>
      <c r="F9" s="144" t="s">
        <v>36</v>
      </c>
      <c r="G9" s="144" t="s">
        <v>1641</v>
      </c>
    </row>
    <row r="10" spans="1:7" x14ac:dyDescent="0.35">
      <c r="A10" s="144" t="s">
        <v>6</v>
      </c>
      <c r="B10" s="144" t="s">
        <v>86</v>
      </c>
      <c r="C10" s="188">
        <v>1</v>
      </c>
      <c r="D10" s="148">
        <v>56</v>
      </c>
      <c r="E10" s="145" t="s">
        <v>47</v>
      </c>
      <c r="F10" s="144" t="s">
        <v>34</v>
      </c>
      <c r="G10" s="144" t="s">
        <v>1642</v>
      </c>
    </row>
    <row r="11" spans="1:7" x14ac:dyDescent="0.35">
      <c r="A11" s="144" t="s">
        <v>6</v>
      </c>
      <c r="B11" s="144" t="s">
        <v>86</v>
      </c>
      <c r="C11" s="188">
        <v>1</v>
      </c>
      <c r="D11" s="155">
        <v>37</v>
      </c>
      <c r="E11" s="145" t="s">
        <v>47</v>
      </c>
      <c r="F11" s="144" t="s">
        <v>36</v>
      </c>
      <c r="G11" s="144" t="s">
        <v>1642</v>
      </c>
    </row>
    <row r="12" spans="1:7" x14ac:dyDescent="0.35">
      <c r="A12" s="144" t="s">
        <v>6</v>
      </c>
      <c r="B12" s="144" t="s">
        <v>72</v>
      </c>
      <c r="C12" s="188">
        <v>1</v>
      </c>
      <c r="D12" s="148">
        <v>56</v>
      </c>
      <c r="E12" s="145" t="s">
        <v>1138</v>
      </c>
      <c r="F12" s="144" t="s">
        <v>34</v>
      </c>
      <c r="G12" s="144" t="s">
        <v>1643</v>
      </c>
    </row>
    <row r="13" spans="1:7" x14ac:dyDescent="0.35">
      <c r="A13" s="144" t="s">
        <v>6</v>
      </c>
      <c r="B13" s="144" t="s">
        <v>72</v>
      </c>
      <c r="C13" s="188">
        <v>1</v>
      </c>
      <c r="D13" s="148">
        <v>22</v>
      </c>
      <c r="E13" s="145" t="s">
        <v>1138</v>
      </c>
      <c r="F13" s="144" t="s">
        <v>35</v>
      </c>
      <c r="G13" s="144" t="s">
        <v>1643</v>
      </c>
    </row>
    <row r="14" spans="1:7" x14ac:dyDescent="0.35">
      <c r="A14" s="144" t="s">
        <v>6</v>
      </c>
      <c r="B14" s="144" t="s">
        <v>88</v>
      </c>
      <c r="C14" s="188">
        <v>1</v>
      </c>
      <c r="D14" s="155">
        <v>37</v>
      </c>
      <c r="E14" s="145" t="s">
        <v>83</v>
      </c>
      <c r="F14" s="144" t="s">
        <v>36</v>
      </c>
      <c r="G14" s="144" t="s">
        <v>1586</v>
      </c>
    </row>
    <row r="15" spans="1:7" x14ac:dyDescent="0.35">
      <c r="A15" s="144" t="s">
        <v>6</v>
      </c>
      <c r="B15" s="144" t="s">
        <v>88</v>
      </c>
      <c r="C15" s="188">
        <v>1</v>
      </c>
      <c r="D15" s="148">
        <v>56</v>
      </c>
      <c r="E15" s="145" t="s">
        <v>83</v>
      </c>
      <c r="F15" s="144" t="s">
        <v>34</v>
      </c>
      <c r="G15" s="144" t="s">
        <v>1586</v>
      </c>
    </row>
    <row r="16" spans="1:7" x14ac:dyDescent="0.35">
      <c r="A16" s="144" t="s">
        <v>6</v>
      </c>
      <c r="B16" s="144" t="s">
        <v>86</v>
      </c>
      <c r="C16" s="188">
        <v>1</v>
      </c>
      <c r="D16" s="148">
        <v>56</v>
      </c>
      <c r="E16" s="145" t="s">
        <v>47</v>
      </c>
      <c r="F16" s="144" t="s">
        <v>34</v>
      </c>
      <c r="G16" s="144" t="s">
        <v>1587</v>
      </c>
    </row>
    <row r="17" spans="1:7" x14ac:dyDescent="0.35">
      <c r="A17" s="144" t="s">
        <v>6</v>
      </c>
      <c r="B17" s="144" t="s">
        <v>219</v>
      </c>
      <c r="C17" s="188">
        <v>1</v>
      </c>
      <c r="D17" s="148">
        <v>22</v>
      </c>
      <c r="E17" s="145" t="s">
        <v>876</v>
      </c>
      <c r="F17" s="144" t="s">
        <v>35</v>
      </c>
      <c r="G17" s="144" t="s">
        <v>1588</v>
      </c>
    </row>
    <row r="18" spans="1:7" x14ac:dyDescent="0.35">
      <c r="A18" s="144" t="s">
        <v>6</v>
      </c>
      <c r="B18" s="144" t="s">
        <v>72</v>
      </c>
      <c r="C18" s="188">
        <v>1</v>
      </c>
      <c r="D18" s="148">
        <v>22</v>
      </c>
      <c r="E18" s="145" t="s">
        <v>1138</v>
      </c>
      <c r="F18" s="144" t="s">
        <v>35</v>
      </c>
      <c r="G18" s="144" t="s">
        <v>1589</v>
      </c>
    </row>
    <row r="19" spans="1:7" x14ac:dyDescent="0.35">
      <c r="A19" s="144" t="s">
        <v>6</v>
      </c>
      <c r="B19" s="144" t="s">
        <v>72</v>
      </c>
      <c r="C19" s="188">
        <v>1</v>
      </c>
      <c r="D19" s="148">
        <v>56</v>
      </c>
      <c r="E19" s="145" t="s">
        <v>1138</v>
      </c>
      <c r="F19" s="144" t="s">
        <v>34</v>
      </c>
      <c r="G19" s="144" t="s">
        <v>1590</v>
      </c>
    </row>
    <row r="20" spans="1:7" x14ac:dyDescent="0.35">
      <c r="A20" s="144" t="s">
        <v>6</v>
      </c>
      <c r="B20" s="144" t="s">
        <v>72</v>
      </c>
      <c r="C20" s="188">
        <v>1</v>
      </c>
      <c r="D20" s="148">
        <v>22</v>
      </c>
      <c r="E20" s="145" t="s">
        <v>1138</v>
      </c>
      <c r="F20" s="144" t="s">
        <v>35</v>
      </c>
      <c r="G20" s="144" t="s">
        <v>1590</v>
      </c>
    </row>
    <row r="21" spans="1:7" x14ac:dyDescent="0.35">
      <c r="A21" s="144" t="s">
        <v>6</v>
      </c>
      <c r="B21" s="144" t="s">
        <v>72</v>
      </c>
      <c r="C21" s="188">
        <v>1</v>
      </c>
      <c r="D21" s="148">
        <v>56</v>
      </c>
      <c r="E21" s="145" t="s">
        <v>1138</v>
      </c>
      <c r="F21" s="144" t="s">
        <v>34</v>
      </c>
      <c r="G21" s="144" t="s">
        <v>1585</v>
      </c>
    </row>
    <row r="22" spans="1:7" x14ac:dyDescent="0.35">
      <c r="A22" s="144" t="s">
        <v>6</v>
      </c>
      <c r="B22" s="144" t="s">
        <v>72</v>
      </c>
      <c r="C22" s="188">
        <v>1</v>
      </c>
      <c r="D22" s="155">
        <v>37</v>
      </c>
      <c r="E22" s="145" t="s">
        <v>1138</v>
      </c>
      <c r="F22" s="144" t="s">
        <v>36</v>
      </c>
      <c r="G22" s="144" t="s">
        <v>1585</v>
      </c>
    </row>
    <row r="23" spans="1:7" x14ac:dyDescent="0.35">
      <c r="A23" s="144" t="s">
        <v>6</v>
      </c>
      <c r="B23" s="144" t="s">
        <v>72</v>
      </c>
      <c r="C23" s="188">
        <v>1</v>
      </c>
      <c r="D23" s="155">
        <v>37</v>
      </c>
      <c r="E23" s="145" t="s">
        <v>1138</v>
      </c>
      <c r="F23" s="144" t="s">
        <v>36</v>
      </c>
      <c r="G23" s="144" t="s">
        <v>1584</v>
      </c>
    </row>
    <row r="24" spans="1:7" x14ac:dyDescent="0.35">
      <c r="A24" s="144"/>
      <c r="B24" s="144" t="s">
        <v>163</v>
      </c>
      <c r="C24" s="188">
        <v>1</v>
      </c>
      <c r="D24" s="148">
        <v>22</v>
      </c>
      <c r="E24" s="145" t="s">
        <v>56</v>
      </c>
      <c r="F24" s="144" t="s">
        <v>35</v>
      </c>
      <c r="G24" s="144" t="s">
        <v>1583</v>
      </c>
    </row>
    <row r="25" spans="1:7" x14ac:dyDescent="0.35">
      <c r="A25" s="144"/>
      <c r="B25" s="144" t="s">
        <v>163</v>
      </c>
      <c r="C25" s="188">
        <v>1</v>
      </c>
      <c r="D25" s="148">
        <v>166.1</v>
      </c>
      <c r="E25" s="145" t="s">
        <v>56</v>
      </c>
      <c r="F25" s="144" t="s">
        <v>992</v>
      </c>
      <c r="G25" s="144" t="s">
        <v>1593</v>
      </c>
    </row>
    <row r="26" spans="1:7" x14ac:dyDescent="0.35">
      <c r="A26" s="144"/>
      <c r="B26" s="144" t="s">
        <v>163</v>
      </c>
      <c r="C26" s="188">
        <v>1</v>
      </c>
      <c r="D26" s="148">
        <v>137.5</v>
      </c>
      <c r="E26" s="145" t="s">
        <v>56</v>
      </c>
      <c r="F26" s="144" t="s">
        <v>989</v>
      </c>
      <c r="G26" s="144" t="s">
        <v>1581</v>
      </c>
    </row>
    <row r="27" spans="1:7" x14ac:dyDescent="0.35">
      <c r="A27" s="144"/>
      <c r="B27" s="144" t="s">
        <v>163</v>
      </c>
      <c r="C27" s="188">
        <v>1</v>
      </c>
      <c r="D27" s="148">
        <v>137.5</v>
      </c>
      <c r="E27" s="145" t="s">
        <v>56</v>
      </c>
      <c r="F27" s="144" t="s">
        <v>989</v>
      </c>
      <c r="G27" s="144" t="s">
        <v>1579</v>
      </c>
    </row>
    <row r="28" spans="1:7" x14ac:dyDescent="0.35">
      <c r="A28" s="144" t="s">
        <v>6</v>
      </c>
      <c r="B28" s="144" t="s">
        <v>86</v>
      </c>
      <c r="C28" s="188">
        <v>1</v>
      </c>
      <c r="D28" s="148">
        <v>78.75</v>
      </c>
      <c r="E28" s="145" t="s">
        <v>47</v>
      </c>
      <c r="F28" s="144" t="s">
        <v>33</v>
      </c>
      <c r="G28" s="144" t="s">
        <v>1633</v>
      </c>
    </row>
    <row r="29" spans="1:7" x14ac:dyDescent="0.35">
      <c r="A29" s="144" t="s">
        <v>23</v>
      </c>
      <c r="B29" s="144" t="s">
        <v>244</v>
      </c>
      <c r="C29" s="188">
        <v>1</v>
      </c>
      <c r="D29" s="148">
        <v>78.75</v>
      </c>
      <c r="E29" s="145" t="s">
        <v>64</v>
      </c>
      <c r="F29" s="144" t="s">
        <v>33</v>
      </c>
      <c r="G29" s="144" t="s">
        <v>1634</v>
      </c>
    </row>
    <row r="30" spans="1:7" x14ac:dyDescent="0.35">
      <c r="A30" s="144"/>
      <c r="B30" s="144" t="s">
        <v>163</v>
      </c>
      <c r="C30" s="188">
        <v>1</v>
      </c>
      <c r="D30" s="148">
        <v>78.75</v>
      </c>
      <c r="E30" s="145" t="s">
        <v>56</v>
      </c>
      <c r="F30" s="144" t="s">
        <v>33</v>
      </c>
      <c r="G30" s="144" t="s">
        <v>1532</v>
      </c>
    </row>
    <row r="31" spans="1:7" x14ac:dyDescent="0.35">
      <c r="A31" s="144"/>
      <c r="B31" s="144" t="s">
        <v>163</v>
      </c>
      <c r="C31" s="188">
        <v>1</v>
      </c>
      <c r="D31" s="148">
        <v>78.75</v>
      </c>
      <c r="E31" s="145" t="s">
        <v>56</v>
      </c>
      <c r="F31" s="144" t="s">
        <v>33</v>
      </c>
      <c r="G31" s="144" t="s">
        <v>1635</v>
      </c>
    </row>
    <row r="32" spans="1:7" x14ac:dyDescent="0.35">
      <c r="A32" s="144" t="s">
        <v>23</v>
      </c>
      <c r="B32" s="144" t="s">
        <v>211</v>
      </c>
      <c r="C32" s="188">
        <v>1</v>
      </c>
      <c r="D32" s="148">
        <v>78.75</v>
      </c>
      <c r="E32" s="145" t="s">
        <v>62</v>
      </c>
      <c r="F32" s="144" t="s">
        <v>33</v>
      </c>
      <c r="G32" s="144" t="s">
        <v>1483</v>
      </c>
    </row>
    <row r="33" spans="1:8" x14ac:dyDescent="0.35">
      <c r="A33" s="144" t="s">
        <v>6</v>
      </c>
      <c r="B33" s="144" t="s">
        <v>86</v>
      </c>
      <c r="C33" s="188">
        <v>1</v>
      </c>
      <c r="D33" s="148">
        <v>78.75</v>
      </c>
      <c r="E33" s="145" t="s">
        <v>47</v>
      </c>
      <c r="F33" s="144" t="s">
        <v>33</v>
      </c>
      <c r="G33" s="144" t="s">
        <v>1484</v>
      </c>
    </row>
    <row r="34" spans="1:8" x14ac:dyDescent="0.35">
      <c r="A34" s="144" t="s">
        <v>23</v>
      </c>
      <c r="B34" s="144" t="s">
        <v>211</v>
      </c>
      <c r="C34" s="188">
        <v>1</v>
      </c>
      <c r="D34" s="148">
        <v>78.75</v>
      </c>
      <c r="E34" s="145" t="s">
        <v>62</v>
      </c>
      <c r="F34" s="144" t="s">
        <v>33</v>
      </c>
      <c r="G34" s="144" t="s">
        <v>1531</v>
      </c>
    </row>
    <row r="35" spans="1:8" x14ac:dyDescent="0.35">
      <c r="A35" s="144" t="s">
        <v>6</v>
      </c>
      <c r="B35" s="144" t="s">
        <v>219</v>
      </c>
      <c r="C35" s="188">
        <v>1</v>
      </c>
      <c r="D35" s="148">
        <v>78.75</v>
      </c>
      <c r="E35" s="145" t="s">
        <v>876</v>
      </c>
      <c r="F35" s="144" t="s">
        <v>33</v>
      </c>
      <c r="G35" s="144" t="s">
        <v>1488</v>
      </c>
    </row>
    <row r="36" spans="1:8" x14ac:dyDescent="0.35">
      <c r="A36" s="144" t="s">
        <v>6</v>
      </c>
      <c r="B36" s="144" t="s">
        <v>219</v>
      </c>
      <c r="C36" s="188">
        <v>1</v>
      </c>
      <c r="D36" s="148">
        <v>78.75</v>
      </c>
      <c r="E36" s="145" t="s">
        <v>876</v>
      </c>
      <c r="F36" s="144" t="s">
        <v>33</v>
      </c>
      <c r="G36" s="144" t="s">
        <v>1636</v>
      </c>
    </row>
    <row r="37" spans="1:8" x14ac:dyDescent="0.35">
      <c r="A37" s="144" t="s">
        <v>6</v>
      </c>
      <c r="B37" s="144" t="s">
        <v>219</v>
      </c>
      <c r="C37" s="188">
        <v>1</v>
      </c>
      <c r="D37" s="148">
        <v>78.75</v>
      </c>
      <c r="E37" s="145" t="s">
        <v>876</v>
      </c>
      <c r="F37" s="144" t="s">
        <v>33</v>
      </c>
      <c r="G37" s="144" t="s">
        <v>1637</v>
      </c>
    </row>
    <row r="38" spans="1:8" x14ac:dyDescent="0.35">
      <c r="A38" s="216" t="s">
        <v>23</v>
      </c>
      <c r="B38" s="144" t="s">
        <v>206</v>
      </c>
      <c r="C38" s="188">
        <v>1</v>
      </c>
      <c r="D38" s="148">
        <v>78.75</v>
      </c>
      <c r="E38" s="145" t="s">
        <v>63</v>
      </c>
      <c r="F38" s="144" t="s">
        <v>33</v>
      </c>
      <c r="G38" s="144" t="s">
        <v>1639</v>
      </c>
    </row>
    <row r="39" spans="1:8" x14ac:dyDescent="0.35">
      <c r="A39" s="144" t="s">
        <v>23</v>
      </c>
      <c r="B39" s="144" t="s">
        <v>211</v>
      </c>
      <c r="C39" s="188">
        <v>1</v>
      </c>
      <c r="D39" s="148">
        <v>78.75</v>
      </c>
      <c r="E39" s="145" t="s">
        <v>62</v>
      </c>
      <c r="F39" s="144" t="s">
        <v>33</v>
      </c>
      <c r="G39" s="144" t="s">
        <v>1640</v>
      </c>
    </row>
    <row r="40" spans="1:8" x14ac:dyDescent="0.35">
      <c r="A40" s="144" t="s">
        <v>6</v>
      </c>
      <c r="B40" s="144" t="s">
        <v>219</v>
      </c>
      <c r="C40" s="188">
        <v>1</v>
      </c>
      <c r="D40" s="148">
        <v>78.75</v>
      </c>
      <c r="E40" s="145" t="s">
        <v>876</v>
      </c>
      <c r="F40" s="144" t="s">
        <v>33</v>
      </c>
      <c r="G40" s="144" t="s">
        <v>1616</v>
      </c>
    </row>
    <row r="41" spans="1:8" x14ac:dyDescent="0.35">
      <c r="A41" s="144" t="s">
        <v>6</v>
      </c>
      <c r="B41" s="144" t="s">
        <v>219</v>
      </c>
      <c r="C41" s="188">
        <v>1</v>
      </c>
      <c r="D41" s="148">
        <v>78.75</v>
      </c>
      <c r="E41" s="145" t="s">
        <v>876</v>
      </c>
      <c r="F41" s="144" t="s">
        <v>33</v>
      </c>
      <c r="G41" s="144" t="s">
        <v>1617</v>
      </c>
    </row>
    <row r="42" spans="1:8" x14ac:dyDescent="0.35">
      <c r="A42" s="144" t="s">
        <v>6</v>
      </c>
      <c r="B42" s="144" t="s">
        <v>219</v>
      </c>
      <c r="C42" s="188">
        <v>1</v>
      </c>
      <c r="D42" s="148">
        <v>78.75</v>
      </c>
      <c r="E42" s="145" t="s">
        <v>876</v>
      </c>
      <c r="F42" s="144" t="s">
        <v>33</v>
      </c>
      <c r="G42" s="144" t="s">
        <v>1618</v>
      </c>
    </row>
    <row r="43" spans="1:8" x14ac:dyDescent="0.35">
      <c r="A43" s="216" t="s">
        <v>23</v>
      </c>
      <c r="B43" s="144" t="s">
        <v>206</v>
      </c>
      <c r="C43" s="188">
        <v>1</v>
      </c>
      <c r="D43" s="148">
        <v>78.75</v>
      </c>
      <c r="E43" s="145" t="s">
        <v>63</v>
      </c>
      <c r="F43" s="144" t="s">
        <v>33</v>
      </c>
      <c r="G43" s="144" t="s">
        <v>1619</v>
      </c>
    </row>
    <row r="44" spans="1:8" x14ac:dyDescent="0.35">
      <c r="A44" s="216" t="s">
        <v>6</v>
      </c>
      <c r="B44" s="144" t="s">
        <v>1382</v>
      </c>
      <c r="C44" s="188">
        <v>1</v>
      </c>
      <c r="D44" s="215">
        <v>78.75</v>
      </c>
      <c r="E44" s="214" t="s">
        <v>51</v>
      </c>
      <c r="F44" s="216" t="s">
        <v>33</v>
      </c>
      <c r="G44" s="216" t="s">
        <v>1620</v>
      </c>
      <c r="H44" s="219"/>
    </row>
    <row r="45" spans="1:8" x14ac:dyDescent="0.35">
      <c r="A45" s="216" t="s">
        <v>6</v>
      </c>
      <c r="B45" s="144" t="s">
        <v>1382</v>
      </c>
      <c r="C45" s="188">
        <v>1</v>
      </c>
      <c r="D45" s="215">
        <v>78.75</v>
      </c>
      <c r="E45" s="214" t="s">
        <v>51</v>
      </c>
      <c r="F45" s="216" t="s">
        <v>33</v>
      </c>
      <c r="G45" s="216" t="s">
        <v>1621</v>
      </c>
      <c r="H45" s="219"/>
    </row>
    <row r="46" spans="1:8" x14ac:dyDescent="0.35">
      <c r="A46" s="144" t="s">
        <v>6</v>
      </c>
      <c r="B46" s="144" t="s">
        <v>219</v>
      </c>
      <c r="C46" s="188">
        <v>1</v>
      </c>
      <c r="D46" s="148">
        <v>78.75</v>
      </c>
      <c r="E46" s="145" t="s">
        <v>876</v>
      </c>
      <c r="F46" s="144" t="s">
        <v>33</v>
      </c>
      <c r="G46" s="144" t="s">
        <v>1624</v>
      </c>
    </row>
    <row r="47" spans="1:8" x14ac:dyDescent="0.35">
      <c r="A47" s="144" t="s">
        <v>23</v>
      </c>
      <c r="B47" s="144" t="s">
        <v>211</v>
      </c>
      <c r="C47" s="188">
        <v>1</v>
      </c>
      <c r="D47" s="148">
        <v>78.75</v>
      </c>
      <c r="E47" s="145" t="s">
        <v>62</v>
      </c>
      <c r="F47" s="144" t="s">
        <v>33</v>
      </c>
      <c r="G47" s="144" t="s">
        <v>1622</v>
      </c>
    </row>
    <row r="48" spans="1:8" x14ac:dyDescent="0.35">
      <c r="A48" s="144" t="s">
        <v>6</v>
      </c>
      <c r="B48" s="144" t="s">
        <v>219</v>
      </c>
      <c r="C48" s="188">
        <v>1</v>
      </c>
      <c r="D48" s="148">
        <v>78.75</v>
      </c>
      <c r="E48" s="145" t="s">
        <v>876</v>
      </c>
      <c r="F48" s="144" t="s">
        <v>33</v>
      </c>
      <c r="G48" s="144" t="s">
        <v>1623</v>
      </c>
    </row>
    <row r="49" spans="1:7" x14ac:dyDescent="0.35">
      <c r="A49" s="144" t="s">
        <v>6</v>
      </c>
      <c r="B49" s="144" t="s">
        <v>72</v>
      </c>
      <c r="C49" s="188">
        <v>1</v>
      </c>
      <c r="D49" s="148">
        <v>78.75</v>
      </c>
      <c r="E49" s="145" t="s">
        <v>1138</v>
      </c>
      <c r="F49" s="144" t="s">
        <v>33</v>
      </c>
      <c r="G49" s="144" t="s">
        <v>1625</v>
      </c>
    </row>
    <row r="50" spans="1:7" x14ac:dyDescent="0.35">
      <c r="A50" s="144" t="s">
        <v>6</v>
      </c>
      <c r="B50" s="144" t="s">
        <v>219</v>
      </c>
      <c r="C50" s="188">
        <v>1</v>
      </c>
      <c r="D50" s="148">
        <v>78.75</v>
      </c>
      <c r="E50" s="145" t="s">
        <v>876</v>
      </c>
      <c r="F50" s="144" t="s">
        <v>33</v>
      </c>
      <c r="G50" s="144" t="s">
        <v>1626</v>
      </c>
    </row>
    <row r="51" spans="1:7" x14ac:dyDescent="0.35">
      <c r="A51" s="144" t="s">
        <v>6</v>
      </c>
      <c r="B51" s="144" t="s">
        <v>86</v>
      </c>
      <c r="C51" s="188">
        <v>1</v>
      </c>
      <c r="D51" s="148">
        <v>78.75</v>
      </c>
      <c r="E51" s="145" t="s">
        <v>47</v>
      </c>
      <c r="F51" s="144" t="s">
        <v>33</v>
      </c>
      <c r="G51" s="144" t="s">
        <v>1627</v>
      </c>
    </row>
    <row r="52" spans="1:7" x14ac:dyDescent="0.35">
      <c r="A52" s="144" t="s">
        <v>6</v>
      </c>
      <c r="B52" s="144" t="s">
        <v>219</v>
      </c>
      <c r="C52" s="188">
        <v>1</v>
      </c>
      <c r="D52" s="148">
        <v>78.75</v>
      </c>
      <c r="E52" s="145" t="s">
        <v>876</v>
      </c>
      <c r="F52" s="144" t="s">
        <v>33</v>
      </c>
      <c r="G52" s="144" t="s">
        <v>1628</v>
      </c>
    </row>
    <row r="53" spans="1:7" x14ac:dyDescent="0.35">
      <c r="A53" s="144" t="s">
        <v>6</v>
      </c>
      <c r="B53" s="144" t="s">
        <v>219</v>
      </c>
      <c r="C53" s="188">
        <v>1</v>
      </c>
      <c r="D53" s="148">
        <v>78.75</v>
      </c>
      <c r="E53" s="145" t="s">
        <v>876</v>
      </c>
      <c r="F53" s="144" t="s">
        <v>33</v>
      </c>
      <c r="G53" s="144" t="s">
        <v>1629</v>
      </c>
    </row>
    <row r="54" spans="1:7" x14ac:dyDescent="0.35">
      <c r="A54" s="144" t="s">
        <v>6</v>
      </c>
      <c r="B54" s="144" t="s">
        <v>219</v>
      </c>
      <c r="C54" s="188">
        <v>1</v>
      </c>
      <c r="D54" s="148">
        <v>78.75</v>
      </c>
      <c r="E54" s="145" t="s">
        <v>876</v>
      </c>
      <c r="F54" s="144" t="s">
        <v>33</v>
      </c>
      <c r="G54" s="144" t="s">
        <v>1631</v>
      </c>
    </row>
    <row r="55" spans="1:7" x14ac:dyDescent="0.35">
      <c r="A55" s="144" t="s">
        <v>6</v>
      </c>
      <c r="B55" s="144" t="s">
        <v>219</v>
      </c>
      <c r="C55" s="188">
        <v>1</v>
      </c>
      <c r="D55" s="148">
        <v>78.75</v>
      </c>
      <c r="E55" s="145" t="s">
        <v>876</v>
      </c>
      <c r="F55" s="144" t="s">
        <v>33</v>
      </c>
      <c r="G55" s="144" t="s">
        <v>1630</v>
      </c>
    </row>
    <row r="56" spans="1:7" x14ac:dyDescent="0.35">
      <c r="A56" s="144" t="s">
        <v>23</v>
      </c>
      <c r="B56" s="144" t="s">
        <v>244</v>
      </c>
      <c r="C56" s="188">
        <v>1</v>
      </c>
      <c r="D56" s="148">
        <v>78.75</v>
      </c>
      <c r="E56" s="145" t="s">
        <v>64</v>
      </c>
      <c r="F56" s="144" t="s">
        <v>33</v>
      </c>
      <c r="G56" s="144" t="s">
        <v>1632</v>
      </c>
    </row>
    <row r="57" spans="1:7" x14ac:dyDescent="0.35">
      <c r="A57" s="144" t="s">
        <v>6</v>
      </c>
      <c r="B57" s="144" t="s">
        <v>219</v>
      </c>
      <c r="C57" s="188">
        <v>1</v>
      </c>
      <c r="D57" s="148">
        <v>78.75</v>
      </c>
      <c r="E57" s="145" t="s">
        <v>876</v>
      </c>
      <c r="F57" s="144" t="s">
        <v>33</v>
      </c>
      <c r="G57" s="144" t="s">
        <v>1603</v>
      </c>
    </row>
    <row r="58" spans="1:7" x14ac:dyDescent="0.35">
      <c r="A58" s="144" t="s">
        <v>6</v>
      </c>
      <c r="B58" s="144" t="s">
        <v>219</v>
      </c>
      <c r="C58" s="188">
        <v>1</v>
      </c>
      <c r="D58" s="148">
        <v>78.75</v>
      </c>
      <c r="E58" s="145" t="s">
        <v>876</v>
      </c>
      <c r="F58" s="144" t="s">
        <v>33</v>
      </c>
      <c r="G58" s="144" t="s">
        <v>1605</v>
      </c>
    </row>
    <row r="59" spans="1:7" x14ac:dyDescent="0.35">
      <c r="A59" s="144" t="s">
        <v>6</v>
      </c>
      <c r="B59" s="144" t="s">
        <v>219</v>
      </c>
      <c r="C59" s="188">
        <v>1</v>
      </c>
      <c r="D59" s="148">
        <v>78.75</v>
      </c>
      <c r="E59" s="145" t="s">
        <v>876</v>
      </c>
      <c r="F59" s="144" t="s">
        <v>33</v>
      </c>
      <c r="G59" s="144" t="s">
        <v>1463</v>
      </c>
    </row>
    <row r="60" spans="1:7" x14ac:dyDescent="0.35">
      <c r="A60" s="144" t="s">
        <v>23</v>
      </c>
      <c r="B60" s="144" t="s">
        <v>244</v>
      </c>
      <c r="C60" s="188">
        <v>1</v>
      </c>
      <c r="D60" s="148">
        <v>78.75</v>
      </c>
      <c r="E60" s="145" t="s">
        <v>64</v>
      </c>
      <c r="F60" s="144" t="s">
        <v>33</v>
      </c>
      <c r="G60" s="144" t="s">
        <v>1604</v>
      </c>
    </row>
    <row r="61" spans="1:7" x14ac:dyDescent="0.35">
      <c r="A61" s="144" t="s">
        <v>23</v>
      </c>
      <c r="B61" s="144" t="s">
        <v>211</v>
      </c>
      <c r="C61" s="188">
        <v>1</v>
      </c>
      <c r="D61" s="148">
        <v>78.75</v>
      </c>
      <c r="E61" s="145" t="s">
        <v>62</v>
      </c>
      <c r="F61" s="144" t="s">
        <v>33</v>
      </c>
      <c r="G61" s="144" t="s">
        <v>1606</v>
      </c>
    </row>
    <row r="62" spans="1:7" x14ac:dyDescent="0.35">
      <c r="A62" s="144" t="s">
        <v>6</v>
      </c>
      <c r="B62" s="144" t="s">
        <v>219</v>
      </c>
      <c r="C62" s="188">
        <v>1</v>
      </c>
      <c r="D62" s="148">
        <v>78.75</v>
      </c>
      <c r="E62" s="145" t="s">
        <v>876</v>
      </c>
      <c r="F62" s="144" t="s">
        <v>33</v>
      </c>
      <c r="G62" s="144" t="s">
        <v>1607</v>
      </c>
    </row>
    <row r="63" spans="1:7" x14ac:dyDescent="0.35">
      <c r="A63" s="144" t="s">
        <v>6</v>
      </c>
      <c r="B63" s="144" t="s">
        <v>219</v>
      </c>
      <c r="C63" s="188">
        <v>1</v>
      </c>
      <c r="D63" s="148">
        <v>78.75</v>
      </c>
      <c r="E63" s="145" t="s">
        <v>876</v>
      </c>
      <c r="F63" s="144" t="s">
        <v>33</v>
      </c>
      <c r="G63" s="144" t="s">
        <v>1608</v>
      </c>
    </row>
    <row r="64" spans="1:7" x14ac:dyDescent="0.35">
      <c r="A64" s="144" t="s">
        <v>6</v>
      </c>
      <c r="B64" s="144" t="s">
        <v>219</v>
      </c>
      <c r="C64" s="188">
        <v>1</v>
      </c>
      <c r="D64" s="148">
        <v>78.75</v>
      </c>
      <c r="E64" s="145" t="s">
        <v>876</v>
      </c>
      <c r="F64" s="144" t="s">
        <v>33</v>
      </c>
      <c r="G64" s="144" t="s">
        <v>1464</v>
      </c>
    </row>
    <row r="65" spans="1:7" x14ac:dyDescent="0.35">
      <c r="A65" s="144" t="s">
        <v>6</v>
      </c>
      <c r="B65" s="144" t="s">
        <v>72</v>
      </c>
      <c r="C65" s="188">
        <v>1</v>
      </c>
      <c r="D65" s="148">
        <v>78.75</v>
      </c>
      <c r="E65" s="145" t="s">
        <v>1138</v>
      </c>
      <c r="F65" s="144" t="s">
        <v>33</v>
      </c>
      <c r="G65" s="144" t="s">
        <v>1609</v>
      </c>
    </row>
    <row r="66" spans="1:7" x14ac:dyDescent="0.35">
      <c r="A66" s="144" t="s">
        <v>23</v>
      </c>
      <c r="B66" s="144" t="s">
        <v>244</v>
      </c>
      <c r="C66" s="188">
        <v>1</v>
      </c>
      <c r="D66" s="148">
        <v>78.75</v>
      </c>
      <c r="E66" s="145" t="s">
        <v>64</v>
      </c>
      <c r="F66" s="144" t="s">
        <v>33</v>
      </c>
      <c r="G66" s="144" t="s">
        <v>1610</v>
      </c>
    </row>
    <row r="67" spans="1:7" x14ac:dyDescent="0.35">
      <c r="A67" s="144" t="s">
        <v>6</v>
      </c>
      <c r="B67" s="144" t="s">
        <v>219</v>
      </c>
      <c r="C67" s="188">
        <v>1</v>
      </c>
      <c r="D67" s="148">
        <v>78.75</v>
      </c>
      <c r="E67" s="145" t="s">
        <v>876</v>
      </c>
      <c r="F67" s="144" t="s">
        <v>33</v>
      </c>
      <c r="G67" s="144" t="s">
        <v>1611</v>
      </c>
    </row>
    <row r="68" spans="1:7" x14ac:dyDescent="0.35">
      <c r="A68" s="144" t="s">
        <v>6</v>
      </c>
      <c r="B68" s="144" t="s">
        <v>88</v>
      </c>
      <c r="C68" s="188">
        <v>1</v>
      </c>
      <c r="D68" s="148">
        <v>78.75</v>
      </c>
      <c r="E68" s="145" t="s">
        <v>83</v>
      </c>
      <c r="F68" s="144" t="s">
        <v>33</v>
      </c>
      <c r="G68" s="144" t="s">
        <v>1613</v>
      </c>
    </row>
    <row r="69" spans="1:7" x14ac:dyDescent="0.35">
      <c r="A69" s="144" t="s">
        <v>6</v>
      </c>
      <c r="B69" s="144" t="s">
        <v>72</v>
      </c>
      <c r="C69" s="188">
        <v>1</v>
      </c>
      <c r="D69" s="148">
        <v>78.75</v>
      </c>
      <c r="E69" s="145" t="s">
        <v>1138</v>
      </c>
      <c r="F69" s="144" t="s">
        <v>33</v>
      </c>
      <c r="G69" s="144" t="s">
        <v>1614</v>
      </c>
    </row>
    <row r="70" spans="1:7" x14ac:dyDescent="0.35">
      <c r="A70" s="144" t="s">
        <v>6</v>
      </c>
      <c r="B70" s="144" t="s">
        <v>86</v>
      </c>
      <c r="C70" s="188">
        <v>1</v>
      </c>
      <c r="D70" s="148">
        <v>78.75</v>
      </c>
      <c r="E70" s="145" t="s">
        <v>47</v>
      </c>
      <c r="F70" s="144" t="s">
        <v>33</v>
      </c>
      <c r="G70" s="144" t="s">
        <v>1612</v>
      </c>
    </row>
    <row r="71" spans="1:7" x14ac:dyDescent="0.35">
      <c r="A71" s="144" t="s">
        <v>6</v>
      </c>
      <c r="B71" s="144" t="s">
        <v>88</v>
      </c>
      <c r="C71" s="188">
        <v>1</v>
      </c>
      <c r="D71" s="148">
        <v>78.75</v>
      </c>
      <c r="E71" s="145" t="s">
        <v>83</v>
      </c>
      <c r="F71" s="144" t="s">
        <v>33</v>
      </c>
      <c r="G71" s="144" t="s">
        <v>1615</v>
      </c>
    </row>
    <row r="72" spans="1:7" x14ac:dyDescent="0.35">
      <c r="A72" s="144" t="s">
        <v>6</v>
      </c>
      <c r="B72" s="144" t="s">
        <v>219</v>
      </c>
      <c r="C72" s="188">
        <v>1</v>
      </c>
      <c r="D72" s="148">
        <v>78.75</v>
      </c>
      <c r="E72" s="145" t="s">
        <v>876</v>
      </c>
      <c r="F72" s="144" t="s">
        <v>33</v>
      </c>
      <c r="G72" s="144" t="s">
        <v>1594</v>
      </c>
    </row>
    <row r="73" spans="1:7" x14ac:dyDescent="0.35">
      <c r="A73" s="144" t="s">
        <v>6</v>
      </c>
      <c r="B73" s="144" t="s">
        <v>219</v>
      </c>
      <c r="C73" s="188">
        <v>1</v>
      </c>
      <c r="D73" s="148">
        <v>78.75</v>
      </c>
      <c r="E73" s="145" t="s">
        <v>876</v>
      </c>
      <c r="F73" s="144" t="s">
        <v>33</v>
      </c>
      <c r="G73" s="144" t="s">
        <v>1595</v>
      </c>
    </row>
    <row r="74" spans="1:7" x14ac:dyDescent="0.35">
      <c r="A74" s="144" t="s">
        <v>6</v>
      </c>
      <c r="B74" s="144" t="s">
        <v>72</v>
      </c>
      <c r="C74" s="188">
        <v>1</v>
      </c>
      <c r="D74" s="148">
        <v>78.75</v>
      </c>
      <c r="E74" s="145" t="s">
        <v>1138</v>
      </c>
      <c r="F74" s="144" t="s">
        <v>33</v>
      </c>
      <c r="G74" s="144" t="s">
        <v>1597</v>
      </c>
    </row>
    <row r="75" spans="1:7" x14ac:dyDescent="0.35">
      <c r="A75" s="144" t="s">
        <v>6</v>
      </c>
      <c r="B75" s="144" t="s">
        <v>219</v>
      </c>
      <c r="C75" s="188">
        <v>1</v>
      </c>
      <c r="D75" s="148">
        <v>78.75</v>
      </c>
      <c r="E75" s="145" t="s">
        <v>876</v>
      </c>
      <c r="F75" s="144" t="s">
        <v>33</v>
      </c>
      <c r="G75" s="144" t="s">
        <v>1469</v>
      </c>
    </row>
    <row r="76" spans="1:7" x14ac:dyDescent="0.35">
      <c r="A76" s="144" t="s">
        <v>6</v>
      </c>
      <c r="B76" s="144" t="s">
        <v>219</v>
      </c>
      <c r="C76" s="188">
        <v>1</v>
      </c>
      <c r="D76" s="148">
        <v>78.75</v>
      </c>
      <c r="E76" s="145" t="s">
        <v>876</v>
      </c>
      <c r="F76" s="144" t="s">
        <v>33</v>
      </c>
      <c r="G76" s="144" t="s">
        <v>1596</v>
      </c>
    </row>
    <row r="77" spans="1:7" x14ac:dyDescent="0.35">
      <c r="A77" s="144" t="s">
        <v>6</v>
      </c>
      <c r="B77" s="144" t="s">
        <v>219</v>
      </c>
      <c r="C77" s="188">
        <v>1</v>
      </c>
      <c r="D77" s="148">
        <v>78.75</v>
      </c>
      <c r="E77" s="145" t="s">
        <v>876</v>
      </c>
      <c r="F77" s="144" t="s">
        <v>33</v>
      </c>
      <c r="G77" s="144" t="s">
        <v>1409</v>
      </c>
    </row>
    <row r="78" spans="1:7" x14ac:dyDescent="0.35">
      <c r="A78" s="144" t="s">
        <v>6</v>
      </c>
      <c r="B78" s="144" t="s">
        <v>72</v>
      </c>
      <c r="C78" s="188">
        <v>1</v>
      </c>
      <c r="D78" s="148">
        <v>78.75</v>
      </c>
      <c r="E78" s="145" t="s">
        <v>1138</v>
      </c>
      <c r="F78" s="144" t="s">
        <v>33</v>
      </c>
      <c r="G78" s="144" t="s">
        <v>1598</v>
      </c>
    </row>
    <row r="79" spans="1:7" x14ac:dyDescent="0.35">
      <c r="A79" s="144" t="s">
        <v>6</v>
      </c>
      <c r="B79" s="144" t="s">
        <v>142</v>
      </c>
      <c r="C79" s="188">
        <v>1</v>
      </c>
      <c r="D79" s="148">
        <v>78.75</v>
      </c>
      <c r="E79" s="145" t="s">
        <v>44</v>
      </c>
      <c r="F79" s="144" t="s">
        <v>33</v>
      </c>
      <c r="G79" s="144" t="s">
        <v>1347</v>
      </c>
    </row>
    <row r="80" spans="1:7" x14ac:dyDescent="0.35">
      <c r="A80" s="144" t="s">
        <v>6</v>
      </c>
      <c r="B80" s="144" t="s">
        <v>219</v>
      </c>
      <c r="C80" s="188">
        <v>1</v>
      </c>
      <c r="D80" s="148">
        <v>78.75</v>
      </c>
      <c r="E80" s="145" t="s">
        <v>876</v>
      </c>
      <c r="F80" s="144" t="s">
        <v>33</v>
      </c>
      <c r="G80" s="144" t="s">
        <v>1599</v>
      </c>
    </row>
    <row r="81" spans="1:7" x14ac:dyDescent="0.35">
      <c r="A81" s="144" t="s">
        <v>23</v>
      </c>
      <c r="B81" s="144" t="s">
        <v>211</v>
      </c>
      <c r="C81" s="188">
        <v>1</v>
      </c>
      <c r="D81" s="148">
        <v>78.75</v>
      </c>
      <c r="E81" s="145" t="s">
        <v>62</v>
      </c>
      <c r="F81" s="144" t="s">
        <v>33</v>
      </c>
      <c r="G81" s="144" t="s">
        <v>1601</v>
      </c>
    </row>
    <row r="82" spans="1:7" x14ac:dyDescent="0.35">
      <c r="A82" s="144" t="s">
        <v>6</v>
      </c>
      <c r="B82" s="144" t="s">
        <v>219</v>
      </c>
      <c r="C82" s="188">
        <v>1</v>
      </c>
      <c r="D82" s="148">
        <v>78.75</v>
      </c>
      <c r="E82" s="145" t="s">
        <v>876</v>
      </c>
      <c r="F82" s="144" t="s">
        <v>33</v>
      </c>
      <c r="G82" s="144" t="s">
        <v>1638</v>
      </c>
    </row>
    <row r="83" spans="1:7" x14ac:dyDescent="0.35">
      <c r="A83" s="144" t="s">
        <v>6</v>
      </c>
      <c r="B83" s="144" t="s">
        <v>86</v>
      </c>
      <c r="C83" s="188">
        <v>1</v>
      </c>
      <c r="D83" s="148">
        <v>78.75</v>
      </c>
      <c r="E83" s="145" t="s">
        <v>47</v>
      </c>
      <c r="F83" s="144" t="s">
        <v>33</v>
      </c>
      <c r="G83" s="144" t="s">
        <v>1600</v>
      </c>
    </row>
    <row r="84" spans="1:7" x14ac:dyDescent="0.35">
      <c r="A84" s="144" t="s">
        <v>6</v>
      </c>
      <c r="B84" s="144" t="s">
        <v>142</v>
      </c>
      <c r="C84" s="188">
        <v>1</v>
      </c>
      <c r="D84" s="148">
        <v>78.75</v>
      </c>
      <c r="E84" s="145" t="s">
        <v>44</v>
      </c>
      <c r="F84" s="144" t="s">
        <v>33</v>
      </c>
      <c r="G84" s="144" t="s">
        <v>1602</v>
      </c>
    </row>
    <row r="85" spans="1:7" x14ac:dyDescent="0.35">
      <c r="A85" s="144" t="s">
        <v>23</v>
      </c>
      <c r="B85" s="144" t="s">
        <v>211</v>
      </c>
      <c r="C85" s="188">
        <v>1</v>
      </c>
      <c r="D85" s="148">
        <v>78.75</v>
      </c>
      <c r="E85" s="145" t="s">
        <v>62</v>
      </c>
      <c r="F85" s="144" t="s">
        <v>33</v>
      </c>
      <c r="G85" s="144" t="s">
        <v>1341</v>
      </c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04A69-A9B5-42FD-99B4-45287A329E23}">
  <dimension ref="A1:H67"/>
  <sheetViews>
    <sheetView workbookViewId="0">
      <selection activeCell="F21" sqref="F21"/>
    </sheetView>
  </sheetViews>
  <sheetFormatPr defaultRowHeight="14.5" x14ac:dyDescent="0.35"/>
  <cols>
    <col min="1" max="1" width="13.54296875" customWidth="1"/>
    <col min="2" max="2" width="19" customWidth="1"/>
    <col min="3" max="3" width="13.81640625" customWidth="1"/>
    <col min="4" max="4" width="18.7265625" customWidth="1"/>
    <col min="5" max="5" width="43.54296875" customWidth="1"/>
    <col min="6" max="6" width="48" bestFit="1" customWidth="1"/>
    <col min="7" max="7" width="33.7265625" customWidth="1"/>
    <col min="8" max="8" width="50.453125" customWidth="1"/>
  </cols>
  <sheetData>
    <row r="1" spans="1:8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7.25" customHeight="1" x14ac:dyDescent="0.35">
      <c r="A3" s="6" t="s">
        <v>28</v>
      </c>
      <c r="B3" s="7" t="s">
        <v>1681</v>
      </c>
      <c r="C3" s="189"/>
      <c r="D3" s="189"/>
      <c r="E3" s="189"/>
      <c r="F3" s="189"/>
      <c r="G3" s="189"/>
    </row>
    <row r="4" spans="1:8" ht="17.25" customHeight="1" x14ac:dyDescent="0.35">
      <c r="A4" s="8" t="s">
        <v>29</v>
      </c>
      <c r="B4" s="9">
        <v>45721</v>
      </c>
      <c r="C4" s="189"/>
      <c r="D4" s="189"/>
      <c r="E4" s="189"/>
      <c r="F4" s="189"/>
      <c r="G4" s="189"/>
    </row>
    <row r="5" spans="1:8" ht="17.25" customHeight="1" thickBot="1" x14ac:dyDescent="0.4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8" ht="26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35">
      <c r="A9" s="144" t="s">
        <v>6</v>
      </c>
      <c r="B9" s="144" t="s">
        <v>72</v>
      </c>
      <c r="C9" s="188">
        <v>1</v>
      </c>
      <c r="D9" s="148">
        <v>78.75</v>
      </c>
      <c r="E9" s="145" t="s">
        <v>1138</v>
      </c>
      <c r="F9" s="144" t="s">
        <v>33</v>
      </c>
      <c r="G9" s="144" t="s">
        <v>1663</v>
      </c>
    </row>
    <row r="10" spans="1:8" x14ac:dyDescent="0.35">
      <c r="A10" s="144" t="s">
        <v>6</v>
      </c>
      <c r="B10" s="144" t="s">
        <v>72</v>
      </c>
      <c r="C10" s="188">
        <v>1</v>
      </c>
      <c r="D10" s="148">
        <v>78.75</v>
      </c>
      <c r="E10" s="145" t="s">
        <v>1138</v>
      </c>
      <c r="F10" s="144" t="s">
        <v>33</v>
      </c>
      <c r="G10" s="144" t="s">
        <v>1662</v>
      </c>
    </row>
    <row r="11" spans="1:8" x14ac:dyDescent="0.35">
      <c r="A11" s="144" t="s">
        <v>6</v>
      </c>
      <c r="B11" s="144" t="s">
        <v>72</v>
      </c>
      <c r="C11" s="188">
        <v>1</v>
      </c>
      <c r="D11" s="148">
        <v>78.75</v>
      </c>
      <c r="E11" s="145" t="s">
        <v>1138</v>
      </c>
      <c r="F11" s="144" t="s">
        <v>33</v>
      </c>
      <c r="G11" s="144" t="s">
        <v>1661</v>
      </c>
    </row>
    <row r="12" spans="1:8" x14ac:dyDescent="0.35">
      <c r="A12" s="144" t="s">
        <v>6</v>
      </c>
      <c r="B12" s="144" t="s">
        <v>219</v>
      </c>
      <c r="C12" s="188">
        <v>1</v>
      </c>
      <c r="D12" s="148">
        <v>78.75</v>
      </c>
      <c r="E12" s="145" t="s">
        <v>876</v>
      </c>
      <c r="F12" s="144" t="s">
        <v>33</v>
      </c>
      <c r="G12" s="144" t="s">
        <v>1660</v>
      </c>
    </row>
    <row r="13" spans="1:8" x14ac:dyDescent="0.35">
      <c r="A13" s="144" t="s">
        <v>6</v>
      </c>
      <c r="B13" s="144" t="s">
        <v>1382</v>
      </c>
      <c r="C13" s="188">
        <v>1</v>
      </c>
      <c r="D13" s="148">
        <v>78.75</v>
      </c>
      <c r="E13" s="216" t="s">
        <v>51</v>
      </c>
      <c r="F13" s="216" t="s">
        <v>33</v>
      </c>
      <c r="G13" s="216" t="s">
        <v>1659</v>
      </c>
      <c r="H13" s="220"/>
    </row>
    <row r="14" spans="1:8" x14ac:dyDescent="0.35">
      <c r="A14" s="144" t="s">
        <v>6</v>
      </c>
      <c r="B14" s="144" t="s">
        <v>86</v>
      </c>
      <c r="C14" s="188">
        <v>1</v>
      </c>
      <c r="D14" s="148">
        <v>78.75</v>
      </c>
      <c r="E14" s="145" t="s">
        <v>47</v>
      </c>
      <c r="F14" s="144" t="s">
        <v>33</v>
      </c>
      <c r="G14" s="144" t="s">
        <v>1657</v>
      </c>
    </row>
    <row r="15" spans="1:8" x14ac:dyDescent="0.35">
      <c r="A15" s="144" t="s">
        <v>6</v>
      </c>
      <c r="B15" s="144" t="s">
        <v>86</v>
      </c>
      <c r="C15" s="188">
        <v>1</v>
      </c>
      <c r="D15" s="148">
        <v>78.75</v>
      </c>
      <c r="E15" s="145" t="s">
        <v>47</v>
      </c>
      <c r="F15" s="144" t="s">
        <v>33</v>
      </c>
      <c r="G15" s="144" t="s">
        <v>1658</v>
      </c>
    </row>
    <row r="16" spans="1:8" x14ac:dyDescent="0.35">
      <c r="A16" s="144"/>
      <c r="B16" s="144" t="s">
        <v>163</v>
      </c>
      <c r="C16" s="188">
        <v>1</v>
      </c>
      <c r="D16" s="148">
        <v>78.75</v>
      </c>
      <c r="E16" s="145" t="s">
        <v>56</v>
      </c>
      <c r="F16" s="144" t="s">
        <v>33</v>
      </c>
      <c r="G16" s="144" t="s">
        <v>1655</v>
      </c>
    </row>
    <row r="17" spans="1:8" x14ac:dyDescent="0.35">
      <c r="A17" s="144" t="s">
        <v>6</v>
      </c>
      <c r="B17" s="144" t="s">
        <v>86</v>
      </c>
      <c r="C17" s="188">
        <v>1</v>
      </c>
      <c r="D17" s="148">
        <v>78.75</v>
      </c>
      <c r="E17" s="145" t="s">
        <v>47</v>
      </c>
      <c r="F17" s="144" t="s">
        <v>33</v>
      </c>
      <c r="G17" s="144" t="s">
        <v>1656</v>
      </c>
    </row>
    <row r="18" spans="1:8" x14ac:dyDescent="0.35">
      <c r="A18" s="144" t="s">
        <v>23</v>
      </c>
      <c r="B18" s="144" t="s">
        <v>244</v>
      </c>
      <c r="C18" s="188">
        <v>1</v>
      </c>
      <c r="D18" s="148">
        <v>78.75</v>
      </c>
      <c r="E18" s="145" t="s">
        <v>64</v>
      </c>
      <c r="F18" s="144" t="s">
        <v>33</v>
      </c>
      <c r="G18" s="144" t="s">
        <v>1652</v>
      </c>
    </row>
    <row r="19" spans="1:8" x14ac:dyDescent="0.35">
      <c r="A19" s="144" t="s">
        <v>6</v>
      </c>
      <c r="B19" s="144" t="s">
        <v>219</v>
      </c>
      <c r="C19" s="188">
        <v>1</v>
      </c>
      <c r="D19" s="148">
        <v>78.75</v>
      </c>
      <c r="E19" s="145" t="s">
        <v>876</v>
      </c>
      <c r="F19" s="144" t="s">
        <v>33</v>
      </c>
      <c r="G19" s="144" t="s">
        <v>1654</v>
      </c>
    </row>
    <row r="20" spans="1:8" x14ac:dyDescent="0.35">
      <c r="A20" s="144" t="s">
        <v>23</v>
      </c>
      <c r="B20" s="144" t="s">
        <v>211</v>
      </c>
      <c r="C20" s="188">
        <v>1</v>
      </c>
      <c r="D20" s="148">
        <v>78.75</v>
      </c>
      <c r="E20" s="145" t="s">
        <v>62</v>
      </c>
      <c r="F20" s="144" t="s">
        <v>33</v>
      </c>
      <c r="G20" s="144" t="s">
        <v>1649</v>
      </c>
      <c r="H20" s="221" t="s">
        <v>1664</v>
      </c>
    </row>
    <row r="21" spans="1:8" x14ac:dyDescent="0.35">
      <c r="A21" s="144" t="s">
        <v>6</v>
      </c>
      <c r="B21" s="144" t="s">
        <v>219</v>
      </c>
      <c r="C21" s="188">
        <v>1</v>
      </c>
      <c r="D21" s="148">
        <v>78.75</v>
      </c>
      <c r="E21" s="145" t="s">
        <v>876</v>
      </c>
      <c r="F21" s="144" t="s">
        <v>33</v>
      </c>
      <c r="G21" s="144" t="s">
        <v>1653</v>
      </c>
    </row>
    <row r="22" spans="1:8" x14ac:dyDescent="0.35">
      <c r="A22" s="144" t="s">
        <v>6</v>
      </c>
      <c r="B22" s="144" t="s">
        <v>219</v>
      </c>
      <c r="C22" s="188">
        <v>1</v>
      </c>
      <c r="D22" s="148">
        <v>78.75</v>
      </c>
      <c r="E22" s="145" t="s">
        <v>876</v>
      </c>
      <c r="F22" s="144" t="s">
        <v>33</v>
      </c>
      <c r="G22" s="144" t="s">
        <v>1650</v>
      </c>
    </row>
    <row r="23" spans="1:8" x14ac:dyDescent="0.35">
      <c r="A23" s="144" t="s">
        <v>6</v>
      </c>
      <c r="B23" s="144" t="s">
        <v>219</v>
      </c>
      <c r="C23" s="188">
        <v>1</v>
      </c>
      <c r="D23" s="148">
        <v>137.5</v>
      </c>
      <c r="E23" s="145" t="s">
        <v>876</v>
      </c>
      <c r="F23" s="144" t="s">
        <v>989</v>
      </c>
      <c r="G23" s="144" t="s">
        <v>1650</v>
      </c>
    </row>
    <row r="24" spans="1:8" x14ac:dyDescent="0.35">
      <c r="A24" s="144" t="s">
        <v>6</v>
      </c>
      <c r="B24" s="144" t="s">
        <v>219</v>
      </c>
      <c r="C24" s="188">
        <v>1</v>
      </c>
      <c r="D24" s="148">
        <v>78.75</v>
      </c>
      <c r="E24" s="145" t="s">
        <v>876</v>
      </c>
      <c r="F24" s="144" t="s">
        <v>33</v>
      </c>
      <c r="G24" s="144" t="s">
        <v>1651</v>
      </c>
    </row>
    <row r="25" spans="1:8" x14ac:dyDescent="0.35">
      <c r="A25" s="144" t="s">
        <v>23</v>
      </c>
      <c r="B25" s="144" t="s">
        <v>244</v>
      </c>
      <c r="C25" s="188">
        <v>1</v>
      </c>
      <c r="D25" s="148">
        <v>22</v>
      </c>
      <c r="E25" s="145" t="s">
        <v>64</v>
      </c>
      <c r="F25" s="144" t="s">
        <v>35</v>
      </c>
      <c r="G25" s="144" t="s">
        <v>1644</v>
      </c>
    </row>
    <row r="26" spans="1:8" x14ac:dyDescent="0.35">
      <c r="A26" s="144" t="s">
        <v>6</v>
      </c>
      <c r="B26" s="144" t="s">
        <v>219</v>
      </c>
      <c r="C26" s="188">
        <v>1</v>
      </c>
      <c r="D26" s="148">
        <v>166.1</v>
      </c>
      <c r="E26" s="145" t="s">
        <v>876</v>
      </c>
      <c r="F26" s="144" t="s">
        <v>992</v>
      </c>
      <c r="G26" s="144" t="s">
        <v>1665</v>
      </c>
    </row>
    <row r="27" spans="1:8" x14ac:dyDescent="0.35">
      <c r="A27" s="144" t="s">
        <v>6</v>
      </c>
      <c r="B27" s="144" t="s">
        <v>219</v>
      </c>
      <c r="C27" s="188">
        <v>1</v>
      </c>
      <c r="D27" s="148">
        <v>56</v>
      </c>
      <c r="E27" s="145" t="s">
        <v>876</v>
      </c>
      <c r="F27" s="144" t="s">
        <v>34</v>
      </c>
      <c r="G27" s="144" t="s">
        <v>1666</v>
      </c>
    </row>
    <row r="28" spans="1:8" x14ac:dyDescent="0.35">
      <c r="A28" s="144" t="s">
        <v>6</v>
      </c>
      <c r="B28" s="144" t="s">
        <v>219</v>
      </c>
      <c r="C28" s="188">
        <v>1</v>
      </c>
      <c r="D28" s="148">
        <v>22</v>
      </c>
      <c r="E28" s="145" t="s">
        <v>876</v>
      </c>
      <c r="F28" s="144" t="s">
        <v>35</v>
      </c>
      <c r="G28" s="144" t="s">
        <v>1666</v>
      </c>
    </row>
    <row r="29" spans="1:8" x14ac:dyDescent="0.35">
      <c r="A29" s="144" t="s">
        <v>23</v>
      </c>
      <c r="B29" s="144" t="s">
        <v>211</v>
      </c>
      <c r="C29" s="188">
        <v>1</v>
      </c>
      <c r="D29" s="148">
        <v>22</v>
      </c>
      <c r="E29" s="145" t="s">
        <v>62</v>
      </c>
      <c r="F29" s="144" t="s">
        <v>35</v>
      </c>
      <c r="G29" s="144" t="s">
        <v>1667</v>
      </c>
    </row>
    <row r="30" spans="1:8" x14ac:dyDescent="0.35">
      <c r="A30" s="144" t="s">
        <v>6</v>
      </c>
      <c r="B30" s="144" t="s">
        <v>88</v>
      </c>
      <c r="C30" s="188">
        <v>1</v>
      </c>
      <c r="D30" s="148">
        <v>56</v>
      </c>
      <c r="E30" s="145" t="s">
        <v>83</v>
      </c>
      <c r="F30" s="144" t="s">
        <v>34</v>
      </c>
      <c r="G30" s="144" t="s">
        <v>1668</v>
      </c>
    </row>
    <row r="31" spans="1:8" x14ac:dyDescent="0.35">
      <c r="A31" s="144" t="s">
        <v>6</v>
      </c>
      <c r="B31" s="144" t="s">
        <v>86</v>
      </c>
      <c r="C31" s="188">
        <v>1</v>
      </c>
      <c r="D31" s="148">
        <v>22</v>
      </c>
      <c r="E31" s="145" t="s">
        <v>47</v>
      </c>
      <c r="F31" s="144" t="s">
        <v>35</v>
      </c>
      <c r="G31" s="144" t="s">
        <v>1669</v>
      </c>
    </row>
    <row r="32" spans="1:8" x14ac:dyDescent="0.35">
      <c r="A32" s="144" t="s">
        <v>6</v>
      </c>
      <c r="B32" s="144" t="s">
        <v>219</v>
      </c>
      <c r="C32" s="188">
        <v>1</v>
      </c>
      <c r="D32" s="148">
        <v>56</v>
      </c>
      <c r="E32" s="145" t="s">
        <v>876</v>
      </c>
      <c r="F32" s="144" t="s">
        <v>34</v>
      </c>
      <c r="G32" s="144" t="s">
        <v>1670</v>
      </c>
    </row>
    <row r="33" spans="1:8" x14ac:dyDescent="0.35">
      <c r="A33" s="144" t="s">
        <v>6</v>
      </c>
      <c r="B33" s="144" t="s">
        <v>219</v>
      </c>
      <c r="C33" s="188">
        <v>1</v>
      </c>
      <c r="D33" s="148">
        <v>22</v>
      </c>
      <c r="E33" s="145" t="s">
        <v>876</v>
      </c>
      <c r="F33" s="144" t="s">
        <v>35</v>
      </c>
      <c r="G33" s="144" t="s">
        <v>1670</v>
      </c>
    </row>
    <row r="34" spans="1:8" x14ac:dyDescent="0.35">
      <c r="A34" s="144" t="s">
        <v>23</v>
      </c>
      <c r="B34" s="144" t="s">
        <v>211</v>
      </c>
      <c r="C34" s="188">
        <v>1</v>
      </c>
      <c r="D34" s="148">
        <v>56</v>
      </c>
      <c r="E34" s="145" t="s">
        <v>62</v>
      </c>
      <c r="F34" s="144" t="s">
        <v>34</v>
      </c>
      <c r="G34" s="144" t="s">
        <v>1671</v>
      </c>
    </row>
    <row r="35" spans="1:8" x14ac:dyDescent="0.35">
      <c r="A35" s="144" t="s">
        <v>6</v>
      </c>
      <c r="B35" s="144" t="s">
        <v>219</v>
      </c>
      <c r="C35" s="188">
        <v>1</v>
      </c>
      <c r="D35" s="148">
        <v>22</v>
      </c>
      <c r="E35" s="145" t="s">
        <v>876</v>
      </c>
      <c r="F35" s="144" t="s">
        <v>35</v>
      </c>
      <c r="G35" s="144" t="s">
        <v>1672</v>
      </c>
    </row>
    <row r="36" spans="1:8" x14ac:dyDescent="0.35">
      <c r="A36" s="144" t="s">
        <v>23</v>
      </c>
      <c r="B36" s="144" t="s">
        <v>244</v>
      </c>
      <c r="C36" s="188">
        <v>1</v>
      </c>
      <c r="D36" s="148">
        <v>56</v>
      </c>
      <c r="E36" s="145" t="s">
        <v>64</v>
      </c>
      <c r="F36" s="144" t="s">
        <v>34</v>
      </c>
      <c r="G36" s="144" t="s">
        <v>1673</v>
      </c>
    </row>
    <row r="37" spans="1:8" x14ac:dyDescent="0.35">
      <c r="A37" s="144" t="s">
        <v>23</v>
      </c>
      <c r="B37" s="144" t="s">
        <v>244</v>
      </c>
      <c r="C37" s="188">
        <v>1</v>
      </c>
      <c r="D37" s="148">
        <v>22</v>
      </c>
      <c r="E37" s="145" t="s">
        <v>64</v>
      </c>
      <c r="F37" s="144" t="s">
        <v>35</v>
      </c>
      <c r="G37" s="144" t="s">
        <v>1673</v>
      </c>
    </row>
    <row r="38" spans="1:8" x14ac:dyDescent="0.35">
      <c r="A38" s="144" t="s">
        <v>23</v>
      </c>
      <c r="B38" s="144" t="s">
        <v>244</v>
      </c>
      <c r="C38" s="188">
        <v>1</v>
      </c>
      <c r="D38" s="155">
        <v>37</v>
      </c>
      <c r="E38" s="145" t="s">
        <v>64</v>
      </c>
      <c r="F38" s="144" t="s">
        <v>36</v>
      </c>
      <c r="G38" s="144" t="s">
        <v>1673</v>
      </c>
    </row>
    <row r="39" spans="1:8" x14ac:dyDescent="0.35">
      <c r="A39" s="144" t="s">
        <v>6</v>
      </c>
      <c r="B39" s="144" t="s">
        <v>86</v>
      </c>
      <c r="C39" s="188">
        <v>1</v>
      </c>
      <c r="D39" s="148">
        <v>22</v>
      </c>
      <c r="E39" s="145" t="s">
        <v>47</v>
      </c>
      <c r="F39" s="144" t="s">
        <v>35</v>
      </c>
      <c r="G39" s="144" t="s">
        <v>1674</v>
      </c>
    </row>
    <row r="40" spans="1:8" x14ac:dyDescent="0.35">
      <c r="A40" s="144" t="s">
        <v>6</v>
      </c>
      <c r="B40" s="144" t="s">
        <v>72</v>
      </c>
      <c r="C40" s="188">
        <v>1</v>
      </c>
      <c r="D40" s="148">
        <v>22</v>
      </c>
      <c r="E40" s="145" t="s">
        <v>1138</v>
      </c>
      <c r="F40" s="144" t="s">
        <v>35</v>
      </c>
      <c r="G40" s="144" t="s">
        <v>1675</v>
      </c>
    </row>
    <row r="41" spans="1:8" x14ac:dyDescent="0.35">
      <c r="A41" s="144" t="s">
        <v>6</v>
      </c>
      <c r="B41" s="144" t="s">
        <v>86</v>
      </c>
      <c r="C41" s="188">
        <v>1</v>
      </c>
      <c r="D41" s="148">
        <v>56</v>
      </c>
      <c r="E41" s="145" t="s">
        <v>47</v>
      </c>
      <c r="F41" s="144" t="s">
        <v>34</v>
      </c>
      <c r="G41" s="216" t="s">
        <v>1676</v>
      </c>
      <c r="H41" s="222"/>
    </row>
    <row r="42" spans="1:8" x14ac:dyDescent="0.35">
      <c r="A42" s="144" t="s">
        <v>6</v>
      </c>
      <c r="B42" s="144" t="s">
        <v>86</v>
      </c>
      <c r="C42" s="188">
        <v>1</v>
      </c>
      <c r="D42" s="148">
        <v>22</v>
      </c>
      <c r="E42" s="145" t="s">
        <v>47</v>
      </c>
      <c r="F42" s="144" t="s">
        <v>35</v>
      </c>
      <c r="G42" s="216" t="s">
        <v>1676</v>
      </c>
      <c r="H42" s="222"/>
    </row>
    <row r="43" spans="1:8" x14ac:dyDescent="0.35">
      <c r="A43" s="144" t="s">
        <v>6</v>
      </c>
      <c r="B43" s="144" t="s">
        <v>72</v>
      </c>
      <c r="C43" s="188">
        <v>1</v>
      </c>
      <c r="D43" s="148">
        <v>22</v>
      </c>
      <c r="E43" s="145" t="s">
        <v>1138</v>
      </c>
      <c r="F43" s="144" t="s">
        <v>35</v>
      </c>
      <c r="G43" s="144" t="s">
        <v>1677</v>
      </c>
    </row>
    <row r="44" spans="1:8" x14ac:dyDescent="0.35">
      <c r="A44" s="144" t="s">
        <v>23</v>
      </c>
      <c r="B44" s="144" t="s">
        <v>244</v>
      </c>
      <c r="C44" s="188">
        <v>1</v>
      </c>
      <c r="D44" s="148">
        <v>56</v>
      </c>
      <c r="E44" s="145" t="s">
        <v>64</v>
      </c>
      <c r="F44" s="144" t="s">
        <v>34</v>
      </c>
      <c r="G44" s="144" t="s">
        <v>1678</v>
      </c>
    </row>
    <row r="45" spans="1:8" x14ac:dyDescent="0.35">
      <c r="A45" s="144" t="s">
        <v>23</v>
      </c>
      <c r="B45" s="144" t="s">
        <v>211</v>
      </c>
      <c r="C45" s="188">
        <v>1</v>
      </c>
      <c r="D45" s="148">
        <v>22</v>
      </c>
      <c r="E45" s="14" t="s">
        <v>62</v>
      </c>
      <c r="F45" s="144" t="s">
        <v>35</v>
      </c>
      <c r="G45" s="144" t="s">
        <v>1679</v>
      </c>
    </row>
    <row r="46" spans="1:8" x14ac:dyDescent="0.35">
      <c r="A46" s="144" t="s">
        <v>6</v>
      </c>
      <c r="B46" s="144" t="s">
        <v>1382</v>
      </c>
      <c r="C46" s="188">
        <v>1</v>
      </c>
      <c r="D46" s="148">
        <v>22</v>
      </c>
      <c r="E46" s="14" t="s">
        <v>51</v>
      </c>
      <c r="F46" s="144" t="s">
        <v>35</v>
      </c>
      <c r="G46" s="144" t="s">
        <v>1680</v>
      </c>
    </row>
    <row r="47" spans="1:8" x14ac:dyDescent="0.35">
      <c r="A47" s="144" t="s">
        <v>6</v>
      </c>
      <c r="B47" s="144" t="s">
        <v>1382</v>
      </c>
      <c r="C47" s="188">
        <v>1</v>
      </c>
      <c r="D47" s="148">
        <v>56</v>
      </c>
      <c r="E47" s="14" t="s">
        <v>51</v>
      </c>
      <c r="F47" s="144" t="s">
        <v>34</v>
      </c>
      <c r="G47" s="144" t="s">
        <v>1680</v>
      </c>
    </row>
    <row r="48" spans="1:8" x14ac:dyDescent="0.35">
      <c r="A48" s="144"/>
      <c r="B48" s="144"/>
      <c r="C48" s="188"/>
      <c r="D48" s="148"/>
      <c r="E48" s="145"/>
      <c r="F48" s="144"/>
      <c r="G48" s="144"/>
    </row>
    <row r="49" spans="1:7" x14ac:dyDescent="0.35">
      <c r="A49" s="144"/>
      <c r="B49" s="144"/>
      <c r="C49" s="188"/>
      <c r="D49" s="148"/>
      <c r="E49" s="145"/>
      <c r="F49" s="144"/>
      <c r="G49" s="144"/>
    </row>
    <row r="50" spans="1:7" x14ac:dyDescent="0.35">
      <c r="A50" s="144"/>
      <c r="B50" s="144"/>
      <c r="C50" s="188"/>
      <c r="D50" s="148"/>
      <c r="E50" s="145"/>
      <c r="F50" s="144"/>
      <c r="G50" s="144"/>
    </row>
    <row r="51" spans="1:7" x14ac:dyDescent="0.35">
      <c r="A51" s="144"/>
      <c r="B51" s="144"/>
      <c r="C51" s="188"/>
      <c r="D51" s="148"/>
      <c r="E51" s="145"/>
      <c r="F51" s="144"/>
      <c r="G51" s="144"/>
    </row>
    <row r="52" spans="1:7" x14ac:dyDescent="0.35">
      <c r="A52" s="144"/>
      <c r="B52" s="144"/>
      <c r="C52" s="188"/>
      <c r="D52" s="148"/>
      <c r="E52" s="145"/>
      <c r="F52" s="144"/>
      <c r="G52" s="144"/>
    </row>
    <row r="53" spans="1:7" x14ac:dyDescent="0.35">
      <c r="A53" s="144"/>
      <c r="B53" s="144"/>
      <c r="C53" s="188"/>
      <c r="D53" s="148"/>
      <c r="E53" s="145"/>
      <c r="F53" s="144"/>
      <c r="G53" s="144"/>
    </row>
    <row r="54" spans="1:7" x14ac:dyDescent="0.35">
      <c r="A54" s="144"/>
      <c r="B54" s="144"/>
      <c r="C54" s="188"/>
      <c r="D54" s="148"/>
      <c r="E54" s="145"/>
      <c r="F54" s="144"/>
      <c r="G54" s="144"/>
    </row>
    <row r="55" spans="1:7" x14ac:dyDescent="0.35">
      <c r="A55" s="144"/>
      <c r="B55" s="144"/>
      <c r="C55" s="188"/>
      <c r="D55" s="148"/>
      <c r="E55" s="145"/>
      <c r="F55" s="144"/>
      <c r="G55" s="144"/>
    </row>
    <row r="56" spans="1:7" x14ac:dyDescent="0.35">
      <c r="A56" s="144"/>
      <c r="B56" s="144"/>
      <c r="C56" s="188"/>
      <c r="D56" s="148"/>
      <c r="E56" s="145"/>
      <c r="F56" s="144"/>
      <c r="G56" s="144"/>
    </row>
    <row r="57" spans="1:7" x14ac:dyDescent="0.35">
      <c r="A57" s="144"/>
      <c r="B57" s="144"/>
      <c r="C57" s="188"/>
      <c r="D57" s="148"/>
      <c r="E57" s="145"/>
      <c r="F57" s="144"/>
      <c r="G57" s="144"/>
    </row>
    <row r="58" spans="1:7" x14ac:dyDescent="0.35">
      <c r="A58" s="144"/>
      <c r="B58" s="144"/>
      <c r="C58" s="188"/>
      <c r="D58" s="148"/>
      <c r="E58" s="145"/>
      <c r="F58" s="144"/>
      <c r="G58" s="144"/>
    </row>
    <row r="59" spans="1:7" x14ac:dyDescent="0.35">
      <c r="A59" s="144"/>
      <c r="B59" s="144"/>
      <c r="C59" s="188"/>
      <c r="D59" s="148"/>
      <c r="E59" s="145"/>
      <c r="F59" s="144"/>
      <c r="G59" s="144"/>
    </row>
    <row r="60" spans="1:7" x14ac:dyDescent="0.35">
      <c r="A60" s="144"/>
      <c r="B60" s="144"/>
      <c r="C60" s="188"/>
      <c r="D60" s="148"/>
      <c r="E60" s="145"/>
      <c r="F60" s="144"/>
      <c r="G60" s="144"/>
    </row>
    <row r="61" spans="1:7" x14ac:dyDescent="0.35">
      <c r="A61" s="144"/>
      <c r="B61" s="144"/>
      <c r="C61" s="188"/>
      <c r="D61" s="148"/>
      <c r="E61" s="145"/>
      <c r="F61" s="144"/>
      <c r="G61" s="144"/>
    </row>
    <row r="62" spans="1:7" x14ac:dyDescent="0.35">
      <c r="A62" s="144"/>
      <c r="B62" s="144"/>
      <c r="C62" s="188"/>
      <c r="D62" s="148"/>
      <c r="E62" s="145"/>
      <c r="F62" s="144"/>
      <c r="G62" s="144"/>
    </row>
    <row r="63" spans="1:7" x14ac:dyDescent="0.35">
      <c r="A63" s="144"/>
      <c r="B63" s="144"/>
      <c r="C63" s="188"/>
      <c r="D63" s="148"/>
      <c r="E63" s="145"/>
      <c r="F63" s="144"/>
      <c r="G63" s="144"/>
    </row>
    <row r="64" spans="1:7" x14ac:dyDescent="0.35">
      <c r="A64" s="144"/>
      <c r="B64" s="144"/>
      <c r="C64" s="188"/>
      <c r="D64" s="148"/>
      <c r="E64" s="145"/>
      <c r="F64" s="144"/>
      <c r="G64" s="144"/>
    </row>
    <row r="65" spans="1:7" x14ac:dyDescent="0.35">
      <c r="A65" s="144"/>
      <c r="B65" s="144"/>
      <c r="C65" s="188"/>
      <c r="D65" s="148"/>
      <c r="E65" s="145"/>
      <c r="F65" s="144"/>
      <c r="G65" s="144"/>
    </row>
    <row r="66" spans="1:7" x14ac:dyDescent="0.35">
      <c r="A66" s="144"/>
      <c r="B66" s="144"/>
      <c r="C66" s="188"/>
      <c r="D66" s="148"/>
      <c r="E66" s="145"/>
      <c r="F66" s="144"/>
      <c r="G66" s="144"/>
    </row>
    <row r="67" spans="1:7" x14ac:dyDescent="0.35">
      <c r="A67" s="144"/>
      <c r="B67" s="144"/>
      <c r="C67" s="188"/>
      <c r="D67" s="148"/>
      <c r="E67" s="145"/>
      <c r="F67" s="144"/>
      <c r="G67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B60-E282-4C85-887C-7DCBCAEA19E4}">
  <dimension ref="A1:G23"/>
  <sheetViews>
    <sheetView workbookViewId="0">
      <selection sqref="A1:G1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1690</v>
      </c>
    </row>
    <row r="4" spans="1:7" x14ac:dyDescent="0.35">
      <c r="A4" s="8" t="s">
        <v>29</v>
      </c>
      <c r="B4" s="9">
        <v>45736</v>
      </c>
    </row>
    <row r="5" spans="1:7" ht="15" thickBot="1" x14ac:dyDescent="0.4">
      <c r="A5" s="10" t="s">
        <v>30</v>
      </c>
      <c r="B5" s="11" t="s">
        <v>1691</v>
      </c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35">
      <c r="A9" s="131" t="s">
        <v>6</v>
      </c>
      <c r="B9" s="134" t="s">
        <v>549</v>
      </c>
      <c r="C9" s="134">
        <v>1</v>
      </c>
      <c r="D9" s="147">
        <f>-SUM(D10:D20)</f>
        <v>-727</v>
      </c>
      <c r="E9" s="131" t="s">
        <v>12</v>
      </c>
      <c r="F9" s="131" t="s">
        <v>1448</v>
      </c>
      <c r="G9" s="130"/>
    </row>
    <row r="10" spans="1:7" x14ac:dyDescent="0.35">
      <c r="A10" s="131" t="s">
        <v>6</v>
      </c>
      <c r="B10" s="134" t="s">
        <v>1648</v>
      </c>
      <c r="C10" s="125">
        <v>1</v>
      </c>
      <c r="D10" s="126">
        <v>727</v>
      </c>
      <c r="E10" s="144" t="s">
        <v>55</v>
      </c>
      <c r="F10" s="124" t="s">
        <v>1646</v>
      </c>
      <c r="G10" s="124" t="s">
        <v>1647</v>
      </c>
    </row>
    <row r="11" spans="1:7" x14ac:dyDescent="0.35">
      <c r="A11" s="144"/>
      <c r="B11" s="144"/>
      <c r="C11" s="125"/>
      <c r="D11" s="126"/>
      <c r="E11" s="144"/>
      <c r="F11" s="128"/>
      <c r="G11" s="124"/>
    </row>
    <row r="12" spans="1:7" x14ac:dyDescent="0.35">
      <c r="A12" s="144"/>
      <c r="B12" s="144"/>
      <c r="C12" s="134"/>
      <c r="D12" s="148"/>
      <c r="E12" s="144"/>
      <c r="F12" s="206"/>
      <c r="G12" s="144"/>
    </row>
    <row r="13" spans="1:7" x14ac:dyDescent="0.35">
      <c r="A13" s="144"/>
      <c r="B13" s="144"/>
      <c r="C13" s="134"/>
      <c r="D13" s="148"/>
      <c r="E13" s="144"/>
      <c r="F13" s="206"/>
      <c r="G13" s="144"/>
    </row>
    <row r="14" spans="1:7" x14ac:dyDescent="0.35">
      <c r="A14" s="144"/>
      <c r="C14" s="134"/>
      <c r="D14" s="148"/>
      <c r="E14" s="144"/>
      <c r="F14" s="206"/>
      <c r="G14" s="144"/>
    </row>
    <row r="15" spans="1:7" x14ac:dyDescent="0.35">
      <c r="A15" s="144"/>
      <c r="B15" s="144"/>
      <c r="C15" s="134"/>
      <c r="D15" s="148"/>
      <c r="E15" s="144"/>
      <c r="F15" s="206"/>
      <c r="G15" s="144"/>
    </row>
    <row r="16" spans="1:7" x14ac:dyDescent="0.35">
      <c r="A16" s="144"/>
      <c r="B16" s="144"/>
      <c r="C16" s="125"/>
      <c r="D16" s="126"/>
      <c r="E16" s="144"/>
      <c r="F16" s="144"/>
      <c r="G16" s="144"/>
    </row>
    <row r="17" spans="1:7" ht="15.75" customHeight="1" x14ac:dyDescent="0.35">
      <c r="A17" s="144"/>
      <c r="B17" s="144"/>
      <c r="C17" s="125"/>
      <c r="D17" s="126"/>
      <c r="E17" s="144"/>
      <c r="F17" s="124"/>
      <c r="G17" s="124"/>
    </row>
    <row r="18" spans="1:7" x14ac:dyDescent="0.35">
      <c r="A18" s="144"/>
      <c r="B18" s="144"/>
      <c r="C18" s="125"/>
      <c r="D18" s="126"/>
      <c r="E18" s="144"/>
      <c r="F18" s="144"/>
      <c r="G18" s="144"/>
    </row>
    <row r="19" spans="1:7" x14ac:dyDescent="0.35">
      <c r="A19" s="144"/>
      <c r="B19" s="144"/>
      <c r="C19" s="125"/>
      <c r="D19" s="126"/>
      <c r="E19" s="144"/>
      <c r="F19" s="144"/>
      <c r="G19" s="144"/>
    </row>
    <row r="20" spans="1:7" x14ac:dyDescent="0.35">
      <c r="A20" s="144"/>
      <c r="B20" s="144"/>
      <c r="C20" s="125"/>
      <c r="D20" s="126"/>
      <c r="E20" s="144"/>
      <c r="F20" s="144"/>
      <c r="G20" s="144"/>
    </row>
    <row r="21" spans="1:7" x14ac:dyDescent="0.35">
      <c r="A21" s="144"/>
      <c r="B21" s="144"/>
      <c r="C21" s="144"/>
      <c r="D21" s="126"/>
      <c r="E21" s="144"/>
      <c r="F21" s="144"/>
      <c r="G21" s="144"/>
    </row>
    <row r="22" spans="1:7" x14ac:dyDescent="0.35">
      <c r="A22" s="144"/>
      <c r="B22" s="144"/>
      <c r="C22" s="144"/>
      <c r="D22" s="144"/>
      <c r="E22" s="144"/>
      <c r="F22" s="144"/>
      <c r="G22" s="144"/>
    </row>
    <row r="23" spans="1:7" x14ac:dyDescent="0.35">
      <c r="A23" s="144"/>
      <c r="B23" s="144"/>
      <c r="C23" s="144"/>
      <c r="D23" s="144"/>
      <c r="E23" s="144"/>
      <c r="F23" s="144"/>
      <c r="G23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FBF830-8DAB-4F4E-BCB8-97167D183243}">
          <x14:formula1>
            <xm:f>'Lookup Values'!$G$2:$G$35</xm:f>
          </x14:formula1>
          <xm:sqref>E31:E34 E39 E17:E18 E10:E15</xm:sqref>
        </x14:dataValidation>
      </x14:dataValidation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212E1-2782-4ECD-BCD8-305326A2913A}">
  <dimension ref="A1:H67"/>
  <sheetViews>
    <sheetView workbookViewId="0">
      <selection activeCell="D5" sqref="D5"/>
    </sheetView>
  </sheetViews>
  <sheetFormatPr defaultRowHeight="14.5" x14ac:dyDescent="0.35"/>
  <cols>
    <col min="1" max="1" width="13.54296875" customWidth="1"/>
    <col min="2" max="2" width="19" customWidth="1"/>
    <col min="3" max="3" width="13.81640625" customWidth="1"/>
    <col min="4" max="4" width="18.7265625" customWidth="1"/>
    <col min="5" max="5" width="43.54296875" customWidth="1"/>
    <col min="6" max="6" width="48" bestFit="1" customWidth="1"/>
    <col min="7" max="7" width="33.7265625" customWidth="1"/>
    <col min="8" max="8" width="50.453125" customWidth="1"/>
  </cols>
  <sheetData>
    <row r="1" spans="1:8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7.25" customHeight="1" x14ac:dyDescent="0.35">
      <c r="A3" s="6" t="s">
        <v>28</v>
      </c>
      <c r="B3" s="223" t="s">
        <v>1728</v>
      </c>
      <c r="C3" s="189"/>
      <c r="D3" s="189"/>
      <c r="E3" s="189"/>
      <c r="F3" s="189"/>
      <c r="G3" s="189"/>
    </row>
    <row r="4" spans="1:8" ht="17.25" customHeight="1" x14ac:dyDescent="0.35">
      <c r="A4" s="8" t="s">
        <v>29</v>
      </c>
      <c r="B4" s="9">
        <v>45775</v>
      </c>
      <c r="C4" s="189"/>
      <c r="D4" s="189"/>
      <c r="E4" s="189"/>
      <c r="F4" s="189"/>
      <c r="G4" s="189"/>
    </row>
    <row r="5" spans="1:8" ht="17.25" customHeight="1" thickBot="1" x14ac:dyDescent="0.4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8" ht="26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35">
      <c r="A9" s="144" t="s">
        <v>6</v>
      </c>
      <c r="B9" s="144" t="s">
        <v>86</v>
      </c>
      <c r="C9" s="188">
        <v>1</v>
      </c>
      <c r="D9" s="148">
        <v>22</v>
      </c>
      <c r="E9" s="145" t="s">
        <v>47</v>
      </c>
      <c r="F9" s="144" t="s">
        <v>35</v>
      </c>
      <c r="G9" s="144" t="s">
        <v>1682</v>
      </c>
    </row>
    <row r="10" spans="1:8" x14ac:dyDescent="0.35">
      <c r="A10" s="144" t="s">
        <v>6</v>
      </c>
      <c r="B10" s="144" t="s">
        <v>219</v>
      </c>
      <c r="C10" s="188">
        <v>1</v>
      </c>
      <c r="D10" s="148">
        <v>22</v>
      </c>
      <c r="E10" s="145" t="s">
        <v>876</v>
      </c>
      <c r="F10" s="144" t="s">
        <v>35</v>
      </c>
      <c r="G10" s="144" t="s">
        <v>1683</v>
      </c>
    </row>
    <row r="11" spans="1:8" x14ac:dyDescent="0.35">
      <c r="A11" s="144" t="s">
        <v>6</v>
      </c>
      <c r="B11" s="144" t="s">
        <v>219</v>
      </c>
      <c r="C11" s="188">
        <v>1</v>
      </c>
      <c r="D11" s="148">
        <v>56</v>
      </c>
      <c r="E11" s="145" t="s">
        <v>876</v>
      </c>
      <c r="F11" s="144" t="s">
        <v>34</v>
      </c>
      <c r="G11" s="144" t="s">
        <v>1683</v>
      </c>
    </row>
    <row r="12" spans="1:8" x14ac:dyDescent="0.35">
      <c r="A12" s="144" t="s">
        <v>23</v>
      </c>
      <c r="B12" s="144" t="s">
        <v>211</v>
      </c>
      <c r="C12" s="188">
        <v>1</v>
      </c>
      <c r="D12" s="148">
        <v>22</v>
      </c>
      <c r="E12" s="145" t="s">
        <v>62</v>
      </c>
      <c r="F12" s="144" t="s">
        <v>35</v>
      </c>
      <c r="G12" s="144" t="s">
        <v>1684</v>
      </c>
    </row>
    <row r="13" spans="1:8" x14ac:dyDescent="0.35">
      <c r="A13" s="144" t="s">
        <v>6</v>
      </c>
      <c r="B13" s="166" t="s">
        <v>86</v>
      </c>
      <c r="C13" s="188">
        <v>1</v>
      </c>
      <c r="D13" s="155">
        <v>37</v>
      </c>
      <c r="E13" s="145" t="s">
        <v>47</v>
      </c>
      <c r="F13" s="144" t="s">
        <v>36</v>
      </c>
      <c r="G13" s="216" t="s">
        <v>1685</v>
      </c>
      <c r="H13" s="220"/>
    </row>
    <row r="14" spans="1:8" x14ac:dyDescent="0.35">
      <c r="A14" s="144" t="s">
        <v>6</v>
      </c>
      <c r="B14" s="166" t="s">
        <v>219</v>
      </c>
      <c r="C14" s="188">
        <v>1</v>
      </c>
      <c r="D14" s="148">
        <v>22</v>
      </c>
      <c r="E14" s="145" t="s">
        <v>876</v>
      </c>
      <c r="F14" s="144" t="s">
        <v>35</v>
      </c>
      <c r="G14" s="144" t="s">
        <v>1686</v>
      </c>
    </row>
    <row r="15" spans="1:8" x14ac:dyDescent="0.35">
      <c r="A15" s="144" t="s">
        <v>6</v>
      </c>
      <c r="B15" s="166" t="s">
        <v>8</v>
      </c>
      <c r="C15" s="188">
        <v>1</v>
      </c>
      <c r="D15" s="155">
        <v>37</v>
      </c>
      <c r="E15" s="145" t="s">
        <v>61</v>
      </c>
      <c r="F15" s="144" t="s">
        <v>36</v>
      </c>
      <c r="G15" s="144" t="s">
        <v>1687</v>
      </c>
    </row>
    <row r="16" spans="1:8" x14ac:dyDescent="0.35">
      <c r="A16" s="144"/>
      <c r="B16" s="166" t="s">
        <v>163</v>
      </c>
      <c r="C16" s="188">
        <v>1</v>
      </c>
      <c r="D16" s="155">
        <v>137.5</v>
      </c>
      <c r="E16" s="145" t="s">
        <v>56</v>
      </c>
      <c r="F16" s="144" t="s">
        <v>989</v>
      </c>
      <c r="G16" s="144" t="s">
        <v>1688</v>
      </c>
    </row>
    <row r="17" spans="1:8" x14ac:dyDescent="0.35">
      <c r="A17" s="144" t="s">
        <v>6</v>
      </c>
      <c r="B17" s="166" t="s">
        <v>219</v>
      </c>
      <c r="C17" s="188">
        <v>1</v>
      </c>
      <c r="D17" s="155">
        <v>137.5</v>
      </c>
      <c r="E17" s="145" t="s">
        <v>876</v>
      </c>
      <c r="F17" s="144" t="s">
        <v>989</v>
      </c>
      <c r="G17" s="144" t="s">
        <v>1692</v>
      </c>
    </row>
    <row r="18" spans="1:8" x14ac:dyDescent="0.35">
      <c r="A18" s="144"/>
      <c r="B18" s="166" t="s">
        <v>163</v>
      </c>
      <c r="C18" s="188">
        <v>1</v>
      </c>
      <c r="D18" s="155">
        <v>137.5</v>
      </c>
      <c r="E18" s="145" t="s">
        <v>56</v>
      </c>
      <c r="F18" s="144" t="s">
        <v>989</v>
      </c>
      <c r="G18" s="144" t="s">
        <v>1655</v>
      </c>
    </row>
    <row r="19" spans="1:8" x14ac:dyDescent="0.35">
      <c r="A19" s="144" t="s">
        <v>6</v>
      </c>
      <c r="B19" s="166" t="s">
        <v>142</v>
      </c>
      <c r="C19" s="188">
        <v>1</v>
      </c>
      <c r="D19" s="155">
        <v>137.5</v>
      </c>
      <c r="E19" s="145" t="s">
        <v>44</v>
      </c>
      <c r="F19" s="144" t="s">
        <v>989</v>
      </c>
      <c r="G19" s="144" t="s">
        <v>1580</v>
      </c>
    </row>
    <row r="20" spans="1:8" x14ac:dyDescent="0.35">
      <c r="A20" s="144" t="s">
        <v>23</v>
      </c>
      <c r="B20" s="166" t="s">
        <v>211</v>
      </c>
      <c r="C20" s="188">
        <v>1</v>
      </c>
      <c r="D20" s="155">
        <v>137.5</v>
      </c>
      <c r="E20" s="145" t="s">
        <v>62</v>
      </c>
      <c r="F20" s="144" t="s">
        <v>989</v>
      </c>
      <c r="G20" s="144" t="s">
        <v>1693</v>
      </c>
      <c r="H20" s="221"/>
    </row>
    <row r="21" spans="1:8" x14ac:dyDescent="0.35">
      <c r="A21" s="144" t="s">
        <v>23</v>
      </c>
      <c r="B21" s="166" t="s">
        <v>244</v>
      </c>
      <c r="C21" s="188">
        <v>1</v>
      </c>
      <c r="D21" s="155">
        <v>166.1</v>
      </c>
      <c r="E21" s="145" t="s">
        <v>64</v>
      </c>
      <c r="F21" s="144" t="s">
        <v>992</v>
      </c>
      <c r="G21" s="144" t="s">
        <v>1694</v>
      </c>
    </row>
    <row r="22" spans="1:8" x14ac:dyDescent="0.35">
      <c r="A22" s="144" t="s">
        <v>6</v>
      </c>
      <c r="B22" s="166" t="s">
        <v>219</v>
      </c>
      <c r="C22" s="188">
        <v>1</v>
      </c>
      <c r="D22" s="155">
        <v>166.1</v>
      </c>
      <c r="E22" s="145" t="s">
        <v>876</v>
      </c>
      <c r="F22" s="144" t="s">
        <v>992</v>
      </c>
      <c r="G22" s="144" t="s">
        <v>1695</v>
      </c>
    </row>
    <row r="23" spans="1:8" x14ac:dyDescent="0.35">
      <c r="A23" s="144" t="s">
        <v>23</v>
      </c>
      <c r="B23" s="166" t="s">
        <v>211</v>
      </c>
      <c r="C23" s="188">
        <v>1</v>
      </c>
      <c r="D23" s="155">
        <v>166.1</v>
      </c>
      <c r="E23" s="145" t="s">
        <v>62</v>
      </c>
      <c r="F23" s="144" t="s">
        <v>992</v>
      </c>
      <c r="G23" s="144" t="s">
        <v>1696</v>
      </c>
    </row>
    <row r="24" spans="1:8" x14ac:dyDescent="0.35">
      <c r="A24" s="144" t="s">
        <v>23</v>
      </c>
      <c r="B24" s="166" t="s">
        <v>211</v>
      </c>
      <c r="C24" s="188">
        <v>1</v>
      </c>
      <c r="D24" s="155">
        <v>166.1</v>
      </c>
      <c r="E24" s="145" t="s">
        <v>62</v>
      </c>
      <c r="F24" s="144" t="s">
        <v>992</v>
      </c>
      <c r="G24" s="144" t="s">
        <v>1697</v>
      </c>
    </row>
    <row r="25" spans="1:8" x14ac:dyDescent="0.35">
      <c r="A25" s="144" t="s">
        <v>23</v>
      </c>
      <c r="B25" s="166" t="s">
        <v>244</v>
      </c>
      <c r="C25" s="188">
        <v>1</v>
      </c>
      <c r="D25" s="155">
        <v>137.5</v>
      </c>
      <c r="E25" s="145" t="s">
        <v>64</v>
      </c>
      <c r="F25" s="144" t="s">
        <v>989</v>
      </c>
      <c r="G25" s="144" t="s">
        <v>1698</v>
      </c>
    </row>
    <row r="26" spans="1:8" x14ac:dyDescent="0.35">
      <c r="A26" s="144" t="s">
        <v>23</v>
      </c>
      <c r="B26" s="166" t="s">
        <v>211</v>
      </c>
      <c r="C26" s="188">
        <v>1</v>
      </c>
      <c r="D26" s="155">
        <v>137.5</v>
      </c>
      <c r="E26" s="145" t="s">
        <v>62</v>
      </c>
      <c r="F26" s="144" t="s">
        <v>989</v>
      </c>
      <c r="G26" s="144" t="s">
        <v>1649</v>
      </c>
    </row>
    <row r="27" spans="1:8" x14ac:dyDescent="0.35">
      <c r="A27" s="144" t="s">
        <v>6</v>
      </c>
      <c r="B27" s="166" t="s">
        <v>219</v>
      </c>
      <c r="C27" s="188">
        <v>1</v>
      </c>
      <c r="D27" s="148">
        <v>22</v>
      </c>
      <c r="E27" s="145" t="s">
        <v>876</v>
      </c>
      <c r="F27" s="144" t="s">
        <v>35</v>
      </c>
      <c r="G27" s="144" t="s">
        <v>1699</v>
      </c>
    </row>
    <row r="28" spans="1:8" x14ac:dyDescent="0.35">
      <c r="A28" s="144" t="s">
        <v>6</v>
      </c>
      <c r="B28" s="166" t="s">
        <v>1382</v>
      </c>
      <c r="C28" s="188">
        <v>1</v>
      </c>
      <c r="D28" s="148">
        <v>22</v>
      </c>
      <c r="E28" s="145" t="s">
        <v>51</v>
      </c>
      <c r="F28" s="144" t="s">
        <v>35</v>
      </c>
      <c r="G28" s="144" t="s">
        <v>1700</v>
      </c>
    </row>
    <row r="29" spans="1:8" x14ac:dyDescent="0.35">
      <c r="A29" s="144" t="s">
        <v>6</v>
      </c>
      <c r="B29" s="166" t="s">
        <v>1382</v>
      </c>
      <c r="C29" s="188">
        <v>1</v>
      </c>
      <c r="D29" s="148">
        <v>56</v>
      </c>
      <c r="E29" s="145" t="s">
        <v>51</v>
      </c>
      <c r="F29" s="144" t="s">
        <v>34</v>
      </c>
      <c r="G29" s="144" t="s">
        <v>1700</v>
      </c>
    </row>
    <row r="30" spans="1:8" x14ac:dyDescent="0.35">
      <c r="A30" s="144" t="s">
        <v>23</v>
      </c>
      <c r="B30" s="166" t="s">
        <v>211</v>
      </c>
      <c r="C30" s="188">
        <v>1</v>
      </c>
      <c r="D30" s="155">
        <v>137.5</v>
      </c>
      <c r="E30" s="145" t="s">
        <v>62</v>
      </c>
      <c r="F30" s="144" t="s">
        <v>989</v>
      </c>
      <c r="G30" s="144" t="s">
        <v>1701</v>
      </c>
    </row>
    <row r="31" spans="1:8" x14ac:dyDescent="0.35">
      <c r="A31" s="144" t="s">
        <v>6</v>
      </c>
      <c r="B31" s="166" t="s">
        <v>86</v>
      </c>
      <c r="C31" s="188">
        <v>1</v>
      </c>
      <c r="D31" s="155">
        <v>78.75</v>
      </c>
      <c r="E31" s="145" t="s">
        <v>47</v>
      </c>
      <c r="F31" s="144" t="s">
        <v>33</v>
      </c>
      <c r="G31" s="144" t="s">
        <v>1702</v>
      </c>
    </row>
    <row r="32" spans="1:8" x14ac:dyDescent="0.35">
      <c r="A32" s="144"/>
      <c r="B32" s="166" t="s">
        <v>163</v>
      </c>
      <c r="C32" s="188">
        <v>1</v>
      </c>
      <c r="D32" s="155">
        <v>78.75</v>
      </c>
      <c r="E32" s="145" t="s">
        <v>56</v>
      </c>
      <c r="F32" s="144" t="s">
        <v>33</v>
      </c>
      <c r="G32" s="144" t="s">
        <v>1703</v>
      </c>
    </row>
    <row r="33" spans="1:8" x14ac:dyDescent="0.35">
      <c r="A33" s="144" t="s">
        <v>23</v>
      </c>
      <c r="B33" s="166" t="s">
        <v>244</v>
      </c>
      <c r="C33" s="188">
        <v>1</v>
      </c>
      <c r="D33" s="155">
        <v>78.75</v>
      </c>
      <c r="E33" s="145" t="s">
        <v>64</v>
      </c>
      <c r="F33" s="144" t="s">
        <v>33</v>
      </c>
      <c r="G33" s="144" t="s">
        <v>1701</v>
      </c>
    </row>
    <row r="34" spans="1:8" x14ac:dyDescent="0.35">
      <c r="A34" s="144" t="s">
        <v>23</v>
      </c>
      <c r="B34" s="166" t="s">
        <v>211</v>
      </c>
      <c r="C34" s="188">
        <v>1</v>
      </c>
      <c r="D34" s="155">
        <v>78.75</v>
      </c>
      <c r="E34" s="145" t="s">
        <v>62</v>
      </c>
      <c r="F34" s="144" t="s">
        <v>33</v>
      </c>
      <c r="G34" s="144" t="s">
        <v>1704</v>
      </c>
    </row>
    <row r="35" spans="1:8" x14ac:dyDescent="0.35">
      <c r="B35" s="166" t="s">
        <v>163</v>
      </c>
      <c r="C35" s="188">
        <v>1</v>
      </c>
      <c r="D35" s="155">
        <v>78.75</v>
      </c>
      <c r="E35" s="14" t="s">
        <v>56</v>
      </c>
      <c r="F35" s="144" t="s">
        <v>33</v>
      </c>
      <c r="G35" s="144" t="s">
        <v>1688</v>
      </c>
    </row>
    <row r="36" spans="1:8" x14ac:dyDescent="0.35">
      <c r="A36" s="144"/>
      <c r="B36" s="144"/>
      <c r="C36" s="188"/>
      <c r="D36" s="148"/>
      <c r="E36" s="145"/>
      <c r="F36" s="144"/>
      <c r="G36" s="144"/>
    </row>
    <row r="37" spans="1:8" x14ac:dyDescent="0.35">
      <c r="A37" s="144"/>
      <c r="B37" s="144"/>
      <c r="C37" s="188"/>
      <c r="D37" s="148"/>
      <c r="E37" s="145"/>
      <c r="F37" s="144"/>
      <c r="G37" s="144"/>
    </row>
    <row r="38" spans="1:8" x14ac:dyDescent="0.35">
      <c r="A38" s="144"/>
      <c r="B38" s="144"/>
      <c r="C38" s="188"/>
      <c r="D38" s="155"/>
      <c r="E38" s="145"/>
      <c r="F38" s="144"/>
      <c r="G38" s="144"/>
    </row>
    <row r="39" spans="1:8" x14ac:dyDescent="0.35">
      <c r="A39" s="144"/>
      <c r="B39" s="144"/>
      <c r="C39" s="188"/>
      <c r="D39" s="148"/>
      <c r="E39" s="145"/>
      <c r="F39" s="144"/>
      <c r="G39" s="144"/>
    </row>
    <row r="40" spans="1:8" x14ac:dyDescent="0.35">
      <c r="A40" s="144"/>
      <c r="B40" s="144"/>
      <c r="C40" s="188"/>
      <c r="D40" s="148"/>
      <c r="E40" s="145"/>
      <c r="F40" s="144"/>
      <c r="G40" s="144"/>
    </row>
    <row r="41" spans="1:8" x14ac:dyDescent="0.35">
      <c r="A41" s="144"/>
      <c r="B41" s="144"/>
      <c r="C41" s="188"/>
      <c r="D41" s="148"/>
      <c r="E41" s="145"/>
      <c r="F41" s="144"/>
      <c r="G41" s="216"/>
      <c r="H41" s="222"/>
    </row>
    <row r="42" spans="1:8" x14ac:dyDescent="0.35">
      <c r="A42" s="144"/>
      <c r="B42" s="144"/>
      <c r="C42" s="188"/>
      <c r="D42" s="148"/>
      <c r="E42" s="145"/>
      <c r="F42" s="144"/>
      <c r="G42" s="216"/>
      <c r="H42" s="222"/>
    </row>
    <row r="43" spans="1:8" x14ac:dyDescent="0.35">
      <c r="A43" s="144"/>
      <c r="B43" s="144"/>
      <c r="C43" s="188"/>
      <c r="D43" s="148"/>
      <c r="E43" s="145"/>
      <c r="F43" s="144"/>
      <c r="G43" s="144"/>
    </row>
    <row r="44" spans="1:8" x14ac:dyDescent="0.35">
      <c r="A44" s="144"/>
      <c r="B44" s="144"/>
      <c r="C44" s="188"/>
      <c r="D44" s="148"/>
      <c r="E44" s="145"/>
      <c r="F44" s="144"/>
      <c r="G44" s="144"/>
    </row>
    <row r="45" spans="1:8" x14ac:dyDescent="0.35">
      <c r="A45" s="144"/>
      <c r="B45" s="144"/>
      <c r="C45" s="188"/>
      <c r="D45" s="148"/>
      <c r="E45" s="14"/>
      <c r="F45" s="144"/>
      <c r="G45" s="144"/>
    </row>
    <row r="46" spans="1:8" x14ac:dyDescent="0.35">
      <c r="A46" s="144"/>
      <c r="B46" s="144"/>
      <c r="C46" s="188"/>
      <c r="D46" s="148"/>
      <c r="E46" s="14"/>
      <c r="F46" s="144"/>
      <c r="G46" s="144"/>
    </row>
    <row r="47" spans="1:8" x14ac:dyDescent="0.35">
      <c r="A47" s="144"/>
      <c r="B47" s="144"/>
      <c r="C47" s="188"/>
      <c r="D47" s="148"/>
      <c r="E47" s="14"/>
      <c r="F47" s="144"/>
      <c r="G47" s="144"/>
    </row>
    <row r="48" spans="1:8" x14ac:dyDescent="0.35">
      <c r="A48" s="144"/>
      <c r="B48" s="144"/>
      <c r="C48" s="188"/>
      <c r="D48" s="148"/>
      <c r="E48" s="145"/>
      <c r="F48" s="144"/>
      <c r="G48" s="144"/>
    </row>
    <row r="49" spans="1:7" x14ac:dyDescent="0.35">
      <c r="A49" s="144"/>
      <c r="B49" s="144"/>
      <c r="C49" s="188"/>
      <c r="D49" s="148"/>
      <c r="E49" s="145"/>
      <c r="F49" s="144"/>
      <c r="G49" s="144"/>
    </row>
    <row r="50" spans="1:7" x14ac:dyDescent="0.35">
      <c r="A50" s="144"/>
      <c r="B50" s="144"/>
      <c r="C50" s="188"/>
      <c r="D50" s="148"/>
      <c r="E50" s="145"/>
      <c r="F50" s="144"/>
      <c r="G50" s="144"/>
    </row>
    <row r="51" spans="1:7" x14ac:dyDescent="0.35">
      <c r="A51" s="144"/>
      <c r="B51" s="144"/>
      <c r="C51" s="188"/>
      <c r="D51" s="148"/>
      <c r="E51" s="145"/>
      <c r="F51" s="144"/>
      <c r="G51" s="144"/>
    </row>
    <row r="52" spans="1:7" x14ac:dyDescent="0.35">
      <c r="A52" s="144"/>
      <c r="B52" s="144"/>
      <c r="C52" s="188"/>
      <c r="D52" s="148"/>
      <c r="E52" s="145"/>
      <c r="F52" s="144"/>
      <c r="G52" s="144"/>
    </row>
    <row r="53" spans="1:7" x14ac:dyDescent="0.35">
      <c r="A53" s="144"/>
      <c r="B53" s="144"/>
      <c r="C53" s="188"/>
      <c r="D53" s="148"/>
      <c r="E53" s="145"/>
      <c r="F53" s="144"/>
      <c r="G53" s="144"/>
    </row>
    <row r="54" spans="1:7" x14ac:dyDescent="0.35">
      <c r="A54" s="144"/>
      <c r="B54" s="144"/>
      <c r="C54" s="188"/>
      <c r="D54" s="148"/>
      <c r="E54" s="145"/>
      <c r="F54" s="144"/>
      <c r="G54" s="144"/>
    </row>
    <row r="55" spans="1:7" x14ac:dyDescent="0.35">
      <c r="A55" s="144"/>
      <c r="B55" s="144"/>
      <c r="C55" s="188"/>
      <c r="D55" s="148"/>
      <c r="E55" s="145"/>
      <c r="F55" s="144"/>
      <c r="G55" s="144"/>
    </row>
    <row r="56" spans="1:7" x14ac:dyDescent="0.35">
      <c r="A56" s="144"/>
      <c r="B56" s="144"/>
      <c r="C56" s="188"/>
      <c r="D56" s="148"/>
      <c r="E56" s="145"/>
      <c r="F56" s="144"/>
      <c r="G56" s="144"/>
    </row>
    <row r="57" spans="1:7" x14ac:dyDescent="0.35">
      <c r="A57" s="144"/>
      <c r="B57" s="144"/>
      <c r="C57" s="188"/>
      <c r="D57" s="148"/>
      <c r="E57" s="145"/>
      <c r="F57" s="144"/>
      <c r="G57" s="144"/>
    </row>
    <row r="58" spans="1:7" x14ac:dyDescent="0.35">
      <c r="A58" s="144"/>
      <c r="B58" s="144"/>
      <c r="C58" s="188"/>
      <c r="D58" s="148"/>
      <c r="E58" s="145"/>
      <c r="F58" s="144"/>
      <c r="G58" s="144"/>
    </row>
    <row r="59" spans="1:7" x14ac:dyDescent="0.35">
      <c r="A59" s="144"/>
      <c r="B59" s="144"/>
      <c r="C59" s="188"/>
      <c r="D59" s="148"/>
      <c r="E59" s="145"/>
      <c r="F59" s="144"/>
      <c r="G59" s="144"/>
    </row>
    <row r="60" spans="1:7" x14ac:dyDescent="0.35">
      <c r="A60" s="144"/>
      <c r="B60" s="144"/>
      <c r="C60" s="188"/>
      <c r="D60" s="148"/>
      <c r="E60" s="145"/>
      <c r="F60" s="144"/>
      <c r="G60" s="144"/>
    </row>
    <row r="61" spans="1:7" x14ac:dyDescent="0.35">
      <c r="A61" s="144"/>
      <c r="B61" s="144"/>
      <c r="C61" s="188"/>
      <c r="D61" s="148"/>
      <c r="E61" s="145"/>
      <c r="F61" s="144"/>
      <c r="G61" s="144"/>
    </row>
    <row r="62" spans="1:7" x14ac:dyDescent="0.35">
      <c r="A62" s="144"/>
      <c r="B62" s="144"/>
      <c r="C62" s="188"/>
      <c r="D62" s="148"/>
      <c r="E62" s="145"/>
      <c r="F62" s="144"/>
      <c r="G62" s="144"/>
    </row>
    <row r="63" spans="1:7" x14ac:dyDescent="0.35">
      <c r="A63" s="144"/>
      <c r="B63" s="144"/>
      <c r="C63" s="188"/>
      <c r="D63" s="148"/>
      <c r="E63" s="145"/>
      <c r="F63" s="144"/>
      <c r="G63" s="144"/>
    </row>
    <row r="64" spans="1:7" x14ac:dyDescent="0.35">
      <c r="A64" s="144"/>
      <c r="B64" s="144"/>
      <c r="C64" s="188"/>
      <c r="D64" s="148"/>
      <c r="E64" s="145"/>
      <c r="F64" s="144"/>
      <c r="G64" s="144"/>
    </row>
    <row r="65" spans="1:7" x14ac:dyDescent="0.35">
      <c r="A65" s="144"/>
      <c r="B65" s="144"/>
      <c r="C65" s="188"/>
      <c r="D65" s="148"/>
      <c r="E65" s="145"/>
      <c r="F65" s="144"/>
      <c r="G65" s="144"/>
    </row>
    <row r="66" spans="1:7" x14ac:dyDescent="0.35">
      <c r="A66" s="144"/>
      <c r="B66" s="144"/>
      <c r="C66" s="188"/>
      <c r="D66" s="148"/>
      <c r="E66" s="145"/>
      <c r="F66" s="144"/>
      <c r="G66" s="144"/>
    </row>
    <row r="67" spans="1:7" x14ac:dyDescent="0.35">
      <c r="A67" s="144"/>
      <c r="B67" s="144"/>
      <c r="C67" s="188"/>
      <c r="D67" s="148"/>
      <c r="E67" s="145"/>
      <c r="F67" s="144"/>
      <c r="G67" s="144"/>
    </row>
  </sheetData>
  <mergeCells count="1">
    <mergeCell ref="A1:G1"/>
  </mergeCells>
  <pageMargins left="0.7" right="0.7" top="0.75" bottom="0.75" header="0.3" footer="0.3"/>
  <pageSetup paperSize="9" orientation="portrait" horizontalDpi="360" verticalDpi="36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EBE2-A1FB-42B5-95E1-B6F5CD0A9D70}">
  <dimension ref="A1:H68"/>
  <sheetViews>
    <sheetView workbookViewId="0">
      <selection activeCell="D24" sqref="D24"/>
    </sheetView>
  </sheetViews>
  <sheetFormatPr defaultRowHeight="14.5" x14ac:dyDescent="0.35"/>
  <cols>
    <col min="1" max="1" width="13.54296875" customWidth="1"/>
    <col min="2" max="2" width="19" customWidth="1"/>
    <col min="3" max="3" width="13.81640625" customWidth="1"/>
    <col min="4" max="4" width="18.7265625" customWidth="1"/>
    <col min="5" max="5" width="43.54296875" customWidth="1"/>
    <col min="6" max="6" width="48" bestFit="1" customWidth="1"/>
    <col min="7" max="7" width="50.54296875" customWidth="1"/>
    <col min="8" max="8" width="50.453125" customWidth="1"/>
  </cols>
  <sheetData>
    <row r="1" spans="1:8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7.25" customHeight="1" x14ac:dyDescent="0.35">
      <c r="A3" s="6" t="s">
        <v>28</v>
      </c>
      <c r="B3" s="224" t="s">
        <v>1740</v>
      </c>
      <c r="C3" s="189"/>
      <c r="D3" s="189"/>
      <c r="E3" s="189"/>
      <c r="F3" s="189"/>
      <c r="G3" s="189"/>
    </row>
    <row r="4" spans="1:8" ht="17.25" customHeight="1" x14ac:dyDescent="0.35">
      <c r="A4" s="8" t="s">
        <v>29</v>
      </c>
      <c r="B4" s="9" t="s">
        <v>1741</v>
      </c>
      <c r="C4" s="189"/>
      <c r="D4" s="189"/>
      <c r="E4" s="189"/>
      <c r="F4" s="189"/>
      <c r="G4" s="189"/>
    </row>
    <row r="5" spans="1:8" ht="17.25" customHeight="1" thickBot="1" x14ac:dyDescent="0.4">
      <c r="A5" s="10" t="s">
        <v>30</v>
      </c>
      <c r="B5" s="177" t="s">
        <v>1592</v>
      </c>
      <c r="C5" s="189"/>
      <c r="D5" s="189"/>
      <c r="E5" s="189"/>
      <c r="F5" s="189"/>
      <c r="G5" s="189"/>
    </row>
    <row r="6" spans="1:8" ht="26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35">
      <c r="A9" s="144"/>
      <c r="B9" s="144" t="s">
        <v>163</v>
      </c>
      <c r="C9" s="188">
        <v>1</v>
      </c>
      <c r="D9" s="148">
        <v>56</v>
      </c>
      <c r="E9" s="145" t="s">
        <v>56</v>
      </c>
      <c r="F9" s="144" t="s">
        <v>34</v>
      </c>
      <c r="G9" s="144" t="s">
        <v>1705</v>
      </c>
    </row>
    <row r="10" spans="1:8" x14ac:dyDescent="0.35">
      <c r="A10" s="144"/>
      <c r="B10" s="144" t="s">
        <v>163</v>
      </c>
      <c r="C10" s="188">
        <v>1</v>
      </c>
      <c r="D10" s="148">
        <v>56</v>
      </c>
      <c r="E10" s="145" t="s">
        <v>56</v>
      </c>
      <c r="F10" s="144" t="s">
        <v>34</v>
      </c>
      <c r="G10" s="144" t="s">
        <v>1706</v>
      </c>
    </row>
    <row r="11" spans="1:8" x14ac:dyDescent="0.35">
      <c r="A11" s="144"/>
      <c r="B11" s="144" t="s">
        <v>163</v>
      </c>
      <c r="C11" s="188">
        <v>1</v>
      </c>
      <c r="D11" s="148">
        <v>22</v>
      </c>
      <c r="E11" s="145" t="s">
        <v>56</v>
      </c>
      <c r="F11" s="144" t="s">
        <v>35</v>
      </c>
      <c r="G11" s="144" t="s">
        <v>1706</v>
      </c>
    </row>
    <row r="12" spans="1:8" x14ac:dyDescent="0.35">
      <c r="A12" s="144" t="s">
        <v>23</v>
      </c>
      <c r="B12" s="144" t="s">
        <v>211</v>
      </c>
      <c r="C12" s="188">
        <v>1</v>
      </c>
      <c r="D12" s="148">
        <v>56</v>
      </c>
      <c r="E12" s="145" t="s">
        <v>62</v>
      </c>
      <c r="F12" s="144" t="s">
        <v>34</v>
      </c>
      <c r="G12" s="144" t="s">
        <v>1707</v>
      </c>
    </row>
    <row r="13" spans="1:8" x14ac:dyDescent="0.35">
      <c r="A13" s="144" t="s">
        <v>6</v>
      </c>
      <c r="B13" s="144" t="s">
        <v>219</v>
      </c>
      <c r="C13" s="188">
        <v>1</v>
      </c>
      <c r="D13" s="155">
        <v>37</v>
      </c>
      <c r="E13" s="145" t="s">
        <v>876</v>
      </c>
      <c r="F13" s="144" t="s">
        <v>36</v>
      </c>
      <c r="G13" s="216" t="s">
        <v>1708</v>
      </c>
      <c r="H13" s="220"/>
    </row>
    <row r="14" spans="1:8" x14ac:dyDescent="0.35">
      <c r="A14" s="144" t="s">
        <v>23</v>
      </c>
      <c r="B14" s="144" t="s">
        <v>211</v>
      </c>
      <c r="C14" s="188">
        <v>1</v>
      </c>
      <c r="D14" s="148">
        <v>22</v>
      </c>
      <c r="E14" s="145" t="s">
        <v>62</v>
      </c>
      <c r="F14" s="144" t="s">
        <v>35</v>
      </c>
      <c r="G14" s="144" t="s">
        <v>1709</v>
      </c>
    </row>
    <row r="15" spans="1:8" x14ac:dyDescent="0.35">
      <c r="A15" s="144" t="s">
        <v>23</v>
      </c>
      <c r="B15" s="144" t="s">
        <v>211</v>
      </c>
      <c r="C15" s="188">
        <v>1</v>
      </c>
      <c r="D15" s="148">
        <v>56</v>
      </c>
      <c r="E15" s="145" t="s">
        <v>62</v>
      </c>
      <c r="F15" s="144" t="s">
        <v>34</v>
      </c>
      <c r="G15" s="144" t="s">
        <v>1709</v>
      </c>
    </row>
    <row r="16" spans="1:8" x14ac:dyDescent="0.35">
      <c r="A16" s="144" t="s">
        <v>6</v>
      </c>
      <c r="B16" s="144" t="s">
        <v>142</v>
      </c>
      <c r="C16" s="188">
        <v>1</v>
      </c>
      <c r="D16" s="155">
        <v>37</v>
      </c>
      <c r="E16" s="145" t="s">
        <v>44</v>
      </c>
      <c r="F16" s="144" t="s">
        <v>36</v>
      </c>
      <c r="G16" s="144" t="s">
        <v>1710</v>
      </c>
    </row>
    <row r="17" spans="1:8" x14ac:dyDescent="0.35">
      <c r="A17" s="144" t="s">
        <v>6</v>
      </c>
      <c r="B17" s="144" t="s">
        <v>142</v>
      </c>
      <c r="C17" s="188">
        <v>1</v>
      </c>
      <c r="D17" s="148">
        <v>22</v>
      </c>
      <c r="E17" s="145" t="s">
        <v>44</v>
      </c>
      <c r="F17" s="144" t="s">
        <v>35</v>
      </c>
      <c r="G17" s="144" t="s">
        <v>1711</v>
      </c>
    </row>
    <row r="18" spans="1:8" x14ac:dyDescent="0.35">
      <c r="A18" s="144" t="s">
        <v>6</v>
      </c>
      <c r="B18" s="144" t="s">
        <v>86</v>
      </c>
      <c r="C18" s="188">
        <v>1</v>
      </c>
      <c r="D18" s="155">
        <v>37</v>
      </c>
      <c r="E18" s="145" t="s">
        <v>47</v>
      </c>
      <c r="F18" s="144" t="s">
        <v>36</v>
      </c>
      <c r="G18" s="144" t="s">
        <v>1712</v>
      </c>
    </row>
    <row r="19" spans="1:8" x14ac:dyDescent="0.35">
      <c r="A19" s="144" t="s">
        <v>6</v>
      </c>
      <c r="B19" s="144" t="s">
        <v>1382</v>
      </c>
      <c r="C19" s="188">
        <v>1</v>
      </c>
      <c r="D19" s="148">
        <v>22</v>
      </c>
      <c r="E19" s="145" t="s">
        <v>51</v>
      </c>
      <c r="F19" s="144" t="s">
        <v>35</v>
      </c>
      <c r="G19" s="144" t="s">
        <v>1713</v>
      </c>
    </row>
    <row r="20" spans="1:8" x14ac:dyDescent="0.35">
      <c r="A20" s="144" t="s">
        <v>6</v>
      </c>
      <c r="B20" s="144" t="s">
        <v>219</v>
      </c>
      <c r="C20" s="188">
        <v>1</v>
      </c>
      <c r="D20" s="148">
        <v>56</v>
      </c>
      <c r="E20" s="145" t="s">
        <v>876</v>
      </c>
      <c r="F20" s="144" t="s">
        <v>34</v>
      </c>
      <c r="G20" s="144" t="s">
        <v>1714</v>
      </c>
      <c r="H20" s="221"/>
    </row>
    <row r="21" spans="1:8" x14ac:dyDescent="0.35">
      <c r="A21" s="144" t="s">
        <v>6</v>
      </c>
      <c r="B21" s="144" t="s">
        <v>86</v>
      </c>
      <c r="C21" s="188">
        <v>1</v>
      </c>
      <c r="D21" s="148">
        <v>22</v>
      </c>
      <c r="E21" s="145" t="s">
        <v>47</v>
      </c>
      <c r="F21" s="144" t="s">
        <v>35</v>
      </c>
      <c r="G21" s="144" t="s">
        <v>1715</v>
      </c>
    </row>
    <row r="22" spans="1:8" x14ac:dyDescent="0.35">
      <c r="A22" s="144" t="s">
        <v>23</v>
      </c>
      <c r="B22" s="144" t="s">
        <v>244</v>
      </c>
      <c r="C22" s="188">
        <v>1</v>
      </c>
      <c r="D22" s="148">
        <v>56</v>
      </c>
      <c r="E22" s="145" t="s">
        <v>64</v>
      </c>
      <c r="F22" s="144" t="s">
        <v>34</v>
      </c>
      <c r="G22" s="144" t="s">
        <v>1716</v>
      </c>
    </row>
    <row r="23" spans="1:8" x14ac:dyDescent="0.35">
      <c r="A23" s="144" t="s">
        <v>23</v>
      </c>
      <c r="B23" s="144" t="s">
        <v>244</v>
      </c>
      <c r="C23" s="188">
        <v>1</v>
      </c>
      <c r="D23" s="148">
        <v>22</v>
      </c>
      <c r="E23" s="145" t="s">
        <v>64</v>
      </c>
      <c r="F23" s="144" t="s">
        <v>35</v>
      </c>
      <c r="G23" s="144" t="s">
        <v>1716</v>
      </c>
    </row>
    <row r="24" spans="1:8" x14ac:dyDescent="0.35">
      <c r="A24" s="144" t="s">
        <v>6</v>
      </c>
      <c r="B24" s="144" t="s">
        <v>86</v>
      </c>
      <c r="C24" s="188">
        <v>1</v>
      </c>
      <c r="D24" s="148">
        <v>22</v>
      </c>
      <c r="E24" s="145" t="s">
        <v>47</v>
      </c>
      <c r="F24" s="144" t="s">
        <v>35</v>
      </c>
      <c r="G24" s="144" t="s">
        <v>1717</v>
      </c>
    </row>
    <row r="25" spans="1:8" x14ac:dyDescent="0.35">
      <c r="A25" s="144" t="s">
        <v>23</v>
      </c>
      <c r="B25" s="144" t="s">
        <v>244</v>
      </c>
      <c r="C25" s="188">
        <v>1</v>
      </c>
      <c r="D25" s="148">
        <v>37</v>
      </c>
      <c r="E25" s="145" t="s">
        <v>64</v>
      </c>
      <c r="F25" s="144" t="s">
        <v>36</v>
      </c>
      <c r="G25" s="144" t="s">
        <v>1718</v>
      </c>
    </row>
    <row r="26" spans="1:8" x14ac:dyDescent="0.35">
      <c r="A26" s="144" t="s">
        <v>6</v>
      </c>
      <c r="B26" s="144" t="s">
        <v>1382</v>
      </c>
      <c r="C26" s="188">
        <v>1</v>
      </c>
      <c r="D26" s="148">
        <v>22</v>
      </c>
      <c r="E26" s="145" t="s">
        <v>51</v>
      </c>
      <c r="F26" s="144" t="s">
        <v>35</v>
      </c>
      <c r="G26" s="144" t="s">
        <v>1719</v>
      </c>
    </row>
    <row r="27" spans="1:8" x14ac:dyDescent="0.35">
      <c r="A27" s="144" t="s">
        <v>6</v>
      </c>
      <c r="B27" s="144" t="s">
        <v>1382</v>
      </c>
      <c r="C27" s="188">
        <v>1</v>
      </c>
      <c r="D27" s="148">
        <v>56</v>
      </c>
      <c r="E27" s="145" t="s">
        <v>51</v>
      </c>
      <c r="F27" s="144" t="s">
        <v>34</v>
      </c>
      <c r="G27" s="144" t="s">
        <v>1719</v>
      </c>
    </row>
    <row r="28" spans="1:8" x14ac:dyDescent="0.35">
      <c r="A28" s="144" t="s">
        <v>23</v>
      </c>
      <c r="B28" s="144" t="s">
        <v>244</v>
      </c>
      <c r="C28" s="188">
        <v>1</v>
      </c>
      <c r="D28" s="148">
        <v>56</v>
      </c>
      <c r="E28" s="145" t="s">
        <v>64</v>
      </c>
      <c r="F28" s="144" t="s">
        <v>34</v>
      </c>
      <c r="G28" s="144" t="s">
        <v>1720</v>
      </c>
    </row>
    <row r="29" spans="1:8" x14ac:dyDescent="0.35">
      <c r="A29" s="144" t="s">
        <v>23</v>
      </c>
      <c r="B29" s="144" t="s">
        <v>244</v>
      </c>
      <c r="C29" s="188">
        <v>1</v>
      </c>
      <c r="D29" s="148">
        <v>56</v>
      </c>
      <c r="E29" s="145" t="s">
        <v>64</v>
      </c>
      <c r="F29" s="144" t="s">
        <v>34</v>
      </c>
      <c r="G29" s="144" t="s">
        <v>1721</v>
      </c>
    </row>
    <row r="30" spans="1:8" x14ac:dyDescent="0.35">
      <c r="A30" s="144" t="s">
        <v>23</v>
      </c>
      <c r="B30" s="144" t="s">
        <v>244</v>
      </c>
      <c r="C30" s="188">
        <v>1</v>
      </c>
      <c r="D30" s="148">
        <v>22</v>
      </c>
      <c r="E30" s="145" t="s">
        <v>64</v>
      </c>
      <c r="F30" s="144" t="s">
        <v>35</v>
      </c>
      <c r="G30" s="144" t="s">
        <v>1721</v>
      </c>
    </row>
    <row r="31" spans="1:8" x14ac:dyDescent="0.35">
      <c r="A31" s="144" t="s">
        <v>6</v>
      </c>
      <c r="B31" s="144" t="s">
        <v>86</v>
      </c>
      <c r="C31" s="188">
        <v>1</v>
      </c>
      <c r="D31" s="148">
        <v>22</v>
      </c>
      <c r="E31" s="145" t="s">
        <v>47</v>
      </c>
      <c r="F31" s="144" t="s">
        <v>35</v>
      </c>
      <c r="G31" s="144" t="s">
        <v>1722</v>
      </c>
    </row>
    <row r="32" spans="1:8" x14ac:dyDescent="0.35">
      <c r="A32" s="144" t="s">
        <v>6</v>
      </c>
      <c r="B32" s="144" t="s">
        <v>219</v>
      </c>
      <c r="C32" s="188">
        <v>1</v>
      </c>
      <c r="D32" s="148">
        <v>22</v>
      </c>
      <c r="E32" s="145" t="s">
        <v>876</v>
      </c>
      <c r="F32" s="144" t="s">
        <v>35</v>
      </c>
      <c r="G32" s="144" t="s">
        <v>1723</v>
      </c>
    </row>
    <row r="33" spans="1:8" x14ac:dyDescent="0.35">
      <c r="A33" s="144" t="s">
        <v>6</v>
      </c>
      <c r="B33" s="144" t="s">
        <v>72</v>
      </c>
      <c r="C33" s="188">
        <v>1</v>
      </c>
      <c r="D33" s="148">
        <v>37</v>
      </c>
      <c r="E33" s="145" t="s">
        <v>1138</v>
      </c>
      <c r="F33" s="144" t="s">
        <v>36</v>
      </c>
      <c r="G33" s="144" t="s">
        <v>1724</v>
      </c>
    </row>
    <row r="34" spans="1:8" x14ac:dyDescent="0.35">
      <c r="A34" s="144" t="s">
        <v>6</v>
      </c>
      <c r="B34" s="144" t="s">
        <v>72</v>
      </c>
      <c r="C34" s="188">
        <v>1</v>
      </c>
      <c r="D34" s="148">
        <v>56</v>
      </c>
      <c r="E34" s="145" t="s">
        <v>1138</v>
      </c>
      <c r="F34" s="144" t="s">
        <v>34</v>
      </c>
      <c r="G34" s="144" t="s">
        <v>1724</v>
      </c>
    </row>
    <row r="35" spans="1:8" x14ac:dyDescent="0.35">
      <c r="A35" s="144" t="s">
        <v>6</v>
      </c>
      <c r="B35" s="144" t="s">
        <v>72</v>
      </c>
      <c r="C35" s="188">
        <v>1</v>
      </c>
      <c r="D35" s="148">
        <v>22</v>
      </c>
      <c r="E35" s="145" t="s">
        <v>1138</v>
      </c>
      <c r="F35" s="144" t="s">
        <v>35</v>
      </c>
      <c r="G35" s="144" t="s">
        <v>1724</v>
      </c>
    </row>
    <row r="36" spans="1:8" x14ac:dyDescent="0.35">
      <c r="A36" s="144" t="s">
        <v>6</v>
      </c>
      <c r="B36" s="144" t="s">
        <v>86</v>
      </c>
      <c r="C36" s="188">
        <v>1</v>
      </c>
      <c r="D36" s="148">
        <v>37</v>
      </c>
      <c r="E36" s="145" t="s">
        <v>47</v>
      </c>
      <c r="F36" s="144" t="s">
        <v>36</v>
      </c>
      <c r="G36" s="144" t="s">
        <v>1725</v>
      </c>
    </row>
    <row r="37" spans="1:8" x14ac:dyDescent="0.35">
      <c r="A37" s="144" t="s">
        <v>6</v>
      </c>
      <c r="B37" s="144" t="s">
        <v>142</v>
      </c>
      <c r="C37" s="188">
        <v>1</v>
      </c>
      <c r="D37" s="148">
        <v>137.5</v>
      </c>
      <c r="E37" s="145" t="s">
        <v>44</v>
      </c>
      <c r="F37" s="144" t="s">
        <v>989</v>
      </c>
      <c r="G37" s="144" t="s">
        <v>1726</v>
      </c>
    </row>
    <row r="38" spans="1:8" x14ac:dyDescent="0.35">
      <c r="A38" s="144"/>
      <c r="B38" s="144" t="s">
        <v>163</v>
      </c>
      <c r="C38" s="188">
        <v>1</v>
      </c>
      <c r="D38" s="148">
        <v>137.5</v>
      </c>
      <c r="E38" s="145" t="s">
        <v>56</v>
      </c>
      <c r="F38" s="144" t="s">
        <v>989</v>
      </c>
      <c r="G38" s="144" t="s">
        <v>1727</v>
      </c>
    </row>
    <row r="39" spans="1:8" x14ac:dyDescent="0.35">
      <c r="A39" s="144"/>
      <c r="B39" s="144" t="s">
        <v>163</v>
      </c>
      <c r="C39" s="188">
        <v>1</v>
      </c>
      <c r="D39" s="126">
        <v>166.1</v>
      </c>
      <c r="E39" s="204" t="s">
        <v>56</v>
      </c>
      <c r="F39" s="124" t="s">
        <v>992</v>
      </c>
      <c r="G39" s="144" t="s">
        <v>1729</v>
      </c>
    </row>
    <row r="40" spans="1:8" x14ac:dyDescent="0.35">
      <c r="A40" s="144" t="s">
        <v>6</v>
      </c>
      <c r="B40" s="144" t="s">
        <v>86</v>
      </c>
      <c r="C40" s="188">
        <v>1</v>
      </c>
      <c r="D40" s="148">
        <v>137.5</v>
      </c>
      <c r="E40" s="14" t="s">
        <v>47</v>
      </c>
      <c r="F40" s="144" t="s">
        <v>989</v>
      </c>
      <c r="G40" s="144" t="s">
        <v>1730</v>
      </c>
    </row>
    <row r="41" spans="1:8" x14ac:dyDescent="0.35">
      <c r="A41" s="144" t="s">
        <v>6</v>
      </c>
      <c r="B41" s="144" t="s">
        <v>86</v>
      </c>
      <c r="C41" s="188">
        <v>1</v>
      </c>
      <c r="D41" s="148">
        <v>137.5</v>
      </c>
      <c r="E41" s="14" t="s">
        <v>47</v>
      </c>
      <c r="F41" s="144" t="s">
        <v>989</v>
      </c>
      <c r="G41" s="216" t="s">
        <v>1731</v>
      </c>
      <c r="H41" s="222"/>
    </row>
    <row r="42" spans="1:8" x14ac:dyDescent="0.35">
      <c r="A42" s="144" t="s">
        <v>6</v>
      </c>
      <c r="B42" s="144" t="s">
        <v>86</v>
      </c>
      <c r="C42" s="188">
        <v>1</v>
      </c>
      <c r="D42" s="126">
        <v>166.1</v>
      </c>
      <c r="E42" s="14" t="s">
        <v>47</v>
      </c>
      <c r="F42" s="124" t="s">
        <v>992</v>
      </c>
      <c r="G42" s="216" t="s">
        <v>1732</v>
      </c>
      <c r="H42" s="222"/>
    </row>
    <row r="43" spans="1:8" x14ac:dyDescent="0.35">
      <c r="A43" s="144" t="s">
        <v>23</v>
      </c>
      <c r="B43" s="144" t="s">
        <v>211</v>
      </c>
      <c r="C43" s="188">
        <v>1</v>
      </c>
      <c r="D43" s="148">
        <v>137.5</v>
      </c>
      <c r="E43" s="145" t="s">
        <v>62</v>
      </c>
      <c r="F43" s="144" t="s">
        <v>989</v>
      </c>
      <c r="G43" s="144" t="s">
        <v>1733</v>
      </c>
    </row>
    <row r="44" spans="1:8" x14ac:dyDescent="0.35">
      <c r="A44" s="144" t="s">
        <v>6</v>
      </c>
      <c r="B44" s="144" t="s">
        <v>142</v>
      </c>
      <c r="C44" s="188">
        <v>1</v>
      </c>
      <c r="D44" s="126">
        <v>166.1</v>
      </c>
      <c r="E44" s="145" t="s">
        <v>44</v>
      </c>
      <c r="F44" s="124" t="s">
        <v>992</v>
      </c>
      <c r="G44" s="144" t="s">
        <v>1734</v>
      </c>
    </row>
    <row r="45" spans="1:8" x14ac:dyDescent="0.35">
      <c r="A45" s="144"/>
      <c r="B45" s="144" t="s">
        <v>163</v>
      </c>
      <c r="C45" s="188">
        <v>1</v>
      </c>
      <c r="D45" s="148">
        <v>56</v>
      </c>
      <c r="E45" s="145" t="s">
        <v>56</v>
      </c>
      <c r="F45" s="144" t="s">
        <v>34</v>
      </c>
      <c r="G45" s="144" t="s">
        <v>1735</v>
      </c>
    </row>
    <row r="46" spans="1:8" x14ac:dyDescent="0.35">
      <c r="A46" s="144"/>
      <c r="B46" s="144" t="s">
        <v>163</v>
      </c>
      <c r="C46" s="188">
        <v>1</v>
      </c>
      <c r="D46" s="148">
        <v>22</v>
      </c>
      <c r="E46" s="145" t="s">
        <v>56</v>
      </c>
      <c r="F46" s="144" t="s">
        <v>35</v>
      </c>
      <c r="G46" s="144" t="s">
        <v>1735</v>
      </c>
    </row>
    <row r="47" spans="1:8" x14ac:dyDescent="0.35">
      <c r="A47" s="144"/>
      <c r="B47" s="144" t="s">
        <v>163</v>
      </c>
      <c r="C47" s="188">
        <v>1</v>
      </c>
      <c r="D47" s="148">
        <v>56</v>
      </c>
      <c r="E47" s="145" t="s">
        <v>56</v>
      </c>
      <c r="F47" s="144" t="s">
        <v>34</v>
      </c>
      <c r="G47" s="144" t="s">
        <v>1736</v>
      </c>
    </row>
    <row r="48" spans="1:8" x14ac:dyDescent="0.35">
      <c r="A48" s="144"/>
      <c r="B48" s="144" t="s">
        <v>163</v>
      </c>
      <c r="C48" s="188">
        <v>1</v>
      </c>
      <c r="D48" s="148">
        <v>22</v>
      </c>
      <c r="E48" s="145" t="s">
        <v>56</v>
      </c>
      <c r="F48" s="144" t="s">
        <v>35</v>
      </c>
      <c r="G48" s="144" t="s">
        <v>1736</v>
      </c>
    </row>
    <row r="49" spans="1:7" x14ac:dyDescent="0.35">
      <c r="A49" s="144" t="s">
        <v>6</v>
      </c>
      <c r="B49" s="144" t="s">
        <v>86</v>
      </c>
      <c r="C49" s="188">
        <v>1</v>
      </c>
      <c r="D49" s="148">
        <v>56</v>
      </c>
      <c r="E49" s="14" t="s">
        <v>47</v>
      </c>
      <c r="F49" s="144" t="s">
        <v>34</v>
      </c>
      <c r="G49" s="144" t="s">
        <v>1737</v>
      </c>
    </row>
    <row r="50" spans="1:7" x14ac:dyDescent="0.35">
      <c r="A50" s="144" t="s">
        <v>23</v>
      </c>
      <c r="B50" s="144" t="s">
        <v>211</v>
      </c>
      <c r="C50" s="188">
        <v>1</v>
      </c>
      <c r="D50" s="148">
        <v>56</v>
      </c>
      <c r="E50" s="145" t="s">
        <v>62</v>
      </c>
      <c r="F50" s="144" t="s">
        <v>34</v>
      </c>
      <c r="G50" s="144" t="s">
        <v>1738</v>
      </c>
    </row>
    <row r="51" spans="1:7" x14ac:dyDescent="0.35">
      <c r="A51" s="144" t="s">
        <v>23</v>
      </c>
      <c r="B51" s="144" t="s">
        <v>211</v>
      </c>
      <c r="C51" s="188">
        <v>1</v>
      </c>
      <c r="D51" s="148">
        <v>22</v>
      </c>
      <c r="E51" s="145" t="s">
        <v>62</v>
      </c>
      <c r="F51" s="144" t="s">
        <v>35</v>
      </c>
      <c r="G51" s="144" t="s">
        <v>1738</v>
      </c>
    </row>
    <row r="52" spans="1:7" x14ac:dyDescent="0.35">
      <c r="A52" s="144" t="s">
        <v>6</v>
      </c>
      <c r="B52" s="144" t="s">
        <v>1382</v>
      </c>
      <c r="C52" s="188">
        <v>1</v>
      </c>
      <c r="D52" s="148">
        <v>22</v>
      </c>
      <c r="E52" s="145" t="s">
        <v>51</v>
      </c>
      <c r="F52" s="144" t="s">
        <v>35</v>
      </c>
      <c r="G52" s="144" t="s">
        <v>1739</v>
      </c>
    </row>
    <row r="53" spans="1:7" x14ac:dyDescent="0.35">
      <c r="A53" s="144"/>
      <c r="B53" s="144"/>
      <c r="C53" s="188">
        <v>1</v>
      </c>
      <c r="D53" s="148"/>
      <c r="E53" s="145"/>
      <c r="F53" s="144"/>
      <c r="G53" s="144"/>
    </row>
    <row r="54" spans="1:7" x14ac:dyDescent="0.35">
      <c r="A54" s="144"/>
      <c r="B54" s="144"/>
      <c r="C54" s="188">
        <v>1</v>
      </c>
      <c r="D54" s="148"/>
      <c r="E54" s="145"/>
      <c r="F54" s="144"/>
      <c r="G54" s="144"/>
    </row>
    <row r="55" spans="1:7" x14ac:dyDescent="0.35">
      <c r="A55" s="144"/>
      <c r="B55" s="144"/>
      <c r="C55" s="188">
        <v>1</v>
      </c>
      <c r="D55" s="148"/>
      <c r="E55" s="145"/>
      <c r="F55" s="144"/>
      <c r="G55" s="144"/>
    </row>
    <row r="56" spans="1:7" x14ac:dyDescent="0.35">
      <c r="A56" s="144"/>
      <c r="B56" s="144"/>
      <c r="C56" s="188">
        <v>1</v>
      </c>
      <c r="D56" s="148"/>
      <c r="E56" s="145"/>
      <c r="F56" s="144"/>
      <c r="G56" s="144"/>
    </row>
    <row r="57" spans="1:7" x14ac:dyDescent="0.35">
      <c r="A57" s="144"/>
      <c r="B57" s="144"/>
      <c r="C57" s="188">
        <v>1</v>
      </c>
      <c r="D57" s="148"/>
      <c r="E57" s="145"/>
      <c r="F57" s="144"/>
      <c r="G57" s="144"/>
    </row>
    <row r="58" spans="1:7" x14ac:dyDescent="0.35">
      <c r="A58" s="144"/>
      <c r="B58" s="144"/>
      <c r="C58" s="188">
        <v>1</v>
      </c>
      <c r="D58" s="148"/>
      <c r="E58" s="145"/>
      <c r="F58" s="144"/>
      <c r="G58" s="144"/>
    </row>
    <row r="59" spans="1:7" x14ac:dyDescent="0.35">
      <c r="A59" s="144"/>
      <c r="B59" s="144"/>
      <c r="C59" s="188">
        <v>1</v>
      </c>
      <c r="D59" s="148"/>
      <c r="E59" s="145"/>
      <c r="F59" s="144"/>
      <c r="G59" s="144"/>
    </row>
    <row r="60" spans="1:7" x14ac:dyDescent="0.35">
      <c r="A60" s="144"/>
      <c r="B60" s="144"/>
      <c r="C60" s="188">
        <v>1</v>
      </c>
      <c r="D60" s="148"/>
      <c r="E60" s="145"/>
      <c r="F60" s="144"/>
      <c r="G60" s="144"/>
    </row>
    <row r="61" spans="1:7" x14ac:dyDescent="0.35">
      <c r="A61" s="144"/>
      <c r="B61" s="144"/>
      <c r="C61" s="188">
        <v>1</v>
      </c>
      <c r="D61" s="148"/>
      <c r="E61" s="145"/>
      <c r="F61" s="144"/>
      <c r="G61" s="144"/>
    </row>
    <row r="62" spans="1:7" x14ac:dyDescent="0.35">
      <c r="A62" s="144"/>
      <c r="B62" s="144"/>
      <c r="C62" s="188">
        <v>1</v>
      </c>
      <c r="D62" s="148"/>
      <c r="E62" s="145"/>
      <c r="F62" s="144"/>
      <c r="G62" s="144"/>
    </row>
    <row r="63" spans="1:7" x14ac:dyDescent="0.35">
      <c r="A63" s="144"/>
      <c r="B63" s="144"/>
      <c r="C63" s="188">
        <v>1</v>
      </c>
      <c r="D63" s="148"/>
      <c r="E63" s="145"/>
      <c r="F63" s="144"/>
      <c r="G63" s="144"/>
    </row>
    <row r="64" spans="1:7" x14ac:dyDescent="0.35">
      <c r="A64" s="144"/>
      <c r="B64" s="144"/>
      <c r="C64" s="188">
        <v>1</v>
      </c>
      <c r="D64" s="148"/>
      <c r="E64" s="145"/>
      <c r="F64" s="144"/>
      <c r="G64" s="144"/>
    </row>
    <row r="65" spans="1:7" x14ac:dyDescent="0.35">
      <c r="A65" s="144"/>
      <c r="B65" s="144"/>
      <c r="C65" s="188">
        <v>1</v>
      </c>
      <c r="D65" s="148"/>
      <c r="E65" s="145"/>
      <c r="F65" s="144"/>
      <c r="G65" s="144"/>
    </row>
    <row r="66" spans="1:7" x14ac:dyDescent="0.35">
      <c r="A66" s="144"/>
      <c r="B66" s="144"/>
      <c r="C66" s="188">
        <v>1</v>
      </c>
      <c r="D66" s="148"/>
      <c r="E66" s="145"/>
      <c r="F66" s="144"/>
      <c r="G66" s="144"/>
    </row>
    <row r="67" spans="1:7" x14ac:dyDescent="0.35">
      <c r="A67" s="144"/>
      <c r="B67" s="144"/>
      <c r="C67" s="188"/>
      <c r="D67" s="148"/>
      <c r="E67" s="145"/>
      <c r="F67" s="144"/>
      <c r="G67" s="144"/>
    </row>
    <row r="68" spans="1:7" x14ac:dyDescent="0.35">
      <c r="A68" s="144"/>
      <c r="B68" s="144"/>
      <c r="C68" s="188"/>
      <c r="D68" s="148"/>
      <c r="E68" s="145"/>
      <c r="F68" s="144"/>
      <c r="G68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53FA4-A787-4AEA-B21E-CD68A31EA08B}">
  <dimension ref="A1:G23"/>
  <sheetViews>
    <sheetView workbookViewId="0">
      <selection activeCell="E9" sqref="E9"/>
    </sheetView>
  </sheetViews>
  <sheetFormatPr defaultColWidth="9.1796875" defaultRowHeight="14.5" x14ac:dyDescent="0.35"/>
  <cols>
    <col min="1" max="1" width="22.1796875" customWidth="1"/>
    <col min="2" max="2" width="27.453125" customWidth="1"/>
    <col min="3" max="3" width="46.453125" customWidth="1"/>
    <col min="4" max="4" width="49.7265625" customWidth="1"/>
    <col min="5" max="5" width="51.26953125" customWidth="1"/>
    <col min="6" max="6" width="65.453125" customWidth="1"/>
    <col min="7" max="7" width="64.1796875" customWidth="1"/>
  </cols>
  <sheetData>
    <row r="1" spans="1:7" ht="26" x14ac:dyDescent="0.6">
      <c r="A1" s="253" t="s">
        <v>548</v>
      </c>
      <c r="B1" s="253"/>
      <c r="C1" s="253"/>
      <c r="D1" s="253"/>
      <c r="E1" s="253"/>
      <c r="F1" s="253"/>
      <c r="G1" s="253"/>
    </row>
    <row r="2" spans="1:7" ht="15" thickBot="1" x14ac:dyDescent="0.4"/>
    <row r="3" spans="1:7" x14ac:dyDescent="0.35">
      <c r="A3" s="6" t="s">
        <v>28</v>
      </c>
      <c r="B3" s="7" t="s">
        <v>1787</v>
      </c>
    </row>
    <row r="4" spans="1:7" x14ac:dyDescent="0.35">
      <c r="A4" s="8" t="s">
        <v>29</v>
      </c>
      <c r="B4" s="9">
        <v>45447</v>
      </c>
    </row>
    <row r="5" spans="1:7" ht="15" thickBot="1" x14ac:dyDescent="0.4">
      <c r="A5" s="10" t="s">
        <v>30</v>
      </c>
      <c r="B5" s="11" t="s">
        <v>1592</v>
      </c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ht="19.5" customHeight="1" x14ac:dyDescent="0.35">
      <c r="A9" s="131" t="s">
        <v>6</v>
      </c>
      <c r="B9" s="134" t="s">
        <v>549</v>
      </c>
      <c r="C9" s="134">
        <v>1</v>
      </c>
      <c r="D9" s="147">
        <f>-SUM(D10:D20)</f>
        <v>-476</v>
      </c>
      <c r="E9" s="131" t="s">
        <v>1788</v>
      </c>
      <c r="F9" s="131" t="s">
        <v>1448</v>
      </c>
      <c r="G9" s="130"/>
    </row>
    <row r="10" spans="1:7" ht="15.5" x14ac:dyDescent="0.35">
      <c r="A10" s="225" t="s">
        <v>6</v>
      </c>
      <c r="B10" s="134" t="s">
        <v>1742</v>
      </c>
      <c r="C10" s="125">
        <v>1</v>
      </c>
      <c r="D10" s="126">
        <v>476</v>
      </c>
      <c r="E10" s="14" t="s">
        <v>51</v>
      </c>
      <c r="F10" s="124" t="s">
        <v>1743</v>
      </c>
      <c r="G10" s="124" t="s">
        <v>1744</v>
      </c>
    </row>
    <row r="11" spans="1:7" x14ac:dyDescent="0.35">
      <c r="A11" s="144"/>
      <c r="B11" s="144"/>
      <c r="C11" s="125"/>
      <c r="D11" s="126"/>
      <c r="E11" s="144"/>
      <c r="F11" s="128"/>
      <c r="G11" s="124"/>
    </row>
    <row r="12" spans="1:7" x14ac:dyDescent="0.35">
      <c r="A12" s="144"/>
      <c r="B12" s="144"/>
      <c r="C12" s="134"/>
      <c r="D12" s="148"/>
      <c r="E12" s="144"/>
      <c r="F12" s="206"/>
      <c r="G12" s="144"/>
    </row>
    <row r="13" spans="1:7" x14ac:dyDescent="0.35">
      <c r="A13" s="144"/>
      <c r="B13" s="144"/>
      <c r="C13" s="134"/>
      <c r="D13" s="148"/>
      <c r="E13" s="144"/>
      <c r="F13" s="206"/>
      <c r="G13" s="144"/>
    </row>
    <row r="14" spans="1:7" x14ac:dyDescent="0.35">
      <c r="A14" s="144"/>
      <c r="C14" s="134"/>
      <c r="D14" s="148"/>
      <c r="E14" s="144"/>
      <c r="F14" s="206"/>
      <c r="G14" s="144"/>
    </row>
    <row r="15" spans="1:7" x14ac:dyDescent="0.35">
      <c r="A15" s="144"/>
      <c r="B15" s="144"/>
      <c r="C15" s="134"/>
      <c r="D15" s="148"/>
      <c r="E15" s="144"/>
      <c r="F15" s="206"/>
      <c r="G15" s="144"/>
    </row>
    <row r="16" spans="1:7" x14ac:dyDescent="0.35">
      <c r="A16" s="144"/>
      <c r="B16" s="144"/>
      <c r="C16" s="125"/>
      <c r="D16" s="126"/>
      <c r="E16" s="144"/>
      <c r="F16" s="144"/>
      <c r="G16" s="144"/>
    </row>
    <row r="17" spans="1:7" ht="15.75" customHeight="1" x14ac:dyDescent="0.35">
      <c r="A17" s="144"/>
      <c r="B17" s="144"/>
      <c r="C17" s="125"/>
      <c r="D17" s="126"/>
      <c r="E17" s="144"/>
      <c r="F17" s="124"/>
      <c r="G17" s="124"/>
    </row>
    <row r="18" spans="1:7" x14ac:dyDescent="0.35">
      <c r="A18" s="144"/>
      <c r="B18" s="144"/>
      <c r="C18" s="125"/>
      <c r="D18" s="126"/>
      <c r="E18" s="144"/>
      <c r="F18" s="144"/>
      <c r="G18" s="144"/>
    </row>
    <row r="19" spans="1:7" x14ac:dyDescent="0.35">
      <c r="A19" s="144"/>
      <c r="B19" s="144"/>
      <c r="C19" s="125"/>
      <c r="D19" s="126"/>
      <c r="E19" s="144"/>
      <c r="F19" s="144"/>
      <c r="G19" s="144"/>
    </row>
    <row r="20" spans="1:7" x14ac:dyDescent="0.35">
      <c r="A20" s="144"/>
      <c r="B20" s="144"/>
      <c r="C20" s="125"/>
      <c r="D20" s="126"/>
      <c r="E20" s="144"/>
      <c r="F20" s="144"/>
      <c r="G20" s="144"/>
    </row>
    <row r="21" spans="1:7" x14ac:dyDescent="0.35">
      <c r="A21" s="144"/>
      <c r="B21" s="144"/>
      <c r="C21" s="144"/>
      <c r="D21" s="126"/>
      <c r="E21" s="144"/>
      <c r="F21" s="144"/>
      <c r="G21" s="144"/>
    </row>
    <row r="22" spans="1:7" x14ac:dyDescent="0.35">
      <c r="A22" s="144"/>
      <c r="B22" s="144"/>
      <c r="C22" s="144"/>
      <c r="D22" s="144"/>
      <c r="E22" s="144"/>
      <c r="F22" s="144"/>
      <c r="G22" s="144"/>
    </row>
    <row r="23" spans="1:7" x14ac:dyDescent="0.35">
      <c r="A23" s="144"/>
      <c r="B23" s="144"/>
      <c r="C23" s="144"/>
      <c r="D23" s="144"/>
      <c r="E23" s="144"/>
      <c r="F23" s="144"/>
      <c r="G23" s="144"/>
    </row>
  </sheetData>
  <protectedRanges>
    <protectedRange sqref="D9" name="Amount_2_1_1_1"/>
  </protectedRanges>
  <mergeCells count="1">
    <mergeCell ref="A1:G1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CAAAEFB-0A75-43DB-B2F9-00A65356B725}">
          <x14:formula1>
            <xm:f>'Lookup Values'!$G$2:$G$35</xm:f>
          </x14:formula1>
          <xm:sqref>E31:E34 E39 E17:E18 E11:E15</xm:sqref>
        </x14:dataValidation>
      </x14:dataValidation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C3581-EBA3-4080-A0DB-82777BC8F4C8}">
  <dimension ref="A1:G72"/>
  <sheetViews>
    <sheetView topLeftCell="A31" workbookViewId="0">
      <selection activeCell="F44" sqref="F44"/>
    </sheetView>
  </sheetViews>
  <sheetFormatPr defaultRowHeight="14.5" x14ac:dyDescent="0.35"/>
  <cols>
    <col min="1" max="1" width="18.54296875" customWidth="1"/>
    <col min="2" max="2" width="20.81640625" customWidth="1"/>
    <col min="3" max="3" width="13.54296875" customWidth="1"/>
    <col min="4" max="4" width="26.453125" customWidth="1"/>
    <col min="5" max="5" width="46.1796875" customWidth="1"/>
    <col min="6" max="6" width="60.7265625" customWidth="1"/>
    <col min="7" max="7" width="37.5429687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8" customHeight="1" x14ac:dyDescent="0.35">
      <c r="A3" s="6" t="s">
        <v>28</v>
      </c>
      <c r="B3" s="7" t="s">
        <v>1787</v>
      </c>
      <c r="C3" s="189"/>
      <c r="D3" s="189"/>
      <c r="E3" s="189"/>
      <c r="F3" s="189"/>
      <c r="G3" s="189"/>
    </row>
    <row r="4" spans="1:7" ht="18" customHeight="1" x14ac:dyDescent="0.35">
      <c r="A4" s="8" t="s">
        <v>29</v>
      </c>
      <c r="B4" s="9">
        <v>45447</v>
      </c>
      <c r="C4" s="189"/>
      <c r="D4" s="189"/>
      <c r="E4" s="189"/>
      <c r="F4" s="189"/>
      <c r="G4" s="189"/>
    </row>
    <row r="5" spans="1:7" ht="18" customHeight="1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7.25" customHeight="1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35">
      <c r="A9" s="144" t="s">
        <v>23</v>
      </c>
      <c r="B9" s="144" t="s">
        <v>244</v>
      </c>
      <c r="C9" s="188">
        <v>1</v>
      </c>
      <c r="D9" s="126">
        <v>78.75</v>
      </c>
      <c r="E9" s="145" t="s">
        <v>64</v>
      </c>
      <c r="F9" s="144" t="s">
        <v>33</v>
      </c>
      <c r="G9" s="216" t="s">
        <v>1746</v>
      </c>
    </row>
    <row r="10" spans="1:7" x14ac:dyDescent="0.35">
      <c r="A10" s="144" t="s">
        <v>23</v>
      </c>
      <c r="B10" s="144" t="s">
        <v>211</v>
      </c>
      <c r="C10" s="188">
        <v>1</v>
      </c>
      <c r="D10" s="126">
        <v>78.75</v>
      </c>
      <c r="E10" s="145" t="s">
        <v>62</v>
      </c>
      <c r="F10" s="144" t="s">
        <v>33</v>
      </c>
      <c r="G10" s="144" t="s">
        <v>1747</v>
      </c>
    </row>
    <row r="11" spans="1:7" x14ac:dyDescent="0.35">
      <c r="A11" s="144" t="s">
        <v>6</v>
      </c>
      <c r="B11" s="144" t="s">
        <v>86</v>
      </c>
      <c r="C11" s="188">
        <v>1</v>
      </c>
      <c r="D11" s="126">
        <v>166.1</v>
      </c>
      <c r="E11" s="145" t="s">
        <v>47</v>
      </c>
      <c r="F11" s="144" t="s">
        <v>992</v>
      </c>
      <c r="G11" s="217" t="s">
        <v>1745</v>
      </c>
    </row>
    <row r="12" spans="1:7" x14ac:dyDescent="0.35">
      <c r="A12" s="144" t="s">
        <v>23</v>
      </c>
      <c r="B12" s="144" t="s">
        <v>244</v>
      </c>
      <c r="C12" s="188">
        <v>1</v>
      </c>
      <c r="D12" s="126">
        <v>78.75</v>
      </c>
      <c r="E12" s="145" t="s">
        <v>64</v>
      </c>
      <c r="F12" s="144" t="s">
        <v>33</v>
      </c>
      <c r="G12" s="144" t="s">
        <v>1748</v>
      </c>
    </row>
    <row r="13" spans="1:7" x14ac:dyDescent="0.35">
      <c r="A13" s="144" t="s">
        <v>6</v>
      </c>
      <c r="B13" s="144" t="s">
        <v>219</v>
      </c>
      <c r="C13" s="188">
        <v>1</v>
      </c>
      <c r="D13" s="226">
        <v>78.75</v>
      </c>
      <c r="E13" s="145" t="s">
        <v>876</v>
      </c>
      <c r="F13" s="144" t="s">
        <v>33</v>
      </c>
      <c r="G13" s="144" t="s">
        <v>1749</v>
      </c>
    </row>
    <row r="14" spans="1:7" x14ac:dyDescent="0.35">
      <c r="A14" s="144" t="s">
        <v>6</v>
      </c>
      <c r="B14" s="144" t="s">
        <v>86</v>
      </c>
      <c r="C14" s="188">
        <v>1</v>
      </c>
      <c r="D14" s="126">
        <v>78.75</v>
      </c>
      <c r="E14" s="145" t="s">
        <v>47</v>
      </c>
      <c r="F14" s="144" t="s">
        <v>33</v>
      </c>
      <c r="G14" s="144" t="s">
        <v>1757</v>
      </c>
    </row>
    <row r="15" spans="1:7" x14ac:dyDescent="0.35">
      <c r="A15" s="144"/>
      <c r="B15" s="144" t="s">
        <v>163</v>
      </c>
      <c r="C15" s="188">
        <v>1</v>
      </c>
      <c r="D15" s="126">
        <v>78.75</v>
      </c>
      <c r="E15" s="145" t="s">
        <v>56</v>
      </c>
      <c r="F15" s="144" t="s">
        <v>33</v>
      </c>
      <c r="G15" s="144" t="s">
        <v>1750</v>
      </c>
    </row>
    <row r="16" spans="1:7" x14ac:dyDescent="0.35">
      <c r="A16" s="144" t="s">
        <v>6</v>
      </c>
      <c r="B16" s="144" t="s">
        <v>219</v>
      </c>
      <c r="C16" s="188">
        <v>1</v>
      </c>
      <c r="D16" s="226">
        <v>78.75</v>
      </c>
      <c r="E16" s="145" t="s">
        <v>876</v>
      </c>
      <c r="F16" s="144" t="s">
        <v>33</v>
      </c>
      <c r="G16" s="144" t="s">
        <v>1751</v>
      </c>
    </row>
    <row r="17" spans="1:7" x14ac:dyDescent="0.35">
      <c r="A17" s="144" t="s">
        <v>6</v>
      </c>
      <c r="B17" s="144" t="s">
        <v>219</v>
      </c>
      <c r="C17" s="188">
        <v>1</v>
      </c>
      <c r="D17" s="226">
        <v>78.75</v>
      </c>
      <c r="E17" s="145" t="s">
        <v>876</v>
      </c>
      <c r="F17" s="144" t="s">
        <v>33</v>
      </c>
      <c r="G17" s="144" t="s">
        <v>1752</v>
      </c>
    </row>
    <row r="18" spans="1:7" x14ac:dyDescent="0.35">
      <c r="A18" s="144" t="s">
        <v>6</v>
      </c>
      <c r="B18" s="144" t="s">
        <v>219</v>
      </c>
      <c r="C18" s="188">
        <v>1</v>
      </c>
      <c r="D18" s="226">
        <v>78.75</v>
      </c>
      <c r="E18" s="145" t="s">
        <v>876</v>
      </c>
      <c r="F18" s="144" t="s">
        <v>33</v>
      </c>
      <c r="G18" s="144" t="s">
        <v>1753</v>
      </c>
    </row>
    <row r="19" spans="1:7" x14ac:dyDescent="0.35">
      <c r="A19" s="144"/>
      <c r="B19" s="144" t="s">
        <v>163</v>
      </c>
      <c r="C19" s="188">
        <v>1</v>
      </c>
      <c r="D19" s="126">
        <v>78.75</v>
      </c>
      <c r="E19" s="145" t="s">
        <v>56</v>
      </c>
      <c r="F19" s="144" t="s">
        <v>33</v>
      </c>
      <c r="G19" s="144" t="s">
        <v>1754</v>
      </c>
    </row>
    <row r="20" spans="1:7" x14ac:dyDescent="0.35">
      <c r="A20" s="144" t="s">
        <v>6</v>
      </c>
      <c r="B20" s="144" t="s">
        <v>86</v>
      </c>
      <c r="C20" s="188">
        <v>1</v>
      </c>
      <c r="D20" s="126">
        <v>78.75</v>
      </c>
      <c r="E20" s="145" t="s">
        <v>47</v>
      </c>
      <c r="F20" s="144" t="s">
        <v>33</v>
      </c>
      <c r="G20" s="144" t="s">
        <v>1755</v>
      </c>
    </row>
    <row r="21" spans="1:7" x14ac:dyDescent="0.35">
      <c r="A21" s="144" t="s">
        <v>6</v>
      </c>
      <c r="B21" s="144" t="s">
        <v>72</v>
      </c>
      <c r="C21" s="188">
        <v>1</v>
      </c>
      <c r="D21" s="126">
        <v>78.75</v>
      </c>
      <c r="E21" s="145" t="s">
        <v>1138</v>
      </c>
      <c r="F21" s="144" t="s">
        <v>33</v>
      </c>
      <c r="G21" s="144" t="s">
        <v>1756</v>
      </c>
    </row>
    <row r="22" spans="1:7" x14ac:dyDescent="0.35">
      <c r="A22" s="144"/>
      <c r="B22" s="144" t="s">
        <v>163</v>
      </c>
      <c r="C22" s="188">
        <v>1</v>
      </c>
      <c r="D22" s="126">
        <v>78.75</v>
      </c>
      <c r="E22" s="145" t="s">
        <v>56</v>
      </c>
      <c r="F22" s="144" t="s">
        <v>33</v>
      </c>
      <c r="G22" s="144" t="s">
        <v>1727</v>
      </c>
    </row>
    <row r="23" spans="1:7" x14ac:dyDescent="0.35">
      <c r="A23" s="144" t="s">
        <v>6</v>
      </c>
      <c r="B23" s="144" t="s">
        <v>142</v>
      </c>
      <c r="C23" s="188">
        <v>1</v>
      </c>
      <c r="D23" s="126">
        <v>78.75</v>
      </c>
      <c r="E23" s="145" t="s">
        <v>44</v>
      </c>
      <c r="F23" s="144" t="s">
        <v>33</v>
      </c>
      <c r="G23" s="144" t="s">
        <v>1726</v>
      </c>
    </row>
    <row r="24" spans="1:7" x14ac:dyDescent="0.35">
      <c r="A24" s="144" t="s">
        <v>6</v>
      </c>
      <c r="B24" s="144" t="s">
        <v>72</v>
      </c>
      <c r="C24" s="188">
        <v>1</v>
      </c>
      <c r="D24" s="126">
        <v>78.75</v>
      </c>
      <c r="E24" s="145" t="s">
        <v>1138</v>
      </c>
      <c r="F24" s="144" t="s">
        <v>33</v>
      </c>
      <c r="G24" s="144" t="s">
        <v>1758</v>
      </c>
    </row>
    <row r="25" spans="1:7" x14ac:dyDescent="0.35">
      <c r="A25" s="144" t="s">
        <v>23</v>
      </c>
      <c r="B25" s="144" t="s">
        <v>211</v>
      </c>
      <c r="C25" s="188">
        <v>1</v>
      </c>
      <c r="D25" s="126">
        <v>78.75</v>
      </c>
      <c r="E25" s="145" t="s">
        <v>62</v>
      </c>
      <c r="F25" s="144" t="s">
        <v>33</v>
      </c>
      <c r="G25" s="144" t="s">
        <v>1733</v>
      </c>
    </row>
    <row r="26" spans="1:7" x14ac:dyDescent="0.35">
      <c r="A26" s="144" t="s">
        <v>6</v>
      </c>
      <c r="B26" s="144" t="s">
        <v>219</v>
      </c>
      <c r="C26" s="188">
        <v>1</v>
      </c>
      <c r="D26" s="226">
        <v>78.75</v>
      </c>
      <c r="E26" s="145" t="s">
        <v>876</v>
      </c>
      <c r="F26" s="144" t="s">
        <v>33</v>
      </c>
      <c r="G26" s="144" t="s">
        <v>1759</v>
      </c>
    </row>
    <row r="27" spans="1:7" x14ac:dyDescent="0.35">
      <c r="A27" s="144" t="s">
        <v>6</v>
      </c>
      <c r="B27" s="144" t="s">
        <v>86</v>
      </c>
      <c r="C27" s="188">
        <v>1</v>
      </c>
      <c r="D27" s="126">
        <v>78.75</v>
      </c>
      <c r="E27" s="145" t="s">
        <v>47</v>
      </c>
      <c r="F27" s="144" t="s">
        <v>33</v>
      </c>
      <c r="G27" s="144" t="s">
        <v>1760</v>
      </c>
    </row>
    <row r="28" spans="1:7" x14ac:dyDescent="0.35">
      <c r="A28" s="144" t="s">
        <v>6</v>
      </c>
      <c r="B28" s="144" t="s">
        <v>86</v>
      </c>
      <c r="C28" s="188">
        <v>1</v>
      </c>
      <c r="D28" s="126">
        <v>78.75</v>
      </c>
      <c r="E28" s="145" t="s">
        <v>47</v>
      </c>
      <c r="F28" s="144" t="s">
        <v>33</v>
      </c>
      <c r="G28" s="144" t="s">
        <v>1761</v>
      </c>
    </row>
    <row r="29" spans="1:7" x14ac:dyDescent="0.35">
      <c r="A29" s="144" t="s">
        <v>6</v>
      </c>
      <c r="B29" s="144" t="s">
        <v>219</v>
      </c>
      <c r="C29" s="188">
        <v>1</v>
      </c>
      <c r="D29" s="226">
        <v>78.75</v>
      </c>
      <c r="E29" s="145" t="s">
        <v>876</v>
      </c>
      <c r="F29" s="144" t="s">
        <v>33</v>
      </c>
      <c r="G29" s="144" t="s">
        <v>1762</v>
      </c>
    </row>
    <row r="30" spans="1:7" x14ac:dyDescent="0.35">
      <c r="A30" s="144" t="s">
        <v>6</v>
      </c>
      <c r="B30" s="144" t="s">
        <v>219</v>
      </c>
      <c r="C30" s="188"/>
      <c r="D30" s="226">
        <v>137.5</v>
      </c>
      <c r="E30" s="145" t="s">
        <v>876</v>
      </c>
      <c r="F30" s="144" t="s">
        <v>989</v>
      </c>
      <c r="G30" s="144" t="s">
        <v>1762</v>
      </c>
    </row>
    <row r="31" spans="1:7" x14ac:dyDescent="0.35">
      <c r="A31" s="227" t="s">
        <v>23</v>
      </c>
      <c r="B31" s="227" t="s">
        <v>211</v>
      </c>
      <c r="C31" s="188">
        <v>1</v>
      </c>
      <c r="D31" s="226">
        <v>56</v>
      </c>
      <c r="E31" s="228" t="s">
        <v>62</v>
      </c>
      <c r="F31" s="228" t="s">
        <v>34</v>
      </c>
      <c r="G31" s="144" t="s">
        <v>1763</v>
      </c>
    </row>
    <row r="32" spans="1:7" x14ac:dyDescent="0.35">
      <c r="A32" s="144" t="s">
        <v>6</v>
      </c>
      <c r="B32" s="144" t="s">
        <v>219</v>
      </c>
      <c r="C32" s="188">
        <v>1</v>
      </c>
      <c r="D32" s="226">
        <v>56</v>
      </c>
      <c r="E32" s="145" t="s">
        <v>876</v>
      </c>
      <c r="F32" s="227" t="s">
        <v>34</v>
      </c>
      <c r="G32" s="144" t="s">
        <v>1764</v>
      </c>
    </row>
    <row r="33" spans="1:7" x14ac:dyDescent="0.35">
      <c r="A33" s="144" t="s">
        <v>6</v>
      </c>
      <c r="B33" s="144" t="s">
        <v>219</v>
      </c>
      <c r="C33" s="188">
        <v>1</v>
      </c>
      <c r="D33" s="226">
        <v>22</v>
      </c>
      <c r="E33" s="145" t="s">
        <v>876</v>
      </c>
      <c r="F33" s="227" t="s">
        <v>35</v>
      </c>
      <c r="G33" s="144" t="s">
        <v>1764</v>
      </c>
    </row>
    <row r="34" spans="1:7" x14ac:dyDescent="0.35">
      <c r="A34" s="144" t="s">
        <v>6</v>
      </c>
      <c r="B34" s="144" t="s">
        <v>219</v>
      </c>
      <c r="C34" s="188">
        <v>1</v>
      </c>
      <c r="D34" s="226">
        <v>22</v>
      </c>
      <c r="E34" s="145" t="s">
        <v>876</v>
      </c>
      <c r="F34" s="227" t="s">
        <v>35</v>
      </c>
      <c r="G34" s="144" t="s">
        <v>1765</v>
      </c>
    </row>
    <row r="35" spans="1:7" x14ac:dyDescent="0.35">
      <c r="A35" s="227" t="s">
        <v>23</v>
      </c>
      <c r="B35" s="227" t="s">
        <v>211</v>
      </c>
      <c r="C35" s="188">
        <v>1</v>
      </c>
      <c r="D35" s="226">
        <v>56</v>
      </c>
      <c r="E35" s="228" t="s">
        <v>62</v>
      </c>
      <c r="F35" s="228" t="s">
        <v>34</v>
      </c>
      <c r="G35" s="144" t="s">
        <v>1766</v>
      </c>
    </row>
    <row r="36" spans="1:7" x14ac:dyDescent="0.35">
      <c r="A36" s="227" t="s">
        <v>23</v>
      </c>
      <c r="B36" s="227" t="s">
        <v>211</v>
      </c>
      <c r="C36" s="188">
        <v>1</v>
      </c>
      <c r="D36" s="226">
        <v>22</v>
      </c>
      <c r="E36" s="228" t="s">
        <v>62</v>
      </c>
      <c r="F36" s="227" t="s">
        <v>35</v>
      </c>
      <c r="G36" s="144" t="s">
        <v>1766</v>
      </c>
    </row>
    <row r="37" spans="1:7" x14ac:dyDescent="0.35">
      <c r="A37" s="144" t="s">
        <v>6</v>
      </c>
      <c r="B37" s="144" t="s">
        <v>219</v>
      </c>
      <c r="C37" s="188">
        <v>1</v>
      </c>
      <c r="D37" s="226">
        <v>166.1</v>
      </c>
      <c r="E37" s="145" t="s">
        <v>876</v>
      </c>
      <c r="F37" s="144" t="s">
        <v>992</v>
      </c>
      <c r="G37" s="144" t="s">
        <v>1767</v>
      </c>
    </row>
    <row r="38" spans="1:7" x14ac:dyDescent="0.35">
      <c r="A38" s="227" t="s">
        <v>6</v>
      </c>
      <c r="B38" s="227" t="s">
        <v>142</v>
      </c>
      <c r="C38" s="188">
        <v>1</v>
      </c>
      <c r="D38" s="226">
        <v>22</v>
      </c>
      <c r="E38" s="228" t="s">
        <v>44</v>
      </c>
      <c r="F38" s="227" t="s">
        <v>35</v>
      </c>
      <c r="G38" s="144" t="s">
        <v>1768</v>
      </c>
    </row>
    <row r="39" spans="1:7" x14ac:dyDescent="0.35">
      <c r="A39" s="227" t="s">
        <v>6</v>
      </c>
      <c r="B39" s="227" t="s">
        <v>142</v>
      </c>
      <c r="C39" s="188">
        <v>1</v>
      </c>
      <c r="D39" s="226">
        <v>56</v>
      </c>
      <c r="E39" s="228" t="s">
        <v>44</v>
      </c>
      <c r="F39" s="227" t="s">
        <v>34</v>
      </c>
      <c r="G39" s="144" t="s">
        <v>1769</v>
      </c>
    </row>
    <row r="40" spans="1:7" x14ac:dyDescent="0.35">
      <c r="A40" s="227" t="s">
        <v>6</v>
      </c>
      <c r="B40" s="227" t="s">
        <v>142</v>
      </c>
      <c r="C40" s="188">
        <v>1</v>
      </c>
      <c r="D40" s="226">
        <v>22</v>
      </c>
      <c r="E40" s="228" t="s">
        <v>44</v>
      </c>
      <c r="F40" s="227" t="s">
        <v>35</v>
      </c>
      <c r="G40" s="144" t="s">
        <v>1769</v>
      </c>
    </row>
    <row r="41" spans="1:7" x14ac:dyDescent="0.35">
      <c r="A41" s="144" t="s">
        <v>6</v>
      </c>
      <c r="B41" s="144" t="s">
        <v>219</v>
      </c>
      <c r="C41" s="188">
        <v>1</v>
      </c>
      <c r="D41" s="226">
        <v>22</v>
      </c>
      <c r="E41" s="145" t="s">
        <v>876</v>
      </c>
      <c r="F41" s="227" t="s">
        <v>35</v>
      </c>
      <c r="G41" s="144" t="s">
        <v>1770</v>
      </c>
    </row>
    <row r="42" spans="1:7" x14ac:dyDescent="0.35">
      <c r="A42" s="227" t="s">
        <v>23</v>
      </c>
      <c r="B42" s="227" t="s">
        <v>244</v>
      </c>
      <c r="C42" s="188">
        <v>1</v>
      </c>
      <c r="D42" s="226">
        <v>22</v>
      </c>
      <c r="E42" s="228" t="s">
        <v>64</v>
      </c>
      <c r="F42" s="227" t="s">
        <v>35</v>
      </c>
      <c r="G42" s="144" t="s">
        <v>1771</v>
      </c>
    </row>
    <row r="43" spans="1:7" x14ac:dyDescent="0.35">
      <c r="A43" s="227" t="s">
        <v>23</v>
      </c>
      <c r="B43" s="227" t="s">
        <v>244</v>
      </c>
      <c r="C43" s="188">
        <v>1</v>
      </c>
      <c r="D43" s="226">
        <v>22</v>
      </c>
      <c r="E43" s="228" t="s">
        <v>64</v>
      </c>
      <c r="F43" s="227" t="s">
        <v>35</v>
      </c>
      <c r="G43" s="144" t="s">
        <v>1772</v>
      </c>
    </row>
    <row r="44" spans="1:7" x14ac:dyDescent="0.35">
      <c r="A44" s="144" t="s">
        <v>6</v>
      </c>
      <c r="B44" s="144" t="s">
        <v>219</v>
      </c>
      <c r="C44" s="188">
        <v>1</v>
      </c>
      <c r="D44" s="226">
        <v>137.5</v>
      </c>
      <c r="E44" s="145" t="s">
        <v>876</v>
      </c>
      <c r="F44" s="228" t="s">
        <v>989</v>
      </c>
      <c r="G44" s="144" t="s">
        <v>1773</v>
      </c>
    </row>
    <row r="45" spans="1:7" x14ac:dyDescent="0.35">
      <c r="A45" s="227" t="s">
        <v>23</v>
      </c>
      <c r="B45" s="227" t="s">
        <v>211</v>
      </c>
      <c r="C45" s="188">
        <v>1</v>
      </c>
      <c r="D45" s="226">
        <v>137.5</v>
      </c>
      <c r="E45" s="145" t="s">
        <v>62</v>
      </c>
      <c r="F45" s="228" t="s">
        <v>989</v>
      </c>
      <c r="G45" s="144" t="s">
        <v>1774</v>
      </c>
    </row>
    <row r="46" spans="1:7" x14ac:dyDescent="0.35">
      <c r="A46" s="144" t="s">
        <v>6</v>
      </c>
      <c r="B46" s="144" t="s">
        <v>219</v>
      </c>
      <c r="C46" s="188">
        <v>1</v>
      </c>
      <c r="D46" s="226">
        <v>37</v>
      </c>
      <c r="E46" s="145" t="s">
        <v>876</v>
      </c>
      <c r="F46" s="227" t="s">
        <v>36</v>
      </c>
      <c r="G46" s="144" t="s">
        <v>1775</v>
      </c>
    </row>
    <row r="47" spans="1:7" x14ac:dyDescent="0.35">
      <c r="A47" s="227" t="s">
        <v>6</v>
      </c>
      <c r="B47" s="227" t="s">
        <v>142</v>
      </c>
      <c r="C47" s="188">
        <v>1</v>
      </c>
      <c r="D47" s="226">
        <v>56</v>
      </c>
      <c r="E47" s="228" t="s">
        <v>44</v>
      </c>
      <c r="F47" s="227" t="s">
        <v>34</v>
      </c>
      <c r="G47" s="144" t="s">
        <v>1777</v>
      </c>
    </row>
    <row r="48" spans="1:7" x14ac:dyDescent="0.35">
      <c r="A48" s="227" t="s">
        <v>6</v>
      </c>
      <c r="B48" s="227" t="s">
        <v>142</v>
      </c>
      <c r="C48" s="188">
        <v>1</v>
      </c>
      <c r="D48" s="226">
        <v>22</v>
      </c>
      <c r="E48" s="228" t="s">
        <v>44</v>
      </c>
      <c r="F48" s="227" t="s">
        <v>35</v>
      </c>
      <c r="G48" s="144" t="s">
        <v>1777</v>
      </c>
    </row>
    <row r="49" spans="1:7" x14ac:dyDescent="0.35">
      <c r="A49" s="227" t="s">
        <v>6</v>
      </c>
      <c r="B49" s="227" t="s">
        <v>142</v>
      </c>
      <c r="C49" s="188">
        <v>1</v>
      </c>
      <c r="D49" s="226">
        <v>37</v>
      </c>
      <c r="E49" s="228" t="s">
        <v>44</v>
      </c>
      <c r="F49" s="227" t="s">
        <v>36</v>
      </c>
      <c r="G49" s="144" t="s">
        <v>1776</v>
      </c>
    </row>
    <row r="50" spans="1:7" x14ac:dyDescent="0.35">
      <c r="A50" s="227" t="s">
        <v>6</v>
      </c>
      <c r="B50" s="227" t="s">
        <v>142</v>
      </c>
      <c r="C50" s="188">
        <v>1</v>
      </c>
      <c r="D50" s="226">
        <v>37</v>
      </c>
      <c r="E50" s="228" t="s">
        <v>44</v>
      </c>
      <c r="F50" s="227" t="s">
        <v>36</v>
      </c>
      <c r="G50" s="144" t="s">
        <v>1778</v>
      </c>
    </row>
    <row r="51" spans="1:7" x14ac:dyDescent="0.35">
      <c r="A51" s="227" t="s">
        <v>23</v>
      </c>
      <c r="B51" s="227" t="s">
        <v>211</v>
      </c>
      <c r="C51" s="188">
        <v>1</v>
      </c>
      <c r="D51" s="226">
        <v>166.1</v>
      </c>
      <c r="E51" s="228" t="s">
        <v>62</v>
      </c>
      <c r="F51" s="228" t="s">
        <v>992</v>
      </c>
      <c r="G51" s="144" t="s">
        <v>1779</v>
      </c>
    </row>
    <row r="52" spans="1:7" x14ac:dyDescent="0.35">
      <c r="A52" s="227" t="s">
        <v>6</v>
      </c>
      <c r="B52" s="227" t="s">
        <v>219</v>
      </c>
      <c r="C52" s="188">
        <v>1</v>
      </c>
      <c r="D52" s="226">
        <v>166.1</v>
      </c>
      <c r="E52" s="228" t="s">
        <v>876</v>
      </c>
      <c r="F52" s="228" t="s">
        <v>992</v>
      </c>
      <c r="G52" s="144" t="s">
        <v>1780</v>
      </c>
    </row>
    <row r="53" spans="1:7" x14ac:dyDescent="0.35">
      <c r="A53" s="227" t="s">
        <v>6</v>
      </c>
      <c r="B53" s="227" t="s">
        <v>219</v>
      </c>
      <c r="C53" s="188">
        <v>1</v>
      </c>
      <c r="D53" s="226">
        <v>22</v>
      </c>
      <c r="E53" s="228" t="s">
        <v>876</v>
      </c>
      <c r="F53" s="227" t="s">
        <v>35</v>
      </c>
      <c r="G53" s="144" t="s">
        <v>1781</v>
      </c>
    </row>
    <row r="54" spans="1:7" x14ac:dyDescent="0.35">
      <c r="A54" s="227" t="s">
        <v>6</v>
      </c>
      <c r="B54" s="227" t="s">
        <v>219</v>
      </c>
      <c r="C54" s="188">
        <v>1</v>
      </c>
      <c r="D54" s="226">
        <v>56</v>
      </c>
      <c r="E54" s="228" t="s">
        <v>876</v>
      </c>
      <c r="F54" s="227" t="s">
        <v>34</v>
      </c>
      <c r="G54" s="144" t="s">
        <v>1782</v>
      </c>
    </row>
    <row r="55" spans="1:7" x14ac:dyDescent="0.35">
      <c r="A55" s="227" t="s">
        <v>6</v>
      </c>
      <c r="B55" s="228" t="s">
        <v>86</v>
      </c>
      <c r="C55" s="188">
        <v>1</v>
      </c>
      <c r="D55" s="226">
        <v>22</v>
      </c>
      <c r="E55" s="228" t="s">
        <v>47</v>
      </c>
      <c r="F55" s="227" t="s">
        <v>35</v>
      </c>
      <c r="G55" s="144" t="s">
        <v>1783</v>
      </c>
    </row>
    <row r="56" spans="1:7" x14ac:dyDescent="0.35">
      <c r="A56" s="227" t="s">
        <v>6</v>
      </c>
      <c r="B56" s="227" t="s">
        <v>219</v>
      </c>
      <c r="C56" s="188">
        <v>1</v>
      </c>
      <c r="D56" s="226">
        <v>37</v>
      </c>
      <c r="E56" s="228" t="s">
        <v>876</v>
      </c>
      <c r="F56" s="227" t="s">
        <v>36</v>
      </c>
      <c r="G56" s="144" t="s">
        <v>1784</v>
      </c>
    </row>
    <row r="57" spans="1:7" x14ac:dyDescent="0.35">
      <c r="A57" s="227" t="s">
        <v>6</v>
      </c>
      <c r="B57" s="227" t="s">
        <v>142</v>
      </c>
      <c r="C57" s="188">
        <v>1</v>
      </c>
      <c r="D57" s="226">
        <v>22</v>
      </c>
      <c r="E57" s="228" t="s">
        <v>44</v>
      </c>
      <c r="F57" s="227" t="s">
        <v>35</v>
      </c>
      <c r="G57" s="144" t="s">
        <v>1785</v>
      </c>
    </row>
    <row r="58" spans="1:7" x14ac:dyDescent="0.35">
      <c r="A58" s="227" t="s">
        <v>6</v>
      </c>
      <c r="B58" s="227" t="s">
        <v>142</v>
      </c>
      <c r="C58" s="188">
        <v>1</v>
      </c>
      <c r="D58" s="226">
        <v>56</v>
      </c>
      <c r="E58" s="228" t="s">
        <v>44</v>
      </c>
      <c r="F58" s="227" t="s">
        <v>34</v>
      </c>
      <c r="G58" s="144" t="s">
        <v>1785</v>
      </c>
    </row>
    <row r="59" spans="1:7" x14ac:dyDescent="0.35">
      <c r="A59" s="227" t="s">
        <v>6</v>
      </c>
      <c r="B59" s="227" t="s">
        <v>219</v>
      </c>
      <c r="C59" s="188">
        <v>1</v>
      </c>
      <c r="D59" s="226">
        <v>37</v>
      </c>
      <c r="E59" s="228" t="s">
        <v>876</v>
      </c>
      <c r="F59" s="227" t="s">
        <v>36</v>
      </c>
      <c r="G59" s="144" t="s">
        <v>1786</v>
      </c>
    </row>
    <row r="60" spans="1:7" x14ac:dyDescent="0.35">
      <c r="C60" s="36"/>
    </row>
    <row r="61" spans="1:7" x14ac:dyDescent="0.35">
      <c r="C61" s="36"/>
    </row>
    <row r="62" spans="1:7" x14ac:dyDescent="0.35">
      <c r="C62" s="36"/>
    </row>
    <row r="63" spans="1:7" x14ac:dyDescent="0.35">
      <c r="C63" s="36"/>
    </row>
    <row r="64" spans="1:7" x14ac:dyDescent="0.35">
      <c r="C64" s="36"/>
    </row>
    <row r="65" spans="3:3" x14ac:dyDescent="0.35">
      <c r="C65" s="36"/>
    </row>
    <row r="66" spans="3:3" x14ac:dyDescent="0.35">
      <c r="C66" s="36"/>
    </row>
    <row r="67" spans="3:3" x14ac:dyDescent="0.35">
      <c r="C67" s="36"/>
    </row>
    <row r="68" spans="3:3" x14ac:dyDescent="0.35">
      <c r="C68" s="36"/>
    </row>
    <row r="69" spans="3:3" x14ac:dyDescent="0.35">
      <c r="C69" s="36"/>
    </row>
    <row r="70" spans="3:3" x14ac:dyDescent="0.35">
      <c r="C70" s="36"/>
    </row>
    <row r="71" spans="3:3" x14ac:dyDescent="0.35">
      <c r="C71" s="36"/>
    </row>
    <row r="72" spans="3:3" x14ac:dyDescent="0.35">
      <c r="C72" s="36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9739E-4008-44C4-A97B-53DC6A6977F5}">
  <dimension ref="A1:G82"/>
  <sheetViews>
    <sheetView topLeftCell="A4" workbookViewId="0">
      <selection activeCell="F21" sqref="F21"/>
    </sheetView>
  </sheetViews>
  <sheetFormatPr defaultRowHeight="14.5" x14ac:dyDescent="0.35"/>
  <cols>
    <col min="1" max="1" width="18.54296875" customWidth="1"/>
    <col min="2" max="2" width="20.81640625" customWidth="1"/>
    <col min="3" max="3" width="13.54296875" customWidth="1"/>
    <col min="4" max="4" width="26.453125" customWidth="1"/>
    <col min="5" max="5" width="46.1796875" customWidth="1"/>
    <col min="6" max="6" width="60.7265625" customWidth="1"/>
    <col min="7" max="7" width="37.5429687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8" customHeight="1" x14ac:dyDescent="0.35">
      <c r="A3" s="6" t="s">
        <v>28</v>
      </c>
      <c r="B3" s="231" t="s">
        <v>1842</v>
      </c>
      <c r="C3" s="189"/>
      <c r="D3" s="189"/>
      <c r="E3" s="189"/>
      <c r="F3" s="189"/>
      <c r="G3" s="189"/>
    </row>
    <row r="4" spans="1:7" ht="18" customHeight="1" x14ac:dyDescent="0.35">
      <c r="A4" s="8" t="s">
        <v>29</v>
      </c>
      <c r="B4" s="9">
        <v>45845</v>
      </c>
      <c r="C4" s="189"/>
      <c r="D4" s="189"/>
      <c r="E4" s="189"/>
      <c r="F4" s="189"/>
      <c r="G4" s="189"/>
    </row>
    <row r="5" spans="1:7" ht="18" customHeight="1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7.25" customHeight="1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35">
      <c r="A9" s="124" t="s">
        <v>6</v>
      </c>
      <c r="B9" s="124" t="s">
        <v>219</v>
      </c>
      <c r="C9" s="229">
        <v>1</v>
      </c>
      <c r="D9" s="126">
        <v>166.1</v>
      </c>
      <c r="E9" s="204" t="s">
        <v>876</v>
      </c>
      <c r="F9" s="124" t="s">
        <v>992</v>
      </c>
      <c r="G9" s="142" t="s">
        <v>1789</v>
      </c>
    </row>
    <row r="10" spans="1:7" x14ac:dyDescent="0.35">
      <c r="A10" s="144" t="s">
        <v>6</v>
      </c>
      <c r="B10" s="144" t="s">
        <v>142</v>
      </c>
      <c r="C10" s="188">
        <v>1</v>
      </c>
      <c r="D10" s="126">
        <v>166.1</v>
      </c>
      <c r="E10" s="145" t="s">
        <v>44</v>
      </c>
      <c r="F10" s="124" t="s">
        <v>992</v>
      </c>
      <c r="G10" s="144" t="s">
        <v>1790</v>
      </c>
    </row>
    <row r="11" spans="1:7" x14ac:dyDescent="0.35">
      <c r="A11" s="124" t="s">
        <v>6</v>
      </c>
      <c r="B11" s="124" t="s">
        <v>219</v>
      </c>
      <c r="C11" s="188">
        <v>1</v>
      </c>
      <c r="D11" s="126">
        <v>166.1</v>
      </c>
      <c r="E11" s="204" t="s">
        <v>876</v>
      </c>
      <c r="F11" s="124" t="s">
        <v>992</v>
      </c>
      <c r="G11" s="217" t="s">
        <v>1791</v>
      </c>
    </row>
    <row r="12" spans="1:7" x14ac:dyDescent="0.35">
      <c r="A12" s="144"/>
      <c r="B12" s="144" t="s">
        <v>163</v>
      </c>
      <c r="C12" s="188">
        <v>1</v>
      </c>
      <c r="D12" s="126">
        <v>137.5</v>
      </c>
      <c r="E12" s="145" t="s">
        <v>56</v>
      </c>
      <c r="F12" s="124" t="s">
        <v>989</v>
      </c>
      <c r="G12" s="144" t="s">
        <v>1792</v>
      </c>
    </row>
    <row r="13" spans="1:7" x14ac:dyDescent="0.35">
      <c r="A13" s="144" t="s">
        <v>6</v>
      </c>
      <c r="B13" s="144" t="s">
        <v>142</v>
      </c>
      <c r="C13" s="188">
        <v>1</v>
      </c>
      <c r="D13" s="126">
        <v>137.5</v>
      </c>
      <c r="E13" s="145" t="s">
        <v>44</v>
      </c>
      <c r="F13" s="124" t="s">
        <v>989</v>
      </c>
      <c r="G13" s="144" t="s">
        <v>1793</v>
      </c>
    </row>
    <row r="14" spans="1:7" x14ac:dyDescent="0.35">
      <c r="A14" s="124" t="s">
        <v>6</v>
      </c>
      <c r="B14" s="124" t="s">
        <v>219</v>
      </c>
      <c r="C14" s="188">
        <v>1</v>
      </c>
      <c r="D14" s="126">
        <v>137.5</v>
      </c>
      <c r="E14" s="204" t="s">
        <v>876</v>
      </c>
      <c r="F14" s="124" t="s">
        <v>989</v>
      </c>
      <c r="G14" s="217" t="s">
        <v>1794</v>
      </c>
    </row>
    <row r="15" spans="1:7" x14ac:dyDescent="0.35">
      <c r="A15" s="124" t="s">
        <v>6</v>
      </c>
      <c r="B15" s="124" t="s">
        <v>219</v>
      </c>
      <c r="C15" s="188">
        <v>1</v>
      </c>
      <c r="D15" s="126">
        <v>166.1</v>
      </c>
      <c r="E15" s="204" t="s">
        <v>876</v>
      </c>
      <c r="F15" s="124" t="s">
        <v>992</v>
      </c>
      <c r="G15" s="144" t="s">
        <v>1795</v>
      </c>
    </row>
    <row r="16" spans="1:7" x14ac:dyDescent="0.35">
      <c r="A16" s="144" t="s">
        <v>6</v>
      </c>
      <c r="B16" s="144" t="s">
        <v>142</v>
      </c>
      <c r="C16" s="188">
        <v>1</v>
      </c>
      <c r="D16" s="126">
        <v>166.1</v>
      </c>
      <c r="E16" s="145" t="s">
        <v>44</v>
      </c>
      <c r="F16" s="124" t="s">
        <v>992</v>
      </c>
      <c r="G16" s="144" t="s">
        <v>1796</v>
      </c>
    </row>
    <row r="17" spans="1:7" x14ac:dyDescent="0.35">
      <c r="A17" s="144" t="s">
        <v>6</v>
      </c>
      <c r="B17" s="144" t="s">
        <v>142</v>
      </c>
      <c r="C17" s="188">
        <v>1</v>
      </c>
      <c r="D17" s="126">
        <v>137.5</v>
      </c>
      <c r="E17" s="145" t="s">
        <v>44</v>
      </c>
      <c r="F17" s="124" t="s">
        <v>989</v>
      </c>
      <c r="G17" s="144" t="s">
        <v>1797</v>
      </c>
    </row>
    <row r="18" spans="1:7" x14ac:dyDescent="0.35">
      <c r="A18" s="124" t="s">
        <v>6</v>
      </c>
      <c r="B18" s="124" t="s">
        <v>219</v>
      </c>
      <c r="C18" s="229">
        <v>1</v>
      </c>
      <c r="D18" s="126">
        <v>137.5</v>
      </c>
      <c r="E18" s="204" t="s">
        <v>876</v>
      </c>
      <c r="F18" s="124" t="s">
        <v>989</v>
      </c>
      <c r="G18" s="142" t="s">
        <v>1798</v>
      </c>
    </row>
    <row r="19" spans="1:7" x14ac:dyDescent="0.35">
      <c r="A19" s="144" t="s">
        <v>6</v>
      </c>
      <c r="B19" s="144" t="s">
        <v>142</v>
      </c>
      <c r="C19" s="188">
        <v>1</v>
      </c>
      <c r="D19" s="126">
        <v>137.5</v>
      </c>
      <c r="E19" s="145" t="s">
        <v>44</v>
      </c>
      <c r="F19" s="124" t="s">
        <v>989</v>
      </c>
      <c r="G19" s="144" t="s">
        <v>1799</v>
      </c>
    </row>
    <row r="20" spans="1:7" x14ac:dyDescent="0.35">
      <c r="A20" s="144" t="s">
        <v>6</v>
      </c>
      <c r="B20" s="144" t="s">
        <v>219</v>
      </c>
      <c r="C20" s="188">
        <v>1</v>
      </c>
      <c r="D20" s="126">
        <v>137.5</v>
      </c>
      <c r="E20" s="204" t="s">
        <v>876</v>
      </c>
      <c r="F20" s="124" t="s">
        <v>989</v>
      </c>
      <c r="G20" s="144" t="s">
        <v>1800</v>
      </c>
    </row>
    <row r="21" spans="1:7" x14ac:dyDescent="0.35">
      <c r="A21" s="144" t="s">
        <v>6</v>
      </c>
      <c r="B21" s="144" t="s">
        <v>86</v>
      </c>
      <c r="C21" s="188">
        <v>1</v>
      </c>
      <c r="D21" s="126">
        <v>166.1</v>
      </c>
      <c r="E21" s="145" t="s">
        <v>47</v>
      </c>
      <c r="F21" s="124" t="s">
        <v>992</v>
      </c>
      <c r="G21" s="144" t="s">
        <v>1801</v>
      </c>
    </row>
    <row r="22" spans="1:7" x14ac:dyDescent="0.35">
      <c r="A22" s="144" t="s">
        <v>6</v>
      </c>
      <c r="B22" s="144" t="s">
        <v>86</v>
      </c>
      <c r="C22" s="188">
        <v>1</v>
      </c>
      <c r="D22" s="126">
        <v>137.5</v>
      </c>
      <c r="E22" s="145" t="s">
        <v>47</v>
      </c>
      <c r="F22" s="124" t="s">
        <v>989</v>
      </c>
      <c r="G22" s="144" t="s">
        <v>1802</v>
      </c>
    </row>
    <row r="23" spans="1:7" x14ac:dyDescent="0.35">
      <c r="A23" s="144" t="s">
        <v>6</v>
      </c>
      <c r="B23" s="144" t="s">
        <v>142</v>
      </c>
      <c r="C23" s="188">
        <v>1</v>
      </c>
      <c r="D23" s="148">
        <v>22</v>
      </c>
      <c r="E23" s="145" t="s">
        <v>44</v>
      </c>
      <c r="F23" s="144" t="s">
        <v>35</v>
      </c>
      <c r="G23" s="144" t="s">
        <v>1803</v>
      </c>
    </row>
    <row r="24" spans="1:7" x14ac:dyDescent="0.35">
      <c r="A24" s="144" t="s">
        <v>6</v>
      </c>
      <c r="B24" s="144" t="s">
        <v>219</v>
      </c>
      <c r="C24" s="188">
        <v>1</v>
      </c>
      <c r="D24" s="148">
        <v>56</v>
      </c>
      <c r="E24" s="145" t="s">
        <v>876</v>
      </c>
      <c r="F24" s="144" t="s">
        <v>34</v>
      </c>
      <c r="G24" s="144" t="s">
        <v>1804</v>
      </c>
    </row>
    <row r="25" spans="1:7" x14ac:dyDescent="0.35">
      <c r="A25" s="144" t="s">
        <v>6</v>
      </c>
      <c r="B25" s="144" t="s">
        <v>86</v>
      </c>
      <c r="C25" s="188">
        <v>1</v>
      </c>
      <c r="D25" s="148">
        <v>56</v>
      </c>
      <c r="E25" s="145" t="s">
        <v>47</v>
      </c>
      <c r="F25" s="144" t="s">
        <v>34</v>
      </c>
      <c r="G25" s="144" t="s">
        <v>1805</v>
      </c>
    </row>
    <row r="26" spans="1:7" x14ac:dyDescent="0.35">
      <c r="A26" s="144"/>
      <c r="B26" s="144" t="s">
        <v>163</v>
      </c>
      <c r="C26" s="188">
        <v>1</v>
      </c>
      <c r="D26" s="155">
        <v>37</v>
      </c>
      <c r="E26" s="145" t="s">
        <v>56</v>
      </c>
      <c r="F26" s="144" t="s">
        <v>36</v>
      </c>
      <c r="G26" s="144" t="s">
        <v>1806</v>
      </c>
    </row>
    <row r="27" spans="1:7" x14ac:dyDescent="0.35">
      <c r="A27" s="144" t="s">
        <v>6</v>
      </c>
      <c r="B27" s="144" t="s">
        <v>88</v>
      </c>
      <c r="C27" s="188">
        <v>1</v>
      </c>
      <c r="D27" s="148">
        <v>22</v>
      </c>
      <c r="E27" s="145" t="s">
        <v>83</v>
      </c>
      <c r="F27" s="144" t="s">
        <v>35</v>
      </c>
      <c r="G27" s="144" t="s">
        <v>1807</v>
      </c>
    </row>
    <row r="28" spans="1:7" x14ac:dyDescent="0.35">
      <c r="A28" s="144" t="s">
        <v>6</v>
      </c>
      <c r="B28" s="144" t="s">
        <v>219</v>
      </c>
      <c r="C28" s="188">
        <v>1</v>
      </c>
      <c r="D28" s="148">
        <v>22</v>
      </c>
      <c r="E28" s="204" t="s">
        <v>876</v>
      </c>
      <c r="F28" s="144" t="s">
        <v>35</v>
      </c>
      <c r="G28" s="144" t="s">
        <v>1808</v>
      </c>
    </row>
    <row r="29" spans="1:7" x14ac:dyDescent="0.35">
      <c r="A29" s="144" t="s">
        <v>6</v>
      </c>
      <c r="B29" s="144" t="s">
        <v>86</v>
      </c>
      <c r="C29" s="188">
        <v>1</v>
      </c>
      <c r="D29" s="148">
        <v>22</v>
      </c>
      <c r="E29" s="145" t="s">
        <v>47</v>
      </c>
      <c r="F29" s="144" t="s">
        <v>35</v>
      </c>
      <c r="G29" s="144" t="s">
        <v>1809</v>
      </c>
    </row>
    <row r="30" spans="1:7" x14ac:dyDescent="0.35">
      <c r="A30" s="144" t="s">
        <v>6</v>
      </c>
      <c r="B30" s="144" t="s">
        <v>219</v>
      </c>
      <c r="C30" s="188">
        <v>1</v>
      </c>
      <c r="D30" s="148">
        <v>22</v>
      </c>
      <c r="E30" s="204" t="s">
        <v>876</v>
      </c>
      <c r="F30" s="144" t="s">
        <v>35</v>
      </c>
      <c r="G30" s="144" t="s">
        <v>1810</v>
      </c>
    </row>
    <row r="31" spans="1:7" x14ac:dyDescent="0.35">
      <c r="A31" s="144" t="s">
        <v>6</v>
      </c>
      <c r="B31" s="144" t="s">
        <v>219</v>
      </c>
      <c r="C31" s="188">
        <v>1</v>
      </c>
      <c r="D31" s="148">
        <v>56</v>
      </c>
      <c r="E31" s="204" t="s">
        <v>876</v>
      </c>
      <c r="F31" s="144" t="s">
        <v>34</v>
      </c>
      <c r="G31" s="144" t="s">
        <v>1810</v>
      </c>
    </row>
    <row r="32" spans="1:7" x14ac:dyDescent="0.35">
      <c r="A32" s="144" t="s">
        <v>6</v>
      </c>
      <c r="B32" s="144" t="s">
        <v>219</v>
      </c>
      <c r="C32" s="188">
        <v>1</v>
      </c>
      <c r="D32" s="148">
        <v>56</v>
      </c>
      <c r="E32" s="204" t="s">
        <v>876</v>
      </c>
      <c r="F32" s="144" t="s">
        <v>34</v>
      </c>
      <c r="G32" s="144" t="s">
        <v>1811</v>
      </c>
    </row>
    <row r="33" spans="1:7" x14ac:dyDescent="0.35">
      <c r="A33" s="144" t="s">
        <v>6</v>
      </c>
      <c r="B33" s="144" t="s">
        <v>219</v>
      </c>
      <c r="C33" s="188">
        <v>1</v>
      </c>
      <c r="D33" s="155">
        <v>37</v>
      </c>
      <c r="E33" s="204" t="s">
        <v>876</v>
      </c>
      <c r="F33" s="144" t="s">
        <v>36</v>
      </c>
      <c r="G33" s="144" t="s">
        <v>1811</v>
      </c>
    </row>
    <row r="34" spans="1:7" x14ac:dyDescent="0.35">
      <c r="A34" s="144" t="s">
        <v>6</v>
      </c>
      <c r="B34" s="144" t="s">
        <v>219</v>
      </c>
      <c r="C34" s="188">
        <v>1</v>
      </c>
      <c r="D34" s="155">
        <v>37</v>
      </c>
      <c r="E34" s="204" t="s">
        <v>876</v>
      </c>
      <c r="F34" s="144" t="s">
        <v>36</v>
      </c>
      <c r="G34" s="144" t="s">
        <v>1812</v>
      </c>
    </row>
    <row r="35" spans="1:7" x14ac:dyDescent="0.35">
      <c r="A35" s="144" t="s">
        <v>6</v>
      </c>
      <c r="B35" s="144" t="s">
        <v>219</v>
      </c>
      <c r="C35" s="188">
        <v>1</v>
      </c>
      <c r="D35" s="148">
        <v>22</v>
      </c>
      <c r="E35" s="204" t="s">
        <v>876</v>
      </c>
      <c r="F35" s="144" t="s">
        <v>35</v>
      </c>
      <c r="G35" s="144" t="s">
        <v>1812</v>
      </c>
    </row>
    <row r="36" spans="1:7" x14ac:dyDescent="0.35">
      <c r="A36" s="144" t="s">
        <v>6</v>
      </c>
      <c r="B36" s="144" t="s">
        <v>219</v>
      </c>
      <c r="C36" s="188">
        <v>1</v>
      </c>
      <c r="D36" s="148">
        <v>22</v>
      </c>
      <c r="E36" s="145" t="s">
        <v>876</v>
      </c>
      <c r="F36" s="144" t="s">
        <v>35</v>
      </c>
      <c r="G36" s="144" t="s">
        <v>1813</v>
      </c>
    </row>
    <row r="37" spans="1:7" x14ac:dyDescent="0.35">
      <c r="A37" s="144" t="s">
        <v>6</v>
      </c>
      <c r="B37" s="144" t="s">
        <v>72</v>
      </c>
      <c r="C37" s="188">
        <v>1</v>
      </c>
      <c r="D37" s="148">
        <v>56</v>
      </c>
      <c r="E37" s="145" t="s">
        <v>1138</v>
      </c>
      <c r="F37" s="144" t="s">
        <v>34</v>
      </c>
      <c r="G37" s="144" t="s">
        <v>1814</v>
      </c>
    </row>
    <row r="38" spans="1:7" x14ac:dyDescent="0.35">
      <c r="A38" s="144" t="s">
        <v>6</v>
      </c>
      <c r="B38" s="144" t="s">
        <v>219</v>
      </c>
      <c r="C38" s="188">
        <v>1</v>
      </c>
      <c r="D38" s="226">
        <v>22</v>
      </c>
      <c r="E38" s="145" t="s">
        <v>876</v>
      </c>
      <c r="F38" s="144" t="s">
        <v>35</v>
      </c>
      <c r="G38" s="144" t="s">
        <v>1815</v>
      </c>
    </row>
    <row r="39" spans="1:7" x14ac:dyDescent="0.35">
      <c r="A39" s="144" t="s">
        <v>6</v>
      </c>
      <c r="B39" s="144" t="s">
        <v>86</v>
      </c>
      <c r="C39" s="188">
        <v>1</v>
      </c>
      <c r="D39" s="226">
        <v>22</v>
      </c>
      <c r="E39" s="145" t="s">
        <v>47</v>
      </c>
      <c r="F39" s="144" t="s">
        <v>35</v>
      </c>
      <c r="G39" s="144" t="s">
        <v>1816</v>
      </c>
    </row>
    <row r="40" spans="1:7" x14ac:dyDescent="0.35">
      <c r="A40" s="144" t="s">
        <v>6</v>
      </c>
      <c r="B40" s="144" t="s">
        <v>142</v>
      </c>
      <c r="C40" s="188">
        <v>1</v>
      </c>
      <c r="D40" s="226">
        <v>22</v>
      </c>
      <c r="E40" s="145" t="s">
        <v>44</v>
      </c>
      <c r="F40" s="144" t="s">
        <v>35</v>
      </c>
      <c r="G40" s="144" t="s">
        <v>1817</v>
      </c>
    </row>
    <row r="41" spans="1:7" x14ac:dyDescent="0.35">
      <c r="A41" s="144" t="s">
        <v>23</v>
      </c>
      <c r="B41" s="144" t="s">
        <v>211</v>
      </c>
      <c r="C41" s="188">
        <v>1</v>
      </c>
      <c r="D41" s="226">
        <v>22</v>
      </c>
      <c r="E41" s="145" t="s">
        <v>62</v>
      </c>
      <c r="F41" s="144" t="s">
        <v>35</v>
      </c>
      <c r="G41" s="144" t="s">
        <v>1818</v>
      </c>
    </row>
    <row r="42" spans="1:7" x14ac:dyDescent="0.35">
      <c r="A42" s="144" t="s">
        <v>6</v>
      </c>
      <c r="B42" s="144" t="s">
        <v>219</v>
      </c>
      <c r="C42" s="188">
        <v>1</v>
      </c>
      <c r="D42" s="155">
        <v>37</v>
      </c>
      <c r="E42" s="145" t="s">
        <v>876</v>
      </c>
      <c r="F42" s="144" t="s">
        <v>36</v>
      </c>
      <c r="G42" s="144" t="s">
        <v>1819</v>
      </c>
    </row>
    <row r="43" spans="1:7" x14ac:dyDescent="0.35">
      <c r="A43" s="144" t="s">
        <v>6</v>
      </c>
      <c r="B43" s="144" t="s">
        <v>219</v>
      </c>
      <c r="C43" s="188">
        <v>1</v>
      </c>
      <c r="D43" s="155">
        <v>37</v>
      </c>
      <c r="E43" s="145" t="s">
        <v>876</v>
      </c>
      <c r="F43" s="144" t="s">
        <v>36</v>
      </c>
      <c r="G43" s="144" t="s">
        <v>1820</v>
      </c>
    </row>
    <row r="44" spans="1:7" x14ac:dyDescent="0.35">
      <c r="A44" s="144" t="s">
        <v>6</v>
      </c>
      <c r="B44" s="144" t="s">
        <v>1382</v>
      </c>
      <c r="C44" s="229">
        <v>1</v>
      </c>
      <c r="D44" s="226">
        <v>22</v>
      </c>
      <c r="E44" s="204" t="s">
        <v>51</v>
      </c>
      <c r="F44" s="124" t="s">
        <v>35</v>
      </c>
      <c r="G44" s="124" t="s">
        <v>1821</v>
      </c>
    </row>
    <row r="45" spans="1:7" x14ac:dyDescent="0.35">
      <c r="A45" s="144" t="s">
        <v>6</v>
      </c>
      <c r="B45" s="144" t="s">
        <v>1382</v>
      </c>
      <c r="C45" s="229">
        <v>1</v>
      </c>
      <c r="D45" s="126">
        <v>56</v>
      </c>
      <c r="E45" s="204" t="s">
        <v>51</v>
      </c>
      <c r="F45" s="124" t="s">
        <v>34</v>
      </c>
      <c r="G45" s="124" t="s">
        <v>1821</v>
      </c>
    </row>
    <row r="46" spans="1:7" x14ac:dyDescent="0.35">
      <c r="A46" s="144" t="s">
        <v>6</v>
      </c>
      <c r="B46" s="144" t="s">
        <v>86</v>
      </c>
      <c r="C46" s="188">
        <v>1</v>
      </c>
      <c r="D46" s="126">
        <v>78.75</v>
      </c>
      <c r="E46" s="145" t="s">
        <v>47</v>
      </c>
      <c r="F46" s="124" t="s">
        <v>33</v>
      </c>
      <c r="G46" s="144" t="s">
        <v>1802</v>
      </c>
    </row>
    <row r="47" spans="1:7" x14ac:dyDescent="0.35">
      <c r="A47" s="144" t="s">
        <v>23</v>
      </c>
      <c r="B47" s="144" t="s">
        <v>244</v>
      </c>
      <c r="C47" s="188">
        <v>1</v>
      </c>
      <c r="D47" s="126">
        <v>78.75</v>
      </c>
      <c r="E47" s="145" t="s">
        <v>64</v>
      </c>
      <c r="F47" s="124" t="s">
        <v>33</v>
      </c>
      <c r="G47" s="144" t="s">
        <v>1822</v>
      </c>
    </row>
    <row r="48" spans="1:7" x14ac:dyDescent="0.35">
      <c r="A48" s="144" t="s">
        <v>6</v>
      </c>
      <c r="B48" s="144" t="s">
        <v>142</v>
      </c>
      <c r="C48" s="188">
        <v>1</v>
      </c>
      <c r="D48" s="126">
        <v>78.75</v>
      </c>
      <c r="E48" s="145" t="s">
        <v>44</v>
      </c>
      <c r="F48" s="124" t="s">
        <v>33</v>
      </c>
      <c r="G48" s="144" t="s">
        <v>1823</v>
      </c>
    </row>
    <row r="49" spans="1:7" x14ac:dyDescent="0.35">
      <c r="A49" s="144" t="s">
        <v>6</v>
      </c>
      <c r="B49" s="144" t="s">
        <v>142</v>
      </c>
      <c r="C49" s="188">
        <v>1</v>
      </c>
      <c r="D49" s="126">
        <v>78.75</v>
      </c>
      <c r="E49" s="145" t="s">
        <v>44</v>
      </c>
      <c r="F49" s="124" t="s">
        <v>33</v>
      </c>
      <c r="G49" s="144" t="s">
        <v>1824</v>
      </c>
    </row>
    <row r="50" spans="1:7" x14ac:dyDescent="0.35">
      <c r="A50" s="144" t="s">
        <v>6</v>
      </c>
      <c r="B50" s="144" t="s">
        <v>142</v>
      </c>
      <c r="C50" s="188">
        <v>1</v>
      </c>
      <c r="D50" s="126">
        <v>78.75</v>
      </c>
      <c r="E50" s="145" t="s">
        <v>44</v>
      </c>
      <c r="F50" s="124" t="s">
        <v>33</v>
      </c>
      <c r="G50" s="144" t="s">
        <v>1776</v>
      </c>
    </row>
    <row r="51" spans="1:7" x14ac:dyDescent="0.35">
      <c r="A51" s="144" t="s">
        <v>6</v>
      </c>
      <c r="B51" s="144" t="s">
        <v>142</v>
      </c>
      <c r="C51" s="188">
        <v>1</v>
      </c>
      <c r="D51" s="126">
        <v>78.75</v>
      </c>
      <c r="E51" s="145" t="s">
        <v>44</v>
      </c>
      <c r="F51" s="124" t="s">
        <v>33</v>
      </c>
      <c r="G51" s="144" t="s">
        <v>1825</v>
      </c>
    </row>
    <row r="52" spans="1:7" x14ac:dyDescent="0.35">
      <c r="A52" s="144" t="s">
        <v>6</v>
      </c>
      <c r="B52" s="166" t="s">
        <v>8</v>
      </c>
      <c r="C52" s="188">
        <v>1</v>
      </c>
      <c r="D52" s="126">
        <v>78.75</v>
      </c>
      <c r="E52" s="145" t="s">
        <v>61</v>
      </c>
      <c r="F52" s="124" t="s">
        <v>33</v>
      </c>
      <c r="G52" s="144" t="s">
        <v>1826</v>
      </c>
    </row>
    <row r="53" spans="1:7" x14ac:dyDescent="0.35">
      <c r="A53" s="144" t="s">
        <v>6</v>
      </c>
      <c r="B53" s="144" t="s">
        <v>219</v>
      </c>
      <c r="C53" s="188">
        <v>1</v>
      </c>
      <c r="D53" s="126">
        <v>78.75</v>
      </c>
      <c r="E53" s="145" t="s">
        <v>876</v>
      </c>
      <c r="F53" s="124" t="s">
        <v>33</v>
      </c>
      <c r="G53" s="144" t="s">
        <v>1827</v>
      </c>
    </row>
    <row r="54" spans="1:7" x14ac:dyDescent="0.35">
      <c r="A54" s="144"/>
      <c r="B54" s="144" t="s">
        <v>163</v>
      </c>
      <c r="C54" s="188">
        <v>1</v>
      </c>
      <c r="D54" s="126">
        <v>78.75</v>
      </c>
      <c r="E54" s="145" t="s">
        <v>56</v>
      </c>
      <c r="F54" s="124" t="s">
        <v>33</v>
      </c>
      <c r="G54" s="144" t="s">
        <v>1828</v>
      </c>
    </row>
    <row r="55" spans="1:7" x14ac:dyDescent="0.35">
      <c r="A55" s="144" t="s">
        <v>6</v>
      </c>
      <c r="B55" s="144" t="s">
        <v>86</v>
      </c>
      <c r="C55" s="188">
        <v>1</v>
      </c>
      <c r="D55" s="126">
        <v>78.75</v>
      </c>
      <c r="E55" s="145" t="s">
        <v>47</v>
      </c>
      <c r="F55" s="124" t="s">
        <v>33</v>
      </c>
      <c r="G55" s="144" t="s">
        <v>1829</v>
      </c>
    </row>
    <row r="56" spans="1:7" x14ac:dyDescent="0.35">
      <c r="A56" s="144" t="s">
        <v>6</v>
      </c>
      <c r="B56" s="144" t="s">
        <v>219</v>
      </c>
      <c r="C56" s="188">
        <v>1</v>
      </c>
      <c r="D56" s="126">
        <v>78.75</v>
      </c>
      <c r="E56" s="145" t="s">
        <v>876</v>
      </c>
      <c r="F56" s="124" t="s">
        <v>33</v>
      </c>
      <c r="G56" s="144" t="s">
        <v>1830</v>
      </c>
    </row>
    <row r="57" spans="1:7" x14ac:dyDescent="0.35">
      <c r="A57" s="144" t="s">
        <v>6</v>
      </c>
      <c r="B57" s="144" t="s">
        <v>219</v>
      </c>
      <c r="C57" s="188">
        <v>1</v>
      </c>
      <c r="D57" s="126">
        <v>78.75</v>
      </c>
      <c r="E57" s="145" t="s">
        <v>876</v>
      </c>
      <c r="F57" s="124" t="s">
        <v>33</v>
      </c>
      <c r="G57" s="144" t="s">
        <v>1831</v>
      </c>
    </row>
    <row r="58" spans="1:7" x14ac:dyDescent="0.35">
      <c r="A58" s="144" t="s">
        <v>6</v>
      </c>
      <c r="B58" s="144" t="s">
        <v>219</v>
      </c>
      <c r="C58" s="188">
        <v>1</v>
      </c>
      <c r="D58" s="126">
        <v>137.5</v>
      </c>
      <c r="E58" s="145" t="s">
        <v>876</v>
      </c>
      <c r="F58" s="124" t="s">
        <v>989</v>
      </c>
      <c r="G58" s="144" t="s">
        <v>1830</v>
      </c>
    </row>
    <row r="59" spans="1:7" ht="21" customHeight="1" x14ac:dyDescent="0.35">
      <c r="A59" s="144" t="s">
        <v>6</v>
      </c>
      <c r="B59" s="144" t="s">
        <v>219</v>
      </c>
      <c r="C59" s="188">
        <v>1</v>
      </c>
      <c r="D59" s="126">
        <v>137.5</v>
      </c>
      <c r="E59" s="145" t="s">
        <v>876</v>
      </c>
      <c r="F59" s="124" t="s">
        <v>989</v>
      </c>
      <c r="G59" s="144" t="s">
        <v>1832</v>
      </c>
    </row>
    <row r="60" spans="1:7" x14ac:dyDescent="0.35">
      <c r="A60" s="227"/>
      <c r="B60" s="144" t="s">
        <v>163</v>
      </c>
      <c r="C60" s="188">
        <v>1</v>
      </c>
      <c r="D60" s="126">
        <v>137.5</v>
      </c>
      <c r="E60" s="145" t="s">
        <v>56</v>
      </c>
      <c r="F60" s="124" t="s">
        <v>989</v>
      </c>
      <c r="G60" s="144" t="s">
        <v>1833</v>
      </c>
    </row>
    <row r="61" spans="1:7" ht="21" customHeight="1" x14ac:dyDescent="0.35">
      <c r="A61" s="144" t="s">
        <v>6</v>
      </c>
      <c r="B61" s="144" t="s">
        <v>86</v>
      </c>
      <c r="C61" s="188">
        <v>1</v>
      </c>
      <c r="D61" s="126">
        <v>137.5</v>
      </c>
      <c r="E61" s="145" t="s">
        <v>47</v>
      </c>
      <c r="F61" s="124" t="s">
        <v>989</v>
      </c>
      <c r="G61" s="144" t="s">
        <v>1834</v>
      </c>
    </row>
    <row r="62" spans="1:7" x14ac:dyDescent="0.35">
      <c r="A62" s="144" t="s">
        <v>23</v>
      </c>
      <c r="B62" s="144" t="s">
        <v>244</v>
      </c>
      <c r="C62" s="188">
        <v>1</v>
      </c>
      <c r="D62" s="126">
        <v>56</v>
      </c>
      <c r="E62" s="145" t="s">
        <v>64</v>
      </c>
      <c r="F62" s="124" t="s">
        <v>34</v>
      </c>
      <c r="G62" s="144" t="s">
        <v>1835</v>
      </c>
    </row>
    <row r="63" spans="1:7" ht="21" customHeight="1" x14ac:dyDescent="0.35">
      <c r="A63" s="144" t="s">
        <v>6</v>
      </c>
      <c r="B63" s="144" t="s">
        <v>142</v>
      </c>
      <c r="C63" s="188">
        <v>1</v>
      </c>
      <c r="D63" s="226">
        <v>22</v>
      </c>
      <c r="E63" s="145" t="s">
        <v>44</v>
      </c>
      <c r="F63" s="124" t="s">
        <v>35</v>
      </c>
      <c r="G63" s="144" t="s">
        <v>1836</v>
      </c>
    </row>
    <row r="64" spans="1:7" x14ac:dyDescent="0.35">
      <c r="A64" s="144" t="s">
        <v>23</v>
      </c>
      <c r="B64" s="144" t="s">
        <v>211</v>
      </c>
      <c r="C64" s="188">
        <v>1</v>
      </c>
      <c r="D64" s="126">
        <v>56</v>
      </c>
      <c r="E64" s="145" t="s">
        <v>62</v>
      </c>
      <c r="F64" s="124" t="s">
        <v>34</v>
      </c>
      <c r="G64" s="144" t="s">
        <v>1837</v>
      </c>
    </row>
    <row r="65" spans="1:7" ht="21" customHeight="1" x14ac:dyDescent="0.35">
      <c r="A65" s="144" t="s">
        <v>23</v>
      </c>
      <c r="B65" s="144" t="s">
        <v>211</v>
      </c>
      <c r="C65" s="188">
        <v>1</v>
      </c>
      <c r="D65" s="226">
        <v>22</v>
      </c>
      <c r="E65" s="145" t="s">
        <v>62</v>
      </c>
      <c r="F65" s="124" t="s">
        <v>35</v>
      </c>
      <c r="G65" s="144" t="s">
        <v>1837</v>
      </c>
    </row>
    <row r="66" spans="1:7" x14ac:dyDescent="0.35">
      <c r="A66" s="227"/>
      <c r="B66" s="144" t="s">
        <v>163</v>
      </c>
      <c r="C66" s="188">
        <v>1</v>
      </c>
      <c r="D66" s="226">
        <v>22</v>
      </c>
      <c r="E66" s="145" t="s">
        <v>56</v>
      </c>
      <c r="F66" s="124" t="s">
        <v>35</v>
      </c>
      <c r="G66" s="144" t="s">
        <v>1838</v>
      </c>
    </row>
    <row r="67" spans="1:7" ht="21" customHeight="1" x14ac:dyDescent="0.35">
      <c r="A67" s="227"/>
      <c r="B67" s="144" t="s">
        <v>163</v>
      </c>
      <c r="C67" s="188">
        <v>1</v>
      </c>
      <c r="D67" s="226">
        <v>22</v>
      </c>
      <c r="E67" s="145" t="s">
        <v>56</v>
      </c>
      <c r="F67" s="124" t="s">
        <v>35</v>
      </c>
      <c r="G67" s="144" t="s">
        <v>1839</v>
      </c>
    </row>
    <row r="68" spans="1:7" x14ac:dyDescent="0.35">
      <c r="A68" s="144" t="s">
        <v>23</v>
      </c>
      <c r="B68" s="144" t="s">
        <v>244</v>
      </c>
      <c r="C68" s="188">
        <v>1</v>
      </c>
      <c r="D68" s="126">
        <v>137.5</v>
      </c>
      <c r="E68" s="145" t="s">
        <v>64</v>
      </c>
      <c r="F68" s="124" t="s">
        <v>989</v>
      </c>
      <c r="G68" s="144" t="s">
        <v>1840</v>
      </c>
    </row>
    <row r="69" spans="1:7" ht="21" customHeight="1" x14ac:dyDescent="0.35">
      <c r="A69" s="227"/>
      <c r="B69" s="144" t="s">
        <v>163</v>
      </c>
      <c r="C69" s="188">
        <v>1</v>
      </c>
      <c r="D69" s="126">
        <v>137.5</v>
      </c>
      <c r="E69" s="145" t="s">
        <v>56</v>
      </c>
      <c r="F69" s="124" t="s">
        <v>989</v>
      </c>
      <c r="G69" s="144" t="s">
        <v>1841</v>
      </c>
    </row>
    <row r="70" spans="1:7" x14ac:dyDescent="0.35">
      <c r="A70" s="227"/>
      <c r="B70" s="227"/>
      <c r="C70" s="188">
        <v>1</v>
      </c>
      <c r="D70" s="126"/>
      <c r="E70" s="230"/>
      <c r="F70" s="124"/>
      <c r="G70" s="144"/>
    </row>
    <row r="71" spans="1:7" x14ac:dyDescent="0.35">
      <c r="A71" s="227"/>
      <c r="B71" s="227"/>
      <c r="C71" s="188">
        <v>1</v>
      </c>
      <c r="D71" s="126"/>
      <c r="E71" s="230"/>
      <c r="F71" s="124"/>
      <c r="G71" s="144"/>
    </row>
    <row r="72" spans="1:7" x14ac:dyDescent="0.35">
      <c r="A72" s="227"/>
      <c r="B72" s="227"/>
      <c r="C72" s="188">
        <v>1</v>
      </c>
      <c r="D72" s="126"/>
      <c r="E72" s="230"/>
      <c r="F72" s="124"/>
      <c r="G72" s="144"/>
    </row>
    <row r="73" spans="1:7" x14ac:dyDescent="0.35">
      <c r="A73" s="227"/>
      <c r="B73" s="227"/>
      <c r="C73" s="188">
        <v>1</v>
      </c>
      <c r="D73" s="126"/>
      <c r="E73" s="230"/>
      <c r="F73" s="124"/>
      <c r="G73" s="144"/>
    </row>
    <row r="74" spans="1:7" x14ac:dyDescent="0.35">
      <c r="A74" s="227"/>
      <c r="B74" s="227"/>
      <c r="C74" s="188">
        <v>1</v>
      </c>
      <c r="D74" s="126"/>
      <c r="E74" s="230"/>
      <c r="F74" s="124"/>
      <c r="G74" s="144"/>
    </row>
    <row r="75" spans="1:7" x14ac:dyDescent="0.35">
      <c r="A75" s="227"/>
      <c r="B75" s="227"/>
      <c r="C75" s="188">
        <v>1</v>
      </c>
      <c r="D75" s="126"/>
      <c r="E75" s="230"/>
      <c r="F75" s="124"/>
      <c r="G75" s="144"/>
    </row>
    <row r="76" spans="1:7" x14ac:dyDescent="0.35">
      <c r="A76" s="227"/>
      <c r="B76" s="227"/>
      <c r="C76" s="188">
        <v>1</v>
      </c>
      <c r="D76" s="126"/>
      <c r="E76" s="230"/>
      <c r="F76" s="124"/>
      <c r="G76" s="144"/>
    </row>
    <row r="77" spans="1:7" x14ac:dyDescent="0.35">
      <c r="A77" s="227"/>
      <c r="B77" s="227"/>
      <c r="C77" s="188">
        <v>1</v>
      </c>
      <c r="D77" s="126"/>
      <c r="E77" s="230"/>
      <c r="F77" s="124"/>
      <c r="G77" s="144"/>
    </row>
    <row r="78" spans="1:7" x14ac:dyDescent="0.35">
      <c r="A78" s="227"/>
      <c r="B78" s="227"/>
      <c r="C78" s="188">
        <v>1</v>
      </c>
      <c r="D78" s="126"/>
      <c r="E78" s="230"/>
      <c r="F78" s="124"/>
      <c r="G78" s="144"/>
    </row>
    <row r="79" spans="1:7" x14ac:dyDescent="0.35">
      <c r="A79" s="227"/>
      <c r="B79" s="227"/>
      <c r="C79" s="188">
        <v>1</v>
      </c>
      <c r="D79" s="126"/>
      <c r="E79" s="230"/>
      <c r="F79" s="124"/>
      <c r="G79" s="144"/>
    </row>
    <row r="80" spans="1:7" x14ac:dyDescent="0.35">
      <c r="A80" s="227"/>
      <c r="B80" s="227"/>
      <c r="C80" s="188">
        <v>1</v>
      </c>
      <c r="D80" s="126"/>
      <c r="E80" s="230"/>
      <c r="F80" s="124"/>
      <c r="G80" s="144"/>
    </row>
    <row r="81" spans="1:7" x14ac:dyDescent="0.35">
      <c r="A81" s="227"/>
      <c r="B81" s="227"/>
      <c r="C81" s="188">
        <v>1</v>
      </c>
      <c r="D81" s="126"/>
      <c r="E81" s="230"/>
      <c r="F81" s="124"/>
      <c r="G81" s="144"/>
    </row>
    <row r="82" spans="1:7" x14ac:dyDescent="0.35">
      <c r="A82" s="227"/>
      <c r="B82" s="227"/>
      <c r="C82" s="188">
        <v>1</v>
      </c>
      <c r="D82" s="126"/>
      <c r="E82" s="230"/>
      <c r="F82" s="124"/>
      <c r="G82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5A25E-EFDE-4E2D-B369-24CED18B6C1F}">
  <dimension ref="A1:H83"/>
  <sheetViews>
    <sheetView topLeftCell="A7" workbookViewId="0">
      <selection activeCell="D9" sqref="D9"/>
    </sheetView>
  </sheetViews>
  <sheetFormatPr defaultRowHeight="14.5" x14ac:dyDescent="0.35"/>
  <cols>
    <col min="1" max="1" width="18.54296875" customWidth="1"/>
    <col min="2" max="2" width="20.81640625" customWidth="1"/>
    <col min="3" max="3" width="13.54296875" customWidth="1"/>
    <col min="4" max="4" width="26.453125" customWidth="1"/>
    <col min="5" max="5" width="46.1796875" customWidth="1"/>
    <col min="6" max="6" width="60.7265625" customWidth="1"/>
    <col min="7" max="7" width="48.1796875" customWidth="1"/>
    <col min="8" max="8" width="21.453125" customWidth="1"/>
  </cols>
  <sheetData>
    <row r="1" spans="1:8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8" customHeight="1" x14ac:dyDescent="0.35">
      <c r="A3" s="6" t="s">
        <v>28</v>
      </c>
      <c r="B3" s="233" t="s">
        <v>1874</v>
      </c>
      <c r="C3" s="189"/>
      <c r="D3" s="189"/>
      <c r="E3" s="189"/>
      <c r="F3" s="189"/>
      <c r="G3" s="189"/>
    </row>
    <row r="4" spans="1:8" ht="18" customHeight="1" x14ac:dyDescent="0.35">
      <c r="A4" s="8" t="s">
        <v>29</v>
      </c>
      <c r="B4" s="9">
        <v>45882</v>
      </c>
      <c r="C4" s="189"/>
      <c r="D4" s="189"/>
      <c r="E4" s="189"/>
      <c r="F4" s="189"/>
      <c r="G4" s="189"/>
    </row>
    <row r="5" spans="1:8" ht="18" customHeight="1" thickBot="1" x14ac:dyDescent="0.4">
      <c r="A5" s="10" t="s">
        <v>30</v>
      </c>
      <c r="B5" s="11" t="s">
        <v>1875</v>
      </c>
      <c r="C5" s="189"/>
      <c r="D5" s="189"/>
      <c r="E5" s="189"/>
      <c r="F5" s="189"/>
      <c r="G5" s="189"/>
    </row>
    <row r="6" spans="1:8" ht="17.25" customHeight="1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35">
      <c r="A9" s="144" t="s">
        <v>6</v>
      </c>
      <c r="B9" s="144" t="s">
        <v>142</v>
      </c>
      <c r="C9" s="229">
        <v>1</v>
      </c>
      <c r="D9" s="148">
        <v>146.30000000000001</v>
      </c>
      <c r="E9" s="145" t="s">
        <v>44</v>
      </c>
      <c r="F9" s="144" t="s">
        <v>989</v>
      </c>
      <c r="G9" s="142" t="s">
        <v>1843</v>
      </c>
      <c r="H9" s="25"/>
    </row>
    <row r="10" spans="1:8" x14ac:dyDescent="0.35">
      <c r="A10" s="144" t="s">
        <v>23</v>
      </c>
      <c r="B10" s="144" t="s">
        <v>211</v>
      </c>
      <c r="C10" s="188">
        <v>1</v>
      </c>
      <c r="D10" s="148">
        <v>146.30000000000001</v>
      </c>
      <c r="E10" s="145" t="s">
        <v>62</v>
      </c>
      <c r="F10" s="144" t="s">
        <v>989</v>
      </c>
      <c r="G10" s="144" t="s">
        <v>1844</v>
      </c>
    </row>
    <row r="11" spans="1:8" x14ac:dyDescent="0.35">
      <c r="A11" s="144" t="s">
        <v>23</v>
      </c>
      <c r="B11" s="144" t="s">
        <v>211</v>
      </c>
      <c r="C11" s="188">
        <v>1</v>
      </c>
      <c r="D11" s="148">
        <v>176</v>
      </c>
      <c r="E11" s="145" t="s">
        <v>62</v>
      </c>
      <c r="F11" s="144" t="s">
        <v>992</v>
      </c>
      <c r="G11" s="217" t="s">
        <v>1845</v>
      </c>
    </row>
    <row r="12" spans="1:8" x14ac:dyDescent="0.35">
      <c r="A12" s="144" t="s">
        <v>23</v>
      </c>
      <c r="B12" s="144" t="s">
        <v>244</v>
      </c>
      <c r="C12" s="188">
        <v>1</v>
      </c>
      <c r="D12" s="148">
        <v>58</v>
      </c>
      <c r="E12" s="145" t="s">
        <v>64</v>
      </c>
      <c r="F12" s="144" t="s">
        <v>34</v>
      </c>
      <c r="G12" s="144" t="s">
        <v>1846</v>
      </c>
    </row>
    <row r="13" spans="1:8" x14ac:dyDescent="0.35">
      <c r="A13" s="144" t="s">
        <v>23</v>
      </c>
      <c r="B13" s="144" t="s">
        <v>244</v>
      </c>
      <c r="C13" s="188">
        <v>1</v>
      </c>
      <c r="D13" s="148">
        <v>26</v>
      </c>
      <c r="E13" s="145" t="s">
        <v>64</v>
      </c>
      <c r="F13" s="144" t="s">
        <v>35</v>
      </c>
      <c r="G13" s="144" t="s">
        <v>1846</v>
      </c>
    </row>
    <row r="14" spans="1:8" x14ac:dyDescent="0.35">
      <c r="A14" s="124"/>
      <c r="B14" s="144" t="s">
        <v>163</v>
      </c>
      <c r="C14" s="188">
        <v>1</v>
      </c>
      <c r="D14" s="148">
        <v>26</v>
      </c>
      <c r="E14" s="145" t="s">
        <v>56</v>
      </c>
      <c r="F14" s="144" t="s">
        <v>35</v>
      </c>
      <c r="G14" s="217" t="s">
        <v>1847</v>
      </c>
    </row>
    <row r="15" spans="1:8" x14ac:dyDescent="0.35">
      <c r="A15" s="144" t="s">
        <v>23</v>
      </c>
      <c r="B15" s="144" t="s">
        <v>211</v>
      </c>
      <c r="C15" s="188">
        <v>1</v>
      </c>
      <c r="D15" s="148">
        <v>26</v>
      </c>
      <c r="E15" s="145" t="s">
        <v>62</v>
      </c>
      <c r="F15" s="144" t="s">
        <v>35</v>
      </c>
      <c r="G15" s="144" t="s">
        <v>1848</v>
      </c>
    </row>
    <row r="16" spans="1:8" x14ac:dyDescent="0.35">
      <c r="A16" s="144" t="s">
        <v>23</v>
      </c>
      <c r="B16" s="144" t="s">
        <v>211</v>
      </c>
      <c r="C16" s="188">
        <v>1</v>
      </c>
      <c r="D16" s="155">
        <v>39</v>
      </c>
      <c r="E16" s="145" t="s">
        <v>62</v>
      </c>
      <c r="F16" s="144" t="s">
        <v>36</v>
      </c>
      <c r="G16" s="144" t="s">
        <v>1849</v>
      </c>
    </row>
    <row r="17" spans="1:7" x14ac:dyDescent="0.35">
      <c r="A17" s="144" t="s">
        <v>23</v>
      </c>
      <c r="B17" s="144" t="s">
        <v>211</v>
      </c>
      <c r="C17" s="188">
        <v>1</v>
      </c>
      <c r="D17" s="155">
        <v>39</v>
      </c>
      <c r="E17" s="145" t="s">
        <v>62</v>
      </c>
      <c r="F17" s="144" t="s">
        <v>36</v>
      </c>
      <c r="G17" s="144" t="s">
        <v>1850</v>
      </c>
    </row>
    <row r="18" spans="1:7" x14ac:dyDescent="0.35">
      <c r="A18" s="144" t="s">
        <v>6</v>
      </c>
      <c r="B18" s="144" t="s">
        <v>86</v>
      </c>
      <c r="C18" s="229">
        <v>1</v>
      </c>
      <c r="D18" s="148">
        <v>58</v>
      </c>
      <c r="E18" s="145" t="s">
        <v>47</v>
      </c>
      <c r="F18" s="144" t="s">
        <v>34</v>
      </c>
      <c r="G18" s="142" t="s">
        <v>1851</v>
      </c>
    </row>
    <row r="19" spans="1:7" x14ac:dyDescent="0.35">
      <c r="A19" s="144" t="s">
        <v>6</v>
      </c>
      <c r="B19" s="144" t="s">
        <v>86</v>
      </c>
      <c r="C19" s="188">
        <v>1</v>
      </c>
      <c r="D19" s="148">
        <v>26</v>
      </c>
      <c r="E19" s="145" t="s">
        <v>47</v>
      </c>
      <c r="F19" s="144" t="s">
        <v>35</v>
      </c>
      <c r="G19" s="142" t="s">
        <v>1851</v>
      </c>
    </row>
    <row r="20" spans="1:7" x14ac:dyDescent="0.35">
      <c r="A20" s="144"/>
      <c r="B20" s="144" t="s">
        <v>163</v>
      </c>
      <c r="C20" s="188">
        <v>1</v>
      </c>
      <c r="D20" s="148">
        <v>58</v>
      </c>
      <c r="E20" s="145" t="s">
        <v>56</v>
      </c>
      <c r="F20" s="144" t="s">
        <v>34</v>
      </c>
      <c r="G20" s="144" t="s">
        <v>1852</v>
      </c>
    </row>
    <row r="21" spans="1:7" x14ac:dyDescent="0.35">
      <c r="A21" s="144" t="s">
        <v>6</v>
      </c>
      <c r="B21" s="144" t="s">
        <v>86</v>
      </c>
      <c r="C21" s="188">
        <v>1</v>
      </c>
      <c r="D21" s="155">
        <v>39</v>
      </c>
      <c r="E21" s="145" t="s">
        <v>47</v>
      </c>
      <c r="F21" s="144" t="s">
        <v>36</v>
      </c>
      <c r="G21" s="144" t="s">
        <v>1853</v>
      </c>
    </row>
    <row r="22" spans="1:7" x14ac:dyDescent="0.35">
      <c r="A22" s="144" t="s">
        <v>6</v>
      </c>
      <c r="B22" s="144" t="s">
        <v>86</v>
      </c>
      <c r="C22" s="188">
        <v>1</v>
      </c>
      <c r="D22" s="148">
        <v>58</v>
      </c>
      <c r="E22" s="145" t="s">
        <v>47</v>
      </c>
      <c r="F22" s="144" t="s">
        <v>34</v>
      </c>
      <c r="G22" s="144" t="s">
        <v>1853</v>
      </c>
    </row>
    <row r="23" spans="1:7" x14ac:dyDescent="0.35">
      <c r="A23" s="144" t="s">
        <v>6</v>
      </c>
      <c r="B23" s="144" t="s">
        <v>86</v>
      </c>
      <c r="C23" s="188">
        <v>1</v>
      </c>
      <c r="D23" s="148">
        <v>26</v>
      </c>
      <c r="E23" s="145" t="s">
        <v>47</v>
      </c>
      <c r="F23" s="144" t="s">
        <v>35</v>
      </c>
      <c r="G23" s="144" t="s">
        <v>1853</v>
      </c>
    </row>
    <row r="24" spans="1:7" x14ac:dyDescent="0.35">
      <c r="A24" s="144" t="s">
        <v>6</v>
      </c>
      <c r="B24" s="144" t="s">
        <v>219</v>
      </c>
      <c r="C24" s="188">
        <v>1</v>
      </c>
      <c r="D24" s="148">
        <v>26</v>
      </c>
      <c r="E24" s="145" t="s">
        <v>876</v>
      </c>
      <c r="F24" s="144" t="s">
        <v>35</v>
      </c>
      <c r="G24" s="144" t="s">
        <v>1854</v>
      </c>
    </row>
    <row r="25" spans="1:7" x14ac:dyDescent="0.35">
      <c r="A25" s="144" t="s">
        <v>6</v>
      </c>
      <c r="B25" s="144" t="s">
        <v>72</v>
      </c>
      <c r="C25" s="188">
        <v>1</v>
      </c>
      <c r="D25" s="148">
        <v>58</v>
      </c>
      <c r="E25" s="145" t="s">
        <v>1138</v>
      </c>
      <c r="F25" s="144" t="s">
        <v>34</v>
      </c>
      <c r="G25" s="144" t="s">
        <v>1855</v>
      </c>
    </row>
    <row r="26" spans="1:7" x14ac:dyDescent="0.35">
      <c r="A26" s="144" t="s">
        <v>6</v>
      </c>
      <c r="B26" s="144" t="s">
        <v>72</v>
      </c>
      <c r="C26" s="188">
        <v>1</v>
      </c>
      <c r="D26" s="148">
        <v>26</v>
      </c>
      <c r="E26" s="145" t="s">
        <v>1138</v>
      </c>
      <c r="F26" s="144" t="s">
        <v>35</v>
      </c>
      <c r="G26" s="144" t="s">
        <v>1855</v>
      </c>
    </row>
    <row r="27" spans="1:7" x14ac:dyDescent="0.35">
      <c r="A27" s="144" t="s">
        <v>6</v>
      </c>
      <c r="B27" s="144" t="s">
        <v>142</v>
      </c>
      <c r="C27" s="188">
        <v>1</v>
      </c>
      <c r="D27" s="148">
        <v>26</v>
      </c>
      <c r="E27" s="145" t="s">
        <v>44</v>
      </c>
      <c r="F27" s="144" t="s">
        <v>35</v>
      </c>
      <c r="G27" s="144" t="s">
        <v>1856</v>
      </c>
    </row>
    <row r="28" spans="1:7" x14ac:dyDescent="0.35">
      <c r="A28" s="144" t="s">
        <v>6</v>
      </c>
      <c r="B28" s="144" t="s">
        <v>86</v>
      </c>
      <c r="C28" s="188">
        <v>1</v>
      </c>
      <c r="D28" s="148">
        <v>58</v>
      </c>
      <c r="E28" s="145" t="s">
        <v>47</v>
      </c>
      <c r="F28" s="144" t="s">
        <v>34</v>
      </c>
      <c r="G28" s="144" t="s">
        <v>1857</v>
      </c>
    </row>
    <row r="29" spans="1:7" x14ac:dyDescent="0.35">
      <c r="A29" s="144" t="s">
        <v>6</v>
      </c>
      <c r="B29" s="144" t="s">
        <v>72</v>
      </c>
      <c r="C29" s="188">
        <v>1</v>
      </c>
      <c r="D29" s="148">
        <v>58</v>
      </c>
      <c r="E29" s="145" t="s">
        <v>1138</v>
      </c>
      <c r="F29" s="144" t="s">
        <v>34</v>
      </c>
      <c r="G29" s="144" t="s">
        <v>1858</v>
      </c>
    </row>
    <row r="30" spans="1:7" x14ac:dyDescent="0.35">
      <c r="A30" s="144" t="s">
        <v>6</v>
      </c>
      <c r="B30" s="144" t="s">
        <v>72</v>
      </c>
      <c r="C30" s="188">
        <v>1</v>
      </c>
      <c r="D30" s="148">
        <v>26</v>
      </c>
      <c r="E30" s="145" t="s">
        <v>1138</v>
      </c>
      <c r="F30" s="144" t="s">
        <v>35</v>
      </c>
      <c r="G30" s="144" t="s">
        <v>1858</v>
      </c>
    </row>
    <row r="31" spans="1:7" x14ac:dyDescent="0.35">
      <c r="A31" s="144" t="s">
        <v>6</v>
      </c>
      <c r="B31" s="232" t="s">
        <v>1382</v>
      </c>
      <c r="C31" s="188">
        <v>1</v>
      </c>
      <c r="D31" s="148">
        <v>58</v>
      </c>
      <c r="E31" s="145" t="s">
        <v>51</v>
      </c>
      <c r="F31" s="144" t="s">
        <v>34</v>
      </c>
      <c r="G31" s="144" t="s">
        <v>1859</v>
      </c>
    </row>
    <row r="32" spans="1:7" x14ac:dyDescent="0.35">
      <c r="A32" s="144" t="s">
        <v>6</v>
      </c>
      <c r="B32" s="232" t="s">
        <v>1382</v>
      </c>
      <c r="C32" s="188">
        <v>1</v>
      </c>
      <c r="D32" s="148">
        <v>26</v>
      </c>
      <c r="E32" s="145" t="s">
        <v>51</v>
      </c>
      <c r="F32" s="144" t="s">
        <v>35</v>
      </c>
      <c r="G32" s="144" t="s">
        <v>1859</v>
      </c>
    </row>
    <row r="33" spans="1:7" x14ac:dyDescent="0.35">
      <c r="A33" s="144" t="s">
        <v>6</v>
      </c>
      <c r="B33" s="144" t="s">
        <v>219</v>
      </c>
      <c r="C33" s="188">
        <v>1</v>
      </c>
      <c r="D33" s="148">
        <v>39</v>
      </c>
      <c r="E33" s="145" t="s">
        <v>876</v>
      </c>
      <c r="F33" s="144" t="s">
        <v>36</v>
      </c>
      <c r="G33" s="144" t="s">
        <v>1862</v>
      </c>
    </row>
    <row r="34" spans="1:7" x14ac:dyDescent="0.35">
      <c r="A34" s="144"/>
      <c r="B34" s="144" t="s">
        <v>163</v>
      </c>
      <c r="C34" s="188">
        <v>1</v>
      </c>
      <c r="D34" s="155">
        <v>39</v>
      </c>
      <c r="E34" s="145" t="s">
        <v>56</v>
      </c>
      <c r="F34" s="144" t="s">
        <v>36</v>
      </c>
      <c r="G34" s="144" t="s">
        <v>1860</v>
      </c>
    </row>
    <row r="35" spans="1:7" x14ac:dyDescent="0.35">
      <c r="A35" s="144"/>
      <c r="B35" s="144" t="s">
        <v>163</v>
      </c>
      <c r="C35" s="188">
        <v>1</v>
      </c>
      <c r="D35" s="155">
        <v>58</v>
      </c>
      <c r="E35" s="145" t="s">
        <v>56</v>
      </c>
      <c r="F35" s="144" t="s">
        <v>34</v>
      </c>
      <c r="G35" s="144" t="s">
        <v>1860</v>
      </c>
    </row>
    <row r="36" spans="1:7" x14ac:dyDescent="0.35">
      <c r="A36" s="144"/>
      <c r="B36" s="144" t="s">
        <v>163</v>
      </c>
      <c r="C36" s="188">
        <v>1</v>
      </c>
      <c r="D36" s="148">
        <v>26</v>
      </c>
      <c r="E36" s="145" t="s">
        <v>56</v>
      </c>
      <c r="F36" s="144" t="s">
        <v>35</v>
      </c>
      <c r="G36" s="144" t="s">
        <v>1860</v>
      </c>
    </row>
    <row r="37" spans="1:7" x14ac:dyDescent="0.35">
      <c r="A37" s="144" t="s">
        <v>6</v>
      </c>
      <c r="B37" s="144" t="s">
        <v>219</v>
      </c>
      <c r="C37" s="188">
        <v>1</v>
      </c>
      <c r="D37" s="148">
        <v>39</v>
      </c>
      <c r="E37" s="145" t="s">
        <v>876</v>
      </c>
      <c r="F37" s="144" t="s">
        <v>36</v>
      </c>
      <c r="G37" s="144" t="s">
        <v>1861</v>
      </c>
    </row>
    <row r="38" spans="1:7" x14ac:dyDescent="0.35">
      <c r="A38" s="144"/>
      <c r="B38" s="144"/>
      <c r="C38" s="188"/>
      <c r="D38" s="148"/>
      <c r="E38" s="145"/>
      <c r="F38" s="144"/>
      <c r="G38" s="144"/>
    </row>
    <row r="39" spans="1:7" x14ac:dyDescent="0.35">
      <c r="A39" s="144"/>
      <c r="B39" s="144"/>
      <c r="C39" s="188"/>
      <c r="D39" s="226"/>
      <c r="E39" s="145"/>
      <c r="F39" s="144"/>
      <c r="G39" s="144"/>
    </row>
    <row r="40" spans="1:7" x14ac:dyDescent="0.35">
      <c r="A40" s="144"/>
      <c r="B40" s="144"/>
      <c r="C40" s="188"/>
      <c r="D40" s="226"/>
      <c r="E40" s="145"/>
      <c r="F40" s="144"/>
      <c r="G40" s="144"/>
    </row>
    <row r="41" spans="1:7" x14ac:dyDescent="0.35">
      <c r="A41" s="144"/>
      <c r="B41" s="144"/>
      <c r="C41" s="188"/>
      <c r="D41" s="226"/>
      <c r="E41" s="145"/>
      <c r="F41" s="144"/>
      <c r="G41" s="144"/>
    </row>
    <row r="42" spans="1:7" x14ac:dyDescent="0.35">
      <c r="A42" s="144"/>
      <c r="B42" s="144"/>
      <c r="C42" s="188"/>
      <c r="D42" s="226"/>
      <c r="E42" s="145"/>
      <c r="F42" s="144"/>
      <c r="G42" s="144"/>
    </row>
    <row r="43" spans="1:7" x14ac:dyDescent="0.35">
      <c r="A43" s="144"/>
      <c r="B43" s="144"/>
      <c r="C43" s="188"/>
      <c r="D43" s="155"/>
      <c r="E43" s="145"/>
      <c r="F43" s="144"/>
      <c r="G43" s="144"/>
    </row>
    <row r="44" spans="1:7" x14ac:dyDescent="0.35">
      <c r="A44" s="144"/>
      <c r="B44" s="144"/>
      <c r="C44" s="188"/>
      <c r="D44" s="155"/>
      <c r="E44" s="145"/>
      <c r="F44" s="144"/>
      <c r="G44" s="144"/>
    </row>
    <row r="45" spans="1:7" x14ac:dyDescent="0.35">
      <c r="A45" s="144"/>
      <c r="B45" s="144"/>
      <c r="C45" s="229"/>
      <c r="D45" s="226"/>
      <c r="E45" s="204"/>
      <c r="F45" s="124"/>
      <c r="G45" s="124"/>
    </row>
    <row r="46" spans="1:7" x14ac:dyDescent="0.35">
      <c r="A46" s="144"/>
      <c r="B46" s="144"/>
      <c r="C46" s="229"/>
      <c r="D46" s="126"/>
      <c r="E46" s="204"/>
      <c r="F46" s="124"/>
      <c r="G46" s="124"/>
    </row>
    <row r="47" spans="1:7" x14ac:dyDescent="0.35">
      <c r="A47" s="144"/>
      <c r="B47" s="144"/>
      <c r="C47" s="188"/>
      <c r="D47" s="126"/>
      <c r="E47" s="145"/>
      <c r="F47" s="124"/>
      <c r="G47" s="144"/>
    </row>
    <row r="48" spans="1:7" x14ac:dyDescent="0.35">
      <c r="A48" s="144"/>
      <c r="B48" s="144"/>
      <c r="C48" s="188"/>
      <c r="D48" s="126"/>
      <c r="E48" s="145"/>
      <c r="F48" s="124"/>
      <c r="G48" s="144"/>
    </row>
    <row r="49" spans="1:7" x14ac:dyDescent="0.35">
      <c r="A49" s="144"/>
      <c r="B49" s="144"/>
      <c r="C49" s="188"/>
      <c r="D49" s="126"/>
      <c r="E49" s="145"/>
      <c r="F49" s="124"/>
      <c r="G49" s="144"/>
    </row>
    <row r="50" spans="1:7" x14ac:dyDescent="0.35">
      <c r="A50" s="144"/>
      <c r="B50" s="144"/>
      <c r="C50" s="188"/>
      <c r="D50" s="126"/>
      <c r="E50" s="145"/>
      <c r="F50" s="124"/>
      <c r="G50" s="144"/>
    </row>
    <row r="51" spans="1:7" x14ac:dyDescent="0.35">
      <c r="A51" s="144"/>
      <c r="B51" s="144"/>
      <c r="C51" s="188"/>
      <c r="D51" s="126"/>
      <c r="E51" s="145"/>
      <c r="F51" s="124"/>
      <c r="G51" s="144"/>
    </row>
    <row r="52" spans="1:7" x14ac:dyDescent="0.35">
      <c r="A52" s="144"/>
      <c r="B52" s="144"/>
      <c r="C52" s="188"/>
      <c r="D52" s="126"/>
      <c r="E52" s="145"/>
      <c r="F52" s="124"/>
      <c r="G52" s="144"/>
    </row>
    <row r="53" spans="1:7" x14ac:dyDescent="0.35">
      <c r="A53" s="144"/>
      <c r="B53" s="166"/>
      <c r="C53" s="188"/>
      <c r="D53" s="126"/>
      <c r="E53" s="145"/>
      <c r="F53" s="124"/>
      <c r="G53" s="144"/>
    </row>
    <row r="54" spans="1:7" x14ac:dyDescent="0.35">
      <c r="A54" s="144"/>
      <c r="B54" s="144"/>
      <c r="C54" s="188"/>
      <c r="D54" s="126"/>
      <c r="E54" s="145"/>
      <c r="F54" s="124"/>
      <c r="G54" s="144"/>
    </row>
    <row r="55" spans="1:7" x14ac:dyDescent="0.35">
      <c r="A55" s="144"/>
      <c r="B55" s="144"/>
      <c r="C55" s="188"/>
      <c r="D55" s="126"/>
      <c r="E55" s="145"/>
      <c r="F55" s="124"/>
      <c r="G55" s="144"/>
    </row>
    <row r="56" spans="1:7" x14ac:dyDescent="0.35">
      <c r="A56" s="144"/>
      <c r="B56" s="144"/>
      <c r="C56" s="188"/>
      <c r="D56" s="126"/>
      <c r="E56" s="145"/>
      <c r="F56" s="124"/>
      <c r="G56" s="144"/>
    </row>
    <row r="57" spans="1:7" x14ac:dyDescent="0.35">
      <c r="A57" s="144"/>
      <c r="B57" s="144"/>
      <c r="C57" s="188"/>
      <c r="D57" s="126"/>
      <c r="E57" s="145"/>
      <c r="F57" s="124"/>
      <c r="G57" s="144"/>
    </row>
    <row r="58" spans="1:7" x14ac:dyDescent="0.35">
      <c r="A58" s="144"/>
      <c r="B58" s="144"/>
      <c r="C58" s="188"/>
      <c r="D58" s="126"/>
      <c r="E58" s="145"/>
      <c r="F58" s="124"/>
      <c r="G58" s="144"/>
    </row>
    <row r="59" spans="1:7" x14ac:dyDescent="0.35">
      <c r="A59" s="144"/>
      <c r="B59" s="144"/>
      <c r="C59" s="188"/>
      <c r="D59" s="126"/>
      <c r="E59" s="145"/>
      <c r="F59" s="124"/>
      <c r="G59" s="144"/>
    </row>
    <row r="60" spans="1:7" ht="21" customHeight="1" x14ac:dyDescent="0.35">
      <c r="A60" s="144"/>
      <c r="B60" s="144"/>
      <c r="C60" s="188"/>
      <c r="D60" s="126"/>
      <c r="E60" s="145"/>
      <c r="F60" s="124"/>
      <c r="G60" s="144"/>
    </row>
    <row r="61" spans="1:7" x14ac:dyDescent="0.35">
      <c r="A61" s="227"/>
      <c r="B61" s="144"/>
      <c r="C61" s="188"/>
      <c r="D61" s="126"/>
      <c r="E61" s="145"/>
      <c r="F61" s="124"/>
      <c r="G61" s="144"/>
    </row>
    <row r="62" spans="1:7" ht="21" customHeight="1" x14ac:dyDescent="0.35">
      <c r="A62" s="144"/>
      <c r="B62" s="144"/>
      <c r="C62" s="188"/>
      <c r="D62" s="126"/>
      <c r="E62" s="145"/>
      <c r="F62" s="124"/>
      <c r="G62" s="144"/>
    </row>
    <row r="63" spans="1:7" x14ac:dyDescent="0.35">
      <c r="A63" s="144"/>
      <c r="B63" s="144"/>
      <c r="C63" s="188"/>
      <c r="D63" s="126"/>
      <c r="E63" s="145"/>
      <c r="F63" s="124"/>
      <c r="G63" s="144"/>
    </row>
    <row r="64" spans="1:7" ht="21" customHeight="1" x14ac:dyDescent="0.35">
      <c r="A64" s="144"/>
      <c r="B64" s="144"/>
      <c r="C64" s="188"/>
      <c r="D64" s="226"/>
      <c r="E64" s="145"/>
      <c r="F64" s="124"/>
      <c r="G64" s="144"/>
    </row>
    <row r="65" spans="1:7" x14ac:dyDescent="0.35">
      <c r="A65" s="144"/>
      <c r="B65" s="144"/>
      <c r="C65" s="188"/>
      <c r="D65" s="126"/>
      <c r="E65" s="145"/>
      <c r="F65" s="124"/>
      <c r="G65" s="144"/>
    </row>
    <row r="66" spans="1:7" ht="21" customHeight="1" x14ac:dyDescent="0.35">
      <c r="A66" s="144"/>
      <c r="B66" s="144"/>
      <c r="C66" s="188"/>
      <c r="D66" s="226"/>
      <c r="E66" s="145"/>
      <c r="F66" s="124"/>
      <c r="G66" s="144"/>
    </row>
    <row r="67" spans="1:7" x14ac:dyDescent="0.35">
      <c r="A67" s="227"/>
      <c r="B67" s="144"/>
      <c r="C67" s="188"/>
      <c r="D67" s="226"/>
      <c r="E67" s="145"/>
      <c r="F67" s="124"/>
      <c r="G67" s="144"/>
    </row>
    <row r="68" spans="1:7" ht="21" customHeight="1" x14ac:dyDescent="0.35">
      <c r="A68" s="227"/>
      <c r="B68" s="144"/>
      <c r="C68" s="188"/>
      <c r="D68" s="226"/>
      <c r="E68" s="145"/>
      <c r="F68" s="124"/>
      <c r="G68" s="144"/>
    </row>
    <row r="69" spans="1:7" x14ac:dyDescent="0.35">
      <c r="A69" s="144"/>
      <c r="B69" s="144"/>
      <c r="C69" s="188"/>
      <c r="D69" s="126"/>
      <c r="E69" s="145"/>
      <c r="F69" s="124"/>
      <c r="G69" s="144"/>
    </row>
    <row r="70" spans="1:7" ht="21" customHeight="1" x14ac:dyDescent="0.35">
      <c r="A70" s="227"/>
      <c r="B70" s="144"/>
      <c r="C70" s="188"/>
      <c r="D70" s="126"/>
      <c r="E70" s="145"/>
      <c r="F70" s="124"/>
      <c r="G70" s="144"/>
    </row>
    <row r="71" spans="1:7" x14ac:dyDescent="0.35">
      <c r="A71" s="227"/>
      <c r="B71" s="227"/>
      <c r="C71" s="188">
        <v>1</v>
      </c>
      <c r="D71" s="126"/>
      <c r="E71" s="230"/>
      <c r="F71" s="124"/>
      <c r="G71" s="144"/>
    </row>
    <row r="72" spans="1:7" x14ac:dyDescent="0.35">
      <c r="A72" s="227"/>
      <c r="B72" s="227"/>
      <c r="C72" s="188">
        <v>1</v>
      </c>
      <c r="D72" s="126"/>
      <c r="E72" s="230"/>
      <c r="F72" s="124"/>
      <c r="G72" s="144"/>
    </row>
    <row r="73" spans="1:7" x14ac:dyDescent="0.35">
      <c r="A73" s="227"/>
      <c r="B73" s="227"/>
      <c r="C73" s="188">
        <v>1</v>
      </c>
      <c r="D73" s="126"/>
      <c r="E73" s="230"/>
      <c r="F73" s="124"/>
      <c r="G73" s="144"/>
    </row>
    <row r="74" spans="1:7" x14ac:dyDescent="0.35">
      <c r="A74" s="227"/>
      <c r="B74" s="227"/>
      <c r="C74" s="188">
        <v>1</v>
      </c>
      <c r="D74" s="126"/>
      <c r="E74" s="230"/>
      <c r="F74" s="124"/>
      <c r="G74" s="144"/>
    </row>
    <row r="75" spans="1:7" x14ac:dyDescent="0.35">
      <c r="A75" s="227"/>
      <c r="B75" s="227"/>
      <c r="C75" s="188">
        <v>1</v>
      </c>
      <c r="D75" s="126"/>
      <c r="E75" s="230"/>
      <c r="F75" s="124"/>
      <c r="G75" s="144"/>
    </row>
    <row r="76" spans="1:7" x14ac:dyDescent="0.35">
      <c r="A76" s="227"/>
      <c r="B76" s="227"/>
      <c r="C76" s="188">
        <v>1</v>
      </c>
      <c r="D76" s="126"/>
      <c r="E76" s="230"/>
      <c r="F76" s="124"/>
      <c r="G76" s="144"/>
    </row>
    <row r="77" spans="1:7" x14ac:dyDescent="0.35">
      <c r="A77" s="227"/>
      <c r="B77" s="227"/>
      <c r="C77" s="188">
        <v>1</v>
      </c>
      <c r="D77" s="126"/>
      <c r="E77" s="230"/>
      <c r="F77" s="124"/>
      <c r="G77" s="144"/>
    </row>
    <row r="78" spans="1:7" x14ac:dyDescent="0.35">
      <c r="A78" s="227"/>
      <c r="B78" s="227"/>
      <c r="C78" s="188">
        <v>1</v>
      </c>
      <c r="D78" s="126"/>
      <c r="E78" s="230"/>
      <c r="F78" s="124"/>
      <c r="G78" s="144"/>
    </row>
    <row r="79" spans="1:7" x14ac:dyDescent="0.35">
      <c r="A79" s="227"/>
      <c r="B79" s="227"/>
      <c r="C79" s="188">
        <v>1</v>
      </c>
      <c r="D79" s="126"/>
      <c r="E79" s="230"/>
      <c r="F79" s="124"/>
      <c r="G79" s="144"/>
    </row>
    <row r="80" spans="1:7" x14ac:dyDescent="0.35">
      <c r="A80" s="227"/>
      <c r="B80" s="227"/>
      <c r="C80" s="188">
        <v>1</v>
      </c>
      <c r="D80" s="126"/>
      <c r="E80" s="230"/>
      <c r="F80" s="124"/>
      <c r="G80" s="144"/>
    </row>
    <row r="81" spans="1:7" x14ac:dyDescent="0.35">
      <c r="A81" s="227"/>
      <c r="B81" s="227"/>
      <c r="C81" s="188">
        <v>1</v>
      </c>
      <c r="D81" s="126"/>
      <c r="E81" s="230"/>
      <c r="F81" s="124"/>
      <c r="G81" s="144"/>
    </row>
    <row r="82" spans="1:7" x14ac:dyDescent="0.35">
      <c r="A82" s="227"/>
      <c r="B82" s="227"/>
      <c r="C82" s="188">
        <v>1</v>
      </c>
      <c r="D82" s="126"/>
      <c r="E82" s="230"/>
      <c r="F82" s="124"/>
      <c r="G82" s="144"/>
    </row>
    <row r="83" spans="1:7" x14ac:dyDescent="0.3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CD61-23CD-41BF-9368-618A22372698}">
  <dimension ref="A1:H83"/>
  <sheetViews>
    <sheetView workbookViewId="0">
      <selection activeCell="E20" sqref="E20"/>
    </sheetView>
  </sheetViews>
  <sheetFormatPr defaultRowHeight="14.5" x14ac:dyDescent="0.35"/>
  <cols>
    <col min="1" max="1" width="18.54296875" customWidth="1"/>
    <col min="2" max="2" width="20.81640625" customWidth="1"/>
    <col min="3" max="3" width="13.54296875" customWidth="1"/>
    <col min="4" max="4" width="26.453125" customWidth="1"/>
    <col min="5" max="5" width="46.1796875" customWidth="1"/>
    <col min="6" max="6" width="60.7265625" customWidth="1"/>
    <col min="7" max="7" width="48.1796875" customWidth="1"/>
    <col min="8" max="8" width="21.453125" customWidth="1"/>
  </cols>
  <sheetData>
    <row r="1" spans="1:8" ht="26" x14ac:dyDescent="0.6">
      <c r="A1" s="253" t="s">
        <v>1872</v>
      </c>
      <c r="B1" s="253"/>
      <c r="C1" s="253"/>
      <c r="D1" s="253"/>
      <c r="E1" s="253"/>
      <c r="F1" s="253"/>
      <c r="G1" s="253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8" customHeight="1" x14ac:dyDescent="0.35">
      <c r="A3" s="6" t="s">
        <v>28</v>
      </c>
      <c r="B3" s="231" t="s">
        <v>1874</v>
      </c>
      <c r="C3" s="189"/>
      <c r="D3" s="189"/>
      <c r="E3" s="189"/>
      <c r="F3" s="189"/>
      <c r="G3" s="189"/>
    </row>
    <row r="4" spans="1:8" ht="18" customHeight="1" x14ac:dyDescent="0.35">
      <c r="A4" s="8" t="s">
        <v>29</v>
      </c>
      <c r="B4" s="9">
        <v>45882</v>
      </c>
      <c r="C4" s="189"/>
      <c r="D4" s="189"/>
      <c r="E4" s="189"/>
      <c r="F4" s="189"/>
      <c r="G4" s="189"/>
    </row>
    <row r="5" spans="1:8" ht="18" customHeight="1" thickBot="1" x14ac:dyDescent="0.4">
      <c r="A5" s="10" t="s">
        <v>30</v>
      </c>
      <c r="B5" s="11" t="s">
        <v>1875</v>
      </c>
      <c r="C5" s="189"/>
      <c r="D5" s="189"/>
      <c r="E5" s="189"/>
      <c r="F5" s="189"/>
      <c r="G5" s="189"/>
    </row>
    <row r="6" spans="1:8" ht="17.25" customHeight="1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35">
      <c r="A9" s="144" t="s">
        <v>6</v>
      </c>
      <c r="B9" s="144" t="s">
        <v>1059</v>
      </c>
      <c r="C9" s="229">
        <v>1</v>
      </c>
      <c r="D9" s="148">
        <v>480</v>
      </c>
      <c r="E9" s="145" t="s">
        <v>1863</v>
      </c>
      <c r="F9" s="144" t="s">
        <v>1864</v>
      </c>
      <c r="G9" s="142"/>
      <c r="H9" s="25"/>
    </row>
    <row r="10" spans="1:8" x14ac:dyDescent="0.35">
      <c r="A10" s="144" t="s">
        <v>6</v>
      </c>
      <c r="B10" s="144" t="s">
        <v>1452</v>
      </c>
      <c r="C10" s="188">
        <v>1</v>
      </c>
      <c r="D10" s="148">
        <v>480</v>
      </c>
      <c r="E10" s="145" t="s">
        <v>1863</v>
      </c>
      <c r="F10" s="144" t="s">
        <v>1865</v>
      </c>
      <c r="G10" s="144"/>
    </row>
    <row r="11" spans="1:8" x14ac:dyDescent="0.35">
      <c r="A11" s="144"/>
      <c r="B11" s="144" t="s">
        <v>1866</v>
      </c>
      <c r="C11" s="188">
        <v>1</v>
      </c>
      <c r="D11" s="148">
        <v>183.5</v>
      </c>
      <c r="E11" s="145" t="s">
        <v>1867</v>
      </c>
      <c r="F11" s="144" t="s">
        <v>1868</v>
      </c>
      <c r="G11" s="217"/>
    </row>
    <row r="12" spans="1:8" x14ac:dyDescent="0.35">
      <c r="A12" s="144" t="s">
        <v>6</v>
      </c>
      <c r="B12" s="144" t="s">
        <v>1392</v>
      </c>
      <c r="C12" s="188">
        <v>1</v>
      </c>
      <c r="D12" s="148">
        <v>466.5</v>
      </c>
      <c r="E12" s="145" t="s">
        <v>1863</v>
      </c>
      <c r="F12" s="144" t="s">
        <v>1869</v>
      </c>
      <c r="G12" s="144"/>
    </row>
    <row r="13" spans="1:8" x14ac:dyDescent="0.35">
      <c r="A13" s="144"/>
      <c r="B13" s="144" t="s">
        <v>1866</v>
      </c>
      <c r="C13" s="188">
        <v>1</v>
      </c>
      <c r="D13" s="148">
        <v>183.5</v>
      </c>
      <c r="E13" s="145" t="s">
        <v>1867</v>
      </c>
      <c r="F13" s="144" t="s">
        <v>1870</v>
      </c>
      <c r="G13" s="144"/>
    </row>
    <row r="14" spans="1:8" x14ac:dyDescent="0.35">
      <c r="A14" s="124"/>
      <c r="B14" s="144" t="s">
        <v>1866</v>
      </c>
      <c r="C14" s="188">
        <v>1</v>
      </c>
      <c r="D14" s="148">
        <v>183.5</v>
      </c>
      <c r="E14" s="145" t="s">
        <v>1867</v>
      </c>
      <c r="F14" s="144" t="s">
        <v>1871</v>
      </c>
      <c r="G14" s="217"/>
    </row>
    <row r="15" spans="1:8" x14ac:dyDescent="0.35">
      <c r="A15" s="144"/>
      <c r="B15" s="144"/>
      <c r="C15" s="188">
        <v>1</v>
      </c>
      <c r="D15" s="148"/>
      <c r="E15" s="145"/>
      <c r="F15" s="144"/>
      <c r="G15" s="144"/>
    </row>
    <row r="16" spans="1:8" x14ac:dyDescent="0.35">
      <c r="A16" s="144"/>
      <c r="B16" s="144"/>
      <c r="C16" s="188">
        <v>1</v>
      </c>
      <c r="D16" s="155"/>
      <c r="E16" s="145"/>
      <c r="F16" s="144"/>
      <c r="G16" s="144"/>
    </row>
    <row r="17" spans="1:7" x14ac:dyDescent="0.35">
      <c r="A17" s="144"/>
      <c r="B17" s="144"/>
      <c r="C17" s="188">
        <v>1</v>
      </c>
      <c r="D17" s="155"/>
      <c r="E17" s="145"/>
      <c r="F17" s="144"/>
      <c r="G17" s="144"/>
    </row>
    <row r="18" spans="1:7" x14ac:dyDescent="0.35">
      <c r="A18" s="144"/>
      <c r="B18" s="144"/>
      <c r="C18" s="229">
        <v>1</v>
      </c>
      <c r="D18" s="148"/>
      <c r="E18" s="145"/>
      <c r="F18" s="144"/>
      <c r="G18" s="142"/>
    </row>
    <row r="19" spans="1:7" x14ac:dyDescent="0.35">
      <c r="A19" s="144"/>
      <c r="B19" s="144"/>
      <c r="C19" s="188">
        <v>1</v>
      </c>
      <c r="D19" s="148"/>
      <c r="E19" s="145"/>
      <c r="F19" s="144"/>
      <c r="G19" s="142"/>
    </row>
    <row r="20" spans="1:7" x14ac:dyDescent="0.35">
      <c r="A20" s="144"/>
      <c r="B20" s="144"/>
      <c r="C20" s="188">
        <v>1</v>
      </c>
      <c r="D20" s="148"/>
      <c r="E20" s="145"/>
      <c r="F20" s="144"/>
      <c r="G20" s="144"/>
    </row>
    <row r="21" spans="1:7" x14ac:dyDescent="0.35">
      <c r="A21" s="144"/>
      <c r="B21" s="144"/>
      <c r="C21" s="188">
        <v>1</v>
      </c>
      <c r="D21" s="155"/>
      <c r="E21" s="145"/>
      <c r="F21" s="144"/>
      <c r="G21" s="144"/>
    </row>
    <row r="22" spans="1:7" x14ac:dyDescent="0.35">
      <c r="A22" s="144"/>
      <c r="B22" s="144"/>
      <c r="C22" s="188">
        <v>1</v>
      </c>
      <c r="D22" s="148"/>
      <c r="E22" s="145"/>
      <c r="F22" s="144"/>
      <c r="G22" s="144"/>
    </row>
    <row r="23" spans="1:7" x14ac:dyDescent="0.35">
      <c r="A23" s="144"/>
      <c r="B23" s="144"/>
      <c r="C23" s="188">
        <v>1</v>
      </c>
      <c r="D23" s="148"/>
      <c r="E23" s="145"/>
      <c r="F23" s="144"/>
      <c r="G23" s="144"/>
    </row>
    <row r="24" spans="1:7" x14ac:dyDescent="0.35">
      <c r="A24" s="144"/>
      <c r="B24" s="144"/>
      <c r="C24" s="188">
        <v>1</v>
      </c>
      <c r="D24" s="148"/>
      <c r="E24" s="145"/>
      <c r="F24" s="144"/>
      <c r="G24" s="144"/>
    </row>
    <row r="25" spans="1:7" x14ac:dyDescent="0.35">
      <c r="A25" s="144"/>
      <c r="B25" s="144"/>
      <c r="C25" s="188">
        <v>1</v>
      </c>
      <c r="D25" s="148"/>
      <c r="E25" s="145"/>
      <c r="F25" s="144"/>
      <c r="G25" s="144"/>
    </row>
    <row r="26" spans="1:7" x14ac:dyDescent="0.35">
      <c r="A26" s="144"/>
      <c r="B26" s="144"/>
      <c r="C26" s="188">
        <v>1</v>
      </c>
      <c r="D26" s="148"/>
      <c r="E26" s="145"/>
      <c r="F26" s="144"/>
      <c r="G26" s="144"/>
    </row>
    <row r="27" spans="1:7" x14ac:dyDescent="0.35">
      <c r="A27" s="144"/>
      <c r="B27" s="144"/>
      <c r="C27" s="188">
        <v>1</v>
      </c>
      <c r="D27" s="148"/>
      <c r="E27" s="145"/>
      <c r="F27" s="144"/>
      <c r="G27" s="144"/>
    </row>
    <row r="28" spans="1:7" x14ac:dyDescent="0.35">
      <c r="A28" s="144"/>
      <c r="B28" s="144"/>
      <c r="C28" s="188">
        <v>1</v>
      </c>
      <c r="D28" s="148"/>
      <c r="E28" s="145"/>
      <c r="F28" s="144"/>
      <c r="G28" s="144"/>
    </row>
    <row r="29" spans="1:7" x14ac:dyDescent="0.35">
      <c r="A29" s="144"/>
      <c r="B29" s="144"/>
      <c r="C29" s="188">
        <v>1</v>
      </c>
      <c r="D29" s="148"/>
      <c r="E29" s="145"/>
      <c r="F29" s="144"/>
      <c r="G29" s="144"/>
    </row>
    <row r="30" spans="1:7" x14ac:dyDescent="0.35">
      <c r="A30" s="144"/>
      <c r="B30" s="144"/>
      <c r="C30" s="188">
        <v>1</v>
      </c>
      <c r="D30" s="148"/>
      <c r="E30" s="145"/>
      <c r="F30" s="144"/>
      <c r="G30" s="144"/>
    </row>
    <row r="31" spans="1:7" x14ac:dyDescent="0.35">
      <c r="A31" s="144"/>
      <c r="B31" s="232"/>
      <c r="C31" s="188">
        <v>1</v>
      </c>
      <c r="D31" s="148"/>
      <c r="E31" s="145"/>
      <c r="F31" s="144"/>
      <c r="G31" s="144"/>
    </row>
    <row r="32" spans="1:7" x14ac:dyDescent="0.35">
      <c r="A32" s="144"/>
      <c r="B32" s="232"/>
      <c r="C32" s="188">
        <v>1</v>
      </c>
      <c r="D32" s="148"/>
      <c r="E32" s="145"/>
      <c r="F32" s="144"/>
      <c r="G32" s="144"/>
    </row>
    <row r="33" spans="1:7" x14ac:dyDescent="0.35">
      <c r="A33" s="144"/>
      <c r="B33" s="144"/>
      <c r="C33" s="188">
        <v>1</v>
      </c>
      <c r="D33" s="148"/>
      <c r="E33" s="145"/>
      <c r="F33" s="144"/>
      <c r="G33" s="144"/>
    </row>
    <row r="34" spans="1:7" x14ac:dyDescent="0.35">
      <c r="A34" s="144"/>
      <c r="B34" s="144"/>
      <c r="C34" s="188">
        <v>1</v>
      </c>
      <c r="D34" s="155"/>
      <c r="E34" s="145"/>
      <c r="F34" s="144"/>
      <c r="G34" s="144"/>
    </row>
    <row r="35" spans="1:7" x14ac:dyDescent="0.35">
      <c r="A35" s="144"/>
      <c r="B35" s="144"/>
      <c r="C35" s="188">
        <v>1</v>
      </c>
      <c r="D35" s="155"/>
      <c r="E35" s="145"/>
      <c r="F35" s="144"/>
      <c r="G35" s="144"/>
    </row>
    <row r="36" spans="1:7" x14ac:dyDescent="0.35">
      <c r="A36" s="144"/>
      <c r="B36" s="144"/>
      <c r="C36" s="188">
        <v>1</v>
      </c>
      <c r="D36" s="148"/>
      <c r="E36" s="145"/>
      <c r="F36" s="144"/>
      <c r="G36" s="144"/>
    </row>
    <row r="37" spans="1:7" x14ac:dyDescent="0.35">
      <c r="A37" s="144"/>
      <c r="B37" s="144"/>
      <c r="C37" s="188">
        <v>1</v>
      </c>
      <c r="D37" s="148"/>
      <c r="E37" s="145"/>
      <c r="F37" s="144"/>
      <c r="G37" s="144"/>
    </row>
    <row r="38" spans="1:7" x14ac:dyDescent="0.35">
      <c r="A38" s="144"/>
      <c r="B38" s="144"/>
      <c r="C38" s="188">
        <v>1</v>
      </c>
      <c r="D38" s="148"/>
      <c r="E38" s="145"/>
      <c r="F38" s="144"/>
      <c r="G38" s="144"/>
    </row>
    <row r="39" spans="1:7" x14ac:dyDescent="0.35">
      <c r="A39" s="144"/>
      <c r="B39" s="144"/>
      <c r="C39" s="188">
        <v>1</v>
      </c>
      <c r="D39" s="226"/>
      <c r="E39" s="145"/>
      <c r="F39" s="144"/>
      <c r="G39" s="144"/>
    </row>
    <row r="40" spans="1:7" x14ac:dyDescent="0.35">
      <c r="A40" s="144"/>
      <c r="B40" s="144"/>
      <c r="C40" s="188">
        <v>1</v>
      </c>
      <c r="D40" s="226"/>
      <c r="E40" s="145"/>
      <c r="F40" s="144"/>
      <c r="G40" s="144"/>
    </row>
    <row r="41" spans="1:7" x14ac:dyDescent="0.35">
      <c r="A41" s="144"/>
      <c r="B41" s="144"/>
      <c r="C41" s="188">
        <v>1</v>
      </c>
      <c r="D41" s="226"/>
      <c r="E41" s="145"/>
      <c r="F41" s="144"/>
      <c r="G41" s="144"/>
    </row>
    <row r="42" spans="1:7" x14ac:dyDescent="0.35">
      <c r="A42" s="144"/>
      <c r="B42" s="144"/>
      <c r="C42" s="188">
        <v>1</v>
      </c>
      <c r="D42" s="226"/>
      <c r="E42" s="145"/>
      <c r="F42" s="144"/>
      <c r="G42" s="144"/>
    </row>
    <row r="43" spans="1:7" x14ac:dyDescent="0.35">
      <c r="A43" s="144"/>
      <c r="B43" s="144"/>
      <c r="C43" s="188">
        <v>1</v>
      </c>
      <c r="D43" s="155"/>
      <c r="E43" s="145"/>
      <c r="F43" s="144"/>
      <c r="G43" s="144"/>
    </row>
    <row r="44" spans="1:7" x14ac:dyDescent="0.35">
      <c r="A44" s="144"/>
      <c r="B44" s="144"/>
      <c r="C44" s="188">
        <v>1</v>
      </c>
      <c r="D44" s="155"/>
      <c r="E44" s="145"/>
      <c r="F44" s="144"/>
      <c r="G44" s="144"/>
    </row>
    <row r="45" spans="1:7" x14ac:dyDescent="0.35">
      <c r="A45" s="144"/>
      <c r="B45" s="144"/>
      <c r="C45" s="188">
        <v>1</v>
      </c>
      <c r="D45" s="226"/>
      <c r="E45" s="204"/>
      <c r="F45" s="124"/>
      <c r="G45" s="124"/>
    </row>
    <row r="46" spans="1:7" x14ac:dyDescent="0.35">
      <c r="A46" s="144"/>
      <c r="B46" s="144"/>
      <c r="C46" s="188">
        <v>1</v>
      </c>
      <c r="D46" s="126"/>
      <c r="E46" s="204"/>
      <c r="F46" s="124"/>
      <c r="G46" s="124"/>
    </row>
    <row r="47" spans="1:7" x14ac:dyDescent="0.35">
      <c r="A47" s="144"/>
      <c r="B47" s="144"/>
      <c r="C47" s="188">
        <v>1</v>
      </c>
      <c r="D47" s="126"/>
      <c r="E47" s="145"/>
      <c r="F47" s="124"/>
      <c r="G47" s="144"/>
    </row>
    <row r="48" spans="1:7" x14ac:dyDescent="0.35">
      <c r="A48" s="144"/>
      <c r="B48" s="144"/>
      <c r="C48" s="188">
        <v>1</v>
      </c>
      <c r="D48" s="126"/>
      <c r="E48" s="145"/>
      <c r="F48" s="124"/>
      <c r="G48" s="144"/>
    </row>
    <row r="49" spans="1:7" x14ac:dyDescent="0.35">
      <c r="A49" s="144"/>
      <c r="B49" s="144"/>
      <c r="C49" s="188">
        <v>1</v>
      </c>
      <c r="D49" s="126"/>
      <c r="E49" s="145"/>
      <c r="F49" s="124"/>
      <c r="G49" s="144"/>
    </row>
    <row r="50" spans="1:7" x14ac:dyDescent="0.35">
      <c r="A50" s="144"/>
      <c r="B50" s="144"/>
      <c r="C50" s="188">
        <v>1</v>
      </c>
      <c r="D50" s="126"/>
      <c r="E50" s="145"/>
      <c r="F50" s="124"/>
      <c r="G50" s="144"/>
    </row>
    <row r="51" spans="1:7" x14ac:dyDescent="0.35">
      <c r="A51" s="144"/>
      <c r="B51" s="144"/>
      <c r="C51" s="188">
        <v>1</v>
      </c>
      <c r="D51" s="126"/>
      <c r="E51" s="145"/>
      <c r="F51" s="124"/>
      <c r="G51" s="144"/>
    </row>
    <row r="52" spans="1:7" x14ac:dyDescent="0.35">
      <c r="A52" s="144"/>
      <c r="B52" s="144"/>
      <c r="C52" s="188">
        <v>1</v>
      </c>
      <c r="D52" s="126"/>
      <c r="E52" s="145"/>
      <c r="F52" s="124"/>
      <c r="G52" s="144"/>
    </row>
    <row r="53" spans="1:7" x14ac:dyDescent="0.35">
      <c r="A53" s="144"/>
      <c r="B53" s="166"/>
      <c r="C53" s="188">
        <v>1</v>
      </c>
      <c r="D53" s="126"/>
      <c r="E53" s="145"/>
      <c r="F53" s="124"/>
      <c r="G53" s="144"/>
    </row>
    <row r="54" spans="1:7" x14ac:dyDescent="0.35">
      <c r="A54" s="144"/>
      <c r="B54" s="144"/>
      <c r="C54" s="188">
        <v>1</v>
      </c>
      <c r="D54" s="126"/>
      <c r="E54" s="145"/>
      <c r="F54" s="124"/>
      <c r="G54" s="144"/>
    </row>
    <row r="55" spans="1:7" x14ac:dyDescent="0.35">
      <c r="A55" s="144"/>
      <c r="B55" s="144"/>
      <c r="C55" s="188">
        <v>1</v>
      </c>
      <c r="D55" s="126"/>
      <c r="E55" s="145"/>
      <c r="F55" s="124"/>
      <c r="G55" s="144"/>
    </row>
    <row r="56" spans="1:7" x14ac:dyDescent="0.35">
      <c r="A56" s="144"/>
      <c r="B56" s="144"/>
      <c r="C56" s="188">
        <v>1</v>
      </c>
      <c r="D56" s="126"/>
      <c r="E56" s="145"/>
      <c r="F56" s="124"/>
      <c r="G56" s="144"/>
    </row>
    <row r="57" spans="1:7" x14ac:dyDescent="0.35">
      <c r="A57" s="144"/>
      <c r="B57" s="144"/>
      <c r="C57" s="188">
        <v>1</v>
      </c>
      <c r="D57" s="126"/>
      <c r="E57" s="145"/>
      <c r="F57" s="124"/>
      <c r="G57" s="144"/>
    </row>
    <row r="58" spans="1:7" x14ac:dyDescent="0.35">
      <c r="A58" s="144"/>
      <c r="B58" s="144"/>
      <c r="C58" s="188">
        <v>1</v>
      </c>
      <c r="D58" s="126"/>
      <c r="E58" s="145"/>
      <c r="F58" s="124"/>
      <c r="G58" s="144"/>
    </row>
    <row r="59" spans="1:7" x14ac:dyDescent="0.3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35">
      <c r="A60" s="144"/>
      <c r="B60" s="144"/>
      <c r="C60" s="188">
        <v>1</v>
      </c>
      <c r="D60" s="126"/>
      <c r="E60" s="145"/>
      <c r="F60" s="124"/>
      <c r="G60" s="144"/>
    </row>
    <row r="61" spans="1:7" x14ac:dyDescent="0.3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35">
      <c r="A62" s="144"/>
      <c r="B62" s="144"/>
      <c r="C62" s="188">
        <v>1</v>
      </c>
      <c r="D62" s="126"/>
      <c r="E62" s="145"/>
      <c r="F62" s="124"/>
      <c r="G62" s="144"/>
    </row>
    <row r="63" spans="1:7" x14ac:dyDescent="0.3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35">
      <c r="A64" s="144"/>
      <c r="B64" s="144"/>
      <c r="C64" s="188">
        <v>1</v>
      </c>
      <c r="D64" s="226"/>
      <c r="E64" s="145"/>
      <c r="F64" s="124"/>
      <c r="G64" s="144"/>
    </row>
    <row r="65" spans="1:7" x14ac:dyDescent="0.3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35">
      <c r="A66" s="144"/>
      <c r="B66" s="144"/>
      <c r="C66" s="188">
        <v>1</v>
      </c>
      <c r="D66" s="226"/>
      <c r="E66" s="145"/>
      <c r="F66" s="124"/>
      <c r="G66" s="144"/>
    </row>
    <row r="67" spans="1:7" x14ac:dyDescent="0.3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35">
      <c r="A68" s="227"/>
      <c r="B68" s="144"/>
      <c r="C68" s="188">
        <v>1</v>
      </c>
      <c r="D68" s="226"/>
      <c r="E68" s="145"/>
      <c r="F68" s="124"/>
      <c r="G68" s="144"/>
    </row>
    <row r="69" spans="1:7" x14ac:dyDescent="0.3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35">
      <c r="A70" s="227"/>
      <c r="B70" s="144"/>
      <c r="C70" s="188">
        <v>1</v>
      </c>
      <c r="D70" s="126"/>
      <c r="E70" s="145"/>
      <c r="F70" s="124"/>
      <c r="G70" s="144"/>
    </row>
    <row r="71" spans="1:7" x14ac:dyDescent="0.35">
      <c r="A71" s="227"/>
      <c r="B71" s="227"/>
      <c r="C71" s="188">
        <v>1</v>
      </c>
      <c r="D71" s="126"/>
      <c r="E71" s="230"/>
      <c r="F71" s="124"/>
      <c r="G71" s="144"/>
    </row>
    <row r="72" spans="1:7" x14ac:dyDescent="0.35">
      <c r="A72" s="227"/>
      <c r="B72" s="227"/>
      <c r="C72" s="188">
        <v>1</v>
      </c>
      <c r="D72" s="126"/>
      <c r="E72" s="230"/>
      <c r="F72" s="124"/>
      <c r="G72" s="144"/>
    </row>
    <row r="73" spans="1:7" x14ac:dyDescent="0.35">
      <c r="A73" s="227"/>
      <c r="B73" s="227"/>
      <c r="C73" s="188">
        <v>1</v>
      </c>
      <c r="D73" s="126"/>
      <c r="E73" s="230"/>
      <c r="F73" s="124"/>
      <c r="G73" s="144"/>
    </row>
    <row r="74" spans="1:7" x14ac:dyDescent="0.35">
      <c r="A74" s="227"/>
      <c r="B74" s="227"/>
      <c r="C74" s="188">
        <v>1</v>
      </c>
      <c r="D74" s="126"/>
      <c r="E74" s="230"/>
      <c r="F74" s="124"/>
      <c r="G74" s="144"/>
    </row>
    <row r="75" spans="1:7" x14ac:dyDescent="0.35">
      <c r="A75" s="227"/>
      <c r="B75" s="227"/>
      <c r="C75" s="188">
        <v>1</v>
      </c>
      <c r="D75" s="126"/>
      <c r="E75" s="230"/>
      <c r="F75" s="124"/>
      <c r="G75" s="144"/>
    </row>
    <row r="76" spans="1:7" x14ac:dyDescent="0.35">
      <c r="A76" s="227"/>
      <c r="B76" s="227"/>
      <c r="C76" s="188">
        <v>1</v>
      </c>
      <c r="D76" s="126"/>
      <c r="E76" s="230"/>
      <c r="F76" s="124"/>
      <c r="G76" s="144"/>
    </row>
    <row r="77" spans="1:7" x14ac:dyDescent="0.35">
      <c r="A77" s="227"/>
      <c r="B77" s="227"/>
      <c r="C77" s="188">
        <v>1</v>
      </c>
      <c r="D77" s="126"/>
      <c r="E77" s="230"/>
      <c r="F77" s="124"/>
      <c r="G77" s="144"/>
    </row>
    <row r="78" spans="1:7" x14ac:dyDescent="0.35">
      <c r="A78" s="227"/>
      <c r="B78" s="227"/>
      <c r="C78" s="188">
        <v>1</v>
      </c>
      <c r="D78" s="126"/>
      <c r="E78" s="230"/>
      <c r="F78" s="124"/>
      <c r="G78" s="144"/>
    </row>
    <row r="79" spans="1:7" x14ac:dyDescent="0.35">
      <c r="A79" s="227"/>
      <c r="B79" s="227"/>
      <c r="C79" s="188">
        <v>1</v>
      </c>
      <c r="D79" s="126"/>
      <c r="E79" s="230"/>
      <c r="F79" s="124"/>
      <c r="G79" s="144"/>
    </row>
    <row r="80" spans="1:7" x14ac:dyDescent="0.35">
      <c r="A80" s="227"/>
      <c r="B80" s="227"/>
      <c r="C80" s="188">
        <v>1</v>
      </c>
      <c r="D80" s="126"/>
      <c r="E80" s="230"/>
      <c r="F80" s="124"/>
      <c r="G80" s="144"/>
    </row>
    <row r="81" spans="1:7" x14ac:dyDescent="0.35">
      <c r="A81" s="227"/>
      <c r="B81" s="227"/>
      <c r="C81" s="188">
        <v>1</v>
      </c>
      <c r="D81" s="126"/>
      <c r="E81" s="230"/>
      <c r="F81" s="124"/>
      <c r="G81" s="144"/>
    </row>
    <row r="82" spans="1:7" x14ac:dyDescent="0.35">
      <c r="A82" s="227"/>
      <c r="B82" s="227"/>
      <c r="C82" s="188">
        <v>1</v>
      </c>
      <c r="D82" s="126"/>
      <c r="E82" s="230"/>
      <c r="F82" s="124"/>
      <c r="G82" s="144"/>
    </row>
    <row r="83" spans="1:7" x14ac:dyDescent="0.3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5197A-9187-423D-8848-3E2B9154511B}">
  <dimension ref="A1:G71"/>
  <sheetViews>
    <sheetView topLeftCell="A5" workbookViewId="0">
      <selection activeCell="F32" sqref="F32"/>
    </sheetView>
  </sheetViews>
  <sheetFormatPr defaultRowHeight="14.5" x14ac:dyDescent="0.35"/>
  <cols>
    <col min="1" max="2" width="21.81640625" customWidth="1"/>
    <col min="3" max="3" width="15.54296875" customWidth="1"/>
    <col min="4" max="4" width="23.26953125" customWidth="1"/>
    <col min="5" max="5" width="42.453125" customWidth="1"/>
    <col min="6" max="6" width="48.1796875" customWidth="1"/>
    <col min="7" max="7" width="38.5429687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15" customHeight="1" x14ac:dyDescent="0.35">
      <c r="A3" s="6" t="s">
        <v>28</v>
      </c>
      <c r="B3" s="218" t="s">
        <v>1921</v>
      </c>
      <c r="C3" s="189"/>
      <c r="D3" s="189"/>
      <c r="E3" s="189"/>
      <c r="F3" s="189"/>
      <c r="G3" s="189"/>
    </row>
    <row r="4" spans="1:7" ht="15" customHeight="1" x14ac:dyDescent="0.35">
      <c r="A4" s="8" t="s">
        <v>29</v>
      </c>
      <c r="B4" s="9">
        <v>45855</v>
      </c>
      <c r="C4" s="189"/>
      <c r="D4" s="189"/>
      <c r="E4" s="189"/>
      <c r="F4" s="189"/>
      <c r="G4" s="189"/>
    </row>
    <row r="5" spans="1:7" ht="15" customHeight="1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5" customHeight="1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35">
      <c r="A9" s="144" t="s">
        <v>23</v>
      </c>
      <c r="B9" s="144" t="s">
        <v>211</v>
      </c>
      <c r="C9" s="188">
        <v>1</v>
      </c>
      <c r="D9" s="155">
        <v>58</v>
      </c>
      <c r="E9" s="145" t="s">
        <v>62</v>
      </c>
      <c r="F9" s="228" t="s">
        <v>34</v>
      </c>
      <c r="G9" s="144" t="s">
        <v>1876</v>
      </c>
    </row>
    <row r="10" spans="1:7" x14ac:dyDescent="0.35">
      <c r="A10" s="144" t="s">
        <v>6</v>
      </c>
      <c r="B10" s="144" t="s">
        <v>72</v>
      </c>
      <c r="C10" s="229">
        <v>1</v>
      </c>
      <c r="D10" s="148">
        <v>26</v>
      </c>
      <c r="E10" s="145" t="s">
        <v>1138</v>
      </c>
      <c r="F10" s="144" t="s">
        <v>35</v>
      </c>
      <c r="G10" s="144" t="s">
        <v>1877</v>
      </c>
    </row>
    <row r="11" spans="1:7" x14ac:dyDescent="0.35">
      <c r="A11" s="144" t="s">
        <v>6</v>
      </c>
      <c r="B11" s="144" t="s">
        <v>86</v>
      </c>
      <c r="C11" s="188">
        <v>1</v>
      </c>
      <c r="D11" s="148">
        <v>26</v>
      </c>
      <c r="E11" s="145" t="s">
        <v>47</v>
      </c>
      <c r="F11" s="144" t="s">
        <v>35</v>
      </c>
      <c r="G11" s="144" t="s">
        <v>1878</v>
      </c>
    </row>
    <row r="12" spans="1:7" x14ac:dyDescent="0.35">
      <c r="A12" s="144" t="s">
        <v>6</v>
      </c>
      <c r="B12" s="144" t="s">
        <v>219</v>
      </c>
      <c r="C12" s="188">
        <v>1</v>
      </c>
      <c r="D12" s="148">
        <v>26</v>
      </c>
      <c r="E12" s="145" t="s">
        <v>876</v>
      </c>
      <c r="F12" s="144" t="s">
        <v>35</v>
      </c>
      <c r="G12" s="144" t="s">
        <v>1879</v>
      </c>
    </row>
    <row r="13" spans="1:7" x14ac:dyDescent="0.35">
      <c r="A13" s="131" t="s">
        <v>23</v>
      </c>
      <c r="B13" s="144" t="s">
        <v>206</v>
      </c>
      <c r="C13" s="188">
        <v>1</v>
      </c>
      <c r="D13" s="148">
        <v>26</v>
      </c>
      <c r="E13" s="145" t="s">
        <v>63</v>
      </c>
      <c r="F13" s="144" t="s">
        <v>35</v>
      </c>
      <c r="G13" s="144" t="s">
        <v>1880</v>
      </c>
    </row>
    <row r="14" spans="1:7" x14ac:dyDescent="0.35">
      <c r="A14" s="131" t="s">
        <v>23</v>
      </c>
      <c r="B14" s="144" t="s">
        <v>206</v>
      </c>
      <c r="C14" s="188">
        <v>1</v>
      </c>
      <c r="D14" s="155">
        <v>58</v>
      </c>
      <c r="E14" s="145" t="s">
        <v>63</v>
      </c>
      <c r="F14" s="144" t="s">
        <v>34</v>
      </c>
      <c r="G14" s="144" t="s">
        <v>1880</v>
      </c>
    </row>
    <row r="15" spans="1:7" x14ac:dyDescent="0.35">
      <c r="A15" s="131" t="s">
        <v>23</v>
      </c>
      <c r="B15" s="144" t="s">
        <v>206</v>
      </c>
      <c r="C15" s="188">
        <v>1</v>
      </c>
      <c r="D15" s="148">
        <v>26</v>
      </c>
      <c r="E15" s="145" t="s">
        <v>63</v>
      </c>
      <c r="F15" s="144" t="s">
        <v>35</v>
      </c>
      <c r="G15" s="144" t="s">
        <v>1881</v>
      </c>
    </row>
    <row r="16" spans="1:7" x14ac:dyDescent="0.35">
      <c r="A16" s="131" t="s">
        <v>23</v>
      </c>
      <c r="B16" s="144" t="s">
        <v>206</v>
      </c>
      <c r="C16" s="188">
        <v>1</v>
      </c>
      <c r="D16" s="148">
        <v>26</v>
      </c>
      <c r="E16" s="145" t="s">
        <v>63</v>
      </c>
      <c r="F16" s="144" t="s">
        <v>35</v>
      </c>
      <c r="G16" s="144" t="s">
        <v>1882</v>
      </c>
    </row>
    <row r="17" spans="1:7" x14ac:dyDescent="0.35">
      <c r="A17" s="131" t="s">
        <v>23</v>
      </c>
      <c r="B17" s="144" t="s">
        <v>206</v>
      </c>
      <c r="C17" s="188">
        <v>1</v>
      </c>
      <c r="D17" s="155">
        <v>58</v>
      </c>
      <c r="E17" s="145" t="s">
        <v>63</v>
      </c>
      <c r="F17" s="144" t="s">
        <v>34</v>
      </c>
      <c r="G17" s="144" t="s">
        <v>1882</v>
      </c>
    </row>
    <row r="18" spans="1:7" x14ac:dyDescent="0.35">
      <c r="A18" s="131" t="s">
        <v>23</v>
      </c>
      <c r="B18" s="144" t="s">
        <v>206</v>
      </c>
      <c r="C18" s="188">
        <v>1</v>
      </c>
      <c r="D18" s="148">
        <v>26</v>
      </c>
      <c r="E18" s="145" t="s">
        <v>63</v>
      </c>
      <c r="F18" s="144" t="s">
        <v>35</v>
      </c>
      <c r="G18" s="144" t="s">
        <v>1883</v>
      </c>
    </row>
    <row r="19" spans="1:7" x14ac:dyDescent="0.35">
      <c r="A19" s="144" t="s">
        <v>23</v>
      </c>
      <c r="B19" s="144" t="s">
        <v>211</v>
      </c>
      <c r="C19" s="229">
        <v>1</v>
      </c>
      <c r="D19" s="148">
        <v>26</v>
      </c>
      <c r="E19" s="145" t="s">
        <v>62</v>
      </c>
      <c r="F19" s="144" t="s">
        <v>35</v>
      </c>
      <c r="G19" s="144" t="s">
        <v>1884</v>
      </c>
    </row>
    <row r="20" spans="1:7" x14ac:dyDescent="0.35">
      <c r="A20" s="144" t="s">
        <v>6</v>
      </c>
      <c r="B20" s="144" t="s">
        <v>219</v>
      </c>
      <c r="C20" s="188">
        <v>1</v>
      </c>
      <c r="D20" s="148">
        <v>26</v>
      </c>
      <c r="E20" s="145" t="s">
        <v>876</v>
      </c>
      <c r="F20" s="144" t="s">
        <v>35</v>
      </c>
      <c r="G20" s="144" t="s">
        <v>1885</v>
      </c>
    </row>
    <row r="21" spans="1:7" x14ac:dyDescent="0.35">
      <c r="A21" s="144" t="s">
        <v>6</v>
      </c>
      <c r="B21" s="144" t="s">
        <v>219</v>
      </c>
      <c r="C21" s="188">
        <v>1</v>
      </c>
      <c r="D21" s="155">
        <v>58</v>
      </c>
      <c r="E21" s="145" t="s">
        <v>876</v>
      </c>
      <c r="F21" s="144" t="s">
        <v>34</v>
      </c>
      <c r="G21" s="144" t="s">
        <v>1885</v>
      </c>
    </row>
    <row r="22" spans="1:7" x14ac:dyDescent="0.35">
      <c r="A22" s="144" t="s">
        <v>6</v>
      </c>
      <c r="B22" s="144" t="s">
        <v>88</v>
      </c>
      <c r="C22" s="188">
        <v>1</v>
      </c>
      <c r="D22" s="155">
        <v>58</v>
      </c>
      <c r="E22" s="145" t="s">
        <v>83</v>
      </c>
      <c r="F22" s="144" t="s">
        <v>34</v>
      </c>
      <c r="G22" s="144" t="s">
        <v>1886</v>
      </c>
    </row>
    <row r="23" spans="1:7" x14ac:dyDescent="0.35">
      <c r="A23" s="144" t="s">
        <v>6</v>
      </c>
      <c r="B23" s="144" t="s">
        <v>86</v>
      </c>
      <c r="C23" s="188">
        <v>1</v>
      </c>
      <c r="D23" s="155">
        <v>58</v>
      </c>
      <c r="E23" s="145" t="s">
        <v>47</v>
      </c>
      <c r="F23" s="144" t="s">
        <v>34</v>
      </c>
      <c r="G23" s="144" t="s">
        <v>1887</v>
      </c>
    </row>
    <row r="24" spans="1:7" x14ac:dyDescent="0.35">
      <c r="A24" s="144" t="s">
        <v>6</v>
      </c>
      <c r="B24" s="144" t="s">
        <v>86</v>
      </c>
      <c r="C24" s="188">
        <v>1</v>
      </c>
      <c r="D24" s="155">
        <v>39</v>
      </c>
      <c r="E24" s="145" t="s">
        <v>47</v>
      </c>
      <c r="F24" s="144" t="s">
        <v>36</v>
      </c>
      <c r="G24" s="144" t="s">
        <v>1887</v>
      </c>
    </row>
    <row r="25" spans="1:7" x14ac:dyDescent="0.35">
      <c r="A25" s="144" t="s">
        <v>23</v>
      </c>
      <c r="B25" s="144" t="s">
        <v>211</v>
      </c>
      <c r="C25" s="188">
        <v>1</v>
      </c>
      <c r="D25" s="148">
        <v>26</v>
      </c>
      <c r="E25" s="145" t="s">
        <v>62</v>
      </c>
      <c r="F25" s="144" t="s">
        <v>35</v>
      </c>
      <c r="G25" s="144" t="s">
        <v>1888</v>
      </c>
    </row>
    <row r="26" spans="1:7" x14ac:dyDescent="0.35">
      <c r="A26" s="144"/>
      <c r="B26" s="144" t="s">
        <v>163</v>
      </c>
      <c r="C26" s="188">
        <v>1</v>
      </c>
      <c r="D26" s="155">
        <v>146.30000000000001</v>
      </c>
      <c r="E26" s="145" t="s">
        <v>56</v>
      </c>
      <c r="F26" s="144" t="s">
        <v>989</v>
      </c>
      <c r="G26" s="144" t="s">
        <v>1889</v>
      </c>
    </row>
    <row r="27" spans="1:7" x14ac:dyDescent="0.35">
      <c r="A27" s="144" t="s">
        <v>6</v>
      </c>
      <c r="B27" s="144" t="s">
        <v>219</v>
      </c>
      <c r="C27" s="188">
        <v>1</v>
      </c>
      <c r="D27" s="155">
        <v>146.30000000000001</v>
      </c>
      <c r="E27" s="145" t="s">
        <v>876</v>
      </c>
      <c r="F27" s="144" t="s">
        <v>989</v>
      </c>
      <c r="G27" s="144" t="s">
        <v>1890</v>
      </c>
    </row>
    <row r="28" spans="1:7" x14ac:dyDescent="0.35">
      <c r="A28" s="144" t="s">
        <v>6</v>
      </c>
      <c r="B28" s="144" t="s">
        <v>219</v>
      </c>
      <c r="C28" s="188">
        <v>1</v>
      </c>
      <c r="D28" s="155">
        <v>146.30000000000001</v>
      </c>
      <c r="E28" s="145" t="s">
        <v>876</v>
      </c>
      <c r="F28" s="144" t="s">
        <v>989</v>
      </c>
      <c r="G28" s="144" t="s">
        <v>1891</v>
      </c>
    </row>
    <row r="29" spans="1:7" x14ac:dyDescent="0.35">
      <c r="A29" s="144"/>
      <c r="B29" s="144" t="s">
        <v>163</v>
      </c>
      <c r="C29" s="188">
        <v>1</v>
      </c>
      <c r="D29" s="155">
        <v>146.30000000000001</v>
      </c>
      <c r="E29" s="145" t="s">
        <v>56</v>
      </c>
      <c r="F29" s="144" t="s">
        <v>989</v>
      </c>
      <c r="G29" s="144" t="s">
        <v>1892</v>
      </c>
    </row>
    <row r="30" spans="1:7" x14ac:dyDescent="0.35">
      <c r="A30" s="144"/>
      <c r="B30" s="144" t="s">
        <v>163</v>
      </c>
      <c r="C30" s="188">
        <v>1</v>
      </c>
      <c r="D30" s="155">
        <v>146.30000000000001</v>
      </c>
      <c r="E30" s="145" t="s">
        <v>56</v>
      </c>
      <c r="F30" s="144" t="s">
        <v>989</v>
      </c>
      <c r="G30" s="144" t="s">
        <v>1893</v>
      </c>
    </row>
    <row r="31" spans="1:7" x14ac:dyDescent="0.35">
      <c r="A31" s="144" t="s">
        <v>6</v>
      </c>
      <c r="B31" s="144" t="s">
        <v>219</v>
      </c>
      <c r="C31" s="188">
        <v>1</v>
      </c>
      <c r="D31" s="155">
        <v>146.30000000000001</v>
      </c>
      <c r="E31" s="145" t="s">
        <v>876</v>
      </c>
      <c r="F31" s="144" t="s">
        <v>989</v>
      </c>
      <c r="G31" s="144" t="s">
        <v>1894</v>
      </c>
    </row>
    <row r="32" spans="1:7" x14ac:dyDescent="0.35">
      <c r="A32" s="144"/>
      <c r="B32" s="144" t="s">
        <v>163</v>
      </c>
      <c r="C32" s="188">
        <v>1</v>
      </c>
      <c r="D32" s="155">
        <v>176</v>
      </c>
      <c r="E32" s="145" t="s">
        <v>56</v>
      </c>
      <c r="F32" s="144" t="s">
        <v>992</v>
      </c>
      <c r="G32" s="144" t="s">
        <v>1895</v>
      </c>
    </row>
    <row r="33" spans="1:7" x14ac:dyDescent="0.35">
      <c r="A33" s="144" t="s">
        <v>6</v>
      </c>
      <c r="B33" s="144" t="s">
        <v>72</v>
      </c>
      <c r="C33" s="188">
        <v>1</v>
      </c>
      <c r="D33" s="155">
        <v>39</v>
      </c>
      <c r="E33" s="145" t="s">
        <v>1138</v>
      </c>
      <c r="F33" s="144" t="s">
        <v>36</v>
      </c>
      <c r="G33" s="144" t="s">
        <v>1896</v>
      </c>
    </row>
    <row r="34" spans="1:7" x14ac:dyDescent="0.35">
      <c r="A34" s="144" t="s">
        <v>6</v>
      </c>
      <c r="B34" s="144" t="s">
        <v>86</v>
      </c>
      <c r="C34" s="188">
        <v>1</v>
      </c>
      <c r="D34" s="155">
        <v>146.30000000000001</v>
      </c>
      <c r="E34" s="145" t="s">
        <v>47</v>
      </c>
      <c r="F34" s="144" t="s">
        <v>989</v>
      </c>
      <c r="G34" s="144" t="s">
        <v>1897</v>
      </c>
    </row>
    <row r="35" spans="1:7" x14ac:dyDescent="0.35">
      <c r="A35" s="144" t="s">
        <v>6</v>
      </c>
      <c r="B35" s="144" t="s">
        <v>86</v>
      </c>
      <c r="C35" s="188">
        <v>1</v>
      </c>
      <c r="D35" s="155">
        <v>176</v>
      </c>
      <c r="E35" s="145" t="s">
        <v>47</v>
      </c>
      <c r="F35" s="144" t="s">
        <v>992</v>
      </c>
      <c r="G35" s="144" t="s">
        <v>1898</v>
      </c>
    </row>
    <row r="36" spans="1:7" x14ac:dyDescent="0.35">
      <c r="A36" s="144" t="s">
        <v>6</v>
      </c>
      <c r="B36" s="144" t="s">
        <v>219</v>
      </c>
      <c r="C36" s="188">
        <v>1</v>
      </c>
      <c r="D36" s="155">
        <v>146.30000000000001</v>
      </c>
      <c r="E36" s="145" t="s">
        <v>876</v>
      </c>
      <c r="F36" s="144" t="s">
        <v>989</v>
      </c>
      <c r="G36" s="144" t="s">
        <v>1899</v>
      </c>
    </row>
    <row r="37" spans="1:7" x14ac:dyDescent="0.35">
      <c r="A37" s="131" t="s">
        <v>23</v>
      </c>
      <c r="B37" s="144" t="s">
        <v>206</v>
      </c>
      <c r="C37" s="188">
        <v>1</v>
      </c>
      <c r="D37" s="155">
        <v>146.30000000000001</v>
      </c>
      <c r="E37" s="145" t="s">
        <v>63</v>
      </c>
      <c r="F37" s="144" t="s">
        <v>989</v>
      </c>
      <c r="G37" s="144" t="s">
        <v>1900</v>
      </c>
    </row>
    <row r="38" spans="1:7" x14ac:dyDescent="0.35">
      <c r="A38" s="144" t="s">
        <v>23</v>
      </c>
      <c r="B38" s="144" t="s">
        <v>211</v>
      </c>
      <c r="C38" s="188">
        <v>1</v>
      </c>
      <c r="D38" s="148">
        <v>82</v>
      </c>
      <c r="E38" s="145" t="s">
        <v>62</v>
      </c>
      <c r="F38" s="144" t="s">
        <v>33</v>
      </c>
      <c r="G38" s="144" t="s">
        <v>1901</v>
      </c>
    </row>
    <row r="39" spans="1:7" x14ac:dyDescent="0.35">
      <c r="A39" s="144"/>
      <c r="B39" s="144" t="s">
        <v>163</v>
      </c>
      <c r="C39" s="188">
        <v>1</v>
      </c>
      <c r="D39" s="148">
        <v>82</v>
      </c>
      <c r="E39" s="145" t="s">
        <v>56</v>
      </c>
      <c r="F39" s="144" t="s">
        <v>33</v>
      </c>
      <c r="G39" s="144" t="s">
        <v>1892</v>
      </c>
    </row>
    <row r="40" spans="1:7" x14ac:dyDescent="0.35">
      <c r="A40" s="144" t="s">
        <v>6</v>
      </c>
      <c r="B40" s="144" t="s">
        <v>219</v>
      </c>
      <c r="C40" s="188">
        <v>1</v>
      </c>
      <c r="D40" s="148">
        <v>82</v>
      </c>
      <c r="E40" s="145" t="s">
        <v>876</v>
      </c>
      <c r="F40" s="144" t="s">
        <v>33</v>
      </c>
      <c r="G40" s="144" t="s">
        <v>1891</v>
      </c>
    </row>
    <row r="41" spans="1:7" x14ac:dyDescent="0.35">
      <c r="A41" s="144" t="s">
        <v>6</v>
      </c>
      <c r="B41" s="144" t="s">
        <v>219</v>
      </c>
      <c r="C41" s="188">
        <v>1</v>
      </c>
      <c r="D41" s="148">
        <v>82</v>
      </c>
      <c r="E41" s="145" t="s">
        <v>876</v>
      </c>
      <c r="F41" s="144" t="s">
        <v>33</v>
      </c>
      <c r="G41" s="144" t="s">
        <v>1890</v>
      </c>
    </row>
    <row r="42" spans="1:7" x14ac:dyDescent="0.35">
      <c r="A42" s="144" t="s">
        <v>6</v>
      </c>
      <c r="B42" s="144" t="s">
        <v>219</v>
      </c>
      <c r="C42" s="188">
        <v>1</v>
      </c>
      <c r="D42" s="148">
        <v>82</v>
      </c>
      <c r="E42" s="145" t="s">
        <v>876</v>
      </c>
      <c r="F42" s="144" t="s">
        <v>33</v>
      </c>
      <c r="G42" s="144" t="s">
        <v>1902</v>
      </c>
    </row>
    <row r="43" spans="1:7" x14ac:dyDescent="0.35">
      <c r="A43" s="144" t="s">
        <v>6</v>
      </c>
      <c r="B43" s="144" t="s">
        <v>86</v>
      </c>
      <c r="C43" s="188">
        <v>1</v>
      </c>
      <c r="D43" s="148">
        <v>82</v>
      </c>
      <c r="E43" s="145" t="s">
        <v>47</v>
      </c>
      <c r="F43" s="144" t="s">
        <v>33</v>
      </c>
      <c r="G43" s="144" t="s">
        <v>1903</v>
      </c>
    </row>
    <row r="44" spans="1:7" x14ac:dyDescent="0.35">
      <c r="A44" s="144" t="s">
        <v>23</v>
      </c>
      <c r="B44" s="144" t="s">
        <v>211</v>
      </c>
      <c r="C44" s="188">
        <v>1</v>
      </c>
      <c r="D44" s="148">
        <v>82</v>
      </c>
      <c r="E44" s="145" t="s">
        <v>62</v>
      </c>
      <c r="F44" s="144" t="s">
        <v>33</v>
      </c>
      <c r="G44" s="144" t="s">
        <v>1908</v>
      </c>
    </row>
    <row r="45" spans="1:7" x14ac:dyDescent="0.35">
      <c r="A45" s="144"/>
      <c r="B45" s="144" t="s">
        <v>163</v>
      </c>
      <c r="C45" s="188">
        <v>1</v>
      </c>
      <c r="D45" s="148">
        <v>82</v>
      </c>
      <c r="E45" s="145" t="s">
        <v>56</v>
      </c>
      <c r="F45" s="144" t="s">
        <v>33</v>
      </c>
      <c r="G45" s="144" t="s">
        <v>1904</v>
      </c>
    </row>
    <row r="46" spans="1:7" x14ac:dyDescent="0.35">
      <c r="A46" s="144"/>
      <c r="B46" s="144" t="s">
        <v>163</v>
      </c>
      <c r="C46" s="188">
        <v>1</v>
      </c>
      <c r="D46" s="148">
        <v>82</v>
      </c>
      <c r="E46" s="145" t="s">
        <v>56</v>
      </c>
      <c r="F46" s="144" t="s">
        <v>33</v>
      </c>
      <c r="G46" s="144" t="s">
        <v>1905</v>
      </c>
    </row>
    <row r="47" spans="1:7" x14ac:dyDescent="0.35">
      <c r="A47" s="144" t="s">
        <v>6</v>
      </c>
      <c r="B47" s="144" t="s">
        <v>142</v>
      </c>
      <c r="C47" s="188">
        <v>1</v>
      </c>
      <c r="D47" s="148">
        <v>82</v>
      </c>
      <c r="E47" s="145" t="s">
        <v>44</v>
      </c>
      <c r="F47" s="144" t="s">
        <v>33</v>
      </c>
      <c r="G47" s="144" t="s">
        <v>1906</v>
      </c>
    </row>
    <row r="48" spans="1:7" x14ac:dyDescent="0.35">
      <c r="A48" s="144" t="s">
        <v>6</v>
      </c>
      <c r="B48" s="144" t="s">
        <v>86</v>
      </c>
      <c r="C48" s="188">
        <v>1</v>
      </c>
      <c r="D48" s="148">
        <v>82</v>
      </c>
      <c r="E48" s="145" t="s">
        <v>47</v>
      </c>
      <c r="F48" s="144" t="s">
        <v>33</v>
      </c>
      <c r="G48" s="144" t="s">
        <v>1907</v>
      </c>
    </row>
    <row r="49" spans="1:7" x14ac:dyDescent="0.35">
      <c r="A49" s="144" t="s">
        <v>23</v>
      </c>
      <c r="B49" s="144" t="s">
        <v>211</v>
      </c>
      <c r="C49" s="188">
        <v>1</v>
      </c>
      <c r="D49" s="148">
        <v>82</v>
      </c>
      <c r="E49" s="145" t="s">
        <v>62</v>
      </c>
      <c r="F49" s="144" t="s">
        <v>33</v>
      </c>
      <c r="G49" s="144" t="s">
        <v>1909</v>
      </c>
    </row>
    <row r="50" spans="1:7" x14ac:dyDescent="0.35">
      <c r="A50" s="144" t="s">
        <v>6</v>
      </c>
      <c r="B50" s="144" t="s">
        <v>219</v>
      </c>
      <c r="C50" s="188">
        <v>1</v>
      </c>
      <c r="D50" s="148">
        <v>82</v>
      </c>
      <c r="E50" s="145" t="s">
        <v>876</v>
      </c>
      <c r="F50" s="144" t="s">
        <v>33</v>
      </c>
      <c r="G50" s="144" t="s">
        <v>1910</v>
      </c>
    </row>
    <row r="51" spans="1:7" x14ac:dyDescent="0.35">
      <c r="A51" s="144" t="s">
        <v>6</v>
      </c>
      <c r="B51" s="144" t="s">
        <v>72</v>
      </c>
      <c r="C51" s="188">
        <v>1</v>
      </c>
      <c r="D51" s="148">
        <v>82</v>
      </c>
      <c r="E51" s="145" t="s">
        <v>1138</v>
      </c>
      <c r="F51" s="144" t="s">
        <v>33</v>
      </c>
      <c r="G51" s="144" t="s">
        <v>1911</v>
      </c>
    </row>
    <row r="52" spans="1:7" x14ac:dyDescent="0.35">
      <c r="A52" s="144" t="s">
        <v>23</v>
      </c>
      <c r="B52" s="144" t="s">
        <v>211</v>
      </c>
      <c r="C52" s="188">
        <v>1</v>
      </c>
      <c r="D52" s="148">
        <v>82</v>
      </c>
      <c r="E52" s="145" t="s">
        <v>62</v>
      </c>
      <c r="F52" s="144" t="s">
        <v>33</v>
      </c>
      <c r="G52" s="144" t="s">
        <v>1912</v>
      </c>
    </row>
    <row r="53" spans="1:7" x14ac:dyDescent="0.35">
      <c r="A53" s="144" t="s">
        <v>6</v>
      </c>
      <c r="B53" s="144" t="s">
        <v>72</v>
      </c>
      <c r="C53" s="188">
        <v>1</v>
      </c>
      <c r="D53" s="148">
        <v>82</v>
      </c>
      <c r="E53" s="145" t="s">
        <v>1138</v>
      </c>
      <c r="F53" s="144" t="s">
        <v>33</v>
      </c>
      <c r="G53" s="144" t="s">
        <v>1913</v>
      </c>
    </row>
    <row r="54" spans="1:7" x14ac:dyDescent="0.35">
      <c r="A54" s="144" t="s">
        <v>6</v>
      </c>
      <c r="B54" s="144" t="s">
        <v>88</v>
      </c>
      <c r="C54" s="188">
        <v>1</v>
      </c>
      <c r="D54" s="148">
        <v>82</v>
      </c>
      <c r="E54" s="145" t="s">
        <v>83</v>
      </c>
      <c r="F54" s="144" t="s">
        <v>33</v>
      </c>
      <c r="G54" s="144" t="s">
        <v>1914</v>
      </c>
    </row>
    <row r="55" spans="1:7" x14ac:dyDescent="0.35">
      <c r="A55" s="144" t="s">
        <v>6</v>
      </c>
      <c r="B55" s="144" t="s">
        <v>72</v>
      </c>
      <c r="C55" s="188">
        <v>1</v>
      </c>
      <c r="D55" s="148">
        <v>82</v>
      </c>
      <c r="E55" s="145" t="s">
        <v>1138</v>
      </c>
      <c r="F55" s="144" t="s">
        <v>33</v>
      </c>
      <c r="G55" s="144" t="s">
        <v>1915</v>
      </c>
    </row>
    <row r="56" spans="1:7" x14ac:dyDescent="0.35">
      <c r="A56" s="144" t="s">
        <v>23</v>
      </c>
      <c r="B56" s="144" t="s">
        <v>211</v>
      </c>
      <c r="C56" s="188">
        <v>1</v>
      </c>
      <c r="D56" s="148">
        <v>82</v>
      </c>
      <c r="E56" s="145" t="s">
        <v>62</v>
      </c>
      <c r="F56" s="144" t="s">
        <v>33</v>
      </c>
      <c r="G56" s="144" t="s">
        <v>1916</v>
      </c>
    </row>
    <row r="57" spans="1:7" x14ac:dyDescent="0.35">
      <c r="A57" s="131" t="s">
        <v>23</v>
      </c>
      <c r="B57" s="144" t="s">
        <v>206</v>
      </c>
      <c r="C57" s="188">
        <v>1</v>
      </c>
      <c r="D57" s="148">
        <v>82</v>
      </c>
      <c r="E57" s="145" t="s">
        <v>63</v>
      </c>
      <c r="F57" s="144" t="s">
        <v>33</v>
      </c>
      <c r="G57" s="144" t="s">
        <v>1917</v>
      </c>
    </row>
    <row r="58" spans="1:7" x14ac:dyDescent="0.35">
      <c r="A58" s="144" t="s">
        <v>6</v>
      </c>
      <c r="B58" s="144" t="s">
        <v>86</v>
      </c>
      <c r="C58" s="188">
        <v>1</v>
      </c>
      <c r="D58" s="148">
        <v>82</v>
      </c>
      <c r="E58" s="145" t="s">
        <v>47</v>
      </c>
      <c r="F58" s="144" t="s">
        <v>33</v>
      </c>
      <c r="G58" s="144" t="s">
        <v>1918</v>
      </c>
    </row>
    <row r="59" spans="1:7" x14ac:dyDescent="0.35">
      <c r="A59" s="144" t="s">
        <v>6</v>
      </c>
      <c r="B59" s="144" t="s">
        <v>86</v>
      </c>
      <c r="C59" s="188">
        <v>1</v>
      </c>
      <c r="D59" s="148">
        <v>82</v>
      </c>
      <c r="E59" s="145" t="s">
        <v>47</v>
      </c>
      <c r="F59" s="144" t="s">
        <v>33</v>
      </c>
      <c r="G59" s="144" t="s">
        <v>1919</v>
      </c>
    </row>
    <row r="60" spans="1:7" x14ac:dyDescent="0.35">
      <c r="A60" s="144"/>
      <c r="B60" s="144" t="s">
        <v>163</v>
      </c>
      <c r="C60" s="188">
        <v>1</v>
      </c>
      <c r="D60" s="148">
        <v>82</v>
      </c>
      <c r="E60" s="145" t="s">
        <v>56</v>
      </c>
      <c r="F60" s="144" t="s">
        <v>33</v>
      </c>
      <c r="G60" s="144" t="s">
        <v>1920</v>
      </c>
    </row>
    <row r="61" spans="1:7" x14ac:dyDescent="0.35">
      <c r="A61" s="144"/>
      <c r="B61" s="144" t="s">
        <v>163</v>
      </c>
      <c r="C61" s="188">
        <v>1</v>
      </c>
      <c r="D61" s="148">
        <v>82</v>
      </c>
      <c r="E61" s="145" t="s">
        <v>56</v>
      </c>
      <c r="F61" s="144" t="s">
        <v>33</v>
      </c>
      <c r="G61" s="144" t="s">
        <v>1893</v>
      </c>
    </row>
    <row r="62" spans="1:7" x14ac:dyDescent="0.35">
      <c r="A62" s="144" t="s">
        <v>6</v>
      </c>
      <c r="B62" s="144" t="s">
        <v>219</v>
      </c>
      <c r="C62" s="188">
        <v>1</v>
      </c>
      <c r="D62" s="148">
        <v>82</v>
      </c>
      <c r="E62" s="145" t="s">
        <v>876</v>
      </c>
      <c r="F62" s="144" t="s">
        <v>33</v>
      </c>
      <c r="G62" s="144" t="s">
        <v>1894</v>
      </c>
    </row>
    <row r="63" spans="1:7" x14ac:dyDescent="0.35">
      <c r="A63" s="144"/>
      <c r="B63" s="144"/>
      <c r="C63" s="188">
        <v>1</v>
      </c>
      <c r="D63" s="144"/>
      <c r="E63" s="144"/>
      <c r="F63" s="144"/>
      <c r="G63" s="144"/>
    </row>
    <row r="64" spans="1:7" x14ac:dyDescent="0.35">
      <c r="A64" s="144"/>
      <c r="B64" s="144"/>
      <c r="C64" s="188">
        <v>1</v>
      </c>
      <c r="D64" s="144"/>
      <c r="E64" s="144"/>
      <c r="F64" s="144"/>
      <c r="G64" s="144"/>
    </row>
    <row r="65" spans="1:7" x14ac:dyDescent="0.35">
      <c r="A65" s="144"/>
      <c r="B65" s="144"/>
      <c r="C65" s="188">
        <v>1</v>
      </c>
      <c r="D65" s="144"/>
      <c r="E65" s="144"/>
      <c r="F65" s="144"/>
      <c r="G65" s="144"/>
    </row>
    <row r="66" spans="1:7" x14ac:dyDescent="0.35">
      <c r="A66" s="144"/>
      <c r="B66" s="144"/>
      <c r="C66" s="188">
        <v>1</v>
      </c>
      <c r="D66" s="144"/>
      <c r="E66" s="144"/>
      <c r="F66" s="144"/>
      <c r="G66" s="144"/>
    </row>
    <row r="67" spans="1:7" x14ac:dyDescent="0.35">
      <c r="A67" s="144"/>
      <c r="B67" s="144"/>
      <c r="C67" s="188">
        <v>1</v>
      </c>
      <c r="D67" s="144"/>
      <c r="E67" s="144"/>
      <c r="F67" s="144"/>
      <c r="G67" s="144"/>
    </row>
    <row r="68" spans="1:7" x14ac:dyDescent="0.35">
      <c r="A68" s="144"/>
      <c r="B68" s="144"/>
      <c r="C68" s="188">
        <v>1</v>
      </c>
      <c r="D68" s="144"/>
      <c r="E68" s="144"/>
      <c r="F68" s="144"/>
      <c r="G68" s="144"/>
    </row>
    <row r="69" spans="1:7" x14ac:dyDescent="0.35">
      <c r="A69" s="144"/>
      <c r="B69" s="144"/>
      <c r="C69" s="188">
        <v>1</v>
      </c>
      <c r="D69" s="144"/>
      <c r="E69" s="144"/>
      <c r="F69" s="144"/>
      <c r="G69" s="144"/>
    </row>
    <row r="70" spans="1:7" x14ac:dyDescent="0.35">
      <c r="A70" s="144"/>
      <c r="B70" s="144"/>
      <c r="C70" s="188">
        <v>1</v>
      </c>
      <c r="D70" s="144"/>
      <c r="E70" s="144"/>
      <c r="F70" s="144"/>
      <c r="G70" s="144"/>
    </row>
    <row r="71" spans="1:7" x14ac:dyDescent="0.35">
      <c r="A71" s="144"/>
      <c r="B71" s="144"/>
      <c r="C71" s="188">
        <v>1</v>
      </c>
      <c r="D71" s="144"/>
      <c r="E71" s="144"/>
      <c r="F71" s="144"/>
      <c r="G71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FF692-DA7A-47E4-AD4C-1A72A0B9B598}">
  <dimension ref="A1:H83"/>
  <sheetViews>
    <sheetView workbookViewId="0">
      <selection sqref="A1:XFD1048576"/>
    </sheetView>
  </sheetViews>
  <sheetFormatPr defaultRowHeight="14.5" x14ac:dyDescent="0.35"/>
  <cols>
    <col min="1" max="1" width="18.54296875" customWidth="1"/>
    <col min="2" max="2" width="20.81640625" customWidth="1"/>
    <col min="3" max="3" width="13.54296875" customWidth="1"/>
    <col min="4" max="4" width="26.453125" customWidth="1"/>
    <col min="5" max="5" width="46.1796875" customWidth="1"/>
    <col min="6" max="6" width="60.7265625" customWidth="1"/>
    <col min="7" max="7" width="48.1796875" customWidth="1"/>
    <col min="8" max="8" width="21.453125" customWidth="1"/>
  </cols>
  <sheetData>
    <row r="1" spans="1:8" ht="26" x14ac:dyDescent="0.6">
      <c r="A1" s="253" t="s">
        <v>1872</v>
      </c>
      <c r="B1" s="253"/>
      <c r="C1" s="253"/>
      <c r="D1" s="253"/>
      <c r="E1" s="253"/>
      <c r="F1" s="253"/>
      <c r="G1" s="253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8" customHeight="1" x14ac:dyDescent="0.35">
      <c r="A3" s="6" t="s">
        <v>28</v>
      </c>
      <c r="B3" s="218" t="s">
        <v>1921</v>
      </c>
      <c r="C3" s="189"/>
      <c r="D3" s="189"/>
      <c r="E3" s="189"/>
      <c r="F3" s="189"/>
      <c r="G3" s="189"/>
    </row>
    <row r="4" spans="1:8" ht="18" customHeight="1" x14ac:dyDescent="0.35">
      <c r="A4" s="8" t="s">
        <v>29</v>
      </c>
      <c r="B4" s="9">
        <v>45855</v>
      </c>
      <c r="C4" s="189"/>
      <c r="D4" s="189"/>
      <c r="E4" s="189"/>
      <c r="F4" s="189"/>
      <c r="G4" s="189"/>
    </row>
    <row r="5" spans="1:8" ht="18" customHeight="1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8" ht="17.25" customHeight="1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x14ac:dyDescent="0.35">
      <c r="A9" s="144" t="s">
        <v>6</v>
      </c>
      <c r="B9" s="144" t="s">
        <v>1393</v>
      </c>
      <c r="C9" s="229">
        <v>1</v>
      </c>
      <c r="D9" s="148">
        <v>480</v>
      </c>
      <c r="E9" s="145" t="s">
        <v>1863</v>
      </c>
      <c r="F9" s="144" t="s">
        <v>1873</v>
      </c>
      <c r="G9" s="142"/>
      <c r="H9" s="25"/>
    </row>
    <row r="10" spans="1:8" x14ac:dyDescent="0.35">
      <c r="A10" s="144"/>
      <c r="B10" s="144"/>
      <c r="C10" s="229">
        <v>1</v>
      </c>
      <c r="D10" s="148"/>
      <c r="E10" s="145"/>
      <c r="F10" s="144"/>
      <c r="G10" s="144"/>
    </row>
    <row r="11" spans="1:8" x14ac:dyDescent="0.35">
      <c r="A11" s="144"/>
      <c r="B11" s="144"/>
      <c r="C11" s="229">
        <v>1</v>
      </c>
      <c r="D11" s="148"/>
      <c r="E11" s="145"/>
      <c r="F11" s="144"/>
      <c r="G11" s="217"/>
    </row>
    <row r="12" spans="1:8" x14ac:dyDescent="0.35">
      <c r="A12" s="144"/>
      <c r="B12" s="144"/>
      <c r="C12" s="229">
        <v>1</v>
      </c>
      <c r="D12" s="148"/>
      <c r="E12" s="145"/>
      <c r="F12" s="144"/>
      <c r="G12" s="144"/>
    </row>
    <row r="13" spans="1:8" x14ac:dyDescent="0.35">
      <c r="A13" s="144"/>
      <c r="B13" s="144"/>
      <c r="C13" s="229">
        <v>1</v>
      </c>
      <c r="D13" s="148"/>
      <c r="E13" s="145"/>
      <c r="F13" s="144"/>
      <c r="G13" s="144"/>
    </row>
    <row r="14" spans="1:8" x14ac:dyDescent="0.35">
      <c r="A14" s="124"/>
      <c r="B14" s="144"/>
      <c r="C14" s="229">
        <v>1</v>
      </c>
      <c r="D14" s="148"/>
      <c r="E14" s="145"/>
      <c r="F14" s="144"/>
      <c r="G14" s="217"/>
    </row>
    <row r="15" spans="1:8" x14ac:dyDescent="0.35">
      <c r="A15" s="144"/>
      <c r="B15" s="144"/>
      <c r="C15" s="229">
        <v>1</v>
      </c>
      <c r="D15" s="148"/>
      <c r="E15" s="145"/>
      <c r="F15" s="144"/>
      <c r="G15" s="144"/>
    </row>
    <row r="16" spans="1:8" x14ac:dyDescent="0.35">
      <c r="A16" s="144"/>
      <c r="B16" s="144"/>
      <c r="C16" s="188">
        <v>1</v>
      </c>
      <c r="D16" s="155"/>
      <c r="E16" s="145"/>
      <c r="F16" s="144"/>
      <c r="G16" s="144"/>
    </row>
    <row r="17" spans="1:7" x14ac:dyDescent="0.35">
      <c r="A17" s="144"/>
      <c r="B17" s="144"/>
      <c r="C17" s="188">
        <v>1</v>
      </c>
      <c r="D17" s="155"/>
      <c r="E17" s="145"/>
      <c r="F17" s="144"/>
      <c r="G17" s="144"/>
    </row>
    <row r="18" spans="1:7" x14ac:dyDescent="0.35">
      <c r="A18" s="144"/>
      <c r="B18" s="144"/>
      <c r="C18" s="229">
        <v>1</v>
      </c>
      <c r="D18" s="148"/>
      <c r="E18" s="145"/>
      <c r="F18" s="144"/>
      <c r="G18" s="142"/>
    </row>
    <row r="19" spans="1:7" x14ac:dyDescent="0.35">
      <c r="A19" s="144"/>
      <c r="B19" s="144"/>
      <c r="C19" s="188">
        <v>1</v>
      </c>
      <c r="D19" s="148"/>
      <c r="E19" s="145"/>
      <c r="F19" s="144"/>
      <c r="G19" s="142"/>
    </row>
    <row r="20" spans="1:7" x14ac:dyDescent="0.35">
      <c r="A20" s="144"/>
      <c r="B20" s="144"/>
      <c r="C20" s="188">
        <v>1</v>
      </c>
      <c r="D20" s="148"/>
      <c r="E20" s="145"/>
      <c r="F20" s="144"/>
      <c r="G20" s="144"/>
    </row>
    <row r="21" spans="1:7" x14ac:dyDescent="0.35">
      <c r="A21" s="144"/>
      <c r="B21" s="144"/>
      <c r="C21" s="188">
        <v>1</v>
      </c>
      <c r="D21" s="155"/>
      <c r="E21" s="145"/>
      <c r="F21" s="144"/>
      <c r="G21" s="144"/>
    </row>
    <row r="22" spans="1:7" x14ac:dyDescent="0.35">
      <c r="A22" s="144"/>
      <c r="B22" s="144"/>
      <c r="C22" s="188">
        <v>1</v>
      </c>
      <c r="D22" s="148"/>
      <c r="E22" s="145"/>
      <c r="F22" s="144"/>
      <c r="G22" s="144"/>
    </row>
    <row r="23" spans="1:7" x14ac:dyDescent="0.35">
      <c r="A23" s="144"/>
      <c r="B23" s="144"/>
      <c r="C23" s="188">
        <v>1</v>
      </c>
      <c r="D23" s="148"/>
      <c r="E23" s="145"/>
      <c r="F23" s="144"/>
      <c r="G23" s="144"/>
    </row>
    <row r="24" spans="1:7" x14ac:dyDescent="0.35">
      <c r="A24" s="144"/>
      <c r="B24" s="144"/>
      <c r="C24" s="188">
        <v>1</v>
      </c>
      <c r="D24" s="148"/>
      <c r="E24" s="145"/>
      <c r="F24" s="144"/>
      <c r="G24" s="144"/>
    </row>
    <row r="25" spans="1:7" x14ac:dyDescent="0.35">
      <c r="A25" s="144"/>
      <c r="B25" s="144"/>
      <c r="C25" s="188">
        <v>1</v>
      </c>
      <c r="D25" s="148"/>
      <c r="E25" s="145"/>
      <c r="F25" s="144"/>
      <c r="G25" s="144"/>
    </row>
    <row r="26" spans="1:7" x14ac:dyDescent="0.35">
      <c r="A26" s="144"/>
      <c r="B26" s="144"/>
      <c r="C26" s="188">
        <v>1</v>
      </c>
      <c r="D26" s="148"/>
      <c r="E26" s="145"/>
      <c r="F26" s="144"/>
      <c r="G26" s="144"/>
    </row>
    <row r="27" spans="1:7" x14ac:dyDescent="0.35">
      <c r="A27" s="144"/>
      <c r="B27" s="144"/>
      <c r="C27" s="188">
        <v>1</v>
      </c>
      <c r="D27" s="148"/>
      <c r="E27" s="145"/>
      <c r="F27" s="144"/>
      <c r="G27" s="144"/>
    </row>
    <row r="28" spans="1:7" x14ac:dyDescent="0.35">
      <c r="A28" s="144"/>
      <c r="B28" s="144"/>
      <c r="C28" s="188">
        <v>1</v>
      </c>
      <c r="D28" s="148"/>
      <c r="E28" s="145"/>
      <c r="F28" s="144"/>
      <c r="G28" s="144"/>
    </row>
    <row r="29" spans="1:7" x14ac:dyDescent="0.35">
      <c r="A29" s="144"/>
      <c r="B29" s="144"/>
      <c r="C29" s="188">
        <v>1</v>
      </c>
      <c r="D29" s="148"/>
      <c r="E29" s="145"/>
      <c r="F29" s="144"/>
      <c r="G29" s="144"/>
    </row>
    <row r="30" spans="1:7" x14ac:dyDescent="0.35">
      <c r="A30" s="144"/>
      <c r="B30" s="144"/>
      <c r="C30" s="188">
        <v>1</v>
      </c>
      <c r="D30" s="148"/>
      <c r="E30" s="145"/>
      <c r="F30" s="144"/>
      <c r="G30" s="144"/>
    </row>
    <row r="31" spans="1:7" x14ac:dyDescent="0.35">
      <c r="A31" s="144"/>
      <c r="B31" s="232"/>
      <c r="C31" s="188">
        <v>1</v>
      </c>
      <c r="D31" s="148"/>
      <c r="E31" s="145"/>
      <c r="F31" s="144"/>
      <c r="G31" s="144"/>
    </row>
    <row r="32" spans="1:7" x14ac:dyDescent="0.35">
      <c r="A32" s="144"/>
      <c r="B32" s="232"/>
      <c r="C32" s="188">
        <v>1</v>
      </c>
      <c r="D32" s="148"/>
      <c r="E32" s="145"/>
      <c r="F32" s="144"/>
      <c r="G32" s="144"/>
    </row>
    <row r="33" spans="1:7" x14ac:dyDescent="0.35">
      <c r="A33" s="144"/>
      <c r="B33" s="144"/>
      <c r="C33" s="188">
        <v>1</v>
      </c>
      <c r="D33" s="148"/>
      <c r="E33" s="145"/>
      <c r="F33" s="144"/>
      <c r="G33" s="144"/>
    </row>
    <row r="34" spans="1:7" x14ac:dyDescent="0.35">
      <c r="A34" s="144"/>
      <c r="B34" s="144"/>
      <c r="C34" s="188">
        <v>1</v>
      </c>
      <c r="D34" s="155"/>
      <c r="E34" s="145"/>
      <c r="F34" s="144"/>
      <c r="G34" s="144"/>
    </row>
    <row r="35" spans="1:7" x14ac:dyDescent="0.35">
      <c r="A35" s="144"/>
      <c r="B35" s="144"/>
      <c r="C35" s="188">
        <v>1</v>
      </c>
      <c r="D35" s="155"/>
      <c r="E35" s="145"/>
      <c r="F35" s="144"/>
      <c r="G35" s="144"/>
    </row>
    <row r="36" spans="1:7" x14ac:dyDescent="0.35">
      <c r="A36" s="144"/>
      <c r="B36" s="144"/>
      <c r="C36" s="188">
        <v>1</v>
      </c>
      <c r="D36" s="148"/>
      <c r="E36" s="145"/>
      <c r="F36" s="144"/>
      <c r="G36" s="144"/>
    </row>
    <row r="37" spans="1:7" x14ac:dyDescent="0.35">
      <c r="A37" s="144"/>
      <c r="B37" s="144"/>
      <c r="C37" s="188">
        <v>1</v>
      </c>
      <c r="D37" s="148"/>
      <c r="E37" s="145"/>
      <c r="F37" s="144"/>
      <c r="G37" s="144"/>
    </row>
    <row r="38" spans="1:7" x14ac:dyDescent="0.35">
      <c r="A38" s="144"/>
      <c r="B38" s="144"/>
      <c r="C38" s="188">
        <v>1</v>
      </c>
      <c r="D38" s="148"/>
      <c r="E38" s="145"/>
      <c r="F38" s="144"/>
      <c r="G38" s="144"/>
    </row>
    <row r="39" spans="1:7" x14ac:dyDescent="0.35">
      <c r="A39" s="144"/>
      <c r="B39" s="144"/>
      <c r="C39" s="188">
        <v>1</v>
      </c>
      <c r="D39" s="226"/>
      <c r="E39" s="145"/>
      <c r="F39" s="144"/>
      <c r="G39" s="144"/>
    </row>
    <row r="40" spans="1:7" x14ac:dyDescent="0.35">
      <c r="A40" s="144"/>
      <c r="B40" s="144"/>
      <c r="C40" s="188">
        <v>1</v>
      </c>
      <c r="D40" s="226"/>
      <c r="E40" s="145"/>
      <c r="F40" s="144"/>
      <c r="G40" s="144"/>
    </row>
    <row r="41" spans="1:7" x14ac:dyDescent="0.35">
      <c r="A41" s="144"/>
      <c r="B41" s="144"/>
      <c r="C41" s="188">
        <v>1</v>
      </c>
      <c r="D41" s="226"/>
      <c r="E41" s="145"/>
      <c r="F41" s="144"/>
      <c r="G41" s="144"/>
    </row>
    <row r="42" spans="1:7" x14ac:dyDescent="0.35">
      <c r="A42" s="144"/>
      <c r="B42" s="144"/>
      <c r="C42" s="188">
        <v>1</v>
      </c>
      <c r="D42" s="226"/>
      <c r="E42" s="145"/>
      <c r="F42" s="144"/>
      <c r="G42" s="144"/>
    </row>
    <row r="43" spans="1:7" x14ac:dyDescent="0.35">
      <c r="A43" s="144"/>
      <c r="B43" s="144"/>
      <c r="C43" s="188">
        <v>1</v>
      </c>
      <c r="D43" s="155"/>
      <c r="E43" s="145"/>
      <c r="F43" s="144"/>
      <c r="G43" s="144"/>
    </row>
    <row r="44" spans="1:7" x14ac:dyDescent="0.35">
      <c r="A44" s="144"/>
      <c r="B44" s="144"/>
      <c r="C44" s="188">
        <v>1</v>
      </c>
      <c r="D44" s="155"/>
      <c r="E44" s="145"/>
      <c r="F44" s="144"/>
      <c r="G44" s="144"/>
    </row>
    <row r="45" spans="1:7" x14ac:dyDescent="0.35">
      <c r="A45" s="144"/>
      <c r="B45" s="144"/>
      <c r="C45" s="188">
        <v>1</v>
      </c>
      <c r="D45" s="226"/>
      <c r="E45" s="204"/>
      <c r="F45" s="124"/>
      <c r="G45" s="124"/>
    </row>
    <row r="46" spans="1:7" x14ac:dyDescent="0.35">
      <c r="A46" s="144"/>
      <c r="B46" s="144"/>
      <c r="C46" s="188">
        <v>1</v>
      </c>
      <c r="D46" s="126"/>
      <c r="E46" s="204"/>
      <c r="F46" s="124"/>
      <c r="G46" s="124"/>
    </row>
    <row r="47" spans="1:7" x14ac:dyDescent="0.35">
      <c r="A47" s="144"/>
      <c r="B47" s="144"/>
      <c r="C47" s="188">
        <v>1</v>
      </c>
      <c r="D47" s="126"/>
      <c r="E47" s="145"/>
      <c r="F47" s="124"/>
      <c r="G47" s="144"/>
    </row>
    <row r="48" spans="1:7" x14ac:dyDescent="0.35">
      <c r="A48" s="144"/>
      <c r="B48" s="144"/>
      <c r="C48" s="188">
        <v>1</v>
      </c>
      <c r="D48" s="126"/>
      <c r="E48" s="145"/>
      <c r="F48" s="124"/>
      <c r="G48" s="144"/>
    </row>
    <row r="49" spans="1:7" x14ac:dyDescent="0.35">
      <c r="A49" s="144"/>
      <c r="B49" s="144"/>
      <c r="C49" s="188">
        <v>1</v>
      </c>
      <c r="D49" s="126"/>
      <c r="E49" s="145"/>
      <c r="F49" s="124"/>
      <c r="G49" s="144"/>
    </row>
    <row r="50" spans="1:7" x14ac:dyDescent="0.35">
      <c r="A50" s="144"/>
      <c r="B50" s="144"/>
      <c r="C50" s="188">
        <v>1</v>
      </c>
      <c r="D50" s="126"/>
      <c r="E50" s="145"/>
      <c r="F50" s="124"/>
      <c r="G50" s="144"/>
    </row>
    <row r="51" spans="1:7" x14ac:dyDescent="0.35">
      <c r="A51" s="144"/>
      <c r="B51" s="144"/>
      <c r="C51" s="188">
        <v>1</v>
      </c>
      <c r="D51" s="126"/>
      <c r="E51" s="145"/>
      <c r="F51" s="124"/>
      <c r="G51" s="144"/>
    </row>
    <row r="52" spans="1:7" x14ac:dyDescent="0.35">
      <c r="A52" s="144"/>
      <c r="B52" s="144"/>
      <c r="C52" s="188">
        <v>1</v>
      </c>
      <c r="D52" s="126"/>
      <c r="E52" s="145"/>
      <c r="F52" s="124"/>
      <c r="G52" s="144"/>
    </row>
    <row r="53" spans="1:7" x14ac:dyDescent="0.35">
      <c r="A53" s="144"/>
      <c r="B53" s="166"/>
      <c r="C53" s="188">
        <v>1</v>
      </c>
      <c r="D53" s="126"/>
      <c r="E53" s="145"/>
      <c r="F53" s="124"/>
      <c r="G53" s="144"/>
    </row>
    <row r="54" spans="1:7" x14ac:dyDescent="0.35">
      <c r="A54" s="144"/>
      <c r="B54" s="144"/>
      <c r="C54" s="188">
        <v>1</v>
      </c>
      <c r="D54" s="126"/>
      <c r="E54" s="145"/>
      <c r="F54" s="124"/>
      <c r="G54" s="144"/>
    </row>
    <row r="55" spans="1:7" x14ac:dyDescent="0.35">
      <c r="A55" s="144"/>
      <c r="B55" s="144"/>
      <c r="C55" s="188">
        <v>1</v>
      </c>
      <c r="D55" s="126"/>
      <c r="E55" s="145"/>
      <c r="F55" s="124"/>
      <c r="G55" s="144"/>
    </row>
    <row r="56" spans="1:7" x14ac:dyDescent="0.35">
      <c r="A56" s="144"/>
      <c r="B56" s="144"/>
      <c r="C56" s="188">
        <v>1</v>
      </c>
      <c r="D56" s="126"/>
      <c r="E56" s="145"/>
      <c r="F56" s="124"/>
      <c r="G56" s="144"/>
    </row>
    <row r="57" spans="1:7" x14ac:dyDescent="0.35">
      <c r="A57" s="144"/>
      <c r="B57" s="144"/>
      <c r="C57" s="188">
        <v>1</v>
      </c>
      <c r="D57" s="126"/>
      <c r="E57" s="145"/>
      <c r="F57" s="124"/>
      <c r="G57" s="144"/>
    </row>
    <row r="58" spans="1:7" x14ac:dyDescent="0.35">
      <c r="A58" s="144"/>
      <c r="B58" s="144"/>
      <c r="C58" s="188">
        <v>1</v>
      </c>
      <c r="D58" s="126"/>
      <c r="E58" s="145"/>
      <c r="F58" s="124"/>
      <c r="G58" s="144"/>
    </row>
    <row r="59" spans="1:7" x14ac:dyDescent="0.3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35">
      <c r="A60" s="144"/>
      <c r="B60" s="144"/>
      <c r="C60" s="188">
        <v>1</v>
      </c>
      <c r="D60" s="126"/>
      <c r="E60" s="145"/>
      <c r="F60" s="124"/>
      <c r="G60" s="144"/>
    </row>
    <row r="61" spans="1:7" x14ac:dyDescent="0.3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35">
      <c r="A62" s="144"/>
      <c r="B62" s="144"/>
      <c r="C62" s="188">
        <v>1</v>
      </c>
      <c r="D62" s="126"/>
      <c r="E62" s="145"/>
      <c r="F62" s="124"/>
      <c r="G62" s="144"/>
    </row>
    <row r="63" spans="1:7" x14ac:dyDescent="0.3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35">
      <c r="A64" s="144"/>
      <c r="B64" s="144"/>
      <c r="C64" s="188">
        <v>1</v>
      </c>
      <c r="D64" s="226"/>
      <c r="E64" s="145"/>
      <c r="F64" s="124"/>
      <c r="G64" s="144"/>
    </row>
    <row r="65" spans="1:7" x14ac:dyDescent="0.3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35">
      <c r="A66" s="144"/>
      <c r="B66" s="144"/>
      <c r="C66" s="188">
        <v>1</v>
      </c>
      <c r="D66" s="226"/>
      <c r="E66" s="145"/>
      <c r="F66" s="124"/>
      <c r="G66" s="144"/>
    </row>
    <row r="67" spans="1:7" x14ac:dyDescent="0.3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35">
      <c r="A68" s="227"/>
      <c r="B68" s="144"/>
      <c r="C68" s="188">
        <v>1</v>
      </c>
      <c r="D68" s="226"/>
      <c r="E68" s="145"/>
      <c r="F68" s="124"/>
      <c r="G68" s="144"/>
    </row>
    <row r="69" spans="1:7" x14ac:dyDescent="0.3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35">
      <c r="A70" s="227"/>
      <c r="B70" s="144"/>
      <c r="C70" s="188">
        <v>1</v>
      </c>
      <c r="D70" s="126"/>
      <c r="E70" s="145"/>
      <c r="F70" s="124"/>
      <c r="G70" s="144"/>
    </row>
    <row r="71" spans="1:7" x14ac:dyDescent="0.35">
      <c r="A71" s="227"/>
      <c r="B71" s="227"/>
      <c r="C71" s="188">
        <v>1</v>
      </c>
      <c r="D71" s="126"/>
      <c r="E71" s="230"/>
      <c r="F71" s="124"/>
      <c r="G71" s="144"/>
    </row>
    <row r="72" spans="1:7" x14ac:dyDescent="0.35">
      <c r="A72" s="227"/>
      <c r="B72" s="227"/>
      <c r="C72" s="188">
        <v>1</v>
      </c>
      <c r="D72" s="126"/>
      <c r="E72" s="230"/>
      <c r="F72" s="124"/>
      <c r="G72" s="144"/>
    </row>
    <row r="73" spans="1:7" x14ac:dyDescent="0.35">
      <c r="A73" s="227"/>
      <c r="B73" s="227"/>
      <c r="C73" s="188">
        <v>1</v>
      </c>
      <c r="D73" s="126"/>
      <c r="E73" s="230"/>
      <c r="F73" s="124"/>
      <c r="G73" s="144"/>
    </row>
    <row r="74" spans="1:7" x14ac:dyDescent="0.35">
      <c r="A74" s="227"/>
      <c r="B74" s="227"/>
      <c r="C74" s="188">
        <v>1</v>
      </c>
      <c r="D74" s="126"/>
      <c r="E74" s="230"/>
      <c r="F74" s="124"/>
      <c r="G74" s="144"/>
    </row>
    <row r="75" spans="1:7" x14ac:dyDescent="0.35">
      <c r="A75" s="227"/>
      <c r="B75" s="227"/>
      <c r="C75" s="188">
        <v>1</v>
      </c>
      <c r="D75" s="126"/>
      <c r="E75" s="230"/>
      <c r="F75" s="124"/>
      <c r="G75" s="144"/>
    </row>
    <row r="76" spans="1:7" x14ac:dyDescent="0.35">
      <c r="A76" s="227"/>
      <c r="B76" s="227"/>
      <c r="C76" s="188">
        <v>1</v>
      </c>
      <c r="D76" s="126"/>
      <c r="E76" s="230"/>
      <c r="F76" s="124"/>
      <c r="G76" s="144"/>
    </row>
    <row r="77" spans="1:7" x14ac:dyDescent="0.35">
      <c r="A77" s="227"/>
      <c r="B77" s="227"/>
      <c r="C77" s="188">
        <v>1</v>
      </c>
      <c r="D77" s="126"/>
      <c r="E77" s="230"/>
      <c r="F77" s="124"/>
      <c r="G77" s="144"/>
    </row>
    <row r="78" spans="1:7" x14ac:dyDescent="0.35">
      <c r="A78" s="227"/>
      <c r="B78" s="227"/>
      <c r="C78" s="188">
        <v>1</v>
      </c>
      <c r="D78" s="126"/>
      <c r="E78" s="230"/>
      <c r="F78" s="124"/>
      <c r="G78" s="144"/>
    </row>
    <row r="79" spans="1:7" x14ac:dyDescent="0.35">
      <c r="A79" s="227"/>
      <c r="B79" s="227"/>
      <c r="C79" s="188">
        <v>1</v>
      </c>
      <c r="D79" s="126"/>
      <c r="E79" s="230"/>
      <c r="F79" s="124"/>
      <c r="G79" s="144"/>
    </row>
    <row r="80" spans="1:7" x14ac:dyDescent="0.35">
      <c r="A80" s="227"/>
      <c r="B80" s="227"/>
      <c r="C80" s="188">
        <v>1</v>
      </c>
      <c r="D80" s="126"/>
      <c r="E80" s="230"/>
      <c r="F80" s="124"/>
      <c r="G80" s="144"/>
    </row>
    <row r="81" spans="1:7" x14ac:dyDescent="0.35">
      <c r="A81" s="227"/>
      <c r="B81" s="227"/>
      <c r="C81" s="188">
        <v>1</v>
      </c>
      <c r="D81" s="126"/>
      <c r="E81" s="230"/>
      <c r="F81" s="124"/>
      <c r="G81" s="144"/>
    </row>
    <row r="82" spans="1:7" x14ac:dyDescent="0.35">
      <c r="A82" s="227"/>
      <c r="B82" s="227"/>
      <c r="C82" s="188">
        <v>1</v>
      </c>
      <c r="D82" s="126"/>
      <c r="E82" s="230"/>
      <c r="F82" s="124"/>
      <c r="G82" s="144"/>
    </row>
    <row r="83" spans="1:7" x14ac:dyDescent="0.3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C8DB2-6BED-4C3E-A2FC-C4E9C45D3C45}">
  <dimension ref="A1:G65"/>
  <sheetViews>
    <sheetView workbookViewId="0">
      <selection activeCell="A9" sqref="A9:B9"/>
    </sheetView>
  </sheetViews>
  <sheetFormatPr defaultRowHeight="14.5" x14ac:dyDescent="0.35"/>
  <cols>
    <col min="1" max="1" width="15.453125" customWidth="1"/>
    <col min="2" max="2" width="21.1796875" customWidth="1"/>
    <col min="3" max="3" width="5.1796875" customWidth="1"/>
    <col min="4" max="4" width="18.26953125" customWidth="1"/>
    <col min="5" max="5" width="44.26953125" customWidth="1"/>
    <col min="6" max="6" width="54" customWidth="1"/>
    <col min="7" max="7" width="32.4531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218" t="s">
        <v>1995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45946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35">
      <c r="A9" s="144" t="s">
        <v>6</v>
      </c>
      <c r="B9" s="144" t="s">
        <v>1382</v>
      </c>
      <c r="C9" s="188">
        <v>1</v>
      </c>
      <c r="D9" s="155">
        <v>82</v>
      </c>
      <c r="E9" s="145" t="s">
        <v>51</v>
      </c>
      <c r="F9" s="144" t="s">
        <v>33</v>
      </c>
      <c r="G9" s="144" t="s">
        <v>1922</v>
      </c>
    </row>
    <row r="10" spans="1:7" x14ac:dyDescent="0.35">
      <c r="A10" s="144" t="s">
        <v>23</v>
      </c>
      <c r="B10" s="144" t="s">
        <v>211</v>
      </c>
      <c r="C10" s="229">
        <v>1</v>
      </c>
      <c r="D10" s="148">
        <v>146.30000000000001</v>
      </c>
      <c r="E10" s="145" t="s">
        <v>62</v>
      </c>
      <c r="F10" s="144" t="s">
        <v>989</v>
      </c>
      <c r="G10" s="144" t="s">
        <v>1923</v>
      </c>
    </row>
    <row r="11" spans="1:7" x14ac:dyDescent="0.35">
      <c r="A11" s="144" t="s">
        <v>23</v>
      </c>
      <c r="B11" s="144" t="s">
        <v>211</v>
      </c>
      <c r="C11" s="188">
        <v>1</v>
      </c>
      <c r="D11" s="148">
        <v>146.30000000000001</v>
      </c>
      <c r="E11" s="145" t="s">
        <v>62</v>
      </c>
      <c r="F11" s="144" t="s">
        <v>989</v>
      </c>
      <c r="G11" s="144" t="s">
        <v>1924</v>
      </c>
    </row>
    <row r="12" spans="1:7" x14ac:dyDescent="0.35">
      <c r="A12" s="144" t="s">
        <v>23</v>
      </c>
      <c r="B12" s="144" t="s">
        <v>211</v>
      </c>
      <c r="C12" s="188">
        <v>1</v>
      </c>
      <c r="D12" s="148">
        <v>146.30000000000001</v>
      </c>
      <c r="E12" s="145" t="s">
        <v>62</v>
      </c>
      <c r="F12" s="144" t="s">
        <v>989</v>
      </c>
      <c r="G12" s="144" t="s">
        <v>1925</v>
      </c>
    </row>
    <row r="13" spans="1:7" x14ac:dyDescent="0.35">
      <c r="A13" s="131" t="s">
        <v>23</v>
      </c>
      <c r="B13" s="144" t="s">
        <v>206</v>
      </c>
      <c r="C13" s="188">
        <v>1</v>
      </c>
      <c r="D13" s="148">
        <v>146.30000000000001</v>
      </c>
      <c r="E13" s="145" t="s">
        <v>63</v>
      </c>
      <c r="F13" s="144" t="s">
        <v>989</v>
      </c>
      <c r="G13" s="144" t="s">
        <v>1926</v>
      </c>
    </row>
    <row r="14" spans="1:7" x14ac:dyDescent="0.35">
      <c r="A14" s="131"/>
      <c r="B14" s="144" t="s">
        <v>163</v>
      </c>
      <c r="C14" s="188">
        <v>1</v>
      </c>
      <c r="D14" s="148">
        <v>146.30000000000001</v>
      </c>
      <c r="E14" s="145" t="s">
        <v>56</v>
      </c>
      <c r="F14" s="144" t="s">
        <v>989</v>
      </c>
      <c r="G14" s="144" t="s">
        <v>1904</v>
      </c>
    </row>
    <row r="15" spans="1:7" x14ac:dyDescent="0.35">
      <c r="A15" s="144" t="s">
        <v>23</v>
      </c>
      <c r="B15" s="144" t="s">
        <v>211</v>
      </c>
      <c r="C15" s="188">
        <v>1</v>
      </c>
      <c r="D15" s="148">
        <v>146.30000000000001</v>
      </c>
      <c r="E15" s="145" t="s">
        <v>62</v>
      </c>
      <c r="F15" s="144" t="s">
        <v>989</v>
      </c>
      <c r="G15" s="144" t="s">
        <v>1927</v>
      </c>
    </row>
    <row r="16" spans="1:7" x14ac:dyDescent="0.35">
      <c r="A16" s="144" t="s">
        <v>6</v>
      </c>
      <c r="B16" s="144" t="s">
        <v>219</v>
      </c>
      <c r="C16" s="188">
        <v>1</v>
      </c>
      <c r="D16" s="148">
        <v>176</v>
      </c>
      <c r="E16" s="145" t="s">
        <v>876</v>
      </c>
      <c r="F16" s="144" t="s">
        <v>992</v>
      </c>
      <c r="G16" s="144" t="s">
        <v>1928</v>
      </c>
    </row>
    <row r="17" spans="1:7" x14ac:dyDescent="0.35">
      <c r="A17" s="144" t="s">
        <v>23</v>
      </c>
      <c r="B17" s="144" t="s">
        <v>211</v>
      </c>
      <c r="C17" s="188">
        <v>1</v>
      </c>
      <c r="D17" s="148">
        <v>176</v>
      </c>
      <c r="E17" s="145" t="s">
        <v>62</v>
      </c>
      <c r="F17" s="144" t="s">
        <v>992</v>
      </c>
      <c r="G17" s="144" t="s">
        <v>1929</v>
      </c>
    </row>
    <row r="18" spans="1:7" x14ac:dyDescent="0.35">
      <c r="A18" s="144" t="s">
        <v>6</v>
      </c>
      <c r="B18" s="144" t="s">
        <v>142</v>
      </c>
      <c r="C18" s="188">
        <v>1</v>
      </c>
      <c r="D18" s="148">
        <v>176</v>
      </c>
      <c r="E18" s="145" t="s">
        <v>44</v>
      </c>
      <c r="F18" s="144" t="s">
        <v>992</v>
      </c>
      <c r="G18" s="144" t="s">
        <v>1930</v>
      </c>
    </row>
    <row r="19" spans="1:7" x14ac:dyDescent="0.35">
      <c r="A19" s="131" t="s">
        <v>23</v>
      </c>
      <c r="B19" s="144" t="s">
        <v>206</v>
      </c>
      <c r="C19" s="229">
        <v>1</v>
      </c>
      <c r="D19" s="148">
        <v>176</v>
      </c>
      <c r="E19" s="145" t="s">
        <v>63</v>
      </c>
      <c r="F19" s="144" t="s">
        <v>992</v>
      </c>
      <c r="G19" s="144" t="s">
        <v>1931</v>
      </c>
    </row>
    <row r="20" spans="1:7" x14ac:dyDescent="0.35">
      <c r="A20" s="144" t="s">
        <v>23</v>
      </c>
      <c r="B20" s="144" t="s">
        <v>244</v>
      </c>
      <c r="C20" s="188">
        <v>1</v>
      </c>
      <c r="D20" s="155">
        <v>39</v>
      </c>
      <c r="E20" s="145" t="s">
        <v>64</v>
      </c>
      <c r="F20" s="144" t="s">
        <v>36</v>
      </c>
      <c r="G20" s="144" t="s">
        <v>1932</v>
      </c>
    </row>
    <row r="21" spans="1:7" x14ac:dyDescent="0.35">
      <c r="A21" s="144" t="s">
        <v>23</v>
      </c>
      <c r="B21" s="144" t="s">
        <v>211</v>
      </c>
      <c r="C21" s="188">
        <v>1</v>
      </c>
      <c r="D21" s="155">
        <v>39</v>
      </c>
      <c r="E21" s="145" t="s">
        <v>62</v>
      </c>
      <c r="F21" s="144" t="s">
        <v>36</v>
      </c>
      <c r="G21" s="144" t="s">
        <v>1933</v>
      </c>
    </row>
    <row r="22" spans="1:7" x14ac:dyDescent="0.35">
      <c r="A22" s="144" t="s">
        <v>6</v>
      </c>
      <c r="B22" s="144" t="s">
        <v>219</v>
      </c>
      <c r="C22" s="188">
        <v>1</v>
      </c>
      <c r="D22" s="148">
        <v>26</v>
      </c>
      <c r="E22" s="145" t="s">
        <v>876</v>
      </c>
      <c r="F22" s="144" t="s">
        <v>35</v>
      </c>
      <c r="G22" s="144" t="s">
        <v>1934</v>
      </c>
    </row>
    <row r="23" spans="1:7" x14ac:dyDescent="0.35">
      <c r="A23" s="144" t="s">
        <v>6</v>
      </c>
      <c r="B23" s="144" t="s">
        <v>86</v>
      </c>
      <c r="C23" s="188">
        <v>1</v>
      </c>
      <c r="D23" s="148">
        <v>26</v>
      </c>
      <c r="E23" s="145" t="s">
        <v>47</v>
      </c>
      <c r="F23" s="144" t="s">
        <v>35</v>
      </c>
      <c r="G23" s="144" t="s">
        <v>1935</v>
      </c>
    </row>
    <row r="24" spans="1:7" x14ac:dyDescent="0.35">
      <c r="A24" s="144" t="s">
        <v>6</v>
      </c>
      <c r="B24" s="166" t="s">
        <v>8</v>
      </c>
      <c r="C24" s="188">
        <v>1</v>
      </c>
      <c r="D24" s="155">
        <v>39</v>
      </c>
      <c r="E24" s="145" t="s">
        <v>61</v>
      </c>
      <c r="F24" s="144" t="s">
        <v>36</v>
      </c>
      <c r="G24" s="144" t="s">
        <v>1936</v>
      </c>
    </row>
    <row r="25" spans="1:7" x14ac:dyDescent="0.35">
      <c r="A25" s="131" t="s">
        <v>23</v>
      </c>
      <c r="B25" s="144" t="s">
        <v>206</v>
      </c>
      <c r="C25" s="188">
        <v>1</v>
      </c>
      <c r="D25" s="148">
        <v>26</v>
      </c>
      <c r="E25" s="145" t="s">
        <v>63</v>
      </c>
      <c r="F25" s="144" t="s">
        <v>35</v>
      </c>
      <c r="G25" s="144" t="s">
        <v>1940</v>
      </c>
    </row>
    <row r="26" spans="1:7" x14ac:dyDescent="0.35">
      <c r="A26" s="131" t="s">
        <v>23</v>
      </c>
      <c r="B26" s="144" t="s">
        <v>206</v>
      </c>
      <c r="C26" s="188">
        <v>1</v>
      </c>
      <c r="D26" s="148">
        <v>26</v>
      </c>
      <c r="E26" s="145" t="s">
        <v>63</v>
      </c>
      <c r="F26" s="144" t="s">
        <v>35</v>
      </c>
      <c r="G26" s="144" t="s">
        <v>1937</v>
      </c>
    </row>
    <row r="27" spans="1:7" x14ac:dyDescent="0.35">
      <c r="A27" s="144" t="s">
        <v>23</v>
      </c>
      <c r="B27" s="144" t="s">
        <v>211</v>
      </c>
      <c r="C27" s="188">
        <v>1</v>
      </c>
      <c r="D27" s="148">
        <v>58</v>
      </c>
      <c r="E27" s="145" t="s">
        <v>62</v>
      </c>
      <c r="F27" s="144" t="s">
        <v>34</v>
      </c>
      <c r="G27" s="144" t="s">
        <v>1938</v>
      </c>
    </row>
    <row r="28" spans="1:7" x14ac:dyDescent="0.35">
      <c r="A28" s="144" t="s">
        <v>23</v>
      </c>
      <c r="B28" s="144" t="s">
        <v>211</v>
      </c>
      <c r="C28" s="188">
        <v>1</v>
      </c>
      <c r="D28" s="155">
        <v>39</v>
      </c>
      <c r="E28" s="145" t="s">
        <v>62</v>
      </c>
      <c r="F28" s="144" t="s">
        <v>36</v>
      </c>
      <c r="G28" s="144" t="s">
        <v>1939</v>
      </c>
    </row>
    <row r="29" spans="1:7" x14ac:dyDescent="0.35">
      <c r="A29" s="144" t="s">
        <v>23</v>
      </c>
      <c r="B29" s="144" t="s">
        <v>211</v>
      </c>
      <c r="C29" s="188">
        <v>1</v>
      </c>
      <c r="D29" s="155">
        <v>39</v>
      </c>
      <c r="E29" s="145" t="s">
        <v>62</v>
      </c>
      <c r="F29" s="144" t="s">
        <v>36</v>
      </c>
      <c r="G29" s="144" t="s">
        <v>1941</v>
      </c>
    </row>
    <row r="30" spans="1:7" x14ac:dyDescent="0.35">
      <c r="A30" s="131" t="s">
        <v>23</v>
      </c>
      <c r="B30" s="144" t="s">
        <v>206</v>
      </c>
      <c r="C30" s="188">
        <v>1</v>
      </c>
      <c r="D30" s="155">
        <v>39</v>
      </c>
      <c r="E30" s="145" t="s">
        <v>63</v>
      </c>
      <c r="F30" s="144" t="s">
        <v>36</v>
      </c>
      <c r="G30" s="144" t="s">
        <v>1942</v>
      </c>
    </row>
    <row r="31" spans="1:7" x14ac:dyDescent="0.35">
      <c r="A31" s="131" t="s">
        <v>23</v>
      </c>
      <c r="B31" s="144" t="s">
        <v>206</v>
      </c>
      <c r="C31" s="188">
        <v>1</v>
      </c>
      <c r="D31" s="148">
        <v>26</v>
      </c>
      <c r="E31" s="145" t="s">
        <v>63</v>
      </c>
      <c r="F31" s="144" t="s">
        <v>35</v>
      </c>
      <c r="G31" s="144" t="s">
        <v>1942</v>
      </c>
    </row>
    <row r="32" spans="1:7" x14ac:dyDescent="0.35">
      <c r="A32" s="144" t="s">
        <v>6</v>
      </c>
      <c r="B32" s="144" t="s">
        <v>72</v>
      </c>
      <c r="C32" s="188">
        <v>1</v>
      </c>
      <c r="D32" s="148">
        <v>58</v>
      </c>
      <c r="E32" s="145" t="s">
        <v>1138</v>
      </c>
      <c r="F32" s="144" t="s">
        <v>34</v>
      </c>
      <c r="G32" s="144" t="s">
        <v>1943</v>
      </c>
    </row>
    <row r="33" spans="1:7" x14ac:dyDescent="0.35">
      <c r="A33" s="144" t="s">
        <v>6</v>
      </c>
      <c r="B33" s="144" t="s">
        <v>72</v>
      </c>
      <c r="C33" s="188">
        <v>1</v>
      </c>
      <c r="D33" s="148">
        <v>26</v>
      </c>
      <c r="E33" s="145" t="s">
        <v>1138</v>
      </c>
      <c r="F33" s="144" t="s">
        <v>35</v>
      </c>
      <c r="G33" s="144" t="s">
        <v>1943</v>
      </c>
    </row>
    <row r="34" spans="1:7" x14ac:dyDescent="0.35">
      <c r="A34" s="144" t="s">
        <v>6</v>
      </c>
      <c r="B34" s="144" t="s">
        <v>86</v>
      </c>
      <c r="C34" s="188">
        <v>1</v>
      </c>
      <c r="D34" s="148">
        <v>26</v>
      </c>
      <c r="E34" s="145" t="s">
        <v>47</v>
      </c>
      <c r="F34" s="144" t="s">
        <v>35</v>
      </c>
      <c r="G34" s="144" t="s">
        <v>1944</v>
      </c>
    </row>
    <row r="35" spans="1:7" x14ac:dyDescent="0.35">
      <c r="A35" s="144" t="s">
        <v>23</v>
      </c>
      <c r="B35" s="144" t="s">
        <v>211</v>
      </c>
      <c r="C35" s="188">
        <v>1</v>
      </c>
      <c r="D35" s="148">
        <v>26</v>
      </c>
      <c r="E35" s="145" t="s">
        <v>62</v>
      </c>
      <c r="F35" s="144" t="s">
        <v>35</v>
      </c>
      <c r="G35" s="144" t="s">
        <v>1945</v>
      </c>
    </row>
    <row r="36" spans="1:7" x14ac:dyDescent="0.35">
      <c r="A36" s="144" t="s">
        <v>23</v>
      </c>
      <c r="B36" s="144" t="s">
        <v>211</v>
      </c>
      <c r="C36" s="188">
        <v>1</v>
      </c>
      <c r="D36" s="155">
        <v>39</v>
      </c>
      <c r="E36" s="145" t="s">
        <v>62</v>
      </c>
      <c r="F36" s="144" t="s">
        <v>36</v>
      </c>
      <c r="G36" s="144" t="s">
        <v>1946</v>
      </c>
    </row>
    <row r="37" spans="1:7" x14ac:dyDescent="0.35">
      <c r="A37" s="144" t="s">
        <v>23</v>
      </c>
      <c r="B37" s="144" t="s">
        <v>211</v>
      </c>
      <c r="C37" s="188">
        <v>1</v>
      </c>
      <c r="D37" s="148">
        <v>58</v>
      </c>
      <c r="E37" s="145" t="s">
        <v>62</v>
      </c>
      <c r="F37" s="144" t="s">
        <v>34</v>
      </c>
      <c r="G37" s="144" t="s">
        <v>1946</v>
      </c>
    </row>
    <row r="38" spans="1:7" x14ac:dyDescent="0.3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1946</v>
      </c>
    </row>
    <row r="39" spans="1:7" x14ac:dyDescent="0.35">
      <c r="A39" s="144" t="s">
        <v>25</v>
      </c>
      <c r="B39" s="144" t="s">
        <v>26</v>
      </c>
      <c r="C39" s="188">
        <v>1</v>
      </c>
      <c r="D39" s="148">
        <v>26</v>
      </c>
      <c r="E39" s="145" t="s">
        <v>60</v>
      </c>
      <c r="F39" s="144" t="s">
        <v>35</v>
      </c>
      <c r="G39" s="144" t="s">
        <v>1947</v>
      </c>
    </row>
    <row r="40" spans="1:7" x14ac:dyDescent="0.35">
      <c r="A40" s="144" t="s">
        <v>23</v>
      </c>
      <c r="B40" s="144" t="s">
        <v>211</v>
      </c>
      <c r="C40" s="188">
        <v>1</v>
      </c>
      <c r="D40" s="148">
        <v>26</v>
      </c>
      <c r="E40" s="145" t="s">
        <v>62</v>
      </c>
      <c r="F40" s="144" t="s">
        <v>35</v>
      </c>
      <c r="G40" s="144" t="s">
        <v>1948</v>
      </c>
    </row>
    <row r="41" spans="1:7" x14ac:dyDescent="0.35">
      <c r="A41" s="131" t="s">
        <v>23</v>
      </c>
      <c r="B41" s="144" t="s">
        <v>206</v>
      </c>
      <c r="C41" s="188">
        <v>1</v>
      </c>
      <c r="D41" s="148">
        <v>26</v>
      </c>
      <c r="E41" s="145" t="s">
        <v>63</v>
      </c>
      <c r="F41" s="144" t="s">
        <v>35</v>
      </c>
      <c r="G41" s="144" t="s">
        <v>1949</v>
      </c>
    </row>
    <row r="42" spans="1:7" x14ac:dyDescent="0.35">
      <c r="A42" s="144" t="s">
        <v>6</v>
      </c>
      <c r="B42" s="144" t="s">
        <v>86</v>
      </c>
      <c r="C42" s="188">
        <v>1</v>
      </c>
      <c r="D42" s="148">
        <v>58</v>
      </c>
      <c r="E42" s="145" t="s">
        <v>47</v>
      </c>
      <c r="F42" s="144" t="s">
        <v>34</v>
      </c>
      <c r="G42" s="144" t="s">
        <v>1950</v>
      </c>
    </row>
    <row r="43" spans="1:7" x14ac:dyDescent="0.35">
      <c r="A43" s="234" t="s">
        <v>6</v>
      </c>
      <c r="B43" s="234" t="s">
        <v>1382</v>
      </c>
      <c r="C43" s="188">
        <v>1</v>
      </c>
      <c r="D43" s="148">
        <v>58</v>
      </c>
      <c r="E43" s="145" t="s">
        <v>51</v>
      </c>
      <c r="F43" s="144" t="s">
        <v>34</v>
      </c>
      <c r="G43" s="144" t="s">
        <v>1821</v>
      </c>
    </row>
    <row r="44" spans="1:7" x14ac:dyDescent="0.35">
      <c r="A44" s="234" t="s">
        <v>6</v>
      </c>
      <c r="B44" s="234" t="s">
        <v>1382</v>
      </c>
      <c r="C44" s="188">
        <v>1</v>
      </c>
      <c r="D44" s="148">
        <v>26</v>
      </c>
      <c r="E44" s="145" t="s">
        <v>51</v>
      </c>
      <c r="F44" s="144" t="s">
        <v>35</v>
      </c>
      <c r="G44" s="144" t="s">
        <v>1951</v>
      </c>
    </row>
    <row r="45" spans="1:7" x14ac:dyDescent="0.35">
      <c r="A45" s="234" t="s">
        <v>6</v>
      </c>
      <c r="B45" s="234" t="s">
        <v>1382</v>
      </c>
      <c r="C45" s="188">
        <v>1</v>
      </c>
      <c r="D45" s="148">
        <v>26</v>
      </c>
      <c r="E45" s="145" t="s">
        <v>51</v>
      </c>
      <c r="F45" s="144" t="s">
        <v>35</v>
      </c>
      <c r="G45" s="144" t="s">
        <v>1952</v>
      </c>
    </row>
    <row r="46" spans="1:7" x14ac:dyDescent="0.35">
      <c r="A46" s="144" t="s">
        <v>23</v>
      </c>
      <c r="B46" s="144" t="s">
        <v>211</v>
      </c>
      <c r="C46" s="188">
        <v>1</v>
      </c>
      <c r="D46" s="148">
        <v>146.30000000000001</v>
      </c>
      <c r="E46" s="145" t="s">
        <v>62</v>
      </c>
      <c r="F46" s="144" t="s">
        <v>989</v>
      </c>
      <c r="G46" s="144" t="s">
        <v>1953</v>
      </c>
    </row>
    <row r="47" spans="1:7" x14ac:dyDescent="0.35">
      <c r="A47" s="144" t="s">
        <v>23</v>
      </c>
      <c r="B47" s="144" t="s">
        <v>211</v>
      </c>
      <c r="C47" s="188">
        <v>1</v>
      </c>
      <c r="D47" s="148">
        <v>146.30000000000001</v>
      </c>
      <c r="E47" s="145" t="s">
        <v>62</v>
      </c>
      <c r="F47" s="144" t="s">
        <v>989</v>
      </c>
      <c r="G47" s="144" t="s">
        <v>1954</v>
      </c>
    </row>
    <row r="48" spans="1:7" x14ac:dyDescent="0.35">
      <c r="A48" s="144" t="s">
        <v>23</v>
      </c>
      <c r="B48" s="144" t="s">
        <v>211</v>
      </c>
      <c r="C48" s="188">
        <v>1</v>
      </c>
      <c r="D48" s="148">
        <v>176</v>
      </c>
      <c r="E48" s="145" t="s">
        <v>62</v>
      </c>
      <c r="F48" s="144" t="s">
        <v>992</v>
      </c>
      <c r="G48" s="144" t="s">
        <v>1955</v>
      </c>
    </row>
    <row r="49" spans="1:7" x14ac:dyDescent="0.35">
      <c r="A49" s="144" t="s">
        <v>23</v>
      </c>
      <c r="B49" s="144" t="s">
        <v>211</v>
      </c>
      <c r="C49" s="188">
        <v>1</v>
      </c>
      <c r="D49" s="148">
        <v>146.30000000000001</v>
      </c>
      <c r="E49" s="145" t="s">
        <v>62</v>
      </c>
      <c r="F49" s="144" t="s">
        <v>989</v>
      </c>
      <c r="G49" s="144" t="s">
        <v>1956</v>
      </c>
    </row>
    <row r="50" spans="1:7" x14ac:dyDescent="0.35">
      <c r="A50" s="144" t="s">
        <v>23</v>
      </c>
      <c r="B50" s="144" t="s">
        <v>211</v>
      </c>
      <c r="C50" s="188">
        <v>1</v>
      </c>
      <c r="D50" s="148">
        <v>176</v>
      </c>
      <c r="E50" s="145" t="s">
        <v>62</v>
      </c>
      <c r="F50" s="144" t="s">
        <v>992</v>
      </c>
      <c r="G50" s="144" t="s">
        <v>1957</v>
      </c>
    </row>
    <row r="51" spans="1:7" x14ac:dyDescent="0.35">
      <c r="A51" s="144" t="s">
        <v>23</v>
      </c>
      <c r="B51" s="144" t="s">
        <v>211</v>
      </c>
      <c r="C51" s="188">
        <v>1</v>
      </c>
      <c r="D51" s="148">
        <v>26</v>
      </c>
      <c r="E51" s="145" t="s">
        <v>62</v>
      </c>
      <c r="F51" s="144" t="s">
        <v>35</v>
      </c>
      <c r="G51" s="144" t="s">
        <v>1958</v>
      </c>
    </row>
    <row r="52" spans="1:7" x14ac:dyDescent="0.35">
      <c r="A52" s="144" t="s">
        <v>6</v>
      </c>
      <c r="B52" s="144" t="s">
        <v>72</v>
      </c>
      <c r="C52" s="188">
        <v>1</v>
      </c>
      <c r="D52" s="148">
        <v>58</v>
      </c>
      <c r="E52" s="145" t="s">
        <v>1138</v>
      </c>
      <c r="F52" s="144" t="s">
        <v>34</v>
      </c>
      <c r="G52" s="144" t="s">
        <v>1959</v>
      </c>
    </row>
    <row r="53" spans="1:7" x14ac:dyDescent="0.35">
      <c r="A53" s="144" t="s">
        <v>6</v>
      </c>
      <c r="B53" s="144" t="s">
        <v>72</v>
      </c>
      <c r="C53" s="188">
        <v>1</v>
      </c>
      <c r="D53" s="148">
        <v>26</v>
      </c>
      <c r="E53" s="145" t="s">
        <v>1138</v>
      </c>
      <c r="F53" s="144" t="s">
        <v>35</v>
      </c>
      <c r="G53" s="144" t="s">
        <v>1959</v>
      </c>
    </row>
    <row r="54" spans="1:7" x14ac:dyDescent="0.35">
      <c r="A54" s="144" t="s">
        <v>23</v>
      </c>
      <c r="B54" s="144" t="s">
        <v>211</v>
      </c>
      <c r="C54" s="188">
        <v>1</v>
      </c>
      <c r="D54" s="148">
        <v>26</v>
      </c>
      <c r="E54" s="145" t="s">
        <v>62</v>
      </c>
      <c r="F54" s="144" t="s">
        <v>35</v>
      </c>
      <c r="G54" s="144" t="s">
        <v>1960</v>
      </c>
    </row>
    <row r="55" spans="1:7" x14ac:dyDescent="0.35">
      <c r="A55" s="144" t="s">
        <v>6</v>
      </c>
      <c r="B55" s="144" t="s">
        <v>86</v>
      </c>
      <c r="C55" s="188">
        <v>1</v>
      </c>
      <c r="D55" s="155">
        <v>39</v>
      </c>
      <c r="E55" s="145" t="s">
        <v>47</v>
      </c>
      <c r="F55" s="144" t="s">
        <v>36</v>
      </c>
      <c r="G55" s="144" t="s">
        <v>1961</v>
      </c>
    </row>
    <row r="56" spans="1:7" x14ac:dyDescent="0.35">
      <c r="A56" s="144" t="s">
        <v>6</v>
      </c>
      <c r="B56" s="144" t="s">
        <v>86</v>
      </c>
      <c r="C56" s="188">
        <v>1</v>
      </c>
      <c r="D56" s="148">
        <v>58</v>
      </c>
      <c r="E56" s="145" t="s">
        <v>47</v>
      </c>
      <c r="F56" s="144" t="s">
        <v>34</v>
      </c>
      <c r="G56" s="144" t="s">
        <v>1961</v>
      </c>
    </row>
    <row r="57" spans="1:7" x14ac:dyDescent="0.35">
      <c r="A57" s="144" t="s">
        <v>6</v>
      </c>
      <c r="B57" s="144" t="s">
        <v>86</v>
      </c>
      <c r="C57" s="188">
        <v>1</v>
      </c>
      <c r="D57" s="148">
        <v>26</v>
      </c>
      <c r="E57" s="145" t="s">
        <v>47</v>
      </c>
      <c r="F57" s="144" t="s">
        <v>35</v>
      </c>
      <c r="G57" s="144" t="s">
        <v>1961</v>
      </c>
    </row>
    <row r="58" spans="1:7" x14ac:dyDescent="0.35">
      <c r="A58" s="144" t="s">
        <v>6</v>
      </c>
      <c r="B58" s="144" t="s">
        <v>86</v>
      </c>
      <c r="C58" s="188">
        <v>1</v>
      </c>
      <c r="D58" s="155">
        <v>39</v>
      </c>
      <c r="E58" s="145" t="s">
        <v>47</v>
      </c>
      <c r="F58" s="144" t="s">
        <v>36</v>
      </c>
      <c r="G58" s="144" t="s">
        <v>1962</v>
      </c>
    </row>
    <row r="59" spans="1:7" x14ac:dyDescent="0.35">
      <c r="A59" s="144" t="s">
        <v>6</v>
      </c>
      <c r="B59" s="144" t="s">
        <v>86</v>
      </c>
      <c r="C59" s="188">
        <v>1</v>
      </c>
      <c r="D59" s="148">
        <v>58</v>
      </c>
      <c r="E59" s="145" t="s">
        <v>47</v>
      </c>
      <c r="F59" s="144" t="s">
        <v>34</v>
      </c>
      <c r="G59" s="144" t="s">
        <v>1963</v>
      </c>
    </row>
    <row r="60" spans="1:7" x14ac:dyDescent="0.35">
      <c r="A60" s="144" t="s">
        <v>6</v>
      </c>
      <c r="B60" s="144" t="s">
        <v>86</v>
      </c>
      <c r="C60" s="188">
        <v>1</v>
      </c>
      <c r="D60" s="148">
        <v>26</v>
      </c>
      <c r="E60" s="145" t="s">
        <v>47</v>
      </c>
      <c r="F60" s="144" t="s">
        <v>35</v>
      </c>
      <c r="G60" s="144" t="s">
        <v>1963</v>
      </c>
    </row>
    <row r="61" spans="1:7" x14ac:dyDescent="0.35">
      <c r="A61" s="144" t="s">
        <v>6</v>
      </c>
      <c r="B61" s="144" t="s">
        <v>86</v>
      </c>
      <c r="C61" s="188">
        <v>1</v>
      </c>
      <c r="D61" s="148">
        <v>26</v>
      </c>
      <c r="E61" s="145" t="s">
        <v>47</v>
      </c>
      <c r="F61" s="144" t="s">
        <v>35</v>
      </c>
      <c r="G61" s="144" t="s">
        <v>1964</v>
      </c>
    </row>
    <row r="62" spans="1:7" x14ac:dyDescent="0.35">
      <c r="A62" s="144"/>
      <c r="B62" s="144"/>
      <c r="C62" s="188">
        <v>1</v>
      </c>
      <c r="D62" s="148"/>
      <c r="E62" s="145"/>
      <c r="F62" s="144"/>
      <c r="G62" s="144"/>
    </row>
    <row r="63" spans="1:7" x14ac:dyDescent="0.35">
      <c r="A63" s="144"/>
      <c r="B63" s="144"/>
      <c r="C63" s="188">
        <v>1</v>
      </c>
      <c r="D63" s="148"/>
      <c r="E63" s="145"/>
      <c r="F63" s="144"/>
      <c r="G63" s="144"/>
    </row>
    <row r="64" spans="1:7" x14ac:dyDescent="0.35">
      <c r="A64" s="144"/>
      <c r="B64" s="144"/>
      <c r="C64" s="188">
        <v>1</v>
      </c>
      <c r="D64" s="144"/>
      <c r="E64" s="144"/>
      <c r="F64" s="144"/>
      <c r="G64" s="144"/>
    </row>
    <row r="65" spans="1:7" x14ac:dyDescent="0.35">
      <c r="A65" s="144"/>
      <c r="B65" s="144"/>
      <c r="C65" s="188">
        <v>1</v>
      </c>
      <c r="D65" s="144"/>
      <c r="E65" s="144"/>
      <c r="F65" s="144"/>
      <c r="G65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03A58-FC84-4620-8EFB-92AFFDC3DE82}">
  <dimension ref="A1:K118"/>
  <sheetViews>
    <sheetView zoomScaleNormal="100" workbookViewId="0">
      <selection activeCell="H20" sqref="H20"/>
    </sheetView>
  </sheetViews>
  <sheetFormatPr defaultRowHeight="14.5" x14ac:dyDescent="0.35"/>
  <cols>
    <col min="1" max="1" width="12.54296875" bestFit="1" customWidth="1"/>
    <col min="2" max="2" width="16.7265625" bestFit="1" customWidth="1"/>
    <col min="3" max="3" width="7.7265625" customWidth="1"/>
    <col min="4" max="4" width="17.7265625" bestFit="1" customWidth="1"/>
    <col min="5" max="5" width="43.7265625" customWidth="1"/>
    <col min="6" max="6" width="51" customWidth="1"/>
    <col min="7" max="7" width="35.81640625" customWidth="1"/>
    <col min="8" max="8" width="31" customWidth="1"/>
    <col min="10" max="10" width="9.4531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218" t="s">
        <v>2052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45973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35">
      <c r="A9" s="144" t="s">
        <v>6</v>
      </c>
      <c r="B9" s="144" t="s">
        <v>86</v>
      </c>
      <c r="C9" s="188">
        <v>1</v>
      </c>
      <c r="D9" s="148">
        <v>82</v>
      </c>
      <c r="E9" s="145" t="s">
        <v>47</v>
      </c>
      <c r="F9" s="144" t="s">
        <v>33</v>
      </c>
      <c r="G9" s="144" t="s">
        <v>1897</v>
      </c>
    </row>
    <row r="10" spans="1:7" x14ac:dyDescent="0.35">
      <c r="A10" s="144" t="s">
        <v>23</v>
      </c>
      <c r="B10" s="144" t="s">
        <v>211</v>
      </c>
      <c r="C10" s="188">
        <v>1</v>
      </c>
      <c r="D10" s="148">
        <v>82</v>
      </c>
      <c r="E10" s="145" t="s">
        <v>62</v>
      </c>
      <c r="F10" s="144" t="s">
        <v>33</v>
      </c>
      <c r="G10" s="144" t="s">
        <v>1993</v>
      </c>
    </row>
    <row r="11" spans="1:7" x14ac:dyDescent="0.35">
      <c r="A11" s="144" t="s">
        <v>23</v>
      </c>
      <c r="B11" s="144" t="s">
        <v>211</v>
      </c>
      <c r="C11" s="188">
        <v>1</v>
      </c>
      <c r="D11" s="148">
        <v>82</v>
      </c>
      <c r="E11" s="145" t="s">
        <v>62</v>
      </c>
      <c r="F11" s="144" t="s">
        <v>33</v>
      </c>
      <c r="G11" s="144" t="s">
        <v>1994</v>
      </c>
    </row>
    <row r="12" spans="1:7" x14ac:dyDescent="0.35">
      <c r="A12" s="144" t="s">
        <v>6</v>
      </c>
      <c r="B12" s="144" t="s">
        <v>219</v>
      </c>
      <c r="C12" s="188">
        <v>1</v>
      </c>
      <c r="D12" s="148">
        <v>82</v>
      </c>
      <c r="E12" s="145" t="s">
        <v>876</v>
      </c>
      <c r="F12" s="144" t="s">
        <v>33</v>
      </c>
      <c r="G12" s="144" t="s">
        <v>1992</v>
      </c>
    </row>
    <row r="13" spans="1:7" x14ac:dyDescent="0.35">
      <c r="A13" s="144" t="s">
        <v>23</v>
      </c>
      <c r="B13" s="144" t="s">
        <v>211</v>
      </c>
      <c r="C13" s="188">
        <v>1</v>
      </c>
      <c r="D13" s="148">
        <v>82</v>
      </c>
      <c r="E13" s="145" t="s">
        <v>62</v>
      </c>
      <c r="F13" s="144" t="s">
        <v>33</v>
      </c>
      <c r="G13" s="144" t="s">
        <v>1924</v>
      </c>
    </row>
    <row r="14" spans="1:7" x14ac:dyDescent="0.35">
      <c r="A14" s="144" t="s">
        <v>23</v>
      </c>
      <c r="B14" s="144" t="s">
        <v>211</v>
      </c>
      <c r="C14" s="188">
        <v>1</v>
      </c>
      <c r="D14" s="148">
        <v>82</v>
      </c>
      <c r="E14" s="145" t="s">
        <v>62</v>
      </c>
      <c r="F14" s="144" t="s">
        <v>33</v>
      </c>
      <c r="G14" s="144" t="s">
        <v>1991</v>
      </c>
    </row>
    <row r="15" spans="1:7" x14ac:dyDescent="0.35">
      <c r="A15" s="144" t="s">
        <v>23</v>
      </c>
      <c r="B15" s="144" t="s">
        <v>211</v>
      </c>
      <c r="C15" s="188">
        <v>1</v>
      </c>
      <c r="D15" s="148">
        <v>82</v>
      </c>
      <c r="E15" s="145" t="s">
        <v>62</v>
      </c>
      <c r="F15" s="144" t="s">
        <v>33</v>
      </c>
      <c r="G15" s="144" t="s">
        <v>1990</v>
      </c>
    </row>
    <row r="16" spans="1:7" x14ac:dyDescent="0.35">
      <c r="A16" s="144" t="s">
        <v>23</v>
      </c>
      <c r="B16" s="144" t="s">
        <v>211</v>
      </c>
      <c r="C16" s="188">
        <v>1</v>
      </c>
      <c r="D16" s="148">
        <v>82</v>
      </c>
      <c r="E16" s="145" t="s">
        <v>62</v>
      </c>
      <c r="F16" s="144" t="s">
        <v>33</v>
      </c>
      <c r="G16" s="144" t="s">
        <v>1989</v>
      </c>
    </row>
    <row r="17" spans="1:7" x14ac:dyDescent="0.35">
      <c r="A17" s="144" t="s">
        <v>6</v>
      </c>
      <c r="B17" s="144" t="s">
        <v>72</v>
      </c>
      <c r="C17" s="188">
        <v>1</v>
      </c>
      <c r="D17" s="148">
        <v>82</v>
      </c>
      <c r="E17" s="145" t="s">
        <v>1138</v>
      </c>
      <c r="F17" s="144" t="s">
        <v>33</v>
      </c>
      <c r="G17" s="144" t="s">
        <v>1987</v>
      </c>
    </row>
    <row r="18" spans="1:7" x14ac:dyDescent="0.35">
      <c r="A18" s="144" t="s">
        <v>23</v>
      </c>
      <c r="B18" s="144" t="s">
        <v>206</v>
      </c>
      <c r="C18" s="188">
        <v>1</v>
      </c>
      <c r="D18" s="148">
        <v>82</v>
      </c>
      <c r="E18" s="145" t="s">
        <v>63</v>
      </c>
      <c r="F18" s="144" t="s">
        <v>33</v>
      </c>
      <c r="G18" s="144" t="s">
        <v>1988</v>
      </c>
    </row>
    <row r="19" spans="1:7" x14ac:dyDescent="0.35">
      <c r="A19" s="144" t="s">
        <v>23</v>
      </c>
      <c r="B19" s="144" t="s">
        <v>211</v>
      </c>
      <c r="C19" s="188">
        <v>1</v>
      </c>
      <c r="D19" s="148">
        <v>82</v>
      </c>
      <c r="E19" s="145" t="s">
        <v>62</v>
      </c>
      <c r="F19" s="144" t="s">
        <v>33</v>
      </c>
      <c r="G19" s="144" t="s">
        <v>1953</v>
      </c>
    </row>
    <row r="20" spans="1:7" x14ac:dyDescent="0.35">
      <c r="A20" s="144" t="s">
        <v>23</v>
      </c>
      <c r="B20" s="144" t="s">
        <v>211</v>
      </c>
      <c r="C20" s="188">
        <v>1</v>
      </c>
      <c r="D20" s="148">
        <v>82</v>
      </c>
      <c r="E20" s="145" t="s">
        <v>62</v>
      </c>
      <c r="F20" s="144" t="s">
        <v>33</v>
      </c>
      <c r="G20" s="144" t="s">
        <v>1953</v>
      </c>
    </row>
    <row r="21" spans="1:7" x14ac:dyDescent="0.35">
      <c r="A21" s="144" t="s">
        <v>23</v>
      </c>
      <c r="B21" s="144" t="s">
        <v>206</v>
      </c>
      <c r="C21" s="188">
        <v>1</v>
      </c>
      <c r="D21" s="148">
        <v>82</v>
      </c>
      <c r="E21" s="145" t="s">
        <v>63</v>
      </c>
      <c r="F21" s="144" t="s">
        <v>33</v>
      </c>
      <c r="G21" s="144" t="s">
        <v>1926</v>
      </c>
    </row>
    <row r="22" spans="1:7" x14ac:dyDescent="0.35">
      <c r="A22" s="144" t="s">
        <v>23</v>
      </c>
      <c r="B22" s="144" t="s">
        <v>211</v>
      </c>
      <c r="C22" s="188">
        <v>1</v>
      </c>
      <c r="D22" s="148">
        <v>82</v>
      </c>
      <c r="E22" s="145" t="s">
        <v>62</v>
      </c>
      <c r="F22" s="144" t="s">
        <v>33</v>
      </c>
      <c r="G22" s="144" t="s">
        <v>1954</v>
      </c>
    </row>
    <row r="23" spans="1:7" x14ac:dyDescent="0.35">
      <c r="A23" s="144" t="s">
        <v>6</v>
      </c>
      <c r="B23" s="144" t="s">
        <v>72</v>
      </c>
      <c r="C23" s="188">
        <v>1</v>
      </c>
      <c r="D23" s="148">
        <v>82</v>
      </c>
      <c r="E23" s="145" t="s">
        <v>1138</v>
      </c>
      <c r="F23" s="144" t="s">
        <v>33</v>
      </c>
      <c r="G23" s="144" t="s">
        <v>1986</v>
      </c>
    </row>
    <row r="24" spans="1:7" x14ac:dyDescent="0.35">
      <c r="A24" s="144" t="s">
        <v>6</v>
      </c>
      <c r="B24" s="144" t="s">
        <v>86</v>
      </c>
      <c r="C24" s="188">
        <v>1</v>
      </c>
      <c r="D24" s="148">
        <v>82</v>
      </c>
      <c r="E24" s="145" t="s">
        <v>47</v>
      </c>
      <c r="F24" s="144" t="s">
        <v>33</v>
      </c>
      <c r="G24" s="144" t="s">
        <v>1985</v>
      </c>
    </row>
    <row r="25" spans="1:7" x14ac:dyDescent="0.35">
      <c r="A25" s="144" t="s">
        <v>6</v>
      </c>
      <c r="B25" s="144" t="s">
        <v>1382</v>
      </c>
      <c r="C25" s="188">
        <v>1</v>
      </c>
      <c r="D25" s="148">
        <v>82</v>
      </c>
      <c r="E25" s="145" t="s">
        <v>51</v>
      </c>
      <c r="F25" s="144" t="s">
        <v>33</v>
      </c>
      <c r="G25" s="144" t="s">
        <v>1984</v>
      </c>
    </row>
    <row r="26" spans="1:7" x14ac:dyDescent="0.35">
      <c r="A26" s="144" t="s">
        <v>23</v>
      </c>
      <c r="B26" s="144" t="s">
        <v>211</v>
      </c>
      <c r="C26" s="188">
        <v>1</v>
      </c>
      <c r="D26" s="148">
        <v>82</v>
      </c>
      <c r="E26" s="145" t="s">
        <v>62</v>
      </c>
      <c r="F26" s="144" t="s">
        <v>33</v>
      </c>
      <c r="G26" s="144" t="s">
        <v>1956</v>
      </c>
    </row>
    <row r="27" spans="1:7" x14ac:dyDescent="0.35">
      <c r="A27" s="144" t="s">
        <v>23</v>
      </c>
      <c r="B27" s="144" t="s">
        <v>211</v>
      </c>
      <c r="C27" s="188">
        <v>1</v>
      </c>
      <c r="D27" s="148">
        <v>146.30000000000001</v>
      </c>
      <c r="E27" s="145" t="s">
        <v>62</v>
      </c>
      <c r="F27" s="144" t="s">
        <v>989</v>
      </c>
      <c r="G27" s="144" t="s">
        <v>1977</v>
      </c>
    </row>
    <row r="28" spans="1:7" x14ac:dyDescent="0.35">
      <c r="A28" s="144" t="s">
        <v>23</v>
      </c>
      <c r="B28" s="144" t="s">
        <v>211</v>
      </c>
      <c r="C28" s="188">
        <v>1</v>
      </c>
      <c r="D28" s="148">
        <v>82</v>
      </c>
      <c r="E28" s="145" t="s">
        <v>62</v>
      </c>
      <c r="F28" s="144" t="s">
        <v>33</v>
      </c>
      <c r="G28" s="144" t="s">
        <v>1977</v>
      </c>
    </row>
    <row r="29" spans="1:7" x14ac:dyDescent="0.35">
      <c r="A29" s="144" t="s">
        <v>23</v>
      </c>
      <c r="B29" s="144" t="s">
        <v>211</v>
      </c>
      <c r="C29" s="188">
        <v>1</v>
      </c>
      <c r="D29" s="148">
        <v>82</v>
      </c>
      <c r="E29" s="145" t="s">
        <v>62</v>
      </c>
      <c r="F29" s="144" t="s">
        <v>33</v>
      </c>
      <c r="G29" s="144" t="s">
        <v>1975</v>
      </c>
    </row>
    <row r="30" spans="1:7" x14ac:dyDescent="0.35">
      <c r="A30" s="144" t="s">
        <v>23</v>
      </c>
      <c r="B30" s="144" t="s">
        <v>211</v>
      </c>
      <c r="C30" s="188">
        <v>1</v>
      </c>
      <c r="D30" s="148">
        <v>146.30000000000001</v>
      </c>
      <c r="E30" s="145" t="s">
        <v>62</v>
      </c>
      <c r="F30" s="144" t="s">
        <v>989</v>
      </c>
      <c r="G30" s="144" t="s">
        <v>1975</v>
      </c>
    </row>
    <row r="31" spans="1:7" x14ac:dyDescent="0.35">
      <c r="A31" s="144" t="s">
        <v>23</v>
      </c>
      <c r="B31" s="144" t="s">
        <v>211</v>
      </c>
      <c r="C31" s="188">
        <v>1</v>
      </c>
      <c r="D31" s="148">
        <v>82</v>
      </c>
      <c r="E31" s="145" t="s">
        <v>62</v>
      </c>
      <c r="F31" s="144" t="s">
        <v>33</v>
      </c>
      <c r="G31" s="144" t="s">
        <v>1983</v>
      </c>
    </row>
    <row r="32" spans="1:7" x14ac:dyDescent="0.35">
      <c r="A32" s="144" t="s">
        <v>23</v>
      </c>
      <c r="B32" s="144" t="s">
        <v>244</v>
      </c>
      <c r="C32" s="188">
        <v>1</v>
      </c>
      <c r="D32" s="148">
        <v>82</v>
      </c>
      <c r="E32" s="145" t="s">
        <v>64</v>
      </c>
      <c r="F32" s="144" t="s">
        <v>33</v>
      </c>
      <c r="G32" s="144" t="s">
        <v>1996</v>
      </c>
    </row>
    <row r="33" spans="1:8" s="12" customFormat="1" x14ac:dyDescent="0.35">
      <c r="A33" s="134" t="s">
        <v>2000</v>
      </c>
      <c r="B33" s="134" t="s">
        <v>2000</v>
      </c>
      <c r="C33" s="134">
        <v>1</v>
      </c>
      <c r="D33" s="236">
        <v>82</v>
      </c>
      <c r="E33" s="237" t="s">
        <v>51</v>
      </c>
      <c r="F33" s="134" t="s">
        <v>33</v>
      </c>
      <c r="G33" s="134" t="s">
        <v>1997</v>
      </c>
      <c r="H33" s="12" t="s">
        <v>2024</v>
      </c>
    </row>
    <row r="34" spans="1:8" x14ac:dyDescent="0.35">
      <c r="A34" s="144" t="s">
        <v>6</v>
      </c>
      <c r="B34" s="144" t="s">
        <v>86</v>
      </c>
      <c r="C34" s="188">
        <v>1</v>
      </c>
      <c r="D34" s="148">
        <v>146.30000000000001</v>
      </c>
      <c r="E34" s="145" t="s">
        <v>47</v>
      </c>
      <c r="F34" s="144" t="s">
        <v>989</v>
      </c>
      <c r="G34" s="144" t="s">
        <v>1962</v>
      </c>
    </row>
    <row r="35" spans="1:8" x14ac:dyDescent="0.35">
      <c r="A35" s="144" t="s">
        <v>23</v>
      </c>
      <c r="B35" s="144" t="s">
        <v>211</v>
      </c>
      <c r="C35" s="188">
        <v>1</v>
      </c>
      <c r="D35" s="148">
        <v>176</v>
      </c>
      <c r="E35" s="145" t="s">
        <v>62</v>
      </c>
      <c r="F35" s="144" t="s">
        <v>992</v>
      </c>
      <c r="G35" s="144" t="s">
        <v>1976</v>
      </c>
    </row>
    <row r="36" spans="1:8" x14ac:dyDescent="0.35">
      <c r="A36" s="144" t="s">
        <v>23</v>
      </c>
      <c r="B36" s="144" t="s">
        <v>211</v>
      </c>
      <c r="C36" s="188">
        <v>1</v>
      </c>
      <c r="D36" s="148">
        <v>146.30000000000001</v>
      </c>
      <c r="E36" s="145" t="s">
        <v>62</v>
      </c>
      <c r="F36" s="144" t="s">
        <v>989</v>
      </c>
      <c r="G36" s="144" t="s">
        <v>1973</v>
      </c>
    </row>
    <row r="37" spans="1:8" x14ac:dyDescent="0.35">
      <c r="A37" s="144" t="s">
        <v>23</v>
      </c>
      <c r="B37" s="144" t="s">
        <v>211</v>
      </c>
      <c r="C37" s="188">
        <v>1</v>
      </c>
      <c r="D37" s="148">
        <v>176</v>
      </c>
      <c r="E37" s="145" t="s">
        <v>62</v>
      </c>
      <c r="F37" s="144" t="s">
        <v>992</v>
      </c>
      <c r="G37" s="144" t="s">
        <v>1978</v>
      </c>
    </row>
    <row r="38" spans="1:8" x14ac:dyDescent="0.35">
      <c r="A38" s="144" t="s">
        <v>6</v>
      </c>
      <c r="B38" s="144" t="s">
        <v>86</v>
      </c>
      <c r="C38" s="188">
        <v>1</v>
      </c>
      <c r="D38" s="148">
        <v>82</v>
      </c>
      <c r="E38" s="145" t="s">
        <v>47</v>
      </c>
      <c r="F38" s="144" t="s">
        <v>33</v>
      </c>
      <c r="G38" s="144" t="s">
        <v>2001</v>
      </c>
    </row>
    <row r="39" spans="1:8" x14ac:dyDescent="0.35">
      <c r="A39" s="144" t="s">
        <v>23</v>
      </c>
      <c r="B39" s="144" t="s">
        <v>211</v>
      </c>
      <c r="C39" s="188">
        <v>1</v>
      </c>
      <c r="D39" s="148">
        <v>82</v>
      </c>
      <c r="E39" s="145" t="s">
        <v>62</v>
      </c>
      <c r="F39" s="144" t="s">
        <v>33</v>
      </c>
      <c r="G39" s="144" t="s">
        <v>2002</v>
      </c>
    </row>
    <row r="40" spans="1:8" x14ac:dyDescent="0.35">
      <c r="A40" s="144"/>
      <c r="B40" s="144" t="s">
        <v>163</v>
      </c>
      <c r="C40" s="188">
        <v>1</v>
      </c>
      <c r="D40" s="148">
        <v>82</v>
      </c>
      <c r="E40" s="145" t="s">
        <v>56</v>
      </c>
      <c r="F40" s="144" t="s">
        <v>33</v>
      </c>
      <c r="G40" s="144" t="s">
        <v>1998</v>
      </c>
    </row>
    <row r="41" spans="1:8" x14ac:dyDescent="0.35">
      <c r="A41" s="144" t="s">
        <v>6</v>
      </c>
      <c r="B41" s="144" t="s">
        <v>142</v>
      </c>
      <c r="C41" s="188">
        <v>1</v>
      </c>
      <c r="D41" s="148">
        <v>82</v>
      </c>
      <c r="E41" s="145" t="s">
        <v>44</v>
      </c>
      <c r="F41" s="144" t="s">
        <v>33</v>
      </c>
      <c r="G41" s="144" t="s">
        <v>1999</v>
      </c>
    </row>
    <row r="42" spans="1:8" x14ac:dyDescent="0.35">
      <c r="A42" s="144" t="s">
        <v>23</v>
      </c>
      <c r="B42" s="144" t="s">
        <v>244</v>
      </c>
      <c r="C42" s="188">
        <v>1</v>
      </c>
      <c r="D42" s="148">
        <v>26</v>
      </c>
      <c r="E42" s="145" t="s">
        <v>64</v>
      </c>
      <c r="F42" s="144" t="s">
        <v>35</v>
      </c>
      <c r="G42" s="144" t="s">
        <v>1982</v>
      </c>
    </row>
    <row r="43" spans="1:8" x14ac:dyDescent="0.35">
      <c r="A43" s="144" t="s">
        <v>23</v>
      </c>
      <c r="B43" s="144" t="s">
        <v>244</v>
      </c>
      <c r="C43" s="188">
        <v>1</v>
      </c>
      <c r="D43" s="148">
        <v>82</v>
      </c>
      <c r="E43" s="145" t="s">
        <v>64</v>
      </c>
      <c r="F43" s="144" t="s">
        <v>33</v>
      </c>
      <c r="G43" s="144" t="s">
        <v>2003</v>
      </c>
    </row>
    <row r="44" spans="1:8" x14ac:dyDescent="0.35">
      <c r="A44" s="144" t="s">
        <v>6</v>
      </c>
      <c r="B44" s="144" t="s">
        <v>86</v>
      </c>
      <c r="C44" s="188">
        <v>1</v>
      </c>
      <c r="D44" s="148">
        <v>26</v>
      </c>
      <c r="E44" s="145" t="s">
        <v>47</v>
      </c>
      <c r="F44" s="144" t="s">
        <v>35</v>
      </c>
      <c r="G44" s="144" t="s">
        <v>1979</v>
      </c>
    </row>
    <row r="45" spans="1:8" x14ac:dyDescent="0.35">
      <c r="A45" s="144" t="s">
        <v>6</v>
      </c>
      <c r="B45" s="144" t="s">
        <v>142</v>
      </c>
      <c r="C45" s="188">
        <v>1</v>
      </c>
      <c r="D45" s="148">
        <v>26</v>
      </c>
      <c r="E45" s="145" t="s">
        <v>44</v>
      </c>
      <c r="F45" s="144" t="s">
        <v>35</v>
      </c>
      <c r="G45" s="144" t="s">
        <v>1980</v>
      </c>
    </row>
    <row r="46" spans="1:8" x14ac:dyDescent="0.35">
      <c r="A46" s="144" t="s">
        <v>6</v>
      </c>
      <c r="B46" s="144" t="s">
        <v>1382</v>
      </c>
      <c r="C46" s="188">
        <v>1</v>
      </c>
      <c r="D46" s="155">
        <v>58</v>
      </c>
      <c r="E46" s="145" t="s">
        <v>51</v>
      </c>
      <c r="F46" s="144" t="s">
        <v>34</v>
      </c>
      <c r="G46" s="144" t="s">
        <v>1981</v>
      </c>
    </row>
    <row r="47" spans="1:8" x14ac:dyDescent="0.35">
      <c r="A47" s="144" t="s">
        <v>6</v>
      </c>
      <c r="B47" s="144" t="s">
        <v>1382</v>
      </c>
      <c r="C47" s="188">
        <v>1</v>
      </c>
      <c r="D47" s="148">
        <v>26</v>
      </c>
      <c r="E47" s="145" t="s">
        <v>51</v>
      </c>
      <c r="F47" s="144" t="s">
        <v>35</v>
      </c>
      <c r="G47" s="144" t="s">
        <v>1981</v>
      </c>
    </row>
    <row r="48" spans="1:8" x14ac:dyDescent="0.35">
      <c r="A48" s="144" t="s">
        <v>6</v>
      </c>
      <c r="B48" s="144" t="s">
        <v>142</v>
      </c>
      <c r="C48" s="188">
        <v>1</v>
      </c>
      <c r="D48" s="148">
        <v>82</v>
      </c>
      <c r="E48" s="145" t="s">
        <v>44</v>
      </c>
      <c r="F48" s="144" t="s">
        <v>33</v>
      </c>
      <c r="G48" s="144" t="s">
        <v>2004</v>
      </c>
    </row>
    <row r="49" spans="1:7" x14ac:dyDescent="0.35">
      <c r="A49" s="144" t="s">
        <v>6</v>
      </c>
      <c r="B49" s="144" t="s">
        <v>86</v>
      </c>
      <c r="C49" s="188">
        <v>1</v>
      </c>
      <c r="D49" s="148">
        <v>82</v>
      </c>
      <c r="E49" s="145" t="s">
        <v>47</v>
      </c>
      <c r="F49" s="144" t="s">
        <v>33</v>
      </c>
      <c r="G49" s="144" t="s">
        <v>2005</v>
      </c>
    </row>
    <row r="50" spans="1:7" x14ac:dyDescent="0.35">
      <c r="A50" s="144" t="s">
        <v>6</v>
      </c>
      <c r="B50" s="144" t="s">
        <v>86</v>
      </c>
      <c r="C50" s="188">
        <v>1</v>
      </c>
      <c r="D50" s="148">
        <v>146.30000000000001</v>
      </c>
      <c r="E50" s="145" t="s">
        <v>47</v>
      </c>
      <c r="F50" s="144" t="s">
        <v>989</v>
      </c>
      <c r="G50" s="144" t="s">
        <v>2025</v>
      </c>
    </row>
    <row r="51" spans="1:7" x14ac:dyDescent="0.35">
      <c r="A51" s="144" t="s">
        <v>6</v>
      </c>
      <c r="B51" s="144" t="s">
        <v>142</v>
      </c>
      <c r="C51" s="188">
        <v>1</v>
      </c>
      <c r="D51" s="148">
        <v>39</v>
      </c>
      <c r="E51" s="145" t="s">
        <v>44</v>
      </c>
      <c r="F51" s="144" t="s">
        <v>36</v>
      </c>
      <c r="G51" s="144" t="s">
        <v>1968</v>
      </c>
    </row>
    <row r="52" spans="1:7" x14ac:dyDescent="0.35">
      <c r="A52" s="144" t="s">
        <v>6</v>
      </c>
      <c r="B52" s="144" t="s">
        <v>142</v>
      </c>
      <c r="C52" s="188">
        <v>1</v>
      </c>
      <c r="D52" s="148">
        <v>58</v>
      </c>
      <c r="E52" s="145" t="s">
        <v>44</v>
      </c>
      <c r="F52" s="144" t="s">
        <v>34</v>
      </c>
      <c r="G52" s="144" t="s">
        <v>1968</v>
      </c>
    </row>
    <row r="53" spans="1:7" x14ac:dyDescent="0.35">
      <c r="A53" s="144" t="s">
        <v>6</v>
      </c>
      <c r="B53" s="144" t="s">
        <v>72</v>
      </c>
      <c r="C53" s="188">
        <v>1</v>
      </c>
      <c r="D53" s="155">
        <v>58</v>
      </c>
      <c r="E53" s="145" t="s">
        <v>1138</v>
      </c>
      <c r="F53" s="144" t="s">
        <v>34</v>
      </c>
      <c r="G53" s="144" t="s">
        <v>1969</v>
      </c>
    </row>
    <row r="54" spans="1:7" x14ac:dyDescent="0.35">
      <c r="A54" s="144" t="s">
        <v>6</v>
      </c>
      <c r="B54" s="144" t="s">
        <v>72</v>
      </c>
      <c r="C54" s="188">
        <v>1</v>
      </c>
      <c r="D54" s="148">
        <v>26</v>
      </c>
      <c r="E54" s="145" t="s">
        <v>1138</v>
      </c>
      <c r="F54" s="144" t="s">
        <v>35</v>
      </c>
      <c r="G54" s="144" t="s">
        <v>1969</v>
      </c>
    </row>
    <row r="55" spans="1:7" x14ac:dyDescent="0.35">
      <c r="A55" s="131"/>
      <c r="B55" s="144" t="s">
        <v>163</v>
      </c>
      <c r="C55" s="188">
        <v>1</v>
      </c>
      <c r="D55" s="148">
        <v>39</v>
      </c>
      <c r="E55" s="145" t="s">
        <v>56</v>
      </c>
      <c r="F55" s="144" t="s">
        <v>36</v>
      </c>
      <c r="G55" s="144" t="s">
        <v>1970</v>
      </c>
    </row>
    <row r="56" spans="1:7" x14ac:dyDescent="0.35">
      <c r="A56" s="144" t="s">
        <v>23</v>
      </c>
      <c r="B56" s="144" t="s">
        <v>211</v>
      </c>
      <c r="C56" s="188">
        <v>1</v>
      </c>
      <c r="D56" s="148">
        <v>176</v>
      </c>
      <c r="E56" s="145" t="s">
        <v>62</v>
      </c>
      <c r="F56" s="144" t="s">
        <v>992</v>
      </c>
      <c r="G56" s="144" t="s">
        <v>1974</v>
      </c>
    </row>
    <row r="57" spans="1:7" x14ac:dyDescent="0.35">
      <c r="A57" s="144" t="s">
        <v>6</v>
      </c>
      <c r="B57" s="144" t="s">
        <v>1382</v>
      </c>
      <c r="C57" s="188">
        <v>1</v>
      </c>
      <c r="D57" s="155">
        <v>58</v>
      </c>
      <c r="E57" s="145" t="s">
        <v>51</v>
      </c>
      <c r="F57" s="144" t="s">
        <v>34</v>
      </c>
      <c r="G57" s="144" t="s">
        <v>1972</v>
      </c>
    </row>
    <row r="58" spans="1:7" x14ac:dyDescent="0.35">
      <c r="A58" s="144" t="s">
        <v>6</v>
      </c>
      <c r="B58" s="144" t="s">
        <v>1382</v>
      </c>
      <c r="C58" s="188">
        <v>1</v>
      </c>
      <c r="D58" s="148">
        <v>26</v>
      </c>
      <c r="E58" s="145" t="s">
        <v>51</v>
      </c>
      <c r="F58" s="144" t="s">
        <v>35</v>
      </c>
      <c r="G58" s="144" t="s">
        <v>1972</v>
      </c>
    </row>
    <row r="59" spans="1:7" x14ac:dyDescent="0.35">
      <c r="A59" s="144" t="s">
        <v>6</v>
      </c>
      <c r="B59" s="144" t="s">
        <v>72</v>
      </c>
      <c r="C59" s="188">
        <v>1</v>
      </c>
      <c r="D59" s="155">
        <v>58</v>
      </c>
      <c r="E59" s="145" t="s">
        <v>1138</v>
      </c>
      <c r="F59" s="144" t="s">
        <v>34</v>
      </c>
      <c r="G59" s="144" t="s">
        <v>1971</v>
      </c>
    </row>
    <row r="60" spans="1:7" x14ac:dyDescent="0.35">
      <c r="A60" s="144" t="s">
        <v>6</v>
      </c>
      <c r="B60" s="144" t="s">
        <v>72</v>
      </c>
      <c r="C60" s="188">
        <v>1</v>
      </c>
      <c r="D60" s="148">
        <v>26</v>
      </c>
      <c r="E60" s="145" t="s">
        <v>1138</v>
      </c>
      <c r="F60" s="144" t="s">
        <v>35</v>
      </c>
      <c r="G60" s="144" t="s">
        <v>1971</v>
      </c>
    </row>
    <row r="61" spans="1:7" x14ac:dyDescent="0.35">
      <c r="A61" s="144" t="s">
        <v>23</v>
      </c>
      <c r="B61" s="144" t="s">
        <v>211</v>
      </c>
      <c r="C61" s="144">
        <v>1</v>
      </c>
      <c r="D61" s="148">
        <v>146.30000000000001</v>
      </c>
      <c r="E61" s="144" t="s">
        <v>62</v>
      </c>
      <c r="F61" s="144" t="s">
        <v>989</v>
      </c>
      <c r="G61" s="144" t="s">
        <v>2006</v>
      </c>
    </row>
    <row r="62" spans="1:7" x14ac:dyDescent="0.35">
      <c r="A62" s="144" t="s">
        <v>6</v>
      </c>
      <c r="B62" s="144" t="s">
        <v>142</v>
      </c>
      <c r="C62" s="188">
        <v>1</v>
      </c>
      <c r="D62" s="148">
        <v>146.30000000000001</v>
      </c>
      <c r="E62" s="145" t="s">
        <v>44</v>
      </c>
      <c r="F62" s="144" t="s">
        <v>989</v>
      </c>
      <c r="G62" s="144" t="s">
        <v>2007</v>
      </c>
    </row>
    <row r="63" spans="1:7" x14ac:dyDescent="0.35">
      <c r="A63" s="144" t="s">
        <v>23</v>
      </c>
      <c r="B63" s="144" t="s">
        <v>211</v>
      </c>
      <c r="C63" s="188">
        <v>1</v>
      </c>
      <c r="D63" s="235">
        <v>82</v>
      </c>
      <c r="E63" s="145" t="s">
        <v>62</v>
      </c>
      <c r="F63" s="144" t="s">
        <v>33</v>
      </c>
      <c r="G63" s="144" t="s">
        <v>2006</v>
      </c>
    </row>
    <row r="64" spans="1:7" x14ac:dyDescent="0.35">
      <c r="A64" s="144" t="s">
        <v>6</v>
      </c>
      <c r="B64" s="144" t="s">
        <v>142</v>
      </c>
      <c r="C64" s="188">
        <v>1</v>
      </c>
      <c r="D64" s="235">
        <v>82</v>
      </c>
      <c r="E64" s="145" t="s">
        <v>44</v>
      </c>
      <c r="F64" s="144" t="s">
        <v>33</v>
      </c>
      <c r="G64" s="144" t="s">
        <v>2007</v>
      </c>
    </row>
    <row r="65" spans="1:11" x14ac:dyDescent="0.35">
      <c r="A65" s="144" t="s">
        <v>23</v>
      </c>
      <c r="B65" s="144" t="s">
        <v>211</v>
      </c>
      <c r="C65" s="188">
        <v>1</v>
      </c>
      <c r="D65" s="235">
        <v>82</v>
      </c>
      <c r="E65" s="145" t="s">
        <v>62</v>
      </c>
      <c r="F65" s="144" t="s">
        <v>33</v>
      </c>
      <c r="G65" s="144" t="s">
        <v>2006</v>
      </c>
      <c r="J65" s="14"/>
      <c r="K65" s="76"/>
    </row>
    <row r="66" spans="1:11" x14ac:dyDescent="0.35">
      <c r="A66" s="144" t="s">
        <v>23</v>
      </c>
      <c r="B66" s="144" t="s">
        <v>244</v>
      </c>
      <c r="C66" s="188">
        <v>1</v>
      </c>
      <c r="D66" s="148">
        <v>58</v>
      </c>
      <c r="E66" s="145" t="s">
        <v>64</v>
      </c>
      <c r="F66" s="144" t="s">
        <v>34</v>
      </c>
      <c r="G66" s="144" t="s">
        <v>1965</v>
      </c>
    </row>
    <row r="67" spans="1:11" x14ac:dyDescent="0.35">
      <c r="A67" s="144" t="s">
        <v>23</v>
      </c>
      <c r="B67" s="144" t="s">
        <v>244</v>
      </c>
      <c r="C67" s="188">
        <v>1</v>
      </c>
      <c r="D67" s="148">
        <v>26</v>
      </c>
      <c r="E67" s="145" t="s">
        <v>64</v>
      </c>
      <c r="F67" s="144" t="s">
        <v>35</v>
      </c>
      <c r="G67" s="144" t="s">
        <v>1965</v>
      </c>
    </row>
    <row r="68" spans="1:11" x14ac:dyDescent="0.35">
      <c r="A68" s="144" t="s">
        <v>23</v>
      </c>
      <c r="B68" s="144" t="s">
        <v>206</v>
      </c>
      <c r="C68" s="188">
        <v>1</v>
      </c>
      <c r="D68" s="235">
        <v>26</v>
      </c>
      <c r="E68" s="145" t="s">
        <v>63</v>
      </c>
      <c r="F68" s="144" t="s">
        <v>35</v>
      </c>
      <c r="G68" s="144" t="s">
        <v>2032</v>
      </c>
    </row>
    <row r="69" spans="1:11" x14ac:dyDescent="0.35">
      <c r="A69" s="144" t="s">
        <v>6</v>
      </c>
      <c r="B69" s="144" t="s">
        <v>72</v>
      </c>
      <c r="C69" s="188">
        <v>1</v>
      </c>
      <c r="D69" s="148">
        <v>58</v>
      </c>
      <c r="E69" s="145" t="s">
        <v>1138</v>
      </c>
      <c r="F69" s="144" t="s">
        <v>34</v>
      </c>
      <c r="G69" s="144" t="s">
        <v>1966</v>
      </c>
    </row>
    <row r="70" spans="1:11" x14ac:dyDescent="0.35">
      <c r="A70" s="144" t="s">
        <v>6</v>
      </c>
      <c r="B70" s="144" t="s">
        <v>72</v>
      </c>
      <c r="C70" s="188">
        <v>1</v>
      </c>
      <c r="D70" s="148">
        <v>26</v>
      </c>
      <c r="E70" s="145" t="s">
        <v>1138</v>
      </c>
      <c r="F70" s="144" t="s">
        <v>35</v>
      </c>
      <c r="G70" s="144" t="s">
        <v>1966</v>
      </c>
    </row>
    <row r="71" spans="1:11" x14ac:dyDescent="0.35">
      <c r="A71" s="144" t="s">
        <v>6</v>
      </c>
      <c r="B71" s="144" t="s">
        <v>72</v>
      </c>
      <c r="C71" s="188">
        <v>1</v>
      </c>
      <c r="D71" s="155">
        <v>39</v>
      </c>
      <c r="E71" s="145" t="s">
        <v>1138</v>
      </c>
      <c r="F71" s="144" t="s">
        <v>36</v>
      </c>
      <c r="G71" s="144" t="s">
        <v>1966</v>
      </c>
    </row>
    <row r="72" spans="1:11" x14ac:dyDescent="0.35">
      <c r="A72" s="144" t="s">
        <v>6</v>
      </c>
      <c r="B72" s="144" t="s">
        <v>72</v>
      </c>
      <c r="C72" s="188">
        <v>1</v>
      </c>
      <c r="D72" s="148">
        <v>58</v>
      </c>
      <c r="E72" s="145" t="s">
        <v>1138</v>
      </c>
      <c r="F72" s="144" t="s">
        <v>34</v>
      </c>
      <c r="G72" s="144" t="s">
        <v>1967</v>
      </c>
    </row>
    <row r="73" spans="1:11" x14ac:dyDescent="0.35">
      <c r="A73" s="144" t="s">
        <v>23</v>
      </c>
      <c r="B73" s="144" t="s">
        <v>244</v>
      </c>
      <c r="C73" s="188">
        <v>1</v>
      </c>
      <c r="D73" s="148">
        <v>146.30000000000001</v>
      </c>
      <c r="E73" s="145" t="s">
        <v>64</v>
      </c>
      <c r="F73" s="144" t="s">
        <v>989</v>
      </c>
      <c r="G73" s="144" t="s">
        <v>2026</v>
      </c>
    </row>
    <row r="74" spans="1:11" x14ac:dyDescent="0.35">
      <c r="A74" s="144" t="s">
        <v>23</v>
      </c>
      <c r="B74" s="144" t="s">
        <v>211</v>
      </c>
      <c r="C74" s="144">
        <v>1</v>
      </c>
      <c r="D74" s="148">
        <v>146.30000000000001</v>
      </c>
      <c r="E74" s="144" t="s">
        <v>62</v>
      </c>
      <c r="F74" s="144" t="s">
        <v>989</v>
      </c>
      <c r="G74" s="144" t="s">
        <v>2027</v>
      </c>
    </row>
    <row r="75" spans="1:11" x14ac:dyDescent="0.35">
      <c r="A75" s="144" t="s">
        <v>23</v>
      </c>
      <c r="B75" s="144" t="s">
        <v>206</v>
      </c>
      <c r="C75" s="188">
        <v>1</v>
      </c>
      <c r="D75" s="235">
        <v>82</v>
      </c>
      <c r="E75" s="145" t="s">
        <v>63</v>
      </c>
      <c r="F75" s="144" t="s">
        <v>33</v>
      </c>
      <c r="G75" s="144" t="s">
        <v>2008</v>
      </c>
    </row>
    <row r="76" spans="1:11" x14ac:dyDescent="0.35">
      <c r="A76" s="144" t="s">
        <v>23</v>
      </c>
      <c r="B76" s="144" t="s">
        <v>211</v>
      </c>
      <c r="C76" s="188">
        <v>1</v>
      </c>
      <c r="D76" s="235">
        <v>26</v>
      </c>
      <c r="E76" s="145" t="s">
        <v>62</v>
      </c>
      <c r="F76" s="144" t="s">
        <v>35</v>
      </c>
      <c r="G76" s="144" t="s">
        <v>2033</v>
      </c>
    </row>
    <row r="77" spans="1:11" x14ac:dyDescent="0.35">
      <c r="A77" s="144" t="s">
        <v>6</v>
      </c>
      <c r="B77" s="144" t="s">
        <v>72</v>
      </c>
      <c r="C77" s="188">
        <v>1</v>
      </c>
      <c r="D77" s="148">
        <v>58</v>
      </c>
      <c r="E77" s="145" t="s">
        <v>1138</v>
      </c>
      <c r="F77" s="144" t="s">
        <v>34</v>
      </c>
      <c r="G77" s="144" t="s">
        <v>2034</v>
      </c>
    </row>
    <row r="78" spans="1:11" x14ac:dyDescent="0.35">
      <c r="A78" s="144" t="s">
        <v>6</v>
      </c>
      <c r="B78" s="144" t="s">
        <v>72</v>
      </c>
      <c r="C78" s="188">
        <v>1</v>
      </c>
      <c r="D78" s="235">
        <v>26</v>
      </c>
      <c r="E78" s="145" t="s">
        <v>1138</v>
      </c>
      <c r="F78" s="144" t="s">
        <v>35</v>
      </c>
      <c r="G78" s="144" t="s">
        <v>2034</v>
      </c>
    </row>
    <row r="79" spans="1:11" x14ac:dyDescent="0.35">
      <c r="A79" s="144" t="s">
        <v>6</v>
      </c>
      <c r="B79" s="144" t="s">
        <v>86</v>
      </c>
      <c r="C79" s="188">
        <v>1</v>
      </c>
      <c r="D79" s="235">
        <v>82</v>
      </c>
      <c r="E79" s="145" t="s">
        <v>47</v>
      </c>
      <c r="F79" s="144" t="s">
        <v>33</v>
      </c>
      <c r="G79" s="144" t="s">
        <v>2012</v>
      </c>
    </row>
    <row r="80" spans="1:11" x14ac:dyDescent="0.35">
      <c r="A80" s="144" t="s">
        <v>6</v>
      </c>
      <c r="B80" s="144" t="s">
        <v>86</v>
      </c>
      <c r="C80" s="188">
        <v>1</v>
      </c>
      <c r="D80" s="148">
        <v>146.30000000000001</v>
      </c>
      <c r="E80" s="145" t="s">
        <v>47</v>
      </c>
      <c r="F80" s="144" t="s">
        <v>989</v>
      </c>
      <c r="G80" s="144" t="s">
        <v>2012</v>
      </c>
    </row>
    <row r="81" spans="1:8" x14ac:dyDescent="0.35">
      <c r="A81" s="144" t="s">
        <v>6</v>
      </c>
      <c r="B81" s="144" t="s">
        <v>86</v>
      </c>
      <c r="C81" s="188">
        <v>1</v>
      </c>
      <c r="D81" s="235">
        <v>82</v>
      </c>
      <c r="E81" s="145" t="s">
        <v>47</v>
      </c>
      <c r="F81" s="144" t="s">
        <v>33</v>
      </c>
      <c r="G81" s="144" t="s">
        <v>2009</v>
      </c>
    </row>
    <row r="82" spans="1:8" x14ac:dyDescent="0.35">
      <c r="A82" s="144" t="s">
        <v>6</v>
      </c>
      <c r="B82" s="144" t="s">
        <v>219</v>
      </c>
      <c r="C82" s="188">
        <v>1</v>
      </c>
      <c r="D82" s="235">
        <v>82</v>
      </c>
      <c r="E82" s="145" t="s">
        <v>876</v>
      </c>
      <c r="F82" s="144" t="s">
        <v>33</v>
      </c>
      <c r="G82" s="144" t="s">
        <v>2010</v>
      </c>
    </row>
    <row r="83" spans="1:8" x14ac:dyDescent="0.35">
      <c r="A83" s="144" t="s">
        <v>6</v>
      </c>
      <c r="B83" s="144" t="s">
        <v>86</v>
      </c>
      <c r="C83" s="188">
        <v>1</v>
      </c>
      <c r="D83" s="235">
        <v>82</v>
      </c>
      <c r="E83" s="145" t="s">
        <v>47</v>
      </c>
      <c r="F83" s="144" t="s">
        <v>33</v>
      </c>
      <c r="G83" s="144" t="s">
        <v>2011</v>
      </c>
    </row>
    <row r="84" spans="1:8" x14ac:dyDescent="0.35">
      <c r="A84" s="144" t="s">
        <v>23</v>
      </c>
      <c r="B84" s="144" t="s">
        <v>244</v>
      </c>
      <c r="C84" s="188">
        <v>1</v>
      </c>
      <c r="D84" s="235">
        <v>82</v>
      </c>
      <c r="E84" s="145" t="s">
        <v>64</v>
      </c>
      <c r="F84" s="144" t="s">
        <v>33</v>
      </c>
      <c r="G84" s="144" t="s">
        <v>2013</v>
      </c>
    </row>
    <row r="85" spans="1:8" x14ac:dyDescent="0.35">
      <c r="A85" s="144" t="s">
        <v>23</v>
      </c>
      <c r="B85" s="144" t="s">
        <v>244</v>
      </c>
      <c r="C85" s="188">
        <v>1</v>
      </c>
      <c r="D85" s="148">
        <v>146.30000000000001</v>
      </c>
      <c r="E85" s="145" t="s">
        <v>64</v>
      </c>
      <c r="F85" s="144" t="s">
        <v>989</v>
      </c>
      <c r="G85" s="144" t="s">
        <v>2013</v>
      </c>
    </row>
    <row r="86" spans="1:8" x14ac:dyDescent="0.35">
      <c r="A86" s="144" t="s">
        <v>6</v>
      </c>
      <c r="B86" s="144" t="s">
        <v>219</v>
      </c>
      <c r="C86" s="188">
        <v>1</v>
      </c>
      <c r="D86" s="148">
        <v>146.30000000000001</v>
      </c>
      <c r="E86" s="145" t="s">
        <v>876</v>
      </c>
      <c r="F86" s="144" t="s">
        <v>989</v>
      </c>
      <c r="G86" s="144" t="s">
        <v>2010</v>
      </c>
    </row>
    <row r="87" spans="1:8" x14ac:dyDescent="0.35">
      <c r="A87" s="144" t="s">
        <v>23</v>
      </c>
      <c r="B87" s="144" t="s">
        <v>206</v>
      </c>
      <c r="C87" s="188">
        <v>1</v>
      </c>
      <c r="D87" s="235">
        <v>26</v>
      </c>
      <c r="E87" s="144" t="s">
        <v>63</v>
      </c>
      <c r="F87" s="144" t="s">
        <v>35</v>
      </c>
      <c r="G87" s="144" t="s">
        <v>2035</v>
      </c>
    </row>
    <row r="88" spans="1:8" x14ac:dyDescent="0.35">
      <c r="A88" s="144" t="s">
        <v>23</v>
      </c>
      <c r="B88" s="144" t="s">
        <v>244</v>
      </c>
      <c r="C88" s="188">
        <v>1</v>
      </c>
      <c r="D88" s="235">
        <v>26</v>
      </c>
      <c r="E88" s="145" t="s">
        <v>64</v>
      </c>
      <c r="F88" s="144" t="s">
        <v>35</v>
      </c>
      <c r="G88" s="144" t="s">
        <v>2036</v>
      </c>
    </row>
    <row r="89" spans="1:8" x14ac:dyDescent="0.35">
      <c r="A89" s="144" t="s">
        <v>6</v>
      </c>
      <c r="B89" s="144" t="s">
        <v>72</v>
      </c>
      <c r="C89" s="188">
        <v>1</v>
      </c>
      <c r="D89" s="235">
        <v>82</v>
      </c>
      <c r="E89" s="145" t="s">
        <v>1138</v>
      </c>
      <c r="F89" s="144" t="s">
        <v>33</v>
      </c>
      <c r="G89" s="144" t="s">
        <v>2014</v>
      </c>
    </row>
    <row r="90" spans="1:8" x14ac:dyDescent="0.35">
      <c r="A90" s="144" t="s">
        <v>6</v>
      </c>
      <c r="B90" s="144" t="s">
        <v>86</v>
      </c>
      <c r="C90" s="188">
        <v>1</v>
      </c>
      <c r="D90" s="235">
        <v>82</v>
      </c>
      <c r="E90" s="145" t="s">
        <v>47</v>
      </c>
      <c r="F90" s="144" t="s">
        <v>33</v>
      </c>
      <c r="G90" s="144" t="s">
        <v>2017</v>
      </c>
      <c r="H90" t="s">
        <v>2023</v>
      </c>
    </row>
    <row r="91" spans="1:8" x14ac:dyDescent="0.35">
      <c r="A91" s="144" t="s">
        <v>23</v>
      </c>
      <c r="B91" s="144" t="s">
        <v>244</v>
      </c>
      <c r="C91" s="188">
        <v>1</v>
      </c>
      <c r="D91" s="148">
        <v>176</v>
      </c>
      <c r="E91" s="145" t="s">
        <v>64</v>
      </c>
      <c r="F91" s="144" t="s">
        <v>992</v>
      </c>
      <c r="G91" s="144" t="s">
        <v>2028</v>
      </c>
    </row>
    <row r="92" spans="1:8" x14ac:dyDescent="0.35">
      <c r="A92" s="144" t="s">
        <v>23</v>
      </c>
      <c r="B92" s="144" t="s">
        <v>211</v>
      </c>
      <c r="C92" s="188">
        <v>1</v>
      </c>
      <c r="D92" s="148">
        <v>176</v>
      </c>
      <c r="E92" s="144" t="s">
        <v>62</v>
      </c>
      <c r="F92" s="144" t="s">
        <v>992</v>
      </c>
      <c r="G92" s="144" t="s">
        <v>2029</v>
      </c>
    </row>
    <row r="93" spans="1:8" x14ac:dyDescent="0.35">
      <c r="A93" s="144" t="s">
        <v>23</v>
      </c>
      <c r="B93" s="144" t="s">
        <v>244</v>
      </c>
      <c r="C93" s="188">
        <v>1</v>
      </c>
      <c r="D93" s="235">
        <v>26</v>
      </c>
      <c r="E93" s="145" t="s">
        <v>64</v>
      </c>
      <c r="F93" s="144" t="s">
        <v>35</v>
      </c>
      <c r="G93" s="144" t="s">
        <v>2037</v>
      </c>
    </row>
    <row r="94" spans="1:8" x14ac:dyDescent="0.35">
      <c r="A94" s="144" t="s">
        <v>6</v>
      </c>
      <c r="B94" s="144" t="s">
        <v>142</v>
      </c>
      <c r="C94" s="188">
        <v>1</v>
      </c>
      <c r="D94" s="235">
        <v>82</v>
      </c>
      <c r="E94" s="145" t="s">
        <v>44</v>
      </c>
      <c r="F94" s="144" t="s">
        <v>33</v>
      </c>
      <c r="G94" s="144" t="s">
        <v>2015</v>
      </c>
    </row>
    <row r="95" spans="1:8" x14ac:dyDescent="0.35">
      <c r="A95" s="144"/>
      <c r="B95" s="144" t="s">
        <v>163</v>
      </c>
      <c r="C95" s="188">
        <v>1</v>
      </c>
      <c r="D95" s="148">
        <v>82</v>
      </c>
      <c r="E95" s="145" t="s">
        <v>56</v>
      </c>
      <c r="F95" s="144" t="s">
        <v>33</v>
      </c>
      <c r="G95" s="144" t="s">
        <v>2016</v>
      </c>
    </row>
    <row r="96" spans="1:8" x14ac:dyDescent="0.35">
      <c r="A96" s="144" t="s">
        <v>6</v>
      </c>
      <c r="B96" s="144" t="s">
        <v>219</v>
      </c>
      <c r="C96" s="188">
        <v>1</v>
      </c>
      <c r="D96" s="148">
        <v>176</v>
      </c>
      <c r="E96" s="145" t="s">
        <v>876</v>
      </c>
      <c r="F96" s="144" t="s">
        <v>992</v>
      </c>
      <c r="G96" s="144" t="s">
        <v>2030</v>
      </c>
    </row>
    <row r="97" spans="1:8" x14ac:dyDescent="0.35">
      <c r="A97" s="144" t="s">
        <v>23</v>
      </c>
      <c r="B97" s="144" t="s">
        <v>244</v>
      </c>
      <c r="C97" s="188">
        <v>1</v>
      </c>
      <c r="D97" s="148">
        <v>146.30000000000001</v>
      </c>
      <c r="E97" s="145" t="s">
        <v>64</v>
      </c>
      <c r="F97" s="144" t="s">
        <v>989</v>
      </c>
      <c r="G97" s="144" t="s">
        <v>2031</v>
      </c>
    </row>
    <row r="98" spans="1:8" x14ac:dyDescent="0.35">
      <c r="A98" s="144" t="s">
        <v>23</v>
      </c>
      <c r="B98" s="144" t="s">
        <v>211</v>
      </c>
      <c r="C98" s="188">
        <v>1</v>
      </c>
      <c r="D98" s="235">
        <v>82</v>
      </c>
      <c r="E98" s="145" t="s">
        <v>62</v>
      </c>
      <c r="F98" s="144" t="s">
        <v>33</v>
      </c>
      <c r="G98" s="144" t="s">
        <v>2018</v>
      </c>
    </row>
    <row r="99" spans="1:8" x14ac:dyDescent="0.35">
      <c r="A99" s="134"/>
      <c r="B99" s="134"/>
      <c r="C99" s="134">
        <v>1</v>
      </c>
      <c r="D99" s="236">
        <v>58</v>
      </c>
      <c r="E99" s="237" t="s">
        <v>51</v>
      </c>
      <c r="F99" s="134" t="s">
        <v>34</v>
      </c>
      <c r="G99" s="134" t="s">
        <v>2038</v>
      </c>
      <c r="H99" s="12" t="s">
        <v>2024</v>
      </c>
    </row>
    <row r="100" spans="1:8" x14ac:dyDescent="0.35">
      <c r="A100" s="134"/>
      <c r="B100" s="134"/>
      <c r="C100" s="134">
        <v>1</v>
      </c>
      <c r="D100" s="236">
        <v>26</v>
      </c>
      <c r="E100" s="237" t="s">
        <v>51</v>
      </c>
      <c r="F100" s="134" t="s">
        <v>35</v>
      </c>
      <c r="G100" s="134" t="s">
        <v>2038</v>
      </c>
      <c r="H100" s="12" t="s">
        <v>2024</v>
      </c>
    </row>
    <row r="101" spans="1:8" x14ac:dyDescent="0.35">
      <c r="A101" s="144" t="s">
        <v>23</v>
      </c>
      <c r="B101" s="144" t="s">
        <v>211</v>
      </c>
      <c r="C101" s="188">
        <v>1</v>
      </c>
      <c r="D101" s="235">
        <v>82</v>
      </c>
      <c r="E101" s="145" t="s">
        <v>62</v>
      </c>
      <c r="F101" s="144" t="s">
        <v>33</v>
      </c>
      <c r="G101" s="144" t="s">
        <v>2022</v>
      </c>
    </row>
    <row r="102" spans="1:8" x14ac:dyDescent="0.35">
      <c r="A102" s="144" t="s">
        <v>6</v>
      </c>
      <c r="B102" s="144" t="s">
        <v>142</v>
      </c>
      <c r="C102" s="188">
        <v>1</v>
      </c>
      <c r="D102" s="235">
        <v>82</v>
      </c>
      <c r="E102" s="145" t="s">
        <v>44</v>
      </c>
      <c r="F102" s="144" t="s">
        <v>33</v>
      </c>
      <c r="G102" s="144" t="s">
        <v>2021</v>
      </c>
    </row>
    <row r="103" spans="1:8" x14ac:dyDescent="0.35">
      <c r="A103" s="144" t="s">
        <v>6</v>
      </c>
      <c r="B103" s="144" t="s">
        <v>86</v>
      </c>
      <c r="C103" s="188">
        <v>1</v>
      </c>
      <c r="D103" s="235">
        <v>82</v>
      </c>
      <c r="E103" s="145" t="s">
        <v>47</v>
      </c>
      <c r="F103" s="144" t="s">
        <v>33</v>
      </c>
      <c r="G103" s="144" t="s">
        <v>2019</v>
      </c>
    </row>
    <row r="104" spans="1:8" x14ac:dyDescent="0.35">
      <c r="A104" s="144" t="s">
        <v>6</v>
      </c>
      <c r="B104" s="144" t="s">
        <v>142</v>
      </c>
      <c r="C104" s="188">
        <v>1</v>
      </c>
      <c r="D104" s="235">
        <v>82</v>
      </c>
      <c r="E104" s="145" t="s">
        <v>44</v>
      </c>
      <c r="F104" s="144" t="s">
        <v>33</v>
      </c>
      <c r="G104" s="144" t="s">
        <v>2020</v>
      </c>
    </row>
    <row r="105" spans="1:8" x14ac:dyDescent="0.35">
      <c r="A105" s="144" t="s">
        <v>6</v>
      </c>
      <c r="B105" s="144" t="s">
        <v>72</v>
      </c>
      <c r="C105" s="188">
        <v>1</v>
      </c>
      <c r="D105" s="235">
        <v>26</v>
      </c>
      <c r="E105" s="145" t="s">
        <v>1138</v>
      </c>
      <c r="F105" s="144" t="s">
        <v>35</v>
      </c>
      <c r="G105" s="144" t="s">
        <v>2039</v>
      </c>
    </row>
    <row r="106" spans="1:8" x14ac:dyDescent="0.35">
      <c r="A106" s="144" t="s">
        <v>23</v>
      </c>
      <c r="B106" s="144" t="s">
        <v>211</v>
      </c>
      <c r="C106" s="188">
        <v>1</v>
      </c>
      <c r="D106" s="235">
        <v>26</v>
      </c>
      <c r="E106" s="145" t="s">
        <v>62</v>
      </c>
      <c r="F106" s="144" t="s">
        <v>35</v>
      </c>
      <c r="G106" s="144" t="s">
        <v>2040</v>
      </c>
    </row>
    <row r="107" spans="1:8" x14ac:dyDescent="0.35">
      <c r="A107" s="144" t="s">
        <v>23</v>
      </c>
      <c r="B107" s="144" t="s">
        <v>244</v>
      </c>
      <c r="C107" s="188">
        <v>1</v>
      </c>
      <c r="D107" s="235">
        <v>26</v>
      </c>
      <c r="E107" s="145" t="s">
        <v>64</v>
      </c>
      <c r="F107" s="144" t="s">
        <v>35</v>
      </c>
      <c r="G107" s="144" t="s">
        <v>2041</v>
      </c>
    </row>
    <row r="108" spans="1:8" x14ac:dyDescent="0.35">
      <c r="A108" s="144" t="s">
        <v>6</v>
      </c>
      <c r="B108" s="144" t="s">
        <v>86</v>
      </c>
      <c r="C108" s="188">
        <v>1</v>
      </c>
      <c r="D108" s="235">
        <v>26</v>
      </c>
      <c r="E108" s="145" t="s">
        <v>47</v>
      </c>
      <c r="F108" s="144" t="s">
        <v>35</v>
      </c>
      <c r="G108" s="144" t="s">
        <v>2042</v>
      </c>
    </row>
    <row r="109" spans="1:8" x14ac:dyDescent="0.35">
      <c r="A109" s="144" t="s">
        <v>23</v>
      </c>
      <c r="B109" s="144" t="s">
        <v>211</v>
      </c>
      <c r="C109" s="188">
        <v>1</v>
      </c>
      <c r="D109" s="148">
        <v>58</v>
      </c>
      <c r="E109" s="145" t="s">
        <v>62</v>
      </c>
      <c r="F109" s="144" t="s">
        <v>34</v>
      </c>
      <c r="G109" s="144" t="s">
        <v>2043</v>
      </c>
    </row>
    <row r="110" spans="1:8" x14ac:dyDescent="0.35">
      <c r="A110" s="144" t="s">
        <v>6</v>
      </c>
      <c r="B110" s="144" t="s">
        <v>86</v>
      </c>
      <c r="C110" s="188">
        <v>1</v>
      </c>
      <c r="D110" s="235">
        <v>26</v>
      </c>
      <c r="E110" s="145" t="s">
        <v>47</v>
      </c>
      <c r="F110" s="144" t="s">
        <v>35</v>
      </c>
      <c r="G110" s="144" t="s">
        <v>2044</v>
      </c>
    </row>
    <row r="111" spans="1:8" x14ac:dyDescent="0.35">
      <c r="A111" s="144" t="s">
        <v>6</v>
      </c>
      <c r="B111" s="144" t="s">
        <v>72</v>
      </c>
      <c r="C111" s="188">
        <v>1</v>
      </c>
      <c r="D111" s="148">
        <v>58</v>
      </c>
      <c r="E111" s="145" t="s">
        <v>1138</v>
      </c>
      <c r="F111" s="144" t="s">
        <v>34</v>
      </c>
      <c r="G111" s="144" t="s">
        <v>2045</v>
      </c>
    </row>
    <row r="112" spans="1:8" x14ac:dyDescent="0.35">
      <c r="A112" s="144" t="s">
        <v>6</v>
      </c>
      <c r="B112" s="144" t="s">
        <v>86</v>
      </c>
      <c r="C112" s="188">
        <v>1</v>
      </c>
      <c r="D112" s="235">
        <v>26</v>
      </c>
      <c r="E112" s="145" t="s">
        <v>47</v>
      </c>
      <c r="F112" s="144" t="s">
        <v>34</v>
      </c>
      <c r="G112" s="144" t="s">
        <v>2046</v>
      </c>
    </row>
    <row r="113" spans="1:7" x14ac:dyDescent="0.35">
      <c r="A113" s="144" t="s">
        <v>6</v>
      </c>
      <c r="B113" s="144" t="s">
        <v>142</v>
      </c>
      <c r="C113" s="188">
        <v>1</v>
      </c>
      <c r="D113" s="235">
        <v>26</v>
      </c>
      <c r="E113" s="145" t="s">
        <v>44</v>
      </c>
      <c r="F113" s="144" t="s">
        <v>35</v>
      </c>
      <c r="G113" s="144" t="s">
        <v>2047</v>
      </c>
    </row>
    <row r="114" spans="1:7" x14ac:dyDescent="0.35">
      <c r="A114" s="144" t="s">
        <v>6</v>
      </c>
      <c r="B114" s="144" t="s">
        <v>142</v>
      </c>
      <c r="C114" s="188">
        <v>1</v>
      </c>
      <c r="D114" s="235">
        <v>26</v>
      </c>
      <c r="E114" s="145" t="s">
        <v>44</v>
      </c>
      <c r="F114" s="144" t="s">
        <v>35</v>
      </c>
      <c r="G114" s="144" t="s">
        <v>2048</v>
      </c>
    </row>
    <row r="115" spans="1:7" x14ac:dyDescent="0.35">
      <c r="A115" s="144" t="s">
        <v>6</v>
      </c>
      <c r="B115" s="144" t="s">
        <v>142</v>
      </c>
      <c r="C115" s="188">
        <v>1</v>
      </c>
      <c r="D115" s="235">
        <v>26</v>
      </c>
      <c r="E115" s="145" t="s">
        <v>44</v>
      </c>
      <c r="F115" s="144" t="s">
        <v>35</v>
      </c>
      <c r="G115" s="144" t="s">
        <v>2049</v>
      </c>
    </row>
    <row r="116" spans="1:7" x14ac:dyDescent="0.35">
      <c r="A116" s="144" t="s">
        <v>23</v>
      </c>
      <c r="B116" s="144" t="s">
        <v>211</v>
      </c>
      <c r="C116" s="188">
        <v>1</v>
      </c>
      <c r="D116" s="235">
        <v>26</v>
      </c>
      <c r="E116" s="145" t="s">
        <v>62</v>
      </c>
      <c r="F116" s="144" t="s">
        <v>35</v>
      </c>
      <c r="G116" s="144" t="s">
        <v>2050</v>
      </c>
    </row>
    <row r="117" spans="1:7" x14ac:dyDescent="0.35">
      <c r="A117" s="144" t="s">
        <v>23</v>
      </c>
      <c r="B117" s="144" t="s">
        <v>211</v>
      </c>
      <c r="C117" s="188">
        <v>1</v>
      </c>
      <c r="D117" s="155">
        <v>39</v>
      </c>
      <c r="E117" s="145" t="s">
        <v>62</v>
      </c>
      <c r="F117" s="144" t="s">
        <v>36</v>
      </c>
      <c r="G117" s="144" t="s">
        <v>2050</v>
      </c>
    </row>
    <row r="118" spans="1:7" x14ac:dyDescent="0.35">
      <c r="A118" s="144" t="s">
        <v>6</v>
      </c>
      <c r="B118" s="144" t="s">
        <v>142</v>
      </c>
      <c r="C118" s="188">
        <v>1</v>
      </c>
      <c r="D118" s="155">
        <v>39</v>
      </c>
      <c r="E118" s="145" t="s">
        <v>44</v>
      </c>
      <c r="F118" s="144" t="s">
        <v>36</v>
      </c>
      <c r="G118" s="144" t="s">
        <v>2051</v>
      </c>
    </row>
  </sheetData>
  <autoFilter ref="A8:K118" xr:uid="{BE803A58-FC84-4620-8EFB-92AFFDC3DE82}"/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FDC5D-1382-4DFB-BCEA-70387DA62DCD}">
  <dimension ref="A1:H83"/>
  <sheetViews>
    <sheetView workbookViewId="0">
      <selection sqref="A1:XFD1048576"/>
    </sheetView>
  </sheetViews>
  <sheetFormatPr defaultRowHeight="14.5" x14ac:dyDescent="0.35"/>
  <cols>
    <col min="1" max="1" width="18.54296875" customWidth="1"/>
    <col min="2" max="2" width="20.81640625" customWidth="1"/>
    <col min="3" max="3" width="13.54296875" customWidth="1"/>
    <col min="4" max="4" width="26.453125" customWidth="1"/>
    <col min="5" max="5" width="46.1796875" customWidth="1"/>
    <col min="6" max="6" width="60.7265625" customWidth="1"/>
    <col min="7" max="7" width="48.1796875" customWidth="1"/>
    <col min="8" max="8" width="32.7265625" customWidth="1"/>
  </cols>
  <sheetData>
    <row r="1" spans="1:8" ht="26" x14ac:dyDescent="0.6">
      <c r="A1" s="253" t="s">
        <v>1872</v>
      </c>
      <c r="B1" s="253"/>
      <c r="C1" s="253"/>
      <c r="D1" s="253"/>
      <c r="E1" s="253"/>
      <c r="F1" s="253"/>
      <c r="G1" s="253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8" customHeight="1" x14ac:dyDescent="0.35">
      <c r="A3" s="6" t="s">
        <v>28</v>
      </c>
      <c r="B3" s="218" t="s">
        <v>2090</v>
      </c>
      <c r="C3" s="189"/>
      <c r="D3" s="189"/>
      <c r="E3" s="189"/>
      <c r="F3" s="189"/>
      <c r="G3" s="189"/>
    </row>
    <row r="4" spans="1:8" ht="18" customHeight="1" x14ac:dyDescent="0.35">
      <c r="A4" s="8" t="s">
        <v>29</v>
      </c>
      <c r="B4" s="9">
        <v>45999</v>
      </c>
      <c r="C4" s="189"/>
      <c r="D4" s="189"/>
      <c r="E4" s="189"/>
      <c r="F4" s="189"/>
      <c r="G4" s="189"/>
    </row>
    <row r="5" spans="1:8" ht="18" customHeight="1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8" ht="17.25" customHeight="1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ht="15.5" x14ac:dyDescent="0.35">
      <c r="A9" s="144" t="s">
        <v>6</v>
      </c>
      <c r="B9" s="225" t="s">
        <v>2056</v>
      </c>
      <c r="C9" s="229">
        <v>1</v>
      </c>
      <c r="D9" s="148">
        <v>624.5</v>
      </c>
      <c r="E9" s="145" t="s">
        <v>2053</v>
      </c>
      <c r="F9" s="144" t="s">
        <v>2055</v>
      </c>
      <c r="G9" s="142" t="s">
        <v>2054</v>
      </c>
      <c r="H9" s="25"/>
    </row>
    <row r="10" spans="1:8" x14ac:dyDescent="0.35">
      <c r="A10" s="144"/>
      <c r="B10" s="144"/>
      <c r="C10" s="229">
        <v>1</v>
      </c>
      <c r="D10" s="148"/>
      <c r="E10" s="145"/>
      <c r="F10" s="144"/>
      <c r="G10" s="144"/>
    </row>
    <row r="11" spans="1:8" x14ac:dyDescent="0.35">
      <c r="A11" s="144"/>
      <c r="B11" s="144"/>
      <c r="C11" s="229">
        <v>1</v>
      </c>
      <c r="D11" s="148"/>
      <c r="E11" s="145"/>
      <c r="F11" s="144"/>
      <c r="G11" s="217"/>
    </row>
    <row r="12" spans="1:8" x14ac:dyDescent="0.35">
      <c r="A12" s="144"/>
      <c r="B12" s="144"/>
      <c r="C12" s="229">
        <v>1</v>
      </c>
      <c r="D12" s="148"/>
      <c r="E12" s="145"/>
      <c r="F12" s="144"/>
      <c r="G12" s="144"/>
    </row>
    <row r="13" spans="1:8" x14ac:dyDescent="0.35">
      <c r="A13" s="144"/>
      <c r="B13" s="144"/>
      <c r="C13" s="229">
        <v>1</v>
      </c>
      <c r="D13" s="148"/>
      <c r="E13" s="145"/>
      <c r="F13" s="144"/>
      <c r="G13" s="144"/>
    </row>
    <row r="14" spans="1:8" x14ac:dyDescent="0.35">
      <c r="A14" s="124"/>
      <c r="B14" s="144"/>
      <c r="C14" s="229">
        <v>1</v>
      </c>
      <c r="D14" s="148"/>
      <c r="E14" s="145"/>
      <c r="F14" s="144"/>
      <c r="G14" s="217"/>
    </row>
    <row r="15" spans="1:8" x14ac:dyDescent="0.35">
      <c r="A15" s="144"/>
      <c r="B15" s="144"/>
      <c r="C15" s="229">
        <v>1</v>
      </c>
      <c r="D15" s="148"/>
      <c r="E15" s="145"/>
      <c r="F15" s="144"/>
      <c r="G15" s="144"/>
    </row>
    <row r="16" spans="1:8" x14ac:dyDescent="0.35">
      <c r="A16" s="144"/>
      <c r="B16" s="144"/>
      <c r="C16" s="188">
        <v>1</v>
      </c>
      <c r="D16" s="155"/>
      <c r="E16" s="145"/>
      <c r="F16" s="144"/>
      <c r="G16" s="144"/>
    </row>
    <row r="17" spans="1:7" x14ac:dyDescent="0.35">
      <c r="A17" s="144"/>
      <c r="B17" s="144"/>
      <c r="C17" s="188">
        <v>1</v>
      </c>
      <c r="D17" s="155"/>
      <c r="E17" s="145"/>
      <c r="F17" s="144"/>
      <c r="G17" s="144"/>
    </row>
    <row r="18" spans="1:7" x14ac:dyDescent="0.35">
      <c r="A18" s="144"/>
      <c r="B18" s="144"/>
      <c r="C18" s="229">
        <v>1</v>
      </c>
      <c r="D18" s="148"/>
      <c r="E18" s="145"/>
      <c r="F18" s="144"/>
      <c r="G18" s="142"/>
    </row>
    <row r="19" spans="1:7" x14ac:dyDescent="0.35">
      <c r="A19" s="144"/>
      <c r="B19" s="144"/>
      <c r="C19" s="188">
        <v>1</v>
      </c>
      <c r="D19" s="148"/>
      <c r="E19" s="145"/>
      <c r="F19" s="144"/>
      <c r="G19" s="142"/>
    </row>
    <row r="20" spans="1:7" x14ac:dyDescent="0.35">
      <c r="A20" s="144"/>
      <c r="B20" s="144"/>
      <c r="C20" s="188">
        <v>1</v>
      </c>
      <c r="D20" s="148"/>
      <c r="E20" s="145"/>
      <c r="F20" s="144"/>
      <c r="G20" s="144"/>
    </row>
    <row r="21" spans="1:7" x14ac:dyDescent="0.35">
      <c r="A21" s="144"/>
      <c r="B21" s="144"/>
      <c r="C21" s="188">
        <v>1</v>
      </c>
      <c r="D21" s="155"/>
      <c r="E21" s="145"/>
      <c r="F21" s="144"/>
      <c r="G21" s="144"/>
    </row>
    <row r="22" spans="1:7" x14ac:dyDescent="0.35">
      <c r="A22" s="144"/>
      <c r="B22" s="144"/>
      <c r="C22" s="188">
        <v>1</v>
      </c>
      <c r="D22" s="148"/>
      <c r="E22" s="145"/>
      <c r="F22" s="144"/>
      <c r="G22" s="144"/>
    </row>
    <row r="23" spans="1:7" x14ac:dyDescent="0.35">
      <c r="A23" s="144"/>
      <c r="B23" s="144"/>
      <c r="C23" s="188">
        <v>1</v>
      </c>
      <c r="D23" s="148"/>
      <c r="E23" s="145"/>
      <c r="F23" s="144"/>
      <c r="G23" s="144"/>
    </row>
    <row r="24" spans="1:7" x14ac:dyDescent="0.35">
      <c r="A24" s="144"/>
      <c r="B24" s="144"/>
      <c r="C24" s="188">
        <v>1</v>
      </c>
      <c r="D24" s="148"/>
      <c r="E24" s="145"/>
      <c r="F24" s="144"/>
      <c r="G24" s="144"/>
    </row>
    <row r="25" spans="1:7" x14ac:dyDescent="0.35">
      <c r="A25" s="144"/>
      <c r="B25" s="144"/>
      <c r="C25" s="188">
        <v>1</v>
      </c>
      <c r="D25" s="148"/>
      <c r="E25" s="145"/>
      <c r="F25" s="144"/>
      <c r="G25" s="144"/>
    </row>
    <row r="26" spans="1:7" x14ac:dyDescent="0.35">
      <c r="A26" s="144"/>
      <c r="B26" s="144"/>
      <c r="C26" s="188">
        <v>1</v>
      </c>
      <c r="D26" s="148"/>
      <c r="E26" s="145"/>
      <c r="F26" s="144"/>
      <c r="G26" s="144"/>
    </row>
    <row r="27" spans="1:7" x14ac:dyDescent="0.35">
      <c r="A27" s="144"/>
      <c r="B27" s="144"/>
      <c r="C27" s="188">
        <v>1</v>
      </c>
      <c r="D27" s="148"/>
      <c r="E27" s="145"/>
      <c r="F27" s="144"/>
      <c r="G27" s="144"/>
    </row>
    <row r="28" spans="1:7" x14ac:dyDescent="0.35">
      <c r="A28" s="144"/>
      <c r="B28" s="144"/>
      <c r="C28" s="188">
        <v>1</v>
      </c>
      <c r="D28" s="148"/>
      <c r="E28" s="145"/>
      <c r="F28" s="144"/>
      <c r="G28" s="144"/>
    </row>
    <row r="29" spans="1:7" x14ac:dyDescent="0.35">
      <c r="A29" s="144"/>
      <c r="B29" s="144"/>
      <c r="C29" s="188">
        <v>1</v>
      </c>
      <c r="D29" s="148"/>
      <c r="E29" s="145"/>
      <c r="F29" s="144"/>
      <c r="G29" s="144"/>
    </row>
    <row r="30" spans="1:7" x14ac:dyDescent="0.35">
      <c r="A30" s="144"/>
      <c r="B30" s="144"/>
      <c r="C30" s="188">
        <v>1</v>
      </c>
      <c r="D30" s="148"/>
      <c r="E30" s="145"/>
      <c r="F30" s="144"/>
      <c r="G30" s="144"/>
    </row>
    <row r="31" spans="1:7" x14ac:dyDescent="0.35">
      <c r="A31" s="144"/>
      <c r="B31" s="232"/>
      <c r="C31" s="188">
        <v>1</v>
      </c>
      <c r="D31" s="148"/>
      <c r="E31" s="145"/>
      <c r="F31" s="144"/>
      <c r="G31" s="144"/>
    </row>
    <row r="32" spans="1:7" x14ac:dyDescent="0.35">
      <c r="A32" s="144"/>
      <c r="B32" s="232"/>
      <c r="C32" s="188">
        <v>1</v>
      </c>
      <c r="D32" s="148"/>
      <c r="E32" s="145"/>
      <c r="F32" s="144"/>
      <c r="G32" s="144"/>
    </row>
    <row r="33" spans="1:7" x14ac:dyDescent="0.35">
      <c r="A33" s="144"/>
      <c r="B33" s="144"/>
      <c r="C33" s="188">
        <v>1</v>
      </c>
      <c r="D33" s="148"/>
      <c r="E33" s="145"/>
      <c r="F33" s="144"/>
      <c r="G33" s="144"/>
    </row>
    <row r="34" spans="1:7" x14ac:dyDescent="0.35">
      <c r="A34" s="144"/>
      <c r="B34" s="144"/>
      <c r="C34" s="188">
        <v>1</v>
      </c>
      <c r="D34" s="155"/>
      <c r="E34" s="145"/>
      <c r="F34" s="144"/>
      <c r="G34" s="144"/>
    </row>
    <row r="35" spans="1:7" x14ac:dyDescent="0.35">
      <c r="A35" s="144"/>
      <c r="B35" s="144"/>
      <c r="C35" s="188">
        <v>1</v>
      </c>
      <c r="D35" s="155"/>
      <c r="E35" s="145"/>
      <c r="F35" s="144"/>
      <c r="G35" s="144"/>
    </row>
    <row r="36" spans="1:7" x14ac:dyDescent="0.35">
      <c r="A36" s="144"/>
      <c r="B36" s="144"/>
      <c r="C36" s="188">
        <v>1</v>
      </c>
      <c r="D36" s="148"/>
      <c r="E36" s="145"/>
      <c r="F36" s="144"/>
      <c r="G36" s="144"/>
    </row>
    <row r="37" spans="1:7" x14ac:dyDescent="0.35">
      <c r="A37" s="144"/>
      <c r="B37" s="144"/>
      <c r="C37" s="188">
        <v>1</v>
      </c>
      <c r="D37" s="148"/>
      <c r="E37" s="145"/>
      <c r="F37" s="144"/>
      <c r="G37" s="144"/>
    </row>
    <row r="38" spans="1:7" x14ac:dyDescent="0.35">
      <c r="A38" s="144"/>
      <c r="B38" s="144"/>
      <c r="C38" s="188">
        <v>1</v>
      </c>
      <c r="D38" s="148"/>
      <c r="E38" s="145"/>
      <c r="F38" s="144"/>
      <c r="G38" s="144"/>
    </row>
    <row r="39" spans="1:7" x14ac:dyDescent="0.35">
      <c r="A39" s="144"/>
      <c r="B39" s="144"/>
      <c r="C39" s="188">
        <v>1</v>
      </c>
      <c r="D39" s="226"/>
      <c r="E39" s="145"/>
      <c r="F39" s="144"/>
      <c r="G39" s="144"/>
    </row>
    <row r="40" spans="1:7" x14ac:dyDescent="0.35">
      <c r="A40" s="144"/>
      <c r="B40" s="144"/>
      <c r="C40" s="188">
        <v>1</v>
      </c>
      <c r="D40" s="226"/>
      <c r="E40" s="145"/>
      <c r="F40" s="144"/>
      <c r="G40" s="144"/>
    </row>
    <row r="41" spans="1:7" x14ac:dyDescent="0.35">
      <c r="A41" s="144"/>
      <c r="B41" s="144"/>
      <c r="C41" s="188">
        <v>1</v>
      </c>
      <c r="D41" s="226"/>
      <c r="E41" s="145"/>
      <c r="F41" s="144"/>
      <c r="G41" s="144"/>
    </row>
    <row r="42" spans="1:7" x14ac:dyDescent="0.35">
      <c r="A42" s="144"/>
      <c r="B42" s="144"/>
      <c r="C42" s="188">
        <v>1</v>
      </c>
      <c r="D42" s="226"/>
      <c r="E42" s="145"/>
      <c r="F42" s="144"/>
      <c r="G42" s="144"/>
    </row>
    <row r="43" spans="1:7" x14ac:dyDescent="0.35">
      <c r="A43" s="144"/>
      <c r="B43" s="144"/>
      <c r="C43" s="188">
        <v>1</v>
      </c>
      <c r="D43" s="155"/>
      <c r="E43" s="145"/>
      <c r="F43" s="144"/>
      <c r="G43" s="144"/>
    </row>
    <row r="44" spans="1:7" x14ac:dyDescent="0.35">
      <c r="A44" s="144"/>
      <c r="B44" s="144"/>
      <c r="C44" s="188">
        <v>1</v>
      </c>
      <c r="D44" s="155"/>
      <c r="E44" s="145"/>
      <c r="F44" s="144"/>
      <c r="G44" s="144"/>
    </row>
    <row r="45" spans="1:7" x14ac:dyDescent="0.35">
      <c r="A45" s="144"/>
      <c r="B45" s="144"/>
      <c r="C45" s="188">
        <v>1</v>
      </c>
      <c r="D45" s="226"/>
      <c r="E45" s="204"/>
      <c r="F45" s="124"/>
      <c r="G45" s="124"/>
    </row>
    <row r="46" spans="1:7" x14ac:dyDescent="0.35">
      <c r="A46" s="144"/>
      <c r="B46" s="144"/>
      <c r="C46" s="188">
        <v>1</v>
      </c>
      <c r="D46" s="126"/>
      <c r="E46" s="204"/>
      <c r="F46" s="124"/>
      <c r="G46" s="124"/>
    </row>
    <row r="47" spans="1:7" x14ac:dyDescent="0.35">
      <c r="A47" s="144"/>
      <c r="B47" s="144"/>
      <c r="C47" s="188">
        <v>1</v>
      </c>
      <c r="D47" s="126"/>
      <c r="E47" s="145"/>
      <c r="F47" s="124"/>
      <c r="G47" s="144"/>
    </row>
    <row r="48" spans="1:7" x14ac:dyDescent="0.35">
      <c r="A48" s="144"/>
      <c r="B48" s="144"/>
      <c r="C48" s="188">
        <v>1</v>
      </c>
      <c r="D48" s="126"/>
      <c r="E48" s="145"/>
      <c r="F48" s="124"/>
      <c r="G48" s="144"/>
    </row>
    <row r="49" spans="1:7" x14ac:dyDescent="0.35">
      <c r="A49" s="144"/>
      <c r="B49" s="144"/>
      <c r="C49" s="188">
        <v>1</v>
      </c>
      <c r="D49" s="126"/>
      <c r="E49" s="145"/>
      <c r="F49" s="124"/>
      <c r="G49" s="144"/>
    </row>
    <row r="50" spans="1:7" x14ac:dyDescent="0.35">
      <c r="A50" s="144"/>
      <c r="B50" s="144"/>
      <c r="C50" s="188">
        <v>1</v>
      </c>
      <c r="D50" s="126"/>
      <c r="E50" s="145"/>
      <c r="F50" s="124"/>
      <c r="G50" s="144"/>
    </row>
    <row r="51" spans="1:7" x14ac:dyDescent="0.35">
      <c r="A51" s="144"/>
      <c r="B51" s="144"/>
      <c r="C51" s="188">
        <v>1</v>
      </c>
      <c r="D51" s="126"/>
      <c r="E51" s="145"/>
      <c r="F51" s="124"/>
      <c r="G51" s="144"/>
    </row>
    <row r="52" spans="1:7" x14ac:dyDescent="0.35">
      <c r="A52" s="144"/>
      <c r="B52" s="144"/>
      <c r="C52" s="188">
        <v>1</v>
      </c>
      <c r="D52" s="126"/>
      <c r="E52" s="145"/>
      <c r="F52" s="124"/>
      <c r="G52" s="144"/>
    </row>
    <row r="53" spans="1:7" x14ac:dyDescent="0.35">
      <c r="A53" s="144"/>
      <c r="B53" s="166"/>
      <c r="C53" s="188">
        <v>1</v>
      </c>
      <c r="D53" s="126"/>
      <c r="E53" s="145"/>
      <c r="F53" s="124"/>
      <c r="G53" s="144"/>
    </row>
    <row r="54" spans="1:7" x14ac:dyDescent="0.35">
      <c r="A54" s="144"/>
      <c r="B54" s="144"/>
      <c r="C54" s="188">
        <v>1</v>
      </c>
      <c r="D54" s="126"/>
      <c r="E54" s="145"/>
      <c r="F54" s="124"/>
      <c r="G54" s="144"/>
    </row>
    <row r="55" spans="1:7" x14ac:dyDescent="0.35">
      <c r="A55" s="144"/>
      <c r="B55" s="144"/>
      <c r="C55" s="188">
        <v>1</v>
      </c>
      <c r="D55" s="126"/>
      <c r="E55" s="145"/>
      <c r="F55" s="124"/>
      <c r="G55" s="144"/>
    </row>
    <row r="56" spans="1:7" x14ac:dyDescent="0.35">
      <c r="A56" s="144"/>
      <c r="B56" s="144"/>
      <c r="C56" s="188">
        <v>1</v>
      </c>
      <c r="D56" s="126"/>
      <c r="E56" s="145"/>
      <c r="F56" s="124"/>
      <c r="G56" s="144"/>
    </row>
    <row r="57" spans="1:7" x14ac:dyDescent="0.35">
      <c r="A57" s="144"/>
      <c r="B57" s="144"/>
      <c r="C57" s="188">
        <v>1</v>
      </c>
      <c r="D57" s="126"/>
      <c r="E57" s="145"/>
      <c r="F57" s="124"/>
      <c r="G57" s="144"/>
    </row>
    <row r="58" spans="1:7" x14ac:dyDescent="0.35">
      <c r="A58" s="144"/>
      <c r="B58" s="144"/>
      <c r="C58" s="188">
        <v>1</v>
      </c>
      <c r="D58" s="126"/>
      <c r="E58" s="145"/>
      <c r="F58" s="124"/>
      <c r="G58" s="144"/>
    </row>
    <row r="59" spans="1:7" x14ac:dyDescent="0.3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35">
      <c r="A60" s="144"/>
      <c r="B60" s="144"/>
      <c r="C60" s="188">
        <v>1</v>
      </c>
      <c r="D60" s="126"/>
      <c r="E60" s="145"/>
      <c r="F60" s="124"/>
      <c r="G60" s="144"/>
    </row>
    <row r="61" spans="1:7" x14ac:dyDescent="0.3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35">
      <c r="A62" s="144"/>
      <c r="B62" s="144"/>
      <c r="C62" s="188">
        <v>1</v>
      </c>
      <c r="D62" s="126"/>
      <c r="E62" s="145"/>
      <c r="F62" s="124"/>
      <c r="G62" s="144"/>
    </row>
    <row r="63" spans="1:7" x14ac:dyDescent="0.3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35">
      <c r="A64" s="144"/>
      <c r="B64" s="144"/>
      <c r="C64" s="188">
        <v>1</v>
      </c>
      <c r="D64" s="226"/>
      <c r="E64" s="145"/>
      <c r="F64" s="124"/>
      <c r="G64" s="144"/>
    </row>
    <row r="65" spans="1:7" x14ac:dyDescent="0.3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35">
      <c r="A66" s="144"/>
      <c r="B66" s="144"/>
      <c r="C66" s="188">
        <v>1</v>
      </c>
      <c r="D66" s="226"/>
      <c r="E66" s="145"/>
      <c r="F66" s="124"/>
      <c r="G66" s="144"/>
    </row>
    <row r="67" spans="1:7" x14ac:dyDescent="0.3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35">
      <c r="A68" s="227"/>
      <c r="B68" s="144"/>
      <c r="C68" s="188">
        <v>1</v>
      </c>
      <c r="D68" s="226"/>
      <c r="E68" s="145"/>
      <c r="F68" s="124"/>
      <c r="G68" s="144"/>
    </row>
    <row r="69" spans="1:7" x14ac:dyDescent="0.3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35">
      <c r="A70" s="227"/>
      <c r="B70" s="144"/>
      <c r="C70" s="188">
        <v>1</v>
      </c>
      <c r="D70" s="126"/>
      <c r="E70" s="145"/>
      <c r="F70" s="124"/>
      <c r="G70" s="144"/>
    </row>
    <row r="71" spans="1:7" x14ac:dyDescent="0.35">
      <c r="A71" s="227"/>
      <c r="B71" s="227"/>
      <c r="C71" s="188">
        <v>1</v>
      </c>
      <c r="D71" s="126"/>
      <c r="E71" s="230"/>
      <c r="F71" s="124"/>
      <c r="G71" s="144"/>
    </row>
    <row r="72" spans="1:7" x14ac:dyDescent="0.35">
      <c r="A72" s="227"/>
      <c r="B72" s="227"/>
      <c r="C72" s="188">
        <v>1</v>
      </c>
      <c r="D72" s="126"/>
      <c r="E72" s="230"/>
      <c r="F72" s="124"/>
      <c r="G72" s="144"/>
    </row>
    <row r="73" spans="1:7" x14ac:dyDescent="0.35">
      <c r="A73" s="227"/>
      <c r="B73" s="227"/>
      <c r="C73" s="188">
        <v>1</v>
      </c>
      <c r="D73" s="126"/>
      <c r="E73" s="230"/>
      <c r="F73" s="124"/>
      <c r="G73" s="144"/>
    </row>
    <row r="74" spans="1:7" x14ac:dyDescent="0.35">
      <c r="A74" s="227"/>
      <c r="B74" s="227"/>
      <c r="C74" s="188">
        <v>1</v>
      </c>
      <c r="D74" s="126"/>
      <c r="E74" s="230"/>
      <c r="F74" s="124"/>
      <c r="G74" s="144"/>
    </row>
    <row r="75" spans="1:7" x14ac:dyDescent="0.35">
      <c r="A75" s="227"/>
      <c r="B75" s="227"/>
      <c r="C75" s="188">
        <v>1</v>
      </c>
      <c r="D75" s="126"/>
      <c r="E75" s="230"/>
      <c r="F75" s="124"/>
      <c r="G75" s="144"/>
    </row>
    <row r="76" spans="1:7" x14ac:dyDescent="0.35">
      <c r="A76" s="227"/>
      <c r="B76" s="227"/>
      <c r="C76" s="188">
        <v>1</v>
      </c>
      <c r="D76" s="126"/>
      <c r="E76" s="230"/>
      <c r="F76" s="124"/>
      <c r="G76" s="144"/>
    </row>
    <row r="77" spans="1:7" x14ac:dyDescent="0.35">
      <c r="A77" s="227"/>
      <c r="B77" s="227"/>
      <c r="C77" s="188">
        <v>1</v>
      </c>
      <c r="D77" s="126"/>
      <c r="E77" s="230"/>
      <c r="F77" s="124"/>
      <c r="G77" s="144"/>
    </row>
    <row r="78" spans="1:7" x14ac:dyDescent="0.35">
      <c r="A78" s="227"/>
      <c r="B78" s="227"/>
      <c r="C78" s="188">
        <v>1</v>
      </c>
      <c r="D78" s="126"/>
      <c r="E78" s="230"/>
      <c r="F78" s="124"/>
      <c r="G78" s="144"/>
    </row>
    <row r="79" spans="1:7" x14ac:dyDescent="0.35">
      <c r="A79" s="227"/>
      <c r="B79" s="227"/>
      <c r="C79" s="188">
        <v>1</v>
      </c>
      <c r="D79" s="126"/>
      <c r="E79" s="230"/>
      <c r="F79" s="124"/>
      <c r="G79" s="144"/>
    </row>
    <row r="80" spans="1:7" x14ac:dyDescent="0.35">
      <c r="A80" s="227"/>
      <c r="B80" s="227"/>
      <c r="C80" s="188">
        <v>1</v>
      </c>
      <c r="D80" s="126"/>
      <c r="E80" s="230"/>
      <c r="F80" s="124"/>
      <c r="G80" s="144"/>
    </row>
    <row r="81" spans="1:7" x14ac:dyDescent="0.35">
      <c r="A81" s="227"/>
      <c r="B81" s="227"/>
      <c r="C81" s="188">
        <v>1</v>
      </c>
      <c r="D81" s="126"/>
      <c r="E81" s="230"/>
      <c r="F81" s="124"/>
      <c r="G81" s="144"/>
    </row>
    <row r="82" spans="1:7" x14ac:dyDescent="0.35">
      <c r="A82" s="227"/>
      <c r="B82" s="227"/>
      <c r="C82" s="188">
        <v>1</v>
      </c>
      <c r="D82" s="126"/>
      <c r="E82" s="230"/>
      <c r="F82" s="124"/>
      <c r="G82" s="144"/>
    </row>
    <row r="83" spans="1:7" x14ac:dyDescent="0.3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landscape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3593B-58AD-4CAD-8D14-B8E4E6CED21C}">
  <dimension ref="A1:G65"/>
  <sheetViews>
    <sheetView topLeftCell="A32" workbookViewId="0">
      <selection activeCell="A42" sqref="A42:B42"/>
    </sheetView>
  </sheetViews>
  <sheetFormatPr defaultRowHeight="14.5" x14ac:dyDescent="0.35"/>
  <cols>
    <col min="1" max="1" width="15.26953125" customWidth="1"/>
    <col min="2" max="2" width="22" customWidth="1"/>
    <col min="4" max="4" width="17" customWidth="1"/>
    <col min="5" max="5" width="46.7265625" customWidth="1"/>
    <col min="6" max="6" width="54.54296875" customWidth="1"/>
    <col min="7" max="7" width="43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218" t="s">
        <v>2090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45999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7" x14ac:dyDescent="0.35">
      <c r="A9" s="144" t="s">
        <v>6</v>
      </c>
      <c r="B9" s="144" t="s">
        <v>86</v>
      </c>
      <c r="C9" s="188">
        <v>1</v>
      </c>
      <c r="D9" s="148">
        <v>26</v>
      </c>
      <c r="E9" s="145" t="s">
        <v>47</v>
      </c>
      <c r="F9" s="144" t="s">
        <v>35</v>
      </c>
      <c r="G9" s="144" t="s">
        <v>2057</v>
      </c>
    </row>
    <row r="10" spans="1:7" x14ac:dyDescent="0.35">
      <c r="A10" s="144" t="s">
        <v>23</v>
      </c>
      <c r="B10" s="144" t="s">
        <v>211</v>
      </c>
      <c r="C10" s="229">
        <v>1</v>
      </c>
      <c r="D10" s="148">
        <v>26</v>
      </c>
      <c r="E10" s="145" t="s">
        <v>62</v>
      </c>
      <c r="F10" s="144" t="s">
        <v>35</v>
      </c>
      <c r="G10" s="144" t="s">
        <v>2058</v>
      </c>
    </row>
    <row r="11" spans="1:7" x14ac:dyDescent="0.35">
      <c r="A11" s="144" t="s">
        <v>6</v>
      </c>
      <c r="B11" s="144" t="s">
        <v>219</v>
      </c>
      <c r="C11" s="188">
        <v>1</v>
      </c>
      <c r="D11" s="155">
        <v>39</v>
      </c>
      <c r="E11" s="145" t="s">
        <v>876</v>
      </c>
      <c r="F11" s="144" t="s">
        <v>36</v>
      </c>
      <c r="G11" s="144" t="s">
        <v>2059</v>
      </c>
    </row>
    <row r="12" spans="1:7" x14ac:dyDescent="0.35">
      <c r="A12" s="144" t="s">
        <v>6</v>
      </c>
      <c r="B12" s="144" t="s">
        <v>219</v>
      </c>
      <c r="C12" s="188">
        <v>1</v>
      </c>
      <c r="D12" s="148">
        <v>58</v>
      </c>
      <c r="E12" s="145" t="s">
        <v>876</v>
      </c>
      <c r="F12" s="144" t="s">
        <v>34</v>
      </c>
      <c r="G12" s="144" t="s">
        <v>2060</v>
      </c>
    </row>
    <row r="13" spans="1:7" x14ac:dyDescent="0.35">
      <c r="A13" s="144" t="s">
        <v>6</v>
      </c>
      <c r="B13" s="144" t="s">
        <v>219</v>
      </c>
      <c r="C13" s="188">
        <v>1</v>
      </c>
      <c r="D13" s="148">
        <v>26</v>
      </c>
      <c r="E13" s="145" t="s">
        <v>876</v>
      </c>
      <c r="F13" s="144" t="s">
        <v>35</v>
      </c>
      <c r="G13" s="144" t="s">
        <v>2060</v>
      </c>
    </row>
    <row r="14" spans="1:7" x14ac:dyDescent="0.35">
      <c r="A14" s="144" t="s">
        <v>6</v>
      </c>
      <c r="B14" s="144" t="s">
        <v>1382</v>
      </c>
      <c r="C14" s="188">
        <v>1</v>
      </c>
      <c r="D14" s="148">
        <v>26</v>
      </c>
      <c r="E14" s="145" t="s">
        <v>51</v>
      </c>
      <c r="F14" s="144" t="s">
        <v>35</v>
      </c>
      <c r="G14" s="144" t="s">
        <v>2061</v>
      </c>
    </row>
    <row r="15" spans="1:7" x14ac:dyDescent="0.35">
      <c r="A15" s="144" t="s">
        <v>6</v>
      </c>
      <c r="B15" s="144" t="s">
        <v>86</v>
      </c>
      <c r="C15" s="188">
        <v>1</v>
      </c>
      <c r="D15" s="148">
        <v>26</v>
      </c>
      <c r="E15" s="145" t="s">
        <v>47</v>
      </c>
      <c r="F15" s="144" t="s">
        <v>35</v>
      </c>
      <c r="G15" s="144" t="s">
        <v>2062</v>
      </c>
    </row>
    <row r="16" spans="1:7" x14ac:dyDescent="0.35">
      <c r="A16" s="144" t="s">
        <v>6</v>
      </c>
      <c r="B16" s="144" t="s">
        <v>86</v>
      </c>
      <c r="C16" s="188">
        <v>1</v>
      </c>
      <c r="D16" s="155">
        <v>39</v>
      </c>
      <c r="E16" s="145" t="s">
        <v>47</v>
      </c>
      <c r="F16" s="144" t="s">
        <v>36</v>
      </c>
      <c r="G16" s="144" t="s">
        <v>2062</v>
      </c>
    </row>
    <row r="17" spans="1:7" x14ac:dyDescent="0.35">
      <c r="A17" s="144" t="s">
        <v>23</v>
      </c>
      <c r="B17" s="144" t="s">
        <v>211</v>
      </c>
      <c r="C17" s="188">
        <v>1</v>
      </c>
      <c r="D17" s="155">
        <v>39</v>
      </c>
      <c r="E17" s="145" t="s">
        <v>62</v>
      </c>
      <c r="F17" s="144" t="s">
        <v>36</v>
      </c>
      <c r="G17" s="144" t="s">
        <v>2063</v>
      </c>
    </row>
    <row r="18" spans="1:7" x14ac:dyDescent="0.35">
      <c r="A18" s="144" t="s">
        <v>6</v>
      </c>
      <c r="B18" s="144" t="s">
        <v>72</v>
      </c>
      <c r="C18" s="188">
        <v>1</v>
      </c>
      <c r="D18" s="148">
        <v>26</v>
      </c>
      <c r="E18" s="145" t="s">
        <v>1138</v>
      </c>
      <c r="F18" s="144" t="s">
        <v>35</v>
      </c>
      <c r="G18" s="144" t="s">
        <v>2064</v>
      </c>
    </row>
    <row r="19" spans="1:7" x14ac:dyDescent="0.35">
      <c r="A19" s="144" t="s">
        <v>6</v>
      </c>
      <c r="B19" s="144" t="s">
        <v>142</v>
      </c>
      <c r="C19" s="229">
        <v>1</v>
      </c>
      <c r="D19" s="148">
        <v>176</v>
      </c>
      <c r="E19" s="145" t="s">
        <v>44</v>
      </c>
      <c r="F19" s="144" t="s">
        <v>992</v>
      </c>
      <c r="G19" s="144" t="s">
        <v>2065</v>
      </c>
    </row>
    <row r="20" spans="1:7" x14ac:dyDescent="0.35">
      <c r="A20" s="144" t="s">
        <v>23</v>
      </c>
      <c r="B20" s="144" t="s">
        <v>211</v>
      </c>
      <c r="C20" s="188">
        <v>1</v>
      </c>
      <c r="D20" s="148">
        <v>176</v>
      </c>
      <c r="E20" s="145" t="s">
        <v>62</v>
      </c>
      <c r="F20" s="144" t="s">
        <v>992</v>
      </c>
      <c r="G20" s="144" t="s">
        <v>2066</v>
      </c>
    </row>
    <row r="21" spans="1:7" x14ac:dyDescent="0.35">
      <c r="A21" s="144" t="s">
        <v>6</v>
      </c>
      <c r="B21" s="144" t="s">
        <v>86</v>
      </c>
      <c r="C21" s="188">
        <v>1</v>
      </c>
      <c r="D21" s="148">
        <v>176</v>
      </c>
      <c r="E21" s="145" t="s">
        <v>47</v>
      </c>
      <c r="F21" s="144" t="s">
        <v>992</v>
      </c>
      <c r="G21" s="144" t="s">
        <v>2067</v>
      </c>
    </row>
    <row r="22" spans="1:7" x14ac:dyDescent="0.35">
      <c r="A22" s="144" t="s">
        <v>6</v>
      </c>
      <c r="B22" s="144" t="s">
        <v>86</v>
      </c>
      <c r="C22" s="188">
        <v>1</v>
      </c>
      <c r="D22" s="148">
        <v>176</v>
      </c>
      <c r="E22" s="145" t="s">
        <v>47</v>
      </c>
      <c r="F22" s="144" t="s">
        <v>992</v>
      </c>
      <c r="G22" s="144" t="s">
        <v>2068</v>
      </c>
    </row>
    <row r="23" spans="1:7" x14ac:dyDescent="0.35">
      <c r="A23" s="144" t="s">
        <v>6</v>
      </c>
      <c r="B23" s="144" t="s">
        <v>219</v>
      </c>
      <c r="C23" s="188">
        <v>1</v>
      </c>
      <c r="D23" s="148">
        <v>176</v>
      </c>
      <c r="E23" s="145" t="s">
        <v>876</v>
      </c>
      <c r="F23" s="144" t="s">
        <v>992</v>
      </c>
      <c r="G23" s="144" t="s">
        <v>2059</v>
      </c>
    </row>
    <row r="24" spans="1:7" x14ac:dyDescent="0.35">
      <c r="A24" s="144" t="s">
        <v>23</v>
      </c>
      <c r="B24" s="144" t="s">
        <v>211</v>
      </c>
      <c r="C24" s="188">
        <v>1</v>
      </c>
      <c r="D24" s="148">
        <v>176</v>
      </c>
      <c r="E24" s="145" t="s">
        <v>62</v>
      </c>
      <c r="F24" s="144" t="s">
        <v>992</v>
      </c>
      <c r="G24" s="144" t="s">
        <v>2069</v>
      </c>
    </row>
    <row r="25" spans="1:7" x14ac:dyDescent="0.35">
      <c r="A25" s="144" t="s">
        <v>6</v>
      </c>
      <c r="B25" s="144" t="s">
        <v>219</v>
      </c>
      <c r="C25" s="188">
        <v>1</v>
      </c>
      <c r="D25" s="148">
        <v>176</v>
      </c>
      <c r="E25" s="145" t="s">
        <v>876</v>
      </c>
      <c r="F25" s="144" t="s">
        <v>992</v>
      </c>
      <c r="G25" s="144" t="s">
        <v>2070</v>
      </c>
    </row>
    <row r="26" spans="1:7" x14ac:dyDescent="0.35">
      <c r="A26" s="144" t="s">
        <v>6</v>
      </c>
      <c r="B26" s="144" t="s">
        <v>219</v>
      </c>
      <c r="C26" s="188">
        <v>1</v>
      </c>
      <c r="D26" s="148">
        <v>146.30000000000001</v>
      </c>
      <c r="E26" s="145" t="s">
        <v>876</v>
      </c>
      <c r="F26" s="144" t="s">
        <v>989</v>
      </c>
      <c r="G26" s="144" t="s">
        <v>2071</v>
      </c>
    </row>
    <row r="27" spans="1:7" x14ac:dyDescent="0.35">
      <c r="A27" s="144"/>
      <c r="B27" s="144" t="s">
        <v>163</v>
      </c>
      <c r="C27" s="188">
        <v>1</v>
      </c>
      <c r="D27" s="148">
        <v>146.30000000000001</v>
      </c>
      <c r="E27" s="145" t="s">
        <v>56</v>
      </c>
      <c r="F27" s="144" t="s">
        <v>989</v>
      </c>
      <c r="G27" s="144" t="s">
        <v>2072</v>
      </c>
    </row>
    <row r="28" spans="1:7" x14ac:dyDescent="0.35">
      <c r="A28" s="144" t="s">
        <v>6</v>
      </c>
      <c r="B28" s="144" t="s">
        <v>142</v>
      </c>
      <c r="C28" s="188">
        <v>1</v>
      </c>
      <c r="D28" s="148">
        <v>146.30000000000001</v>
      </c>
      <c r="E28" s="145" t="s">
        <v>44</v>
      </c>
      <c r="F28" s="144" t="s">
        <v>989</v>
      </c>
      <c r="G28" s="144" t="s">
        <v>2073</v>
      </c>
    </row>
    <row r="29" spans="1:7" x14ac:dyDescent="0.35">
      <c r="A29" s="144" t="s">
        <v>6</v>
      </c>
      <c r="B29" s="144" t="s">
        <v>219</v>
      </c>
      <c r="C29" s="188">
        <v>1</v>
      </c>
      <c r="D29" s="148">
        <v>146.30000000000001</v>
      </c>
      <c r="E29" s="145" t="s">
        <v>876</v>
      </c>
      <c r="F29" s="144" t="s">
        <v>989</v>
      </c>
      <c r="G29" s="144" t="s">
        <v>2074</v>
      </c>
    </row>
    <row r="30" spans="1:7" x14ac:dyDescent="0.35">
      <c r="A30" s="144" t="s">
        <v>6</v>
      </c>
      <c r="B30" s="144" t="s">
        <v>142</v>
      </c>
      <c r="C30" s="188">
        <v>1</v>
      </c>
      <c r="D30" s="148">
        <v>146.30000000000001</v>
      </c>
      <c r="E30" s="145" t="s">
        <v>44</v>
      </c>
      <c r="F30" s="144" t="s">
        <v>989</v>
      </c>
      <c r="G30" s="144" t="s">
        <v>2075</v>
      </c>
    </row>
    <row r="31" spans="1:7" x14ac:dyDescent="0.35">
      <c r="A31" s="144" t="s">
        <v>23</v>
      </c>
      <c r="B31" s="144" t="s">
        <v>211</v>
      </c>
      <c r="C31" s="188">
        <v>1</v>
      </c>
      <c r="D31" s="148">
        <v>146.30000000000001</v>
      </c>
      <c r="E31" s="145" t="s">
        <v>62</v>
      </c>
      <c r="F31" s="144" t="s">
        <v>989</v>
      </c>
      <c r="G31" s="144" t="s">
        <v>2076</v>
      </c>
    </row>
    <row r="32" spans="1:7" x14ac:dyDescent="0.35">
      <c r="A32" s="144" t="s">
        <v>6</v>
      </c>
      <c r="B32" s="144" t="s">
        <v>142</v>
      </c>
      <c r="C32" s="188">
        <v>1</v>
      </c>
      <c r="D32" s="148">
        <v>146.30000000000001</v>
      </c>
      <c r="E32" s="145" t="s">
        <v>44</v>
      </c>
      <c r="F32" s="144" t="s">
        <v>989</v>
      </c>
      <c r="G32" s="144" t="s">
        <v>2077</v>
      </c>
    </row>
    <row r="33" spans="1:7" x14ac:dyDescent="0.35">
      <c r="A33" s="144" t="s">
        <v>6</v>
      </c>
      <c r="B33" s="144" t="s">
        <v>86</v>
      </c>
      <c r="C33" s="188">
        <v>1</v>
      </c>
      <c r="D33" s="148">
        <v>146.30000000000001</v>
      </c>
      <c r="E33" s="145" t="s">
        <v>47</v>
      </c>
      <c r="F33" s="144" t="s">
        <v>989</v>
      </c>
      <c r="G33" s="144" t="s">
        <v>2019</v>
      </c>
    </row>
    <row r="34" spans="1:7" x14ac:dyDescent="0.35">
      <c r="A34" s="144" t="s">
        <v>6</v>
      </c>
      <c r="B34" s="144" t="s">
        <v>86</v>
      </c>
      <c r="C34" s="188">
        <v>1</v>
      </c>
      <c r="D34" s="148">
        <v>146.30000000000001</v>
      </c>
      <c r="E34" s="145" t="s">
        <v>47</v>
      </c>
      <c r="F34" s="144" t="s">
        <v>989</v>
      </c>
      <c r="G34" s="144" t="s">
        <v>2078</v>
      </c>
    </row>
    <row r="35" spans="1:7" x14ac:dyDescent="0.35">
      <c r="A35" s="144" t="s">
        <v>6</v>
      </c>
      <c r="B35" s="144" t="s">
        <v>219</v>
      </c>
      <c r="C35" s="188">
        <v>1</v>
      </c>
      <c r="D35" s="148">
        <v>146.30000000000001</v>
      </c>
      <c r="E35" s="145" t="s">
        <v>876</v>
      </c>
      <c r="F35" s="144" t="s">
        <v>989</v>
      </c>
      <c r="G35" s="144" t="s">
        <v>2079</v>
      </c>
    </row>
    <row r="36" spans="1:7" x14ac:dyDescent="0.35">
      <c r="A36" s="144" t="s">
        <v>25</v>
      </c>
      <c r="B36" s="144" t="s">
        <v>26</v>
      </c>
      <c r="C36" s="188">
        <v>1</v>
      </c>
      <c r="D36" s="148">
        <v>58</v>
      </c>
      <c r="E36" s="145" t="s">
        <v>60</v>
      </c>
      <c r="F36" s="144" t="s">
        <v>34</v>
      </c>
      <c r="G36" s="144" t="s">
        <v>2080</v>
      </c>
    </row>
    <row r="37" spans="1:7" x14ac:dyDescent="0.35">
      <c r="A37" s="144" t="s">
        <v>25</v>
      </c>
      <c r="B37" s="144" t="s">
        <v>26</v>
      </c>
      <c r="C37" s="188">
        <v>1</v>
      </c>
      <c r="D37" s="148">
        <v>26</v>
      </c>
      <c r="E37" s="145" t="s">
        <v>60</v>
      </c>
      <c r="F37" s="144" t="s">
        <v>35</v>
      </c>
      <c r="G37" s="144" t="s">
        <v>2080</v>
      </c>
    </row>
    <row r="38" spans="1:7" x14ac:dyDescent="0.3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2081</v>
      </c>
    </row>
    <row r="39" spans="1:7" x14ac:dyDescent="0.35">
      <c r="A39" s="144" t="s">
        <v>6</v>
      </c>
      <c r="B39" s="144" t="s">
        <v>219</v>
      </c>
      <c r="C39" s="188">
        <v>1</v>
      </c>
      <c r="D39" s="155">
        <v>39</v>
      </c>
      <c r="E39" s="145" t="s">
        <v>876</v>
      </c>
      <c r="F39" s="144" t="s">
        <v>36</v>
      </c>
      <c r="G39" s="144" t="s">
        <v>2082</v>
      </c>
    </row>
    <row r="40" spans="1:7" x14ac:dyDescent="0.35">
      <c r="A40" s="144" t="s">
        <v>6</v>
      </c>
      <c r="B40" s="144" t="s">
        <v>1382</v>
      </c>
      <c r="C40" s="188">
        <v>1</v>
      </c>
      <c r="D40" s="148">
        <v>58</v>
      </c>
      <c r="E40" s="145" t="s">
        <v>51</v>
      </c>
      <c r="F40" s="144" t="s">
        <v>34</v>
      </c>
      <c r="G40" s="144" t="s">
        <v>2083</v>
      </c>
    </row>
    <row r="41" spans="1:7" x14ac:dyDescent="0.35">
      <c r="A41" s="144" t="s">
        <v>6</v>
      </c>
      <c r="B41" s="144" t="s">
        <v>1382</v>
      </c>
      <c r="C41" s="188">
        <v>1</v>
      </c>
      <c r="D41" s="148">
        <v>26</v>
      </c>
      <c r="E41" s="145" t="s">
        <v>51</v>
      </c>
      <c r="F41" s="144" t="s">
        <v>35</v>
      </c>
      <c r="G41" s="144" t="s">
        <v>2083</v>
      </c>
    </row>
    <row r="42" spans="1:7" x14ac:dyDescent="0.35">
      <c r="A42" s="144" t="s">
        <v>6</v>
      </c>
      <c r="B42" s="144" t="s">
        <v>1382</v>
      </c>
      <c r="C42" s="188">
        <v>1</v>
      </c>
      <c r="D42" s="148">
        <v>26</v>
      </c>
      <c r="E42" s="145" t="s">
        <v>51</v>
      </c>
      <c r="F42" s="144" t="s">
        <v>35</v>
      </c>
      <c r="G42" s="144" t="s">
        <v>2084</v>
      </c>
    </row>
    <row r="43" spans="1:7" x14ac:dyDescent="0.35">
      <c r="A43" s="144" t="s">
        <v>6</v>
      </c>
      <c r="B43" s="144" t="s">
        <v>219</v>
      </c>
      <c r="C43" s="188">
        <v>1</v>
      </c>
      <c r="D43" s="155">
        <v>39</v>
      </c>
      <c r="E43" s="145" t="s">
        <v>876</v>
      </c>
      <c r="F43" s="144" t="s">
        <v>36</v>
      </c>
      <c r="G43" s="144" t="s">
        <v>2085</v>
      </c>
    </row>
    <row r="44" spans="1:7" x14ac:dyDescent="0.35">
      <c r="A44" s="144" t="s">
        <v>6</v>
      </c>
      <c r="B44" s="144" t="s">
        <v>219</v>
      </c>
      <c r="C44" s="188">
        <v>1</v>
      </c>
      <c r="D44" s="148">
        <v>58</v>
      </c>
      <c r="E44" s="145" t="s">
        <v>876</v>
      </c>
      <c r="F44" s="144" t="s">
        <v>34</v>
      </c>
      <c r="G44" s="144" t="s">
        <v>2085</v>
      </c>
    </row>
    <row r="45" spans="1:7" x14ac:dyDescent="0.35">
      <c r="A45" s="144" t="s">
        <v>6</v>
      </c>
      <c r="B45" s="144" t="s">
        <v>219</v>
      </c>
      <c r="C45" s="188">
        <v>1</v>
      </c>
      <c r="D45" s="148">
        <v>26</v>
      </c>
      <c r="E45" s="145" t="s">
        <v>876</v>
      </c>
      <c r="F45" s="144" t="s">
        <v>35</v>
      </c>
      <c r="G45" s="144" t="s">
        <v>2085</v>
      </c>
    </row>
    <row r="46" spans="1:7" x14ac:dyDescent="0.35">
      <c r="A46" s="144" t="s">
        <v>6</v>
      </c>
      <c r="B46" s="144" t="s">
        <v>1382</v>
      </c>
      <c r="C46" s="188">
        <v>1</v>
      </c>
      <c r="D46" s="148">
        <v>26</v>
      </c>
      <c r="E46" s="145" t="s">
        <v>51</v>
      </c>
      <c r="F46" s="144" t="s">
        <v>35</v>
      </c>
      <c r="G46" s="144" t="s">
        <v>2086</v>
      </c>
    </row>
    <row r="47" spans="1:7" x14ac:dyDescent="0.35">
      <c r="A47" s="144" t="s">
        <v>6</v>
      </c>
      <c r="B47" s="144" t="s">
        <v>219</v>
      </c>
      <c r="C47" s="188">
        <v>1</v>
      </c>
      <c r="D47" s="155">
        <v>39</v>
      </c>
      <c r="E47" s="145" t="s">
        <v>876</v>
      </c>
      <c r="F47" s="144" t="s">
        <v>36</v>
      </c>
      <c r="G47" s="144" t="s">
        <v>2087</v>
      </c>
    </row>
    <row r="48" spans="1:7" x14ac:dyDescent="0.35">
      <c r="A48" s="144" t="s">
        <v>6</v>
      </c>
      <c r="B48" s="144" t="s">
        <v>219</v>
      </c>
      <c r="C48" s="188">
        <v>1</v>
      </c>
      <c r="D48" s="155">
        <v>39</v>
      </c>
      <c r="E48" s="145" t="s">
        <v>876</v>
      </c>
      <c r="F48" s="144" t="s">
        <v>36</v>
      </c>
      <c r="G48" s="144" t="s">
        <v>2088</v>
      </c>
    </row>
    <row r="49" spans="1:7" x14ac:dyDescent="0.35">
      <c r="A49" s="144" t="s">
        <v>6</v>
      </c>
      <c r="B49" s="144" t="s">
        <v>72</v>
      </c>
      <c r="C49" s="188">
        <v>1</v>
      </c>
      <c r="D49" s="155">
        <v>39</v>
      </c>
      <c r="E49" s="145" t="s">
        <v>1138</v>
      </c>
      <c r="F49" s="144" t="s">
        <v>36</v>
      </c>
      <c r="G49" s="144" t="s">
        <v>2089</v>
      </c>
    </row>
    <row r="50" spans="1:7" x14ac:dyDescent="0.35">
      <c r="A50" s="144"/>
      <c r="B50" s="144"/>
      <c r="C50" s="188">
        <v>1</v>
      </c>
      <c r="D50" s="148"/>
      <c r="E50" s="145"/>
      <c r="F50" s="144"/>
      <c r="G50" s="144"/>
    </row>
    <row r="51" spans="1:7" x14ac:dyDescent="0.35">
      <c r="A51" s="144"/>
      <c r="B51" s="144"/>
      <c r="C51" s="188">
        <v>1</v>
      </c>
      <c r="D51" s="148"/>
      <c r="E51" s="145"/>
      <c r="F51" s="144"/>
      <c r="G51" s="144"/>
    </row>
    <row r="52" spans="1:7" x14ac:dyDescent="0.35">
      <c r="A52" s="144"/>
      <c r="B52" s="144"/>
      <c r="C52" s="188">
        <v>1</v>
      </c>
      <c r="D52" s="148"/>
      <c r="E52" s="145"/>
      <c r="F52" s="144"/>
      <c r="G52" s="144"/>
    </row>
    <row r="53" spans="1:7" x14ac:dyDescent="0.35">
      <c r="A53" s="144"/>
      <c r="B53" s="144"/>
      <c r="C53" s="188">
        <v>1</v>
      </c>
      <c r="D53" s="148"/>
      <c r="E53" s="145"/>
      <c r="F53" s="144"/>
      <c r="G53" s="144"/>
    </row>
    <row r="54" spans="1:7" x14ac:dyDescent="0.35">
      <c r="A54" s="144"/>
      <c r="B54" s="144"/>
      <c r="C54" s="188">
        <v>1</v>
      </c>
      <c r="D54" s="148"/>
      <c r="E54" s="145"/>
      <c r="F54" s="144"/>
      <c r="G54" s="144"/>
    </row>
    <row r="55" spans="1:7" x14ac:dyDescent="0.35">
      <c r="A55" s="144"/>
      <c r="B55" s="144"/>
      <c r="C55" s="188">
        <v>1</v>
      </c>
      <c r="D55" s="155"/>
      <c r="E55" s="145"/>
      <c r="F55" s="144"/>
      <c r="G55" s="144"/>
    </row>
    <row r="56" spans="1:7" x14ac:dyDescent="0.35">
      <c r="A56" s="144"/>
      <c r="B56" s="144"/>
      <c r="C56" s="188">
        <v>1</v>
      </c>
      <c r="D56" s="148"/>
      <c r="E56" s="145"/>
      <c r="F56" s="144"/>
      <c r="G56" s="144"/>
    </row>
    <row r="57" spans="1:7" x14ac:dyDescent="0.35">
      <c r="A57" s="144"/>
      <c r="B57" s="144"/>
      <c r="C57" s="188">
        <v>1</v>
      </c>
      <c r="D57" s="148"/>
      <c r="E57" s="145"/>
      <c r="F57" s="144"/>
      <c r="G57" s="144"/>
    </row>
    <row r="58" spans="1:7" x14ac:dyDescent="0.35">
      <c r="A58" s="144"/>
      <c r="B58" s="144"/>
      <c r="C58" s="188">
        <v>1</v>
      </c>
      <c r="D58" s="155"/>
      <c r="E58" s="145"/>
      <c r="F58" s="144"/>
      <c r="G58" s="144"/>
    </row>
    <row r="59" spans="1:7" x14ac:dyDescent="0.35">
      <c r="A59" s="144"/>
      <c r="B59" s="144"/>
      <c r="C59" s="188">
        <v>1</v>
      </c>
      <c r="D59" s="148"/>
      <c r="E59" s="145"/>
      <c r="F59" s="144"/>
      <c r="G59" s="144"/>
    </row>
    <row r="60" spans="1:7" x14ac:dyDescent="0.35">
      <c r="A60" s="144"/>
      <c r="B60" s="144"/>
      <c r="C60" s="188">
        <v>1</v>
      </c>
      <c r="D60" s="148"/>
      <c r="E60" s="145"/>
      <c r="F60" s="144"/>
      <c r="G60" s="144"/>
    </row>
    <row r="61" spans="1:7" x14ac:dyDescent="0.35">
      <c r="A61" s="144"/>
      <c r="B61" s="144"/>
      <c r="C61" s="188">
        <v>1</v>
      </c>
      <c r="D61" s="148"/>
      <c r="E61" s="145"/>
      <c r="F61" s="144"/>
      <c r="G61" s="144"/>
    </row>
    <row r="62" spans="1:7" x14ac:dyDescent="0.35">
      <c r="A62" s="144"/>
      <c r="B62" s="144"/>
      <c r="C62" s="188">
        <v>1</v>
      </c>
      <c r="D62" s="148"/>
      <c r="E62" s="145"/>
      <c r="F62" s="144"/>
      <c r="G62" s="144"/>
    </row>
    <row r="63" spans="1:7" x14ac:dyDescent="0.35">
      <c r="A63" s="144"/>
      <c r="B63" s="144"/>
      <c r="C63" s="188">
        <v>1</v>
      </c>
      <c r="D63" s="148"/>
      <c r="E63" s="145"/>
      <c r="F63" s="144"/>
      <c r="G63" s="144"/>
    </row>
    <row r="64" spans="1:7" x14ac:dyDescent="0.35">
      <c r="A64" s="144"/>
      <c r="B64" s="144"/>
      <c r="C64" s="188">
        <v>1</v>
      </c>
      <c r="D64" s="144"/>
      <c r="E64" s="144"/>
      <c r="F64" s="144"/>
      <c r="G64" s="144"/>
    </row>
    <row r="65" spans="1:7" x14ac:dyDescent="0.35">
      <c r="A65" s="144"/>
      <c r="B65" s="144"/>
      <c r="C65" s="188">
        <v>1</v>
      </c>
      <c r="D65" s="144"/>
      <c r="E65" s="144"/>
      <c r="F65" s="144"/>
      <c r="G65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20FAA-E9F8-462D-A297-F83F7929D38F}">
  <dimension ref="A1:H99"/>
  <sheetViews>
    <sheetView topLeftCell="A62" workbookViewId="0">
      <selection activeCell="A70" sqref="A70:B70"/>
    </sheetView>
  </sheetViews>
  <sheetFormatPr defaultRowHeight="14.5" x14ac:dyDescent="0.35"/>
  <cols>
    <col min="1" max="1" width="12.26953125" customWidth="1"/>
    <col min="2" max="2" width="20.7265625" customWidth="1"/>
    <col min="3" max="3" width="5.7265625" customWidth="1"/>
    <col min="4" max="4" width="18" customWidth="1"/>
    <col min="5" max="5" width="49.453125" customWidth="1"/>
    <col min="6" max="6" width="50" customWidth="1"/>
    <col min="7" max="7" width="49.26953125" customWidth="1"/>
    <col min="8" max="8" width="44.453125" bestFit="1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218" t="s">
        <v>2156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46027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238" t="s">
        <v>0</v>
      </c>
      <c r="B8" s="238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35">
      <c r="A9" s="144" t="s">
        <v>23</v>
      </c>
      <c r="B9" s="144" t="s">
        <v>211</v>
      </c>
      <c r="C9" s="188">
        <v>1</v>
      </c>
      <c r="D9" s="235">
        <v>82</v>
      </c>
      <c r="E9" s="145" t="s">
        <v>62</v>
      </c>
      <c r="F9" s="144" t="s">
        <v>33</v>
      </c>
      <c r="G9" s="144" t="s">
        <v>2031</v>
      </c>
    </row>
    <row r="10" spans="1:7" x14ac:dyDescent="0.35">
      <c r="A10" s="144" t="s">
        <v>23</v>
      </c>
      <c r="B10" s="144" t="s">
        <v>211</v>
      </c>
      <c r="C10" s="188">
        <v>1</v>
      </c>
      <c r="D10" s="235">
        <v>82</v>
      </c>
      <c r="E10" s="145" t="s">
        <v>62</v>
      </c>
      <c r="F10" s="144" t="s">
        <v>33</v>
      </c>
      <c r="G10" s="144" t="s">
        <v>2076</v>
      </c>
    </row>
    <row r="11" spans="1:7" x14ac:dyDescent="0.35">
      <c r="A11" s="144" t="s">
        <v>6</v>
      </c>
      <c r="B11" s="144" t="s">
        <v>86</v>
      </c>
      <c r="C11" s="188">
        <v>1</v>
      </c>
      <c r="D11" s="235">
        <v>82</v>
      </c>
      <c r="E11" s="145" t="s">
        <v>47</v>
      </c>
      <c r="F11" s="144" t="s">
        <v>33</v>
      </c>
      <c r="G11" s="144" t="s">
        <v>2019</v>
      </c>
    </row>
    <row r="12" spans="1:7" ht="15.75" customHeight="1" x14ac:dyDescent="0.35">
      <c r="A12" s="144"/>
      <c r="B12" s="144" t="s">
        <v>163</v>
      </c>
      <c r="C12" s="188">
        <v>1</v>
      </c>
      <c r="D12" s="235">
        <v>82</v>
      </c>
      <c r="E12" s="145" t="s">
        <v>56</v>
      </c>
      <c r="F12" s="144" t="s">
        <v>33</v>
      </c>
      <c r="G12" s="144" t="s">
        <v>2127</v>
      </c>
    </row>
    <row r="13" spans="1:7" x14ac:dyDescent="0.35">
      <c r="A13" s="144" t="s">
        <v>6</v>
      </c>
      <c r="B13" s="144" t="s">
        <v>142</v>
      </c>
      <c r="C13" s="188">
        <v>1</v>
      </c>
      <c r="D13" s="235">
        <v>82</v>
      </c>
      <c r="E13" s="145" t="s">
        <v>44</v>
      </c>
      <c r="F13" s="144" t="s">
        <v>33</v>
      </c>
      <c r="G13" s="144" t="s">
        <v>2075</v>
      </c>
    </row>
    <row r="14" spans="1:7" x14ac:dyDescent="0.35">
      <c r="A14" s="144" t="s">
        <v>6</v>
      </c>
      <c r="B14" s="144" t="s">
        <v>142</v>
      </c>
      <c r="C14" s="188">
        <v>1</v>
      </c>
      <c r="D14" s="235">
        <v>82</v>
      </c>
      <c r="E14" s="145" t="s">
        <v>44</v>
      </c>
      <c r="F14" s="144" t="s">
        <v>33</v>
      </c>
      <c r="G14" s="144" t="s">
        <v>2073</v>
      </c>
    </row>
    <row r="15" spans="1:7" x14ac:dyDescent="0.35">
      <c r="A15" s="144" t="s">
        <v>6</v>
      </c>
      <c r="B15" s="144" t="s">
        <v>86</v>
      </c>
      <c r="C15" s="188">
        <v>1</v>
      </c>
      <c r="D15" s="235">
        <v>82</v>
      </c>
      <c r="E15" s="145" t="s">
        <v>47</v>
      </c>
      <c r="F15" s="144" t="s">
        <v>33</v>
      </c>
      <c r="G15" s="144" t="s">
        <v>2126</v>
      </c>
    </row>
    <row r="16" spans="1:7" x14ac:dyDescent="0.35">
      <c r="A16" s="144"/>
      <c r="B16" s="144" t="s">
        <v>163</v>
      </c>
      <c r="C16" s="188">
        <v>1</v>
      </c>
      <c r="D16" s="235">
        <v>82</v>
      </c>
      <c r="E16" s="145" t="s">
        <v>56</v>
      </c>
      <c r="F16" s="144" t="s">
        <v>33</v>
      </c>
      <c r="G16" s="144" t="s">
        <v>2124</v>
      </c>
    </row>
    <row r="17" spans="1:7" x14ac:dyDescent="0.35">
      <c r="A17" s="144" t="s">
        <v>6</v>
      </c>
      <c r="B17" s="144" t="s">
        <v>72</v>
      </c>
      <c r="C17" s="188">
        <v>1</v>
      </c>
      <c r="D17" s="235">
        <v>82</v>
      </c>
      <c r="E17" s="145" t="s">
        <v>1138</v>
      </c>
      <c r="F17" s="144" t="s">
        <v>33</v>
      </c>
      <c r="G17" s="144" t="s">
        <v>2125</v>
      </c>
    </row>
    <row r="18" spans="1:7" x14ac:dyDescent="0.35">
      <c r="A18" s="144" t="s">
        <v>6</v>
      </c>
      <c r="B18" s="144" t="s">
        <v>219</v>
      </c>
      <c r="C18" s="188">
        <v>1</v>
      </c>
      <c r="D18" s="235">
        <v>82</v>
      </c>
      <c r="E18" s="145" t="s">
        <v>876</v>
      </c>
      <c r="F18" s="144" t="s">
        <v>33</v>
      </c>
      <c r="G18" s="144" t="s">
        <v>2122</v>
      </c>
    </row>
    <row r="19" spans="1:7" x14ac:dyDescent="0.35">
      <c r="A19" s="144" t="s">
        <v>6</v>
      </c>
      <c r="B19" s="144" t="s">
        <v>142</v>
      </c>
      <c r="C19" s="188">
        <v>1</v>
      </c>
      <c r="D19" s="235">
        <v>82</v>
      </c>
      <c r="E19" s="145" t="s">
        <v>44</v>
      </c>
      <c r="F19" s="144" t="s">
        <v>33</v>
      </c>
      <c r="G19" s="144" t="s">
        <v>2077</v>
      </c>
    </row>
    <row r="20" spans="1:7" x14ac:dyDescent="0.35">
      <c r="A20" s="144" t="s">
        <v>6</v>
      </c>
      <c r="B20" s="144" t="s">
        <v>86</v>
      </c>
      <c r="C20" s="188">
        <v>1</v>
      </c>
      <c r="D20" s="235">
        <v>82</v>
      </c>
      <c r="E20" s="145" t="s">
        <v>47</v>
      </c>
      <c r="F20" s="144" t="s">
        <v>33</v>
      </c>
      <c r="G20" s="144" t="s">
        <v>2078</v>
      </c>
    </row>
    <row r="21" spans="1:7" x14ac:dyDescent="0.35">
      <c r="A21" s="144" t="s">
        <v>6</v>
      </c>
      <c r="B21" s="144" t="s">
        <v>86</v>
      </c>
      <c r="C21" s="188">
        <v>1</v>
      </c>
      <c r="D21" s="235">
        <v>82</v>
      </c>
      <c r="E21" s="145" t="s">
        <v>47</v>
      </c>
      <c r="F21" s="144" t="s">
        <v>33</v>
      </c>
      <c r="G21" s="144" t="s">
        <v>2123</v>
      </c>
    </row>
    <row r="22" spans="1:7" x14ac:dyDescent="0.35">
      <c r="A22" s="144"/>
      <c r="B22" s="144" t="s">
        <v>163</v>
      </c>
      <c r="C22" s="188">
        <v>1</v>
      </c>
      <c r="D22" s="235">
        <v>82</v>
      </c>
      <c r="E22" s="145" t="s">
        <v>56</v>
      </c>
      <c r="F22" s="144" t="s">
        <v>33</v>
      </c>
      <c r="G22" s="144" t="s">
        <v>2072</v>
      </c>
    </row>
    <row r="23" spans="1:7" x14ac:dyDescent="0.35">
      <c r="A23" s="144" t="s">
        <v>6</v>
      </c>
      <c r="B23" s="144" t="s">
        <v>219</v>
      </c>
      <c r="C23" s="188">
        <v>1</v>
      </c>
      <c r="D23" s="235">
        <v>82</v>
      </c>
      <c r="E23" s="145" t="s">
        <v>876</v>
      </c>
      <c r="F23" s="144" t="s">
        <v>33</v>
      </c>
      <c r="G23" s="144" t="s">
        <v>2118</v>
      </c>
    </row>
    <row r="24" spans="1:7" x14ac:dyDescent="0.35">
      <c r="A24" s="144"/>
      <c r="B24" s="144" t="s">
        <v>163</v>
      </c>
      <c r="C24" s="188">
        <v>1</v>
      </c>
      <c r="D24" s="235">
        <v>82</v>
      </c>
      <c r="E24" s="145" t="s">
        <v>56</v>
      </c>
      <c r="F24" s="144" t="s">
        <v>33</v>
      </c>
      <c r="G24" s="144" t="s">
        <v>2119</v>
      </c>
    </row>
    <row r="25" spans="1:7" x14ac:dyDescent="0.35">
      <c r="A25" s="144" t="s">
        <v>6</v>
      </c>
      <c r="B25" s="144" t="s">
        <v>1382</v>
      </c>
      <c r="C25" s="188">
        <v>1</v>
      </c>
      <c r="D25" s="235">
        <v>82</v>
      </c>
      <c r="E25" s="145" t="s">
        <v>51</v>
      </c>
      <c r="F25" s="144" t="s">
        <v>33</v>
      </c>
      <c r="G25" s="144" t="s">
        <v>2120</v>
      </c>
    </row>
    <row r="26" spans="1:7" x14ac:dyDescent="0.35">
      <c r="A26" s="144" t="s">
        <v>6</v>
      </c>
      <c r="B26" s="144" t="s">
        <v>72</v>
      </c>
      <c r="C26" s="188">
        <v>1</v>
      </c>
      <c r="D26" s="235">
        <v>82</v>
      </c>
      <c r="E26" s="145" t="s">
        <v>1138</v>
      </c>
      <c r="F26" s="144" t="s">
        <v>33</v>
      </c>
      <c r="G26" s="144" t="s">
        <v>2121</v>
      </c>
    </row>
    <row r="27" spans="1:7" x14ac:dyDescent="0.35">
      <c r="A27" s="144"/>
      <c r="B27" s="144" t="s">
        <v>163</v>
      </c>
      <c r="C27" s="188">
        <v>1</v>
      </c>
      <c r="D27" s="235">
        <v>58</v>
      </c>
      <c r="E27" s="145" t="s">
        <v>56</v>
      </c>
      <c r="F27" s="144" t="s">
        <v>34</v>
      </c>
      <c r="G27" s="144" t="s">
        <v>2129</v>
      </c>
    </row>
    <row r="28" spans="1:7" x14ac:dyDescent="0.35">
      <c r="A28" s="144"/>
      <c r="B28" s="144" t="s">
        <v>163</v>
      </c>
      <c r="C28" s="188">
        <v>1</v>
      </c>
      <c r="D28" s="235">
        <v>26</v>
      </c>
      <c r="E28" s="145" t="s">
        <v>56</v>
      </c>
      <c r="F28" s="144" t="s">
        <v>35</v>
      </c>
      <c r="G28" s="144" t="s">
        <v>2129</v>
      </c>
    </row>
    <row r="29" spans="1:7" x14ac:dyDescent="0.35">
      <c r="A29" s="144"/>
      <c r="B29" s="144" t="s">
        <v>163</v>
      </c>
      <c r="C29" s="188">
        <v>1</v>
      </c>
      <c r="D29" s="240">
        <v>39</v>
      </c>
      <c r="E29" s="145" t="s">
        <v>56</v>
      </c>
      <c r="F29" s="144" t="s">
        <v>36</v>
      </c>
      <c r="G29" s="144" t="s">
        <v>2129</v>
      </c>
    </row>
    <row r="30" spans="1:7" x14ac:dyDescent="0.35">
      <c r="A30" s="144" t="s">
        <v>6</v>
      </c>
      <c r="B30" s="144" t="s">
        <v>72</v>
      </c>
      <c r="C30" s="188">
        <v>1</v>
      </c>
      <c r="D30" s="235">
        <v>58</v>
      </c>
      <c r="E30" s="145" t="s">
        <v>1138</v>
      </c>
      <c r="F30" s="144" t="s">
        <v>34</v>
      </c>
      <c r="G30" s="144" t="s">
        <v>2130</v>
      </c>
    </row>
    <row r="31" spans="1:7" x14ac:dyDescent="0.35">
      <c r="A31" s="144" t="s">
        <v>6</v>
      </c>
      <c r="B31" s="144" t="s">
        <v>142</v>
      </c>
      <c r="C31" s="188">
        <v>1</v>
      </c>
      <c r="D31" s="235">
        <v>82</v>
      </c>
      <c r="E31" s="145" t="s">
        <v>44</v>
      </c>
      <c r="F31" s="144" t="s">
        <v>33</v>
      </c>
      <c r="G31" s="144" t="s">
        <v>2117</v>
      </c>
    </row>
    <row r="32" spans="1:7" x14ac:dyDescent="0.35">
      <c r="A32" s="144" t="s">
        <v>6</v>
      </c>
      <c r="B32" s="144" t="s">
        <v>219</v>
      </c>
      <c r="C32" s="188">
        <v>1</v>
      </c>
      <c r="D32" s="235">
        <v>82</v>
      </c>
      <c r="E32" s="145" t="s">
        <v>876</v>
      </c>
      <c r="F32" s="144" t="s">
        <v>33</v>
      </c>
      <c r="G32" s="144" t="s">
        <v>2116</v>
      </c>
    </row>
    <row r="33" spans="1:7" x14ac:dyDescent="0.35">
      <c r="A33" s="144" t="s">
        <v>23</v>
      </c>
      <c r="B33" s="144" t="s">
        <v>211</v>
      </c>
      <c r="C33" s="188">
        <v>1</v>
      </c>
      <c r="D33" s="235">
        <v>82</v>
      </c>
      <c r="E33" s="145" t="s">
        <v>62</v>
      </c>
      <c r="F33" s="144" t="s">
        <v>33</v>
      </c>
      <c r="G33" s="144" t="s">
        <v>2115</v>
      </c>
    </row>
    <row r="34" spans="1:7" x14ac:dyDescent="0.35">
      <c r="A34" s="144" t="s">
        <v>6</v>
      </c>
      <c r="B34" s="144" t="s">
        <v>86</v>
      </c>
      <c r="C34" s="188">
        <v>1</v>
      </c>
      <c r="D34" s="235">
        <v>82</v>
      </c>
      <c r="E34" s="145" t="s">
        <v>47</v>
      </c>
      <c r="F34" s="144" t="s">
        <v>33</v>
      </c>
      <c r="G34" s="144" t="s">
        <v>2114</v>
      </c>
    </row>
    <row r="35" spans="1:7" x14ac:dyDescent="0.35">
      <c r="A35" s="144" t="s">
        <v>23</v>
      </c>
      <c r="B35" s="144" t="s">
        <v>244</v>
      </c>
      <c r="C35" s="188">
        <v>1</v>
      </c>
      <c r="D35" s="235">
        <v>82</v>
      </c>
      <c r="E35" s="145" t="s">
        <v>64</v>
      </c>
      <c r="F35" s="144" t="s">
        <v>33</v>
      </c>
      <c r="G35" s="144" t="s">
        <v>2113</v>
      </c>
    </row>
    <row r="36" spans="1:7" x14ac:dyDescent="0.35">
      <c r="A36" s="144" t="s">
        <v>6</v>
      </c>
      <c r="B36" s="144" t="s">
        <v>86</v>
      </c>
      <c r="C36" s="188">
        <v>1</v>
      </c>
      <c r="D36" s="235">
        <v>82</v>
      </c>
      <c r="E36" s="145" t="s">
        <v>47</v>
      </c>
      <c r="F36" s="144" t="s">
        <v>33</v>
      </c>
      <c r="G36" s="144" t="s">
        <v>2112</v>
      </c>
    </row>
    <row r="37" spans="1:7" x14ac:dyDescent="0.35">
      <c r="A37" s="144" t="s">
        <v>23</v>
      </c>
      <c r="B37" s="144" t="s">
        <v>211</v>
      </c>
      <c r="C37" s="229">
        <v>1</v>
      </c>
      <c r="D37" s="235">
        <v>146.30000000000001</v>
      </c>
      <c r="E37" s="145" t="s">
        <v>62</v>
      </c>
      <c r="F37" s="144" t="s">
        <v>989</v>
      </c>
      <c r="G37" s="144" t="s">
        <v>2094</v>
      </c>
    </row>
    <row r="38" spans="1:7" x14ac:dyDescent="0.35">
      <c r="A38" s="144" t="s">
        <v>23</v>
      </c>
      <c r="B38" s="144" t="s">
        <v>211</v>
      </c>
      <c r="C38" s="188">
        <v>1</v>
      </c>
      <c r="D38" s="235">
        <v>146.30000000000001</v>
      </c>
      <c r="E38" s="145" t="s">
        <v>62</v>
      </c>
      <c r="F38" s="144" t="s">
        <v>989</v>
      </c>
      <c r="G38" s="144" t="s">
        <v>2092</v>
      </c>
    </row>
    <row r="39" spans="1:7" x14ac:dyDescent="0.35">
      <c r="A39" s="144" t="s">
        <v>23</v>
      </c>
      <c r="B39" s="144" t="s">
        <v>211</v>
      </c>
      <c r="C39" s="188">
        <v>1</v>
      </c>
      <c r="D39" s="235">
        <v>82</v>
      </c>
      <c r="E39" s="145" t="s">
        <v>62</v>
      </c>
      <c r="F39" s="144" t="s">
        <v>33</v>
      </c>
      <c r="G39" s="144" t="s">
        <v>2092</v>
      </c>
    </row>
    <row r="40" spans="1:7" x14ac:dyDescent="0.35">
      <c r="A40" s="144" t="s">
        <v>23</v>
      </c>
      <c r="B40" s="144" t="s">
        <v>211</v>
      </c>
      <c r="C40" s="188">
        <v>1</v>
      </c>
      <c r="D40" s="235">
        <v>82</v>
      </c>
      <c r="E40" s="145" t="s">
        <v>62</v>
      </c>
      <c r="F40" s="144" t="s">
        <v>33</v>
      </c>
      <c r="G40" s="144" t="s">
        <v>2111</v>
      </c>
    </row>
    <row r="41" spans="1:7" x14ac:dyDescent="0.35">
      <c r="A41" s="144" t="s">
        <v>6</v>
      </c>
      <c r="B41" s="144" t="s">
        <v>142</v>
      </c>
      <c r="C41" s="188">
        <v>1</v>
      </c>
      <c r="D41" s="235">
        <v>82</v>
      </c>
      <c r="E41" s="145" t="s">
        <v>44</v>
      </c>
      <c r="F41" s="144" t="s">
        <v>33</v>
      </c>
      <c r="G41" s="144" t="s">
        <v>2107</v>
      </c>
    </row>
    <row r="42" spans="1:7" x14ac:dyDescent="0.35">
      <c r="A42" s="144" t="s">
        <v>6</v>
      </c>
      <c r="B42" s="144" t="s">
        <v>142</v>
      </c>
      <c r="C42" s="188">
        <v>1</v>
      </c>
      <c r="D42" s="235">
        <v>82</v>
      </c>
      <c r="E42" s="145" t="s">
        <v>44</v>
      </c>
      <c r="F42" s="144" t="s">
        <v>33</v>
      </c>
      <c r="G42" s="144" t="s">
        <v>2108</v>
      </c>
    </row>
    <row r="43" spans="1:7" x14ac:dyDescent="0.35">
      <c r="A43" s="144" t="s">
        <v>6</v>
      </c>
      <c r="B43" s="144" t="s">
        <v>1382</v>
      </c>
      <c r="C43" s="188">
        <v>1</v>
      </c>
      <c r="D43" s="235">
        <v>82</v>
      </c>
      <c r="E43" s="145" t="s">
        <v>51</v>
      </c>
      <c r="F43" s="144" t="s">
        <v>33</v>
      </c>
      <c r="G43" s="144" t="s">
        <v>2109</v>
      </c>
    </row>
    <row r="44" spans="1:7" x14ac:dyDescent="0.35">
      <c r="A44" s="144" t="s">
        <v>6</v>
      </c>
      <c r="B44" s="144" t="s">
        <v>142</v>
      </c>
      <c r="C44" s="188">
        <v>1</v>
      </c>
      <c r="D44" s="235">
        <v>82</v>
      </c>
      <c r="E44" s="145" t="s">
        <v>44</v>
      </c>
      <c r="F44" s="144" t="s">
        <v>33</v>
      </c>
      <c r="G44" s="144" t="s">
        <v>2110</v>
      </c>
    </row>
    <row r="45" spans="1:7" x14ac:dyDescent="0.35">
      <c r="A45" s="144" t="s">
        <v>6</v>
      </c>
      <c r="B45" s="144" t="s">
        <v>219</v>
      </c>
      <c r="C45" s="188">
        <v>1</v>
      </c>
      <c r="D45" s="235">
        <v>146.30000000000001</v>
      </c>
      <c r="E45" s="145" t="s">
        <v>876</v>
      </c>
      <c r="F45" s="144" t="s">
        <v>989</v>
      </c>
      <c r="G45" s="144" t="s">
        <v>2091</v>
      </c>
    </row>
    <row r="46" spans="1:7" x14ac:dyDescent="0.35">
      <c r="A46" s="144" t="s">
        <v>6</v>
      </c>
      <c r="B46" s="144" t="s">
        <v>142</v>
      </c>
      <c r="C46" s="188">
        <v>1</v>
      </c>
      <c r="D46" s="235">
        <v>82</v>
      </c>
      <c r="E46" s="145" t="s">
        <v>44</v>
      </c>
      <c r="F46" s="144" t="s">
        <v>33</v>
      </c>
      <c r="G46" s="144" t="s">
        <v>2106</v>
      </c>
    </row>
    <row r="47" spans="1:7" x14ac:dyDescent="0.35">
      <c r="A47" s="144" t="s">
        <v>6</v>
      </c>
      <c r="B47" s="144" t="s">
        <v>219</v>
      </c>
      <c r="C47" s="188">
        <v>1</v>
      </c>
      <c r="D47" s="235">
        <v>58</v>
      </c>
      <c r="E47" s="145" t="s">
        <v>876</v>
      </c>
      <c r="F47" s="144" t="s">
        <v>34</v>
      </c>
      <c r="G47" s="144" t="s">
        <v>2098</v>
      </c>
    </row>
    <row r="48" spans="1:7" x14ac:dyDescent="0.35">
      <c r="A48" s="144" t="s">
        <v>6</v>
      </c>
      <c r="B48" s="144" t="s">
        <v>72</v>
      </c>
      <c r="C48" s="188">
        <v>1</v>
      </c>
      <c r="D48" s="235">
        <v>58</v>
      </c>
      <c r="E48" s="145" t="s">
        <v>1138</v>
      </c>
      <c r="F48" s="144" t="s">
        <v>34</v>
      </c>
      <c r="G48" s="144" t="s">
        <v>2099</v>
      </c>
    </row>
    <row r="49" spans="1:8" x14ac:dyDescent="0.35">
      <c r="A49" s="144" t="s">
        <v>6</v>
      </c>
      <c r="B49" s="144" t="s">
        <v>72</v>
      </c>
      <c r="C49" s="229">
        <v>1</v>
      </c>
      <c r="D49" s="235">
        <v>26</v>
      </c>
      <c r="E49" s="145" t="s">
        <v>1138</v>
      </c>
      <c r="F49" s="144" t="s">
        <v>35</v>
      </c>
      <c r="G49" s="144" t="s">
        <v>2099</v>
      </c>
    </row>
    <row r="50" spans="1:8" x14ac:dyDescent="0.35">
      <c r="A50" s="144" t="s">
        <v>6</v>
      </c>
      <c r="B50" s="144" t="s">
        <v>72</v>
      </c>
      <c r="C50" s="188">
        <v>1</v>
      </c>
      <c r="D50" s="240">
        <v>39</v>
      </c>
      <c r="E50" s="145" t="s">
        <v>1138</v>
      </c>
      <c r="F50" s="144" t="s">
        <v>36</v>
      </c>
      <c r="G50" s="144" t="s">
        <v>2099</v>
      </c>
    </row>
    <row r="51" spans="1:8" x14ac:dyDescent="0.35">
      <c r="A51" s="144" t="s">
        <v>23</v>
      </c>
      <c r="B51" s="144" t="s">
        <v>211</v>
      </c>
      <c r="C51" s="188">
        <v>1</v>
      </c>
      <c r="D51" s="235">
        <v>176</v>
      </c>
      <c r="E51" s="145" t="s">
        <v>62</v>
      </c>
      <c r="F51" s="144" t="s">
        <v>992</v>
      </c>
      <c r="G51" s="144" t="s">
        <v>2095</v>
      </c>
    </row>
    <row r="52" spans="1:8" x14ac:dyDescent="0.35">
      <c r="A52" s="144" t="s">
        <v>23</v>
      </c>
      <c r="B52" s="144" t="s">
        <v>211</v>
      </c>
      <c r="C52" s="188">
        <v>1</v>
      </c>
      <c r="D52" s="240">
        <v>39</v>
      </c>
      <c r="E52" s="145" t="s">
        <v>62</v>
      </c>
      <c r="F52" s="144" t="s">
        <v>36</v>
      </c>
      <c r="G52" s="144" t="s">
        <v>2100</v>
      </c>
    </row>
    <row r="53" spans="1:8" x14ac:dyDescent="0.35">
      <c r="A53" s="144" t="s">
        <v>6</v>
      </c>
      <c r="B53" s="144" t="s">
        <v>219</v>
      </c>
      <c r="C53" s="188">
        <v>1</v>
      </c>
      <c r="D53" s="235">
        <v>58</v>
      </c>
      <c r="E53" s="145" t="s">
        <v>876</v>
      </c>
      <c r="F53" s="144" t="s">
        <v>34</v>
      </c>
      <c r="G53" s="144" t="s">
        <v>2101</v>
      </c>
    </row>
    <row r="54" spans="1:8" x14ac:dyDescent="0.35">
      <c r="A54" s="144" t="s">
        <v>6</v>
      </c>
      <c r="B54" s="144" t="s">
        <v>219</v>
      </c>
      <c r="C54" s="188">
        <v>1</v>
      </c>
      <c r="D54" s="235">
        <v>58</v>
      </c>
      <c r="E54" s="145" t="s">
        <v>876</v>
      </c>
      <c r="F54" s="144" t="s">
        <v>34</v>
      </c>
      <c r="G54" s="144" t="s">
        <v>2102</v>
      </c>
    </row>
    <row r="55" spans="1:8" x14ac:dyDescent="0.35">
      <c r="A55" s="144" t="s">
        <v>6</v>
      </c>
      <c r="B55" s="144" t="s">
        <v>142</v>
      </c>
      <c r="C55" s="188">
        <v>1</v>
      </c>
      <c r="D55" s="235">
        <v>58</v>
      </c>
      <c r="E55" s="145" t="s">
        <v>44</v>
      </c>
      <c r="F55" s="144" t="s">
        <v>34</v>
      </c>
      <c r="G55" s="144" t="s">
        <v>2103</v>
      </c>
    </row>
    <row r="56" spans="1:8" x14ac:dyDescent="0.35">
      <c r="A56" s="144" t="s">
        <v>6</v>
      </c>
      <c r="B56" s="144" t="s">
        <v>142</v>
      </c>
      <c r="C56" s="188">
        <v>1</v>
      </c>
      <c r="D56" s="235">
        <v>26</v>
      </c>
      <c r="E56" s="145" t="s">
        <v>44</v>
      </c>
      <c r="F56" s="144" t="s">
        <v>35</v>
      </c>
      <c r="G56" s="144" t="s">
        <v>2103</v>
      </c>
    </row>
    <row r="57" spans="1:8" x14ac:dyDescent="0.35">
      <c r="A57" s="144" t="s">
        <v>6</v>
      </c>
      <c r="B57" s="144" t="s">
        <v>142</v>
      </c>
      <c r="C57" s="188">
        <v>1</v>
      </c>
      <c r="D57" s="235">
        <v>58</v>
      </c>
      <c r="E57" s="145" t="s">
        <v>44</v>
      </c>
      <c r="F57" s="144" t="s">
        <v>34</v>
      </c>
      <c r="G57" s="144" t="s">
        <v>2104</v>
      </c>
    </row>
    <row r="58" spans="1:8" x14ac:dyDescent="0.35">
      <c r="A58" s="144" t="s">
        <v>6</v>
      </c>
      <c r="B58" s="144" t="s">
        <v>142</v>
      </c>
      <c r="C58" s="188">
        <v>1</v>
      </c>
      <c r="D58" s="235">
        <v>26</v>
      </c>
      <c r="E58" s="145" t="s">
        <v>44</v>
      </c>
      <c r="F58" s="144" t="s">
        <v>35</v>
      </c>
      <c r="G58" s="144" t="s">
        <v>2104</v>
      </c>
    </row>
    <row r="59" spans="1:8" x14ac:dyDescent="0.35">
      <c r="A59" s="144" t="s">
        <v>6</v>
      </c>
      <c r="B59" s="144" t="s">
        <v>219</v>
      </c>
      <c r="C59" s="188">
        <v>1</v>
      </c>
      <c r="D59" s="240">
        <v>39</v>
      </c>
      <c r="E59" s="145" t="s">
        <v>876</v>
      </c>
      <c r="F59" s="144" t="s">
        <v>36</v>
      </c>
      <c r="G59" s="144" t="s">
        <v>2105</v>
      </c>
    </row>
    <row r="60" spans="1:8" x14ac:dyDescent="0.35">
      <c r="A60" s="216" t="s">
        <v>6</v>
      </c>
      <c r="B60" s="144" t="s">
        <v>1382</v>
      </c>
      <c r="C60" s="188">
        <v>1</v>
      </c>
      <c r="D60" s="215">
        <v>146.30000000000001</v>
      </c>
      <c r="E60" s="216" t="s">
        <v>51</v>
      </c>
      <c r="F60" s="216" t="s">
        <v>989</v>
      </c>
      <c r="G60" s="216" t="s">
        <v>2136</v>
      </c>
      <c r="H60" s="12"/>
    </row>
    <row r="61" spans="1:8" x14ac:dyDescent="0.35">
      <c r="A61" s="163" t="s">
        <v>6</v>
      </c>
      <c r="B61" s="163" t="s">
        <v>142</v>
      </c>
      <c r="C61" s="188">
        <v>1</v>
      </c>
      <c r="D61" s="235">
        <v>146.30000000000001</v>
      </c>
      <c r="E61" s="144" t="s">
        <v>44</v>
      </c>
      <c r="F61" s="144" t="s">
        <v>989</v>
      </c>
      <c r="G61" s="144" t="s">
        <v>2137</v>
      </c>
    </row>
    <row r="62" spans="1:8" x14ac:dyDescent="0.35">
      <c r="A62" s="144"/>
      <c r="B62" s="144" t="s">
        <v>163</v>
      </c>
      <c r="C62" s="188">
        <v>1</v>
      </c>
      <c r="D62" s="235">
        <v>146.30000000000001</v>
      </c>
      <c r="E62" s="145" t="s">
        <v>56</v>
      </c>
      <c r="F62" s="144" t="s">
        <v>989</v>
      </c>
      <c r="G62" s="144" t="s">
        <v>2138</v>
      </c>
    </row>
    <row r="63" spans="1:8" x14ac:dyDescent="0.35">
      <c r="A63" s="144" t="s">
        <v>6</v>
      </c>
      <c r="B63" s="144" t="s">
        <v>219</v>
      </c>
      <c r="C63" s="188">
        <v>1</v>
      </c>
      <c r="D63" s="235">
        <v>176</v>
      </c>
      <c r="E63" s="145" t="s">
        <v>876</v>
      </c>
      <c r="F63" s="144" t="s">
        <v>992</v>
      </c>
      <c r="G63" s="144" t="s">
        <v>2093</v>
      </c>
    </row>
    <row r="64" spans="1:8" x14ac:dyDescent="0.35">
      <c r="A64" s="144" t="s">
        <v>6</v>
      </c>
      <c r="B64" s="144" t="s">
        <v>72</v>
      </c>
      <c r="C64" s="188">
        <v>1</v>
      </c>
      <c r="D64" s="235">
        <v>26</v>
      </c>
      <c r="E64" s="145" t="s">
        <v>1138</v>
      </c>
      <c r="F64" s="144" t="s">
        <v>35</v>
      </c>
      <c r="G64" s="144" t="s">
        <v>2131</v>
      </c>
    </row>
    <row r="65" spans="1:7" x14ac:dyDescent="0.35">
      <c r="A65" s="144" t="s">
        <v>23</v>
      </c>
      <c r="B65" s="144" t="s">
        <v>211</v>
      </c>
      <c r="C65" s="188">
        <v>1</v>
      </c>
      <c r="D65" s="235">
        <v>176</v>
      </c>
      <c r="E65" s="145" t="s">
        <v>62</v>
      </c>
      <c r="F65" s="144" t="s">
        <v>992</v>
      </c>
      <c r="G65" s="144" t="s">
        <v>2096</v>
      </c>
    </row>
    <row r="66" spans="1:7" x14ac:dyDescent="0.35">
      <c r="A66" s="144" t="s">
        <v>6</v>
      </c>
      <c r="B66" s="144" t="s">
        <v>72</v>
      </c>
      <c r="C66" s="188">
        <v>1</v>
      </c>
      <c r="D66" s="235">
        <v>58</v>
      </c>
      <c r="E66" s="145" t="s">
        <v>1138</v>
      </c>
      <c r="F66" s="144" t="s">
        <v>34</v>
      </c>
      <c r="G66" s="144" t="s">
        <v>2097</v>
      </c>
    </row>
    <row r="67" spans="1:7" x14ac:dyDescent="0.35">
      <c r="A67" s="144" t="s">
        <v>6</v>
      </c>
      <c r="B67" s="144" t="s">
        <v>72</v>
      </c>
      <c r="C67" s="188">
        <v>1</v>
      </c>
      <c r="D67" s="235">
        <v>26</v>
      </c>
      <c r="E67" s="145" t="s">
        <v>1138</v>
      </c>
      <c r="F67" s="144" t="s">
        <v>35</v>
      </c>
      <c r="G67" s="144" t="s">
        <v>2097</v>
      </c>
    </row>
    <row r="68" spans="1:7" x14ac:dyDescent="0.35">
      <c r="A68" s="144" t="s">
        <v>6</v>
      </c>
      <c r="B68" s="144" t="s">
        <v>219</v>
      </c>
      <c r="C68" s="188">
        <v>1</v>
      </c>
      <c r="D68" s="235">
        <v>146.30000000000001</v>
      </c>
      <c r="E68" s="145" t="s">
        <v>876</v>
      </c>
      <c r="F68" s="144" t="s">
        <v>989</v>
      </c>
      <c r="G68" s="144" t="s">
        <v>2139</v>
      </c>
    </row>
    <row r="69" spans="1:7" x14ac:dyDescent="0.35">
      <c r="A69" s="144" t="s">
        <v>6</v>
      </c>
      <c r="B69" s="144" t="s">
        <v>1382</v>
      </c>
      <c r="C69" s="188">
        <v>1</v>
      </c>
      <c r="D69" s="235">
        <v>58</v>
      </c>
      <c r="E69" s="145" t="s">
        <v>51</v>
      </c>
      <c r="F69" s="144" t="s">
        <v>34</v>
      </c>
      <c r="G69" s="144" t="s">
        <v>2128</v>
      </c>
    </row>
    <row r="70" spans="1:7" x14ac:dyDescent="0.35">
      <c r="A70" s="144" t="s">
        <v>6</v>
      </c>
      <c r="B70" s="144" t="s">
        <v>1382</v>
      </c>
      <c r="C70" s="188">
        <v>1</v>
      </c>
      <c r="D70" s="235">
        <v>26</v>
      </c>
      <c r="E70" s="145" t="s">
        <v>51</v>
      </c>
      <c r="F70" s="144" t="s">
        <v>35</v>
      </c>
      <c r="G70" s="144" t="s">
        <v>2128</v>
      </c>
    </row>
    <row r="71" spans="1:7" x14ac:dyDescent="0.35">
      <c r="A71" s="144" t="s">
        <v>23</v>
      </c>
      <c r="B71" s="144" t="s">
        <v>211</v>
      </c>
      <c r="C71" s="188">
        <v>1</v>
      </c>
      <c r="D71" s="235">
        <v>58</v>
      </c>
      <c r="E71" s="145" t="s">
        <v>62</v>
      </c>
      <c r="F71" s="144" t="s">
        <v>34</v>
      </c>
      <c r="G71" s="144" t="s">
        <v>2134</v>
      </c>
    </row>
    <row r="72" spans="1:7" x14ac:dyDescent="0.35">
      <c r="A72" s="144"/>
      <c r="B72" s="144" t="s">
        <v>163</v>
      </c>
      <c r="C72" s="188">
        <v>1</v>
      </c>
      <c r="D72" s="235">
        <v>58</v>
      </c>
      <c r="E72" s="145" t="s">
        <v>56</v>
      </c>
      <c r="F72" s="144" t="s">
        <v>34</v>
      </c>
      <c r="G72" s="144" t="s">
        <v>2135</v>
      </c>
    </row>
    <row r="73" spans="1:7" x14ac:dyDescent="0.35">
      <c r="A73" s="144" t="s">
        <v>6</v>
      </c>
      <c r="B73" s="144" t="s">
        <v>86</v>
      </c>
      <c r="C73" s="188">
        <v>1</v>
      </c>
      <c r="D73" s="235">
        <v>58</v>
      </c>
      <c r="E73" s="145" t="s">
        <v>47</v>
      </c>
      <c r="F73" s="144" t="s">
        <v>34</v>
      </c>
      <c r="G73" s="144" t="s">
        <v>2133</v>
      </c>
    </row>
    <row r="74" spans="1:7" x14ac:dyDescent="0.35">
      <c r="A74" s="144" t="s">
        <v>6</v>
      </c>
      <c r="B74" s="144" t="s">
        <v>86</v>
      </c>
      <c r="C74" s="188">
        <v>1</v>
      </c>
      <c r="D74" s="235">
        <v>26</v>
      </c>
      <c r="E74" s="145" t="s">
        <v>47</v>
      </c>
      <c r="F74" s="144" t="s">
        <v>35</v>
      </c>
      <c r="G74" s="144" t="s">
        <v>2133</v>
      </c>
    </row>
    <row r="75" spans="1:7" x14ac:dyDescent="0.35">
      <c r="A75" s="144" t="s">
        <v>6</v>
      </c>
      <c r="B75" s="144" t="s">
        <v>86</v>
      </c>
      <c r="C75" s="188">
        <v>1</v>
      </c>
      <c r="D75" s="240">
        <v>39</v>
      </c>
      <c r="E75" s="145" t="s">
        <v>47</v>
      </c>
      <c r="F75" s="144" t="s">
        <v>36</v>
      </c>
      <c r="G75" s="144" t="s">
        <v>2133</v>
      </c>
    </row>
    <row r="76" spans="1:7" x14ac:dyDescent="0.35">
      <c r="A76" s="144" t="s">
        <v>6</v>
      </c>
      <c r="B76" s="144" t="s">
        <v>142</v>
      </c>
      <c r="C76" s="188">
        <v>1</v>
      </c>
      <c r="D76" s="235">
        <v>26</v>
      </c>
      <c r="E76" s="145" t="s">
        <v>44</v>
      </c>
      <c r="F76" s="144" t="s">
        <v>35</v>
      </c>
      <c r="G76" s="144" t="s">
        <v>2132</v>
      </c>
    </row>
    <row r="77" spans="1:7" x14ac:dyDescent="0.35">
      <c r="A77" s="144"/>
      <c r="B77" s="144" t="s">
        <v>163</v>
      </c>
      <c r="C77" s="188">
        <v>1</v>
      </c>
      <c r="D77" s="235">
        <v>58</v>
      </c>
      <c r="E77" s="145" t="s">
        <v>56</v>
      </c>
      <c r="F77" s="144" t="s">
        <v>34</v>
      </c>
      <c r="G77" s="144" t="s">
        <v>2140</v>
      </c>
    </row>
    <row r="78" spans="1:7" x14ac:dyDescent="0.35">
      <c r="A78" s="144"/>
      <c r="B78" s="144" t="s">
        <v>163</v>
      </c>
      <c r="C78" s="188">
        <v>1</v>
      </c>
      <c r="D78" s="235">
        <v>26</v>
      </c>
      <c r="E78" s="145" t="s">
        <v>56</v>
      </c>
      <c r="F78" s="144" t="s">
        <v>35</v>
      </c>
      <c r="G78" s="144" t="s">
        <v>2140</v>
      </c>
    </row>
    <row r="79" spans="1:7" x14ac:dyDescent="0.35">
      <c r="A79" s="144"/>
      <c r="B79" s="144" t="s">
        <v>163</v>
      </c>
      <c r="C79" s="188">
        <v>1</v>
      </c>
      <c r="D79" s="240">
        <v>39</v>
      </c>
      <c r="E79" s="145" t="s">
        <v>56</v>
      </c>
      <c r="F79" s="144" t="s">
        <v>36</v>
      </c>
      <c r="G79" s="144" t="s">
        <v>2140</v>
      </c>
    </row>
    <row r="80" spans="1:7" x14ac:dyDescent="0.35">
      <c r="A80" s="166" t="s">
        <v>6</v>
      </c>
      <c r="B80" s="166" t="s">
        <v>350</v>
      </c>
      <c r="C80" s="188">
        <v>1</v>
      </c>
      <c r="D80" s="240">
        <v>146.30000000000001</v>
      </c>
      <c r="E80" s="144" t="s">
        <v>44</v>
      </c>
      <c r="F80" s="228" t="s">
        <v>989</v>
      </c>
      <c r="G80" s="144" t="s">
        <v>2147</v>
      </c>
    </row>
    <row r="81" spans="1:7" s="27" customFormat="1" x14ac:dyDescent="0.35">
      <c r="A81" s="216" t="s">
        <v>6</v>
      </c>
      <c r="B81" s="216" t="s">
        <v>1382</v>
      </c>
      <c r="C81" s="216">
        <v>1</v>
      </c>
      <c r="D81" s="197">
        <v>176</v>
      </c>
      <c r="E81" s="216" t="s">
        <v>51</v>
      </c>
      <c r="F81" s="216" t="s">
        <v>992</v>
      </c>
      <c r="G81" s="216" t="s">
        <v>2148</v>
      </c>
    </row>
    <row r="82" spans="1:7" x14ac:dyDescent="0.35">
      <c r="A82" s="144"/>
      <c r="B82" s="144" t="s">
        <v>163</v>
      </c>
      <c r="C82" s="188">
        <v>1</v>
      </c>
      <c r="D82" s="235">
        <v>26</v>
      </c>
      <c r="E82" s="145" t="s">
        <v>56</v>
      </c>
      <c r="F82" s="144" t="s">
        <v>35</v>
      </c>
      <c r="G82" s="144" t="s">
        <v>2141</v>
      </c>
    </row>
    <row r="83" spans="1:7" x14ac:dyDescent="0.35">
      <c r="A83" s="144" t="s">
        <v>6</v>
      </c>
      <c r="B83" s="144" t="s">
        <v>219</v>
      </c>
      <c r="C83" s="188">
        <v>1</v>
      </c>
      <c r="D83" s="235">
        <v>58</v>
      </c>
      <c r="E83" s="145" t="s">
        <v>876</v>
      </c>
      <c r="F83" s="144" t="s">
        <v>34</v>
      </c>
      <c r="G83" s="144" t="s">
        <v>2142</v>
      </c>
    </row>
    <row r="84" spans="1:7" x14ac:dyDescent="0.35">
      <c r="A84" s="144" t="s">
        <v>6</v>
      </c>
      <c r="B84" s="144" t="s">
        <v>219</v>
      </c>
      <c r="C84" s="188">
        <v>1</v>
      </c>
      <c r="D84" s="235">
        <v>26</v>
      </c>
      <c r="E84" s="145" t="s">
        <v>876</v>
      </c>
      <c r="F84" s="144" t="s">
        <v>35</v>
      </c>
      <c r="G84" s="144" t="s">
        <v>2142</v>
      </c>
    </row>
    <row r="85" spans="1:7" x14ac:dyDescent="0.35">
      <c r="A85" s="144" t="s">
        <v>6</v>
      </c>
      <c r="B85" s="144" t="s">
        <v>219</v>
      </c>
      <c r="C85" s="188">
        <v>1</v>
      </c>
      <c r="D85" s="235">
        <v>26</v>
      </c>
      <c r="E85" s="145" t="s">
        <v>876</v>
      </c>
      <c r="F85" s="144" t="s">
        <v>35</v>
      </c>
      <c r="G85" s="144" t="s">
        <v>2143</v>
      </c>
    </row>
    <row r="86" spans="1:7" x14ac:dyDescent="0.35">
      <c r="A86" s="216" t="s">
        <v>6</v>
      </c>
      <c r="B86" s="144" t="s">
        <v>1382</v>
      </c>
      <c r="C86" s="188">
        <v>1</v>
      </c>
      <c r="D86" s="215">
        <v>58</v>
      </c>
      <c r="E86" s="216" t="s">
        <v>51</v>
      </c>
      <c r="F86" s="216" t="s">
        <v>34</v>
      </c>
      <c r="G86" s="216" t="s">
        <v>2144</v>
      </c>
    </row>
    <row r="87" spans="1:7" x14ac:dyDescent="0.35">
      <c r="A87" s="144" t="s">
        <v>6</v>
      </c>
      <c r="B87" s="144" t="s">
        <v>72</v>
      </c>
      <c r="C87" s="188">
        <v>1</v>
      </c>
      <c r="D87" s="235">
        <v>58</v>
      </c>
      <c r="E87" s="145" t="s">
        <v>1138</v>
      </c>
      <c r="F87" s="144" t="s">
        <v>34</v>
      </c>
      <c r="G87" s="144" t="s">
        <v>2145</v>
      </c>
    </row>
    <row r="88" spans="1:7" x14ac:dyDescent="0.35">
      <c r="A88" s="163" t="s">
        <v>23</v>
      </c>
      <c r="B88" s="163" t="s">
        <v>211</v>
      </c>
      <c r="C88" s="188">
        <v>1</v>
      </c>
      <c r="D88" s="235">
        <v>58</v>
      </c>
      <c r="E88" s="145" t="s">
        <v>62</v>
      </c>
      <c r="F88" s="144" t="s">
        <v>34</v>
      </c>
      <c r="G88" s="144" t="s">
        <v>2146</v>
      </c>
    </row>
    <row r="89" spans="1:7" x14ac:dyDescent="0.35">
      <c r="A89" s="163" t="s">
        <v>23</v>
      </c>
      <c r="B89" s="163" t="s">
        <v>211</v>
      </c>
      <c r="C89" s="188">
        <v>1</v>
      </c>
      <c r="D89" s="235">
        <v>26</v>
      </c>
      <c r="E89" s="145" t="s">
        <v>62</v>
      </c>
      <c r="F89" s="144" t="s">
        <v>35</v>
      </c>
      <c r="G89" s="144" t="s">
        <v>2146</v>
      </c>
    </row>
    <row r="90" spans="1:7" x14ac:dyDescent="0.35">
      <c r="A90" s="166" t="s">
        <v>6</v>
      </c>
      <c r="B90" s="166" t="s">
        <v>350</v>
      </c>
      <c r="C90" s="188">
        <v>1</v>
      </c>
      <c r="D90" s="240">
        <v>176</v>
      </c>
      <c r="E90" s="144" t="s">
        <v>44</v>
      </c>
      <c r="F90" s="228" t="s">
        <v>992</v>
      </c>
      <c r="G90" s="144" t="s">
        <v>2149</v>
      </c>
    </row>
    <row r="91" spans="1:7" x14ac:dyDescent="0.35">
      <c r="A91" s="166" t="s">
        <v>6</v>
      </c>
      <c r="B91" s="166" t="s">
        <v>219</v>
      </c>
      <c r="C91" s="188">
        <v>1</v>
      </c>
      <c r="D91" s="240">
        <v>176</v>
      </c>
      <c r="E91" s="144" t="s">
        <v>876</v>
      </c>
      <c r="F91" s="228" t="s">
        <v>992</v>
      </c>
      <c r="G91" s="144" t="s">
        <v>2150</v>
      </c>
    </row>
    <row r="92" spans="1:7" x14ac:dyDescent="0.35">
      <c r="A92" s="166" t="s">
        <v>6</v>
      </c>
      <c r="B92" s="166" t="s">
        <v>350</v>
      </c>
      <c r="C92" s="188">
        <v>1</v>
      </c>
      <c r="D92" s="240">
        <v>176</v>
      </c>
      <c r="E92" s="144" t="s">
        <v>44</v>
      </c>
      <c r="F92" s="228" t="s">
        <v>992</v>
      </c>
      <c r="G92" s="144" t="s">
        <v>2155</v>
      </c>
    </row>
    <row r="93" spans="1:7" x14ac:dyDescent="0.35">
      <c r="A93" s="166" t="s">
        <v>6</v>
      </c>
      <c r="B93" s="166" t="s">
        <v>350</v>
      </c>
      <c r="C93" s="188">
        <v>1</v>
      </c>
      <c r="D93" s="240">
        <v>176</v>
      </c>
      <c r="E93" s="144" t="s">
        <v>44</v>
      </c>
      <c r="F93" s="228" t="s">
        <v>992</v>
      </c>
      <c r="G93" s="144" t="s">
        <v>2151</v>
      </c>
    </row>
    <row r="94" spans="1:7" x14ac:dyDescent="0.35">
      <c r="A94" s="166" t="s">
        <v>6</v>
      </c>
      <c r="B94" s="166" t="s">
        <v>350</v>
      </c>
      <c r="C94" s="188">
        <v>1</v>
      </c>
      <c r="D94" s="240">
        <v>176</v>
      </c>
      <c r="E94" s="144" t="s">
        <v>44</v>
      </c>
      <c r="F94" s="228" t="s">
        <v>992</v>
      </c>
      <c r="G94" s="144" t="s">
        <v>2152</v>
      </c>
    </row>
    <row r="95" spans="1:7" x14ac:dyDescent="0.35">
      <c r="A95" s="166" t="s">
        <v>25</v>
      </c>
      <c r="B95" s="166" t="s">
        <v>26</v>
      </c>
      <c r="C95" s="188">
        <v>1</v>
      </c>
      <c r="D95" s="235">
        <v>26</v>
      </c>
      <c r="E95" s="144" t="s">
        <v>60</v>
      </c>
      <c r="F95" s="228" t="s">
        <v>35</v>
      </c>
      <c r="G95" s="144" t="s">
        <v>2153</v>
      </c>
    </row>
    <row r="96" spans="1:7" x14ac:dyDescent="0.35">
      <c r="A96" s="166" t="s">
        <v>6</v>
      </c>
      <c r="B96" s="166" t="s">
        <v>72</v>
      </c>
      <c r="C96" s="188">
        <v>1</v>
      </c>
      <c r="D96" s="235">
        <v>39</v>
      </c>
      <c r="E96" s="228" t="s">
        <v>36</v>
      </c>
      <c r="F96" s="144" t="s">
        <v>1138</v>
      </c>
      <c r="G96" s="144" t="s">
        <v>2154</v>
      </c>
    </row>
    <row r="97" spans="1:7" x14ac:dyDescent="0.35">
      <c r="A97" s="166" t="s">
        <v>6</v>
      </c>
      <c r="B97" s="166" t="s">
        <v>72</v>
      </c>
      <c r="C97" s="188">
        <v>1</v>
      </c>
      <c r="D97" s="235">
        <v>26</v>
      </c>
      <c r="E97" s="228" t="s">
        <v>35</v>
      </c>
      <c r="F97" s="144" t="s">
        <v>1138</v>
      </c>
      <c r="G97" s="144" t="s">
        <v>2154</v>
      </c>
    </row>
    <row r="98" spans="1:7" x14ac:dyDescent="0.35">
      <c r="A98" s="166" t="s">
        <v>6</v>
      </c>
      <c r="B98" s="166" t="s">
        <v>72</v>
      </c>
      <c r="C98" s="188">
        <v>1</v>
      </c>
      <c r="D98" s="235">
        <v>58</v>
      </c>
      <c r="E98" s="228" t="s">
        <v>34</v>
      </c>
      <c r="F98" s="144" t="s">
        <v>1138</v>
      </c>
      <c r="G98" s="144" t="s">
        <v>2154</v>
      </c>
    </row>
    <row r="99" spans="1:7" x14ac:dyDescent="0.35">
      <c r="A99" s="144"/>
      <c r="B99" s="144"/>
      <c r="C99" s="144"/>
      <c r="D99" s="144"/>
      <c r="E99" s="144"/>
      <c r="F99" s="144"/>
      <c r="G99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94069-6497-4645-ABE5-4E0EAAF785A6}">
  <dimension ref="A1:G88"/>
  <sheetViews>
    <sheetView topLeftCell="A56" workbookViewId="0">
      <selection activeCell="A63" sqref="A63:B63"/>
    </sheetView>
  </sheetViews>
  <sheetFormatPr defaultRowHeight="14.5" x14ac:dyDescent="0.35"/>
  <cols>
    <col min="1" max="1" width="13.1796875" customWidth="1"/>
    <col min="2" max="2" width="23" customWidth="1"/>
    <col min="4" max="4" width="16.81640625" customWidth="1"/>
    <col min="5" max="5" width="52.7265625" customWidth="1"/>
    <col min="6" max="6" width="48.81640625" customWidth="1"/>
    <col min="7" max="7" width="41.816406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218" t="s">
        <v>2221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46057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238" t="s">
        <v>0</v>
      </c>
      <c r="B8" s="238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35">
      <c r="A9" s="144" t="s">
        <v>6</v>
      </c>
      <c r="B9" s="144" t="s">
        <v>1382</v>
      </c>
      <c r="C9" s="188">
        <v>1</v>
      </c>
      <c r="D9" s="148">
        <v>26</v>
      </c>
      <c r="E9" s="145" t="s">
        <v>51</v>
      </c>
      <c r="F9" s="144" t="s">
        <v>35</v>
      </c>
      <c r="G9" s="144" t="s">
        <v>2157</v>
      </c>
    </row>
    <row r="10" spans="1:7" x14ac:dyDescent="0.35">
      <c r="A10" s="144" t="s">
        <v>6</v>
      </c>
      <c r="B10" s="144" t="s">
        <v>1382</v>
      </c>
      <c r="C10" s="188">
        <v>1</v>
      </c>
      <c r="D10" s="148">
        <v>58</v>
      </c>
      <c r="E10" s="145" t="s">
        <v>51</v>
      </c>
      <c r="F10" s="144" t="s">
        <v>34</v>
      </c>
      <c r="G10" s="144" t="s">
        <v>2158</v>
      </c>
    </row>
    <row r="11" spans="1:7" x14ac:dyDescent="0.35">
      <c r="A11" s="144" t="s">
        <v>6</v>
      </c>
      <c r="B11" s="144" t="s">
        <v>1382</v>
      </c>
      <c r="C11" s="188">
        <v>1</v>
      </c>
      <c r="D11" s="148">
        <v>26</v>
      </c>
      <c r="E11" s="145" t="s">
        <v>51</v>
      </c>
      <c r="F11" s="144" t="s">
        <v>35</v>
      </c>
      <c r="G11" s="144" t="s">
        <v>2158</v>
      </c>
    </row>
    <row r="12" spans="1:7" x14ac:dyDescent="0.35">
      <c r="A12" s="144" t="s">
        <v>6</v>
      </c>
      <c r="B12" s="144" t="s">
        <v>219</v>
      </c>
      <c r="C12" s="188">
        <v>1</v>
      </c>
      <c r="D12" s="148">
        <v>26</v>
      </c>
      <c r="E12" s="145" t="s">
        <v>876</v>
      </c>
      <c r="F12" s="144" t="s">
        <v>35</v>
      </c>
      <c r="G12" s="144" t="s">
        <v>2159</v>
      </c>
    </row>
    <row r="13" spans="1:7" x14ac:dyDescent="0.35">
      <c r="A13" s="144" t="s">
        <v>23</v>
      </c>
      <c r="B13" s="144" t="s">
        <v>244</v>
      </c>
      <c r="C13" s="188">
        <v>1</v>
      </c>
      <c r="D13" s="148">
        <v>58</v>
      </c>
      <c r="E13" s="145" t="s">
        <v>64</v>
      </c>
      <c r="F13" s="144" t="s">
        <v>34</v>
      </c>
      <c r="G13" s="144" t="s">
        <v>2160</v>
      </c>
    </row>
    <row r="14" spans="1:7" x14ac:dyDescent="0.35">
      <c r="A14" s="144" t="s">
        <v>23</v>
      </c>
      <c r="B14" s="144" t="s">
        <v>244</v>
      </c>
      <c r="C14" s="188">
        <v>1</v>
      </c>
      <c r="D14" s="148">
        <v>26</v>
      </c>
      <c r="E14" s="145" t="s">
        <v>64</v>
      </c>
      <c r="F14" s="144" t="s">
        <v>35</v>
      </c>
      <c r="G14" s="144" t="s">
        <v>2160</v>
      </c>
    </row>
    <row r="15" spans="1:7" x14ac:dyDescent="0.35">
      <c r="A15" s="144" t="s">
        <v>6</v>
      </c>
      <c r="B15" s="144" t="s">
        <v>1382</v>
      </c>
      <c r="C15" s="188">
        <v>1</v>
      </c>
      <c r="D15" s="148">
        <v>26</v>
      </c>
      <c r="E15" s="145" t="s">
        <v>51</v>
      </c>
      <c r="F15" s="144" t="s">
        <v>35</v>
      </c>
      <c r="G15" s="144" t="s">
        <v>2161</v>
      </c>
    </row>
    <row r="16" spans="1:7" x14ac:dyDescent="0.35">
      <c r="A16" s="144" t="s">
        <v>23</v>
      </c>
      <c r="B16" s="144" t="s">
        <v>244</v>
      </c>
      <c r="C16" s="188">
        <v>1</v>
      </c>
      <c r="D16" s="148">
        <v>58</v>
      </c>
      <c r="E16" s="145" t="s">
        <v>64</v>
      </c>
      <c r="F16" s="144" t="s">
        <v>34</v>
      </c>
      <c r="G16" s="144" t="s">
        <v>2162</v>
      </c>
    </row>
    <row r="17" spans="1:7" x14ac:dyDescent="0.35">
      <c r="A17" s="144" t="s">
        <v>6</v>
      </c>
      <c r="B17" s="144" t="s">
        <v>72</v>
      </c>
      <c r="C17" s="188">
        <v>1</v>
      </c>
      <c r="D17" s="155">
        <v>39</v>
      </c>
      <c r="E17" s="145" t="s">
        <v>1138</v>
      </c>
      <c r="F17" s="144" t="s">
        <v>36</v>
      </c>
      <c r="G17" s="144" t="s">
        <v>2163</v>
      </c>
    </row>
    <row r="18" spans="1:7" x14ac:dyDescent="0.35">
      <c r="A18" s="144" t="s">
        <v>6</v>
      </c>
      <c r="B18" s="144" t="s">
        <v>72</v>
      </c>
      <c r="C18" s="188">
        <v>1</v>
      </c>
      <c r="D18" s="148">
        <v>58</v>
      </c>
      <c r="E18" s="145" t="s">
        <v>1138</v>
      </c>
      <c r="F18" s="144" t="s">
        <v>34</v>
      </c>
      <c r="G18" s="144" t="s">
        <v>2164</v>
      </c>
    </row>
    <row r="19" spans="1:7" x14ac:dyDescent="0.35">
      <c r="A19" s="144" t="s">
        <v>6</v>
      </c>
      <c r="B19" s="144" t="s">
        <v>72</v>
      </c>
      <c r="C19" s="188">
        <v>1</v>
      </c>
      <c r="D19" s="148">
        <v>26</v>
      </c>
      <c r="E19" s="145" t="s">
        <v>1138</v>
      </c>
      <c r="F19" s="144" t="s">
        <v>35</v>
      </c>
      <c r="G19" s="144" t="s">
        <v>2164</v>
      </c>
    </row>
    <row r="20" spans="1:7" x14ac:dyDescent="0.35">
      <c r="A20" s="144" t="s">
        <v>6</v>
      </c>
      <c r="B20" s="144" t="s">
        <v>86</v>
      </c>
      <c r="C20" s="188">
        <v>1</v>
      </c>
      <c r="D20" s="148">
        <v>26</v>
      </c>
      <c r="E20" s="145" t="s">
        <v>47</v>
      </c>
      <c r="F20" s="144" t="s">
        <v>35</v>
      </c>
      <c r="G20" s="144" t="s">
        <v>2165</v>
      </c>
    </row>
    <row r="21" spans="1:7" x14ac:dyDescent="0.35">
      <c r="A21" s="144" t="s">
        <v>6</v>
      </c>
      <c r="B21" s="144" t="s">
        <v>72</v>
      </c>
      <c r="C21" s="188">
        <v>1</v>
      </c>
      <c r="D21" s="148">
        <v>26</v>
      </c>
      <c r="E21" s="145" t="s">
        <v>1138</v>
      </c>
      <c r="F21" s="144" t="s">
        <v>35</v>
      </c>
      <c r="G21" s="144" t="s">
        <v>2166</v>
      </c>
    </row>
    <row r="22" spans="1:7" x14ac:dyDescent="0.35">
      <c r="A22" s="144"/>
      <c r="B22" s="144" t="s">
        <v>163</v>
      </c>
      <c r="C22" s="188">
        <v>1</v>
      </c>
      <c r="D22" s="148">
        <v>26</v>
      </c>
      <c r="E22" s="145" t="s">
        <v>56</v>
      </c>
      <c r="F22" s="144" t="s">
        <v>35</v>
      </c>
      <c r="G22" s="144" t="s">
        <v>2167</v>
      </c>
    </row>
    <row r="23" spans="1:7" x14ac:dyDescent="0.35">
      <c r="A23" s="144" t="s">
        <v>6</v>
      </c>
      <c r="B23" s="144" t="s">
        <v>219</v>
      </c>
      <c r="C23" s="188">
        <v>1</v>
      </c>
      <c r="D23" s="148">
        <v>146.30000000000001</v>
      </c>
      <c r="E23" s="145" t="s">
        <v>876</v>
      </c>
      <c r="F23" s="144" t="s">
        <v>989</v>
      </c>
      <c r="G23" s="144" t="s">
        <v>2168</v>
      </c>
    </row>
    <row r="24" spans="1:7" x14ac:dyDescent="0.35">
      <c r="A24" s="144" t="s">
        <v>6</v>
      </c>
      <c r="B24" s="144" t="s">
        <v>86</v>
      </c>
      <c r="C24" s="188">
        <v>1</v>
      </c>
      <c r="D24" s="148">
        <v>146.30000000000001</v>
      </c>
      <c r="E24" s="145" t="s">
        <v>47</v>
      </c>
      <c r="F24" s="144" t="s">
        <v>989</v>
      </c>
      <c r="G24" s="144" t="s">
        <v>2017</v>
      </c>
    </row>
    <row r="25" spans="1:7" x14ac:dyDescent="0.35">
      <c r="A25" s="144" t="s">
        <v>6</v>
      </c>
      <c r="B25" s="144" t="s">
        <v>219</v>
      </c>
      <c r="C25" s="188">
        <v>1</v>
      </c>
      <c r="D25" s="148">
        <v>176</v>
      </c>
      <c r="E25" s="145" t="s">
        <v>876</v>
      </c>
      <c r="F25" s="144" t="s">
        <v>992</v>
      </c>
      <c r="G25" s="144" t="s">
        <v>2169</v>
      </c>
    </row>
    <row r="26" spans="1:7" x14ac:dyDescent="0.35">
      <c r="A26" s="144" t="s">
        <v>6</v>
      </c>
      <c r="B26" s="144" t="s">
        <v>219</v>
      </c>
      <c r="C26" s="188">
        <v>1</v>
      </c>
      <c r="D26" s="148">
        <v>89</v>
      </c>
      <c r="E26" s="145" t="s">
        <v>876</v>
      </c>
      <c r="F26" s="144" t="s">
        <v>1051</v>
      </c>
      <c r="G26" s="144" t="s">
        <v>2170</v>
      </c>
    </row>
    <row r="27" spans="1:7" x14ac:dyDescent="0.35">
      <c r="A27" s="144" t="s">
        <v>23</v>
      </c>
      <c r="B27" s="144" t="s">
        <v>211</v>
      </c>
      <c r="C27" s="188">
        <v>1</v>
      </c>
      <c r="D27" s="148">
        <v>82</v>
      </c>
      <c r="E27" s="145" t="s">
        <v>62</v>
      </c>
      <c r="F27" s="144" t="s">
        <v>33</v>
      </c>
      <c r="G27" s="144" t="s">
        <v>2171</v>
      </c>
    </row>
    <row r="28" spans="1:7" x14ac:dyDescent="0.35">
      <c r="A28" s="144" t="s">
        <v>23</v>
      </c>
      <c r="B28" s="144" t="s">
        <v>244</v>
      </c>
      <c r="C28" s="188">
        <v>1</v>
      </c>
      <c r="D28" s="148">
        <v>82</v>
      </c>
      <c r="E28" s="145" t="s">
        <v>64</v>
      </c>
      <c r="F28" s="144" t="s">
        <v>33</v>
      </c>
      <c r="G28" s="144" t="s">
        <v>2172</v>
      </c>
    </row>
    <row r="29" spans="1:7" x14ac:dyDescent="0.35">
      <c r="A29" s="144" t="s">
        <v>6</v>
      </c>
      <c r="B29" s="144" t="s">
        <v>72</v>
      </c>
      <c r="C29" s="188">
        <v>1</v>
      </c>
      <c r="D29" s="148">
        <v>82</v>
      </c>
      <c r="E29" s="145" t="s">
        <v>1138</v>
      </c>
      <c r="F29" s="144" t="s">
        <v>33</v>
      </c>
      <c r="G29" s="144" t="s">
        <v>2173</v>
      </c>
    </row>
    <row r="30" spans="1:7" x14ac:dyDescent="0.35">
      <c r="A30" s="144" t="s">
        <v>6</v>
      </c>
      <c r="B30" s="144" t="s">
        <v>72</v>
      </c>
      <c r="C30" s="188">
        <v>1</v>
      </c>
      <c r="D30" s="148">
        <v>82</v>
      </c>
      <c r="E30" s="145" t="s">
        <v>1138</v>
      </c>
      <c r="F30" s="144" t="s">
        <v>33</v>
      </c>
      <c r="G30" s="144" t="s">
        <v>2174</v>
      </c>
    </row>
    <row r="31" spans="1:7" x14ac:dyDescent="0.35">
      <c r="A31" s="144" t="s">
        <v>6</v>
      </c>
      <c r="B31" s="144" t="s">
        <v>142</v>
      </c>
      <c r="C31" s="188">
        <v>1</v>
      </c>
      <c r="D31" s="148">
        <v>82</v>
      </c>
      <c r="E31" s="145" t="s">
        <v>44</v>
      </c>
      <c r="F31" s="144" t="s">
        <v>33</v>
      </c>
      <c r="G31" s="144" t="s">
        <v>2175</v>
      </c>
    </row>
    <row r="32" spans="1:7" x14ac:dyDescent="0.35">
      <c r="A32" s="144" t="s">
        <v>6</v>
      </c>
      <c r="B32" s="144" t="s">
        <v>142</v>
      </c>
      <c r="C32" s="188">
        <v>1</v>
      </c>
      <c r="D32" s="148">
        <v>82</v>
      </c>
      <c r="E32" s="145" t="s">
        <v>44</v>
      </c>
      <c r="F32" s="144" t="s">
        <v>33</v>
      </c>
      <c r="G32" s="144" t="s">
        <v>2147</v>
      </c>
    </row>
    <row r="33" spans="1:7" x14ac:dyDescent="0.35">
      <c r="A33" s="144" t="s">
        <v>6</v>
      </c>
      <c r="B33" s="144" t="s">
        <v>1382</v>
      </c>
      <c r="C33" s="188">
        <v>1</v>
      </c>
      <c r="D33" s="148">
        <v>82</v>
      </c>
      <c r="E33" s="145" t="s">
        <v>51</v>
      </c>
      <c r="F33" s="144" t="s">
        <v>33</v>
      </c>
      <c r="G33" s="144" t="s">
        <v>2176</v>
      </c>
    </row>
    <row r="34" spans="1:7" x14ac:dyDescent="0.35">
      <c r="A34" s="144" t="s">
        <v>23</v>
      </c>
      <c r="B34" s="144" t="s">
        <v>211</v>
      </c>
      <c r="C34" s="188">
        <v>1</v>
      </c>
      <c r="D34" s="148">
        <v>82</v>
      </c>
      <c r="E34" s="145" t="s">
        <v>62</v>
      </c>
      <c r="F34" s="144" t="s">
        <v>33</v>
      </c>
      <c r="G34" s="144" t="s">
        <v>2177</v>
      </c>
    </row>
    <row r="35" spans="1:7" x14ac:dyDescent="0.35">
      <c r="A35" s="144" t="s">
        <v>6</v>
      </c>
      <c r="B35" s="144" t="s">
        <v>72</v>
      </c>
      <c r="C35" s="188">
        <v>1</v>
      </c>
      <c r="D35" s="148">
        <v>82</v>
      </c>
      <c r="E35" s="145" t="s">
        <v>1138</v>
      </c>
      <c r="F35" s="144" t="s">
        <v>33</v>
      </c>
      <c r="G35" s="144" t="s">
        <v>2178</v>
      </c>
    </row>
    <row r="36" spans="1:7" x14ac:dyDescent="0.35">
      <c r="A36" s="144" t="s">
        <v>6</v>
      </c>
      <c r="B36" s="144" t="s">
        <v>72</v>
      </c>
      <c r="C36" s="188">
        <v>1</v>
      </c>
      <c r="D36" s="148">
        <v>82</v>
      </c>
      <c r="E36" s="145" t="s">
        <v>1138</v>
      </c>
      <c r="F36" s="144" t="s">
        <v>33</v>
      </c>
      <c r="G36" s="144" t="s">
        <v>2179</v>
      </c>
    </row>
    <row r="37" spans="1:7" x14ac:dyDescent="0.35">
      <c r="A37" s="144" t="s">
        <v>6</v>
      </c>
      <c r="B37" s="144" t="s">
        <v>72</v>
      </c>
      <c r="C37" s="229">
        <v>1</v>
      </c>
      <c r="D37" s="148">
        <v>82</v>
      </c>
      <c r="E37" s="145" t="s">
        <v>1138</v>
      </c>
      <c r="F37" s="144" t="s">
        <v>33</v>
      </c>
      <c r="G37" s="144" t="s">
        <v>2180</v>
      </c>
    </row>
    <row r="38" spans="1:7" x14ac:dyDescent="0.35">
      <c r="A38" s="144" t="s">
        <v>6</v>
      </c>
      <c r="B38" s="144" t="s">
        <v>219</v>
      </c>
      <c r="C38" s="188">
        <v>1</v>
      </c>
      <c r="D38" s="148">
        <v>82</v>
      </c>
      <c r="E38" s="145" t="s">
        <v>876</v>
      </c>
      <c r="F38" s="144" t="s">
        <v>33</v>
      </c>
      <c r="G38" s="144" t="s">
        <v>2181</v>
      </c>
    </row>
    <row r="39" spans="1:7" x14ac:dyDescent="0.35">
      <c r="A39" s="144" t="s">
        <v>6</v>
      </c>
      <c r="B39" s="144" t="s">
        <v>1382</v>
      </c>
      <c r="C39" s="188">
        <v>1</v>
      </c>
      <c r="D39" s="148">
        <v>82</v>
      </c>
      <c r="E39" s="145" t="s">
        <v>51</v>
      </c>
      <c r="F39" s="144" t="s">
        <v>33</v>
      </c>
      <c r="G39" s="144" t="s">
        <v>2182</v>
      </c>
    </row>
    <row r="40" spans="1:7" x14ac:dyDescent="0.35">
      <c r="A40" s="144" t="s">
        <v>6</v>
      </c>
      <c r="B40" s="144" t="s">
        <v>142</v>
      </c>
      <c r="C40" s="188">
        <v>1</v>
      </c>
      <c r="D40" s="148">
        <v>82</v>
      </c>
      <c r="E40" s="145" t="s">
        <v>44</v>
      </c>
      <c r="F40" s="144" t="s">
        <v>33</v>
      </c>
      <c r="G40" s="144" t="s">
        <v>2183</v>
      </c>
    </row>
    <row r="41" spans="1:7" x14ac:dyDescent="0.35">
      <c r="A41" s="144" t="s">
        <v>6</v>
      </c>
      <c r="B41" s="144" t="s">
        <v>142</v>
      </c>
      <c r="C41" s="188">
        <v>1</v>
      </c>
      <c r="D41" s="148">
        <v>82</v>
      </c>
      <c r="E41" s="145" t="s">
        <v>44</v>
      </c>
      <c r="F41" s="144" t="s">
        <v>33</v>
      </c>
      <c r="G41" s="144" t="s">
        <v>2184</v>
      </c>
    </row>
    <row r="42" spans="1:7" x14ac:dyDescent="0.35">
      <c r="A42" s="144" t="s">
        <v>6</v>
      </c>
      <c r="B42" s="144" t="s">
        <v>142</v>
      </c>
      <c r="C42" s="188">
        <v>1</v>
      </c>
      <c r="D42" s="148">
        <v>82</v>
      </c>
      <c r="E42" s="145" t="s">
        <v>44</v>
      </c>
      <c r="F42" s="144" t="s">
        <v>33</v>
      </c>
      <c r="G42" s="144" t="s">
        <v>2185</v>
      </c>
    </row>
    <row r="43" spans="1:7" x14ac:dyDescent="0.35">
      <c r="A43" s="144" t="s">
        <v>6</v>
      </c>
      <c r="B43" s="144" t="s">
        <v>219</v>
      </c>
      <c r="C43" s="188">
        <v>1</v>
      </c>
      <c r="D43" s="148">
        <v>82</v>
      </c>
      <c r="E43" s="145" t="s">
        <v>876</v>
      </c>
      <c r="F43" s="144" t="s">
        <v>33</v>
      </c>
      <c r="G43" s="144" t="s">
        <v>2186</v>
      </c>
    </row>
    <row r="44" spans="1:7" x14ac:dyDescent="0.35">
      <c r="A44" s="144"/>
      <c r="B44" s="144" t="s">
        <v>163</v>
      </c>
      <c r="C44" s="188">
        <v>1</v>
      </c>
      <c r="D44" s="148">
        <v>82</v>
      </c>
      <c r="E44" s="145" t="s">
        <v>56</v>
      </c>
      <c r="F44" s="144" t="s">
        <v>33</v>
      </c>
      <c r="G44" s="144" t="s">
        <v>2187</v>
      </c>
    </row>
    <row r="45" spans="1:7" x14ac:dyDescent="0.35">
      <c r="A45" s="144" t="s">
        <v>6</v>
      </c>
      <c r="B45" s="144" t="s">
        <v>86</v>
      </c>
      <c r="C45" s="188">
        <v>1</v>
      </c>
      <c r="D45" s="148">
        <v>82</v>
      </c>
      <c r="E45" s="145" t="s">
        <v>47</v>
      </c>
      <c r="F45" s="144" t="s">
        <v>33</v>
      </c>
      <c r="G45" s="144" t="s">
        <v>2188</v>
      </c>
    </row>
    <row r="46" spans="1:7" x14ac:dyDescent="0.35">
      <c r="A46" s="144" t="s">
        <v>6</v>
      </c>
      <c r="B46" s="144" t="s">
        <v>72</v>
      </c>
      <c r="C46" s="188">
        <v>1</v>
      </c>
      <c r="D46" s="148">
        <v>82</v>
      </c>
      <c r="E46" s="145" t="s">
        <v>1138</v>
      </c>
      <c r="F46" s="144" t="s">
        <v>33</v>
      </c>
      <c r="G46" s="144" t="s">
        <v>2189</v>
      </c>
    </row>
    <row r="47" spans="1:7" x14ac:dyDescent="0.35">
      <c r="A47" s="144" t="s">
        <v>6</v>
      </c>
      <c r="B47" s="144" t="s">
        <v>72</v>
      </c>
      <c r="C47" s="188">
        <v>1</v>
      </c>
      <c r="D47" s="148">
        <v>82</v>
      </c>
      <c r="E47" s="145" t="s">
        <v>1138</v>
      </c>
      <c r="F47" s="144" t="s">
        <v>33</v>
      </c>
      <c r="G47" s="144" t="s">
        <v>2190</v>
      </c>
    </row>
    <row r="48" spans="1:7" x14ac:dyDescent="0.35">
      <c r="A48" s="144" t="s">
        <v>6</v>
      </c>
      <c r="B48" s="144" t="s">
        <v>142</v>
      </c>
      <c r="C48" s="188">
        <v>1</v>
      </c>
      <c r="D48" s="148">
        <v>82</v>
      </c>
      <c r="E48" s="145" t="s">
        <v>44</v>
      </c>
      <c r="F48" s="144" t="s">
        <v>33</v>
      </c>
      <c r="G48" s="144" t="s">
        <v>2191</v>
      </c>
    </row>
    <row r="49" spans="1:7" x14ac:dyDescent="0.35">
      <c r="A49" s="144" t="s">
        <v>6</v>
      </c>
      <c r="B49" s="144" t="s">
        <v>219</v>
      </c>
      <c r="C49" s="188">
        <v>1</v>
      </c>
      <c r="D49" s="148">
        <v>82</v>
      </c>
      <c r="E49" s="145" t="s">
        <v>876</v>
      </c>
      <c r="F49" s="144" t="s">
        <v>33</v>
      </c>
      <c r="G49" s="144" t="s">
        <v>2192</v>
      </c>
    </row>
    <row r="50" spans="1:7" x14ac:dyDescent="0.35">
      <c r="A50" s="144" t="s">
        <v>6</v>
      </c>
      <c r="B50" s="144" t="s">
        <v>142</v>
      </c>
      <c r="C50" s="229">
        <v>1</v>
      </c>
      <c r="D50" s="148">
        <v>82</v>
      </c>
      <c r="E50" s="145" t="s">
        <v>44</v>
      </c>
      <c r="F50" s="144" t="s">
        <v>33</v>
      </c>
      <c r="G50" s="144" t="s">
        <v>2193</v>
      </c>
    </row>
    <row r="51" spans="1:7" x14ac:dyDescent="0.35">
      <c r="A51" s="144" t="s">
        <v>6</v>
      </c>
      <c r="B51" s="144" t="s">
        <v>142</v>
      </c>
      <c r="C51" s="188">
        <v>1</v>
      </c>
      <c r="D51" s="148">
        <v>82</v>
      </c>
      <c r="E51" s="145" t="s">
        <v>44</v>
      </c>
      <c r="F51" s="144" t="s">
        <v>33</v>
      </c>
      <c r="G51" s="144" t="s">
        <v>2194</v>
      </c>
    </row>
    <row r="52" spans="1:7" x14ac:dyDescent="0.35">
      <c r="A52" s="144" t="s">
        <v>6</v>
      </c>
      <c r="B52" s="144" t="s">
        <v>219</v>
      </c>
      <c r="C52" s="188">
        <v>1</v>
      </c>
      <c r="D52" s="148">
        <v>82</v>
      </c>
      <c r="E52" s="145" t="s">
        <v>876</v>
      </c>
      <c r="F52" s="144" t="s">
        <v>33</v>
      </c>
      <c r="G52" s="144" t="s">
        <v>2091</v>
      </c>
    </row>
    <row r="53" spans="1:7" x14ac:dyDescent="0.35">
      <c r="A53" s="144" t="s">
        <v>23</v>
      </c>
      <c r="B53" s="144" t="s">
        <v>211</v>
      </c>
      <c r="C53" s="188">
        <v>1</v>
      </c>
      <c r="D53" s="148">
        <v>26</v>
      </c>
      <c r="E53" s="145" t="s">
        <v>62</v>
      </c>
      <c r="F53" s="144" t="s">
        <v>35</v>
      </c>
      <c r="G53" s="144" t="s">
        <v>2195</v>
      </c>
    </row>
    <row r="54" spans="1:7" x14ac:dyDescent="0.35">
      <c r="A54" s="144" t="s">
        <v>6</v>
      </c>
      <c r="B54" s="144" t="s">
        <v>86</v>
      </c>
      <c r="C54" s="188">
        <v>1</v>
      </c>
      <c r="D54" s="148">
        <v>58</v>
      </c>
      <c r="E54" s="145" t="s">
        <v>47</v>
      </c>
      <c r="F54" s="144" t="s">
        <v>34</v>
      </c>
      <c r="G54" s="144" t="s">
        <v>2196</v>
      </c>
    </row>
    <row r="55" spans="1:7" x14ac:dyDescent="0.35">
      <c r="A55" s="144" t="s">
        <v>6</v>
      </c>
      <c r="B55" s="144" t="s">
        <v>86</v>
      </c>
      <c r="C55" s="188">
        <v>1</v>
      </c>
      <c r="D55" s="148">
        <v>26</v>
      </c>
      <c r="E55" s="145" t="s">
        <v>47</v>
      </c>
      <c r="F55" s="144" t="s">
        <v>35</v>
      </c>
      <c r="G55" s="144" t="s">
        <v>2196</v>
      </c>
    </row>
    <row r="56" spans="1:7" x14ac:dyDescent="0.35">
      <c r="A56" s="144" t="s">
        <v>6</v>
      </c>
      <c r="B56" s="144" t="s">
        <v>219</v>
      </c>
      <c r="C56" s="188">
        <v>1</v>
      </c>
      <c r="D56" s="148">
        <v>26</v>
      </c>
      <c r="E56" s="145" t="s">
        <v>876</v>
      </c>
      <c r="F56" s="144" t="s">
        <v>35</v>
      </c>
      <c r="G56" s="144" t="s">
        <v>2197</v>
      </c>
    </row>
    <row r="57" spans="1:7" x14ac:dyDescent="0.35">
      <c r="A57" s="144" t="s">
        <v>6</v>
      </c>
      <c r="B57" s="144" t="s">
        <v>219</v>
      </c>
      <c r="C57" s="188">
        <v>1</v>
      </c>
      <c r="D57" s="148">
        <v>26</v>
      </c>
      <c r="E57" s="145" t="s">
        <v>876</v>
      </c>
      <c r="F57" s="144" t="s">
        <v>35</v>
      </c>
      <c r="G57" s="144" t="s">
        <v>2198</v>
      </c>
    </row>
    <row r="58" spans="1:7" x14ac:dyDescent="0.35">
      <c r="A58" s="144" t="s">
        <v>23</v>
      </c>
      <c r="B58" s="144" t="s">
        <v>211</v>
      </c>
      <c r="C58" s="188">
        <v>1</v>
      </c>
      <c r="D58" s="148">
        <v>26</v>
      </c>
      <c r="E58" s="145" t="s">
        <v>62</v>
      </c>
      <c r="F58" s="144" t="s">
        <v>35</v>
      </c>
      <c r="G58" s="144" t="s">
        <v>2199</v>
      </c>
    </row>
    <row r="59" spans="1:7" x14ac:dyDescent="0.35">
      <c r="A59" s="144" t="s">
        <v>6</v>
      </c>
      <c r="B59" s="144" t="s">
        <v>219</v>
      </c>
      <c r="C59" s="188">
        <v>1</v>
      </c>
      <c r="D59" s="148">
        <v>26</v>
      </c>
      <c r="E59" s="145" t="s">
        <v>876</v>
      </c>
      <c r="F59" s="144" t="s">
        <v>35</v>
      </c>
      <c r="G59" s="144" t="s">
        <v>2200</v>
      </c>
    </row>
    <row r="60" spans="1:7" x14ac:dyDescent="0.35">
      <c r="A60" s="144" t="s">
        <v>23</v>
      </c>
      <c r="B60" s="144" t="s">
        <v>206</v>
      </c>
      <c r="C60" s="188">
        <v>1</v>
      </c>
      <c r="D60" s="148">
        <v>26</v>
      </c>
      <c r="E60" s="145" t="s">
        <v>63</v>
      </c>
      <c r="F60" s="144" t="s">
        <v>35</v>
      </c>
      <c r="G60" s="144" t="s">
        <v>2201</v>
      </c>
    </row>
    <row r="61" spans="1:7" x14ac:dyDescent="0.35">
      <c r="A61" s="144" t="s">
        <v>6</v>
      </c>
      <c r="B61" s="144" t="s">
        <v>142</v>
      </c>
      <c r="C61" s="188">
        <v>1</v>
      </c>
      <c r="D61" s="148">
        <v>26</v>
      </c>
      <c r="E61" s="145" t="s">
        <v>44</v>
      </c>
      <c r="F61" s="144" t="s">
        <v>35</v>
      </c>
      <c r="G61" s="216" t="s">
        <v>2202</v>
      </c>
    </row>
    <row r="62" spans="1:7" x14ac:dyDescent="0.35">
      <c r="A62" s="144" t="s">
        <v>6</v>
      </c>
      <c r="B62" s="144" t="s">
        <v>1382</v>
      </c>
      <c r="C62" s="188">
        <v>1</v>
      </c>
      <c r="D62" s="148">
        <v>58</v>
      </c>
      <c r="E62" s="145" t="s">
        <v>51</v>
      </c>
      <c r="F62" s="144" t="s">
        <v>34</v>
      </c>
      <c r="G62" s="144" t="s">
        <v>2203</v>
      </c>
    </row>
    <row r="63" spans="1:7" x14ac:dyDescent="0.35">
      <c r="A63" s="144" t="s">
        <v>6</v>
      </c>
      <c r="B63" s="144" t="s">
        <v>1382</v>
      </c>
      <c r="C63" s="188">
        <v>1</v>
      </c>
      <c r="D63" s="148">
        <v>26</v>
      </c>
      <c r="E63" s="145" t="s">
        <v>51</v>
      </c>
      <c r="F63" s="144" t="s">
        <v>35</v>
      </c>
      <c r="G63" s="144" t="s">
        <v>2203</v>
      </c>
    </row>
    <row r="64" spans="1:7" x14ac:dyDescent="0.35">
      <c r="A64" s="144" t="s">
        <v>23</v>
      </c>
      <c r="B64" s="144" t="s">
        <v>244</v>
      </c>
      <c r="C64" s="188">
        <v>1</v>
      </c>
      <c r="D64" s="148">
        <v>176</v>
      </c>
      <c r="E64" s="145" t="s">
        <v>64</v>
      </c>
      <c r="F64" s="144" t="s">
        <v>992</v>
      </c>
      <c r="G64" s="144" t="s">
        <v>2204</v>
      </c>
    </row>
    <row r="65" spans="1:7" x14ac:dyDescent="0.35">
      <c r="A65" s="144" t="s">
        <v>6</v>
      </c>
      <c r="B65" s="144" t="s">
        <v>219</v>
      </c>
      <c r="C65" s="188">
        <v>1</v>
      </c>
      <c r="D65" s="148">
        <v>146.30000000000001</v>
      </c>
      <c r="E65" s="145" t="s">
        <v>876</v>
      </c>
      <c r="F65" s="144" t="s">
        <v>989</v>
      </c>
      <c r="G65" s="144" t="s">
        <v>2205</v>
      </c>
    </row>
    <row r="66" spans="1:7" x14ac:dyDescent="0.35">
      <c r="A66" s="144" t="s">
        <v>23</v>
      </c>
      <c r="B66" s="144" t="s">
        <v>211</v>
      </c>
      <c r="C66" s="188">
        <v>1</v>
      </c>
      <c r="D66" s="148">
        <v>146.30000000000001</v>
      </c>
      <c r="E66" s="145" t="s">
        <v>62</v>
      </c>
      <c r="F66" s="144" t="s">
        <v>989</v>
      </c>
      <c r="G66" s="144" t="s">
        <v>2206</v>
      </c>
    </row>
    <row r="67" spans="1:7" x14ac:dyDescent="0.35">
      <c r="A67" s="144" t="s">
        <v>6</v>
      </c>
      <c r="B67" s="144" t="s">
        <v>219</v>
      </c>
      <c r="C67" s="188">
        <v>1</v>
      </c>
      <c r="D67" s="148">
        <v>146.30000000000001</v>
      </c>
      <c r="E67" s="145" t="s">
        <v>876</v>
      </c>
      <c r="F67" s="144" t="s">
        <v>989</v>
      </c>
      <c r="G67" s="144" t="s">
        <v>2207</v>
      </c>
    </row>
    <row r="68" spans="1:7" x14ac:dyDescent="0.35">
      <c r="A68" s="144" t="s">
        <v>23</v>
      </c>
      <c r="B68" s="144" t="s">
        <v>211</v>
      </c>
      <c r="C68" s="188">
        <v>1</v>
      </c>
      <c r="D68" s="148">
        <v>146.30000000000001</v>
      </c>
      <c r="E68" s="145" t="s">
        <v>62</v>
      </c>
      <c r="F68" s="144" t="s">
        <v>989</v>
      </c>
      <c r="G68" s="144" t="s">
        <v>2208</v>
      </c>
    </row>
    <row r="69" spans="1:7" x14ac:dyDescent="0.35">
      <c r="A69" s="144" t="s">
        <v>23</v>
      </c>
      <c r="B69" s="144" t="s">
        <v>244</v>
      </c>
      <c r="C69" s="188">
        <v>1</v>
      </c>
      <c r="D69" s="148">
        <v>146.30000000000001</v>
      </c>
      <c r="E69" s="145" t="s">
        <v>64</v>
      </c>
      <c r="F69" s="144" t="s">
        <v>989</v>
      </c>
      <c r="G69" s="144" t="s">
        <v>2209</v>
      </c>
    </row>
    <row r="70" spans="1:7" x14ac:dyDescent="0.35">
      <c r="A70" s="144" t="s">
        <v>6</v>
      </c>
      <c r="B70" s="144" t="s">
        <v>72</v>
      </c>
      <c r="C70" s="188">
        <v>1</v>
      </c>
      <c r="D70" s="148">
        <v>26</v>
      </c>
      <c r="E70" s="145" t="s">
        <v>1138</v>
      </c>
      <c r="F70" s="144" t="s">
        <v>35</v>
      </c>
      <c r="G70" s="144" t="s">
        <v>2210</v>
      </c>
    </row>
    <row r="71" spans="1:7" x14ac:dyDescent="0.35">
      <c r="A71" s="144" t="s">
        <v>23</v>
      </c>
      <c r="B71" s="144" t="s">
        <v>244</v>
      </c>
      <c r="C71" s="188">
        <v>1</v>
      </c>
      <c r="D71" s="155">
        <v>39</v>
      </c>
      <c r="E71" s="145" t="s">
        <v>64</v>
      </c>
      <c r="F71" s="144" t="s">
        <v>36</v>
      </c>
      <c r="G71" s="144" t="s">
        <v>2211</v>
      </c>
    </row>
    <row r="72" spans="1:7" x14ac:dyDescent="0.35">
      <c r="A72" s="144" t="s">
        <v>23</v>
      </c>
      <c r="B72" s="144" t="s">
        <v>244</v>
      </c>
      <c r="C72" s="188">
        <v>1</v>
      </c>
      <c r="D72" s="148">
        <v>58</v>
      </c>
      <c r="E72" s="145" t="s">
        <v>64</v>
      </c>
      <c r="F72" s="144" t="s">
        <v>34</v>
      </c>
      <c r="G72" s="144" t="s">
        <v>2212</v>
      </c>
    </row>
    <row r="73" spans="1:7" x14ac:dyDescent="0.35">
      <c r="A73" s="144" t="s">
        <v>6</v>
      </c>
      <c r="B73" s="144" t="s">
        <v>72</v>
      </c>
      <c r="C73" s="188">
        <v>1</v>
      </c>
      <c r="D73" s="148">
        <v>26</v>
      </c>
      <c r="E73" s="145" t="s">
        <v>1138</v>
      </c>
      <c r="F73" s="144" t="s">
        <v>35</v>
      </c>
      <c r="G73" s="144" t="s">
        <v>2213</v>
      </c>
    </row>
    <row r="74" spans="1:7" x14ac:dyDescent="0.35">
      <c r="A74" s="144" t="s">
        <v>6</v>
      </c>
      <c r="B74" s="144" t="s">
        <v>1382</v>
      </c>
      <c r="C74" s="188">
        <v>1</v>
      </c>
      <c r="D74" s="148">
        <v>58</v>
      </c>
      <c r="E74" s="145" t="s">
        <v>51</v>
      </c>
      <c r="F74" s="144" t="s">
        <v>34</v>
      </c>
      <c r="G74" s="144" t="s">
        <v>2214</v>
      </c>
    </row>
    <row r="75" spans="1:7" x14ac:dyDescent="0.35">
      <c r="A75" s="144" t="s">
        <v>6</v>
      </c>
      <c r="B75" s="144" t="s">
        <v>1382</v>
      </c>
      <c r="C75" s="188">
        <v>1</v>
      </c>
      <c r="D75" s="148">
        <v>26</v>
      </c>
      <c r="E75" s="145" t="s">
        <v>51</v>
      </c>
      <c r="F75" s="144" t="s">
        <v>35</v>
      </c>
      <c r="G75" s="144" t="s">
        <v>2214</v>
      </c>
    </row>
    <row r="76" spans="1:7" x14ac:dyDescent="0.35">
      <c r="A76" s="144" t="s">
        <v>6</v>
      </c>
      <c r="B76" s="144" t="s">
        <v>142</v>
      </c>
      <c r="C76" s="188">
        <v>1</v>
      </c>
      <c r="D76" s="148">
        <v>58</v>
      </c>
      <c r="E76" s="145" t="s">
        <v>44</v>
      </c>
      <c r="F76" s="144" t="s">
        <v>34</v>
      </c>
      <c r="G76" s="144" t="s">
        <v>2215</v>
      </c>
    </row>
    <row r="77" spans="1:7" x14ac:dyDescent="0.35">
      <c r="A77" s="144" t="s">
        <v>6</v>
      </c>
      <c r="B77" s="144" t="s">
        <v>72</v>
      </c>
      <c r="C77" s="188">
        <v>1</v>
      </c>
      <c r="D77" s="148">
        <v>26</v>
      </c>
      <c r="E77" s="145" t="s">
        <v>1138</v>
      </c>
      <c r="F77" s="144" t="s">
        <v>35</v>
      </c>
      <c r="G77" s="144" t="s">
        <v>2216</v>
      </c>
    </row>
    <row r="78" spans="1:7" x14ac:dyDescent="0.35">
      <c r="A78" s="144" t="s">
        <v>6</v>
      </c>
      <c r="B78" s="144" t="s">
        <v>72</v>
      </c>
      <c r="C78" s="188">
        <v>1</v>
      </c>
      <c r="D78" s="155">
        <v>39</v>
      </c>
      <c r="E78" s="145" t="s">
        <v>1138</v>
      </c>
      <c r="F78" s="144" t="s">
        <v>36</v>
      </c>
      <c r="G78" s="144" t="s">
        <v>2216</v>
      </c>
    </row>
    <row r="79" spans="1:7" x14ac:dyDescent="0.35">
      <c r="A79" s="144"/>
      <c r="B79" s="144" t="s">
        <v>163</v>
      </c>
      <c r="C79" s="188">
        <v>1</v>
      </c>
      <c r="D79" s="148">
        <v>58</v>
      </c>
      <c r="E79" s="145" t="s">
        <v>56</v>
      </c>
      <c r="F79" s="144" t="s">
        <v>34</v>
      </c>
      <c r="G79" s="144" t="s">
        <v>2217</v>
      </c>
    </row>
    <row r="80" spans="1:7" x14ac:dyDescent="0.35">
      <c r="A80" s="144"/>
      <c r="B80" s="144" t="s">
        <v>163</v>
      </c>
      <c r="C80" s="188">
        <v>1</v>
      </c>
      <c r="D80" s="148">
        <v>26</v>
      </c>
      <c r="E80" s="145" t="s">
        <v>56</v>
      </c>
      <c r="F80" s="144" t="s">
        <v>35</v>
      </c>
      <c r="G80" s="144" t="s">
        <v>2217</v>
      </c>
    </row>
    <row r="81" spans="1:7" x14ac:dyDescent="0.35">
      <c r="A81" s="144" t="s">
        <v>23</v>
      </c>
      <c r="B81" s="144" t="s">
        <v>211</v>
      </c>
      <c r="C81" s="188">
        <v>1</v>
      </c>
      <c r="D81" s="148">
        <v>26</v>
      </c>
      <c r="E81" s="145" t="s">
        <v>62</v>
      </c>
      <c r="F81" s="144" t="s">
        <v>35</v>
      </c>
      <c r="G81" s="144" t="s">
        <v>2218</v>
      </c>
    </row>
    <row r="82" spans="1:7" x14ac:dyDescent="0.35">
      <c r="A82" s="144" t="s">
        <v>6</v>
      </c>
      <c r="B82" s="144" t="s">
        <v>219</v>
      </c>
      <c r="C82" s="216">
        <v>1</v>
      </c>
      <c r="D82" s="148">
        <v>176</v>
      </c>
      <c r="E82" s="145" t="s">
        <v>876</v>
      </c>
      <c r="F82" s="144" t="s">
        <v>992</v>
      </c>
      <c r="G82" s="216" t="s">
        <v>2219</v>
      </c>
    </row>
    <row r="83" spans="1:7" x14ac:dyDescent="0.35">
      <c r="A83" s="144" t="s">
        <v>23</v>
      </c>
      <c r="B83" s="144" t="s">
        <v>211</v>
      </c>
      <c r="C83" s="188">
        <v>1</v>
      </c>
      <c r="D83" s="148">
        <v>176</v>
      </c>
      <c r="E83" s="145" t="s">
        <v>62</v>
      </c>
      <c r="F83" s="144" t="s">
        <v>992</v>
      </c>
      <c r="G83" s="144" t="s">
        <v>2220</v>
      </c>
    </row>
    <row r="84" spans="1:7" x14ac:dyDescent="0.35">
      <c r="A84" s="144"/>
      <c r="B84" s="144"/>
      <c r="C84" s="188">
        <v>1</v>
      </c>
      <c r="D84" s="235"/>
      <c r="E84" s="145"/>
      <c r="F84" s="144"/>
      <c r="G84" s="144"/>
    </row>
    <row r="85" spans="1:7" x14ac:dyDescent="0.35">
      <c r="A85" s="144"/>
      <c r="B85" s="144"/>
      <c r="C85" s="188">
        <v>1</v>
      </c>
      <c r="D85" s="235"/>
      <c r="E85" s="145"/>
      <c r="F85" s="144"/>
      <c r="G85" s="144"/>
    </row>
    <row r="86" spans="1:7" x14ac:dyDescent="0.35">
      <c r="A86" s="144"/>
      <c r="B86" s="144"/>
      <c r="C86" s="188">
        <v>1</v>
      </c>
      <c r="D86" s="235"/>
      <c r="E86" s="145"/>
      <c r="F86" s="144"/>
      <c r="G86" s="144"/>
    </row>
    <row r="87" spans="1:7" x14ac:dyDescent="0.35">
      <c r="A87" s="216"/>
      <c r="B87" s="144"/>
      <c r="C87" s="188">
        <v>1</v>
      </c>
      <c r="D87" s="215"/>
      <c r="E87" s="216"/>
      <c r="F87" s="216"/>
      <c r="G87" s="216"/>
    </row>
    <row r="88" spans="1:7" x14ac:dyDescent="0.35">
      <c r="A88" s="144"/>
      <c r="B88" s="144"/>
      <c r="C88" s="188">
        <v>1</v>
      </c>
      <c r="D88" s="235"/>
      <c r="E88" s="145"/>
      <c r="F88" s="144"/>
      <c r="G88" s="144"/>
    </row>
  </sheetData>
  <mergeCells count="1">
    <mergeCell ref="A1:G1"/>
  </mergeCells>
  <phoneticPr fontId="12" type="noConversion"/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AC416-D875-46E8-8F1B-DC379028DE67}">
  <dimension ref="A1:G72"/>
  <sheetViews>
    <sheetView topLeftCell="A35" workbookViewId="0">
      <selection activeCell="B35" sqref="A35:B35"/>
    </sheetView>
  </sheetViews>
  <sheetFormatPr defaultRowHeight="14.5" x14ac:dyDescent="0.35"/>
  <cols>
    <col min="1" max="1" width="11.26953125" customWidth="1"/>
    <col min="2" max="2" width="22.7265625" customWidth="1"/>
    <col min="4" max="4" width="12.453125" customWidth="1"/>
    <col min="5" max="5" width="46.453125" customWidth="1"/>
    <col min="6" max="6" width="51.26953125" customWidth="1"/>
    <col min="7" max="7" width="38.5429687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218" t="s">
        <v>2280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46092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1" t="s">
        <v>2281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238" t="s">
        <v>0</v>
      </c>
      <c r="B8" s="238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35">
      <c r="A9" s="144" t="s">
        <v>6</v>
      </c>
      <c r="B9" s="144" t="s">
        <v>72</v>
      </c>
      <c r="C9" s="188">
        <v>1</v>
      </c>
      <c r="D9" s="148">
        <v>39</v>
      </c>
      <c r="E9" s="145" t="s">
        <v>1138</v>
      </c>
      <c r="F9" s="144" t="s">
        <v>36</v>
      </c>
      <c r="G9" s="144" t="s">
        <v>2226</v>
      </c>
    </row>
    <row r="10" spans="1:7" x14ac:dyDescent="0.35">
      <c r="A10" s="144" t="s">
        <v>23</v>
      </c>
      <c r="B10" s="144" t="s">
        <v>211</v>
      </c>
      <c r="C10" s="188">
        <v>1</v>
      </c>
      <c r="D10" s="148">
        <v>58</v>
      </c>
      <c r="E10" s="145" t="s">
        <v>62</v>
      </c>
      <c r="F10" s="144" t="s">
        <v>34</v>
      </c>
      <c r="G10" s="144" t="s">
        <v>2227</v>
      </c>
    </row>
    <row r="11" spans="1:7" x14ac:dyDescent="0.35">
      <c r="A11" s="144" t="s">
        <v>6</v>
      </c>
      <c r="B11" s="144" t="s">
        <v>72</v>
      </c>
      <c r="C11" s="188">
        <v>1</v>
      </c>
      <c r="D11" s="148">
        <v>26</v>
      </c>
      <c r="E11" s="145" t="s">
        <v>1138</v>
      </c>
      <c r="F11" s="144" t="s">
        <v>35</v>
      </c>
      <c r="G11" s="144" t="s">
        <v>2228</v>
      </c>
    </row>
    <row r="12" spans="1:7" x14ac:dyDescent="0.35">
      <c r="A12" s="144" t="s">
        <v>6</v>
      </c>
      <c r="B12" s="144" t="s">
        <v>72</v>
      </c>
      <c r="C12" s="188">
        <v>1</v>
      </c>
      <c r="D12" s="148">
        <v>39</v>
      </c>
      <c r="E12" s="145" t="s">
        <v>1138</v>
      </c>
      <c r="F12" s="144" t="s">
        <v>36</v>
      </c>
      <c r="G12" s="144" t="s">
        <v>2228</v>
      </c>
    </row>
    <row r="13" spans="1:7" x14ac:dyDescent="0.35">
      <c r="A13" s="144" t="s">
        <v>23</v>
      </c>
      <c r="B13" s="144" t="s">
        <v>211</v>
      </c>
      <c r="C13" s="188">
        <v>1</v>
      </c>
      <c r="D13" s="148">
        <v>26</v>
      </c>
      <c r="E13" s="145" t="s">
        <v>62</v>
      </c>
      <c r="F13" s="144" t="s">
        <v>35</v>
      </c>
      <c r="G13" s="144" t="s">
        <v>2229</v>
      </c>
    </row>
    <row r="14" spans="1:7" x14ac:dyDescent="0.35">
      <c r="A14" s="144"/>
      <c r="B14" s="144" t="s">
        <v>163</v>
      </c>
      <c r="C14" s="188">
        <v>1</v>
      </c>
      <c r="D14" s="148">
        <v>26</v>
      </c>
      <c r="E14" s="145" t="s">
        <v>56</v>
      </c>
      <c r="F14" s="144" t="s">
        <v>35</v>
      </c>
      <c r="G14" s="144" t="s">
        <v>2230</v>
      </c>
    </row>
    <row r="15" spans="1:7" x14ac:dyDescent="0.35">
      <c r="A15" s="144"/>
      <c r="B15" s="144" t="s">
        <v>163</v>
      </c>
      <c r="C15" s="188">
        <v>1</v>
      </c>
      <c r="D15" s="148">
        <v>58</v>
      </c>
      <c r="E15" s="145" t="s">
        <v>56</v>
      </c>
      <c r="F15" s="144" t="s">
        <v>34</v>
      </c>
      <c r="G15" s="144" t="s">
        <v>2230</v>
      </c>
    </row>
    <row r="16" spans="1:7" x14ac:dyDescent="0.35">
      <c r="A16" s="144"/>
      <c r="B16" s="144" t="s">
        <v>163</v>
      </c>
      <c r="C16" s="188">
        <v>1</v>
      </c>
      <c r="D16" s="148">
        <v>58</v>
      </c>
      <c r="E16" s="145" t="s">
        <v>56</v>
      </c>
      <c r="F16" s="144" t="s">
        <v>34</v>
      </c>
      <c r="G16" s="144" t="s">
        <v>2231</v>
      </c>
    </row>
    <row r="17" spans="1:7" x14ac:dyDescent="0.35">
      <c r="A17" s="144"/>
      <c r="B17" s="144" t="s">
        <v>163</v>
      </c>
      <c r="C17" s="188">
        <v>1</v>
      </c>
      <c r="D17" s="148">
        <v>26</v>
      </c>
      <c r="E17" s="145" t="s">
        <v>56</v>
      </c>
      <c r="F17" s="144" t="s">
        <v>35</v>
      </c>
      <c r="G17" s="144" t="s">
        <v>2231</v>
      </c>
    </row>
    <row r="18" spans="1:7" x14ac:dyDescent="0.35">
      <c r="A18" s="144" t="s">
        <v>6</v>
      </c>
      <c r="B18" s="144" t="s">
        <v>142</v>
      </c>
      <c r="C18" s="188">
        <v>1</v>
      </c>
      <c r="D18" s="148">
        <v>58</v>
      </c>
      <c r="E18" s="145" t="s">
        <v>44</v>
      </c>
      <c r="F18" s="144" t="s">
        <v>34</v>
      </c>
      <c r="G18" s="144" t="s">
        <v>2232</v>
      </c>
    </row>
    <row r="19" spans="1:7" x14ac:dyDescent="0.35">
      <c r="A19" s="144" t="s">
        <v>6</v>
      </c>
      <c r="B19" s="144" t="s">
        <v>142</v>
      </c>
      <c r="C19" s="188">
        <v>1</v>
      </c>
      <c r="D19" s="148">
        <v>26</v>
      </c>
      <c r="E19" s="145" t="s">
        <v>44</v>
      </c>
      <c r="F19" s="144" t="s">
        <v>35</v>
      </c>
      <c r="G19" s="144" t="s">
        <v>2232</v>
      </c>
    </row>
    <row r="20" spans="1:7" x14ac:dyDescent="0.35">
      <c r="A20" s="144" t="s">
        <v>6</v>
      </c>
      <c r="B20" s="144" t="s">
        <v>142</v>
      </c>
      <c r="C20" s="188">
        <v>1</v>
      </c>
      <c r="D20" s="148">
        <v>26</v>
      </c>
      <c r="E20" s="145" t="s">
        <v>44</v>
      </c>
      <c r="F20" s="144" t="s">
        <v>35</v>
      </c>
      <c r="G20" s="144" t="s">
        <v>2233</v>
      </c>
    </row>
    <row r="21" spans="1:7" x14ac:dyDescent="0.35">
      <c r="A21" s="144" t="s">
        <v>6</v>
      </c>
      <c r="B21" s="144" t="s">
        <v>2279</v>
      </c>
      <c r="C21" s="188">
        <v>1</v>
      </c>
      <c r="D21" s="148">
        <v>26</v>
      </c>
      <c r="E21" s="145" t="s">
        <v>2278</v>
      </c>
      <c r="F21" s="144" t="s">
        <v>35</v>
      </c>
      <c r="G21" s="144" t="s">
        <v>2234</v>
      </c>
    </row>
    <row r="22" spans="1:7" x14ac:dyDescent="0.35">
      <c r="A22" s="144" t="s">
        <v>6</v>
      </c>
      <c r="B22" s="144" t="s">
        <v>2279</v>
      </c>
      <c r="C22" s="188">
        <v>1</v>
      </c>
      <c r="D22" s="148">
        <v>39</v>
      </c>
      <c r="E22" s="145" t="s">
        <v>2278</v>
      </c>
      <c r="F22" s="144" t="s">
        <v>36</v>
      </c>
      <c r="G22" s="144" t="s">
        <v>2234</v>
      </c>
    </row>
    <row r="23" spans="1:7" x14ac:dyDescent="0.35">
      <c r="A23" s="144"/>
      <c r="B23" s="144" t="s">
        <v>163</v>
      </c>
      <c r="C23" s="188">
        <v>1</v>
      </c>
      <c r="D23" s="148">
        <v>39</v>
      </c>
      <c r="E23" s="145" t="s">
        <v>56</v>
      </c>
      <c r="F23" s="144" t="s">
        <v>36</v>
      </c>
      <c r="G23" s="144" t="s">
        <v>2235</v>
      </c>
    </row>
    <row r="24" spans="1:7" x14ac:dyDescent="0.35">
      <c r="A24" s="144"/>
      <c r="B24" s="144" t="s">
        <v>163</v>
      </c>
      <c r="C24" s="188">
        <v>1</v>
      </c>
      <c r="D24" s="148">
        <v>58</v>
      </c>
      <c r="E24" s="145" t="s">
        <v>56</v>
      </c>
      <c r="F24" s="144" t="s">
        <v>34</v>
      </c>
      <c r="G24" s="144" t="s">
        <v>2235</v>
      </c>
    </row>
    <row r="25" spans="1:7" x14ac:dyDescent="0.35">
      <c r="A25" s="144"/>
      <c r="B25" s="144" t="s">
        <v>163</v>
      </c>
      <c r="C25" s="188">
        <v>1</v>
      </c>
      <c r="D25" s="148">
        <v>26</v>
      </c>
      <c r="E25" s="145" t="s">
        <v>56</v>
      </c>
      <c r="F25" s="144" t="s">
        <v>35</v>
      </c>
      <c r="G25" s="144" t="s">
        <v>2235</v>
      </c>
    </row>
    <row r="26" spans="1:7" x14ac:dyDescent="0.35">
      <c r="A26" s="144"/>
      <c r="B26" s="144" t="s">
        <v>163</v>
      </c>
      <c r="C26" s="188">
        <v>1</v>
      </c>
      <c r="D26" s="148">
        <v>39</v>
      </c>
      <c r="E26" s="145" t="s">
        <v>56</v>
      </c>
      <c r="F26" s="144" t="s">
        <v>36</v>
      </c>
      <c r="G26" s="144" t="s">
        <v>2236</v>
      </c>
    </row>
    <row r="27" spans="1:7" x14ac:dyDescent="0.35">
      <c r="A27" s="144"/>
      <c r="B27" s="144" t="s">
        <v>163</v>
      </c>
      <c r="C27" s="188">
        <v>1</v>
      </c>
      <c r="D27" s="148">
        <v>58</v>
      </c>
      <c r="E27" s="145" t="s">
        <v>56</v>
      </c>
      <c r="F27" s="144" t="s">
        <v>34</v>
      </c>
      <c r="G27" s="144" t="s">
        <v>2236</v>
      </c>
    </row>
    <row r="28" spans="1:7" x14ac:dyDescent="0.35">
      <c r="A28" s="144" t="s">
        <v>6</v>
      </c>
      <c r="B28" s="144" t="s">
        <v>72</v>
      </c>
      <c r="C28" s="188">
        <v>1</v>
      </c>
      <c r="D28" s="148">
        <v>58</v>
      </c>
      <c r="E28" s="145" t="s">
        <v>1138</v>
      </c>
      <c r="F28" s="144" t="s">
        <v>34</v>
      </c>
      <c r="G28" s="144" t="s">
        <v>2237</v>
      </c>
    </row>
    <row r="29" spans="1:7" x14ac:dyDescent="0.35">
      <c r="A29" s="144" t="s">
        <v>6</v>
      </c>
      <c r="B29" s="144" t="s">
        <v>72</v>
      </c>
      <c r="C29" s="188">
        <v>1</v>
      </c>
      <c r="D29" s="148">
        <v>26</v>
      </c>
      <c r="E29" s="145" t="s">
        <v>1138</v>
      </c>
      <c r="F29" s="144" t="s">
        <v>35</v>
      </c>
      <c r="G29" s="144" t="s">
        <v>2237</v>
      </c>
    </row>
    <row r="30" spans="1:7" x14ac:dyDescent="0.35">
      <c r="A30" s="144" t="s">
        <v>6</v>
      </c>
      <c r="B30" s="144" t="s">
        <v>1382</v>
      </c>
      <c r="C30" s="188">
        <v>1</v>
      </c>
      <c r="D30" s="148">
        <v>26</v>
      </c>
      <c r="E30" s="145" t="s">
        <v>51</v>
      </c>
      <c r="F30" s="144" t="s">
        <v>35</v>
      </c>
      <c r="G30" s="144" t="s">
        <v>2238</v>
      </c>
    </row>
    <row r="31" spans="1:7" x14ac:dyDescent="0.35">
      <c r="A31" s="144" t="s">
        <v>6</v>
      </c>
      <c r="B31" s="144" t="s">
        <v>219</v>
      </c>
      <c r="C31" s="188">
        <v>1</v>
      </c>
      <c r="D31" s="148">
        <v>39</v>
      </c>
      <c r="E31" s="145" t="s">
        <v>876</v>
      </c>
      <c r="F31" s="144" t="s">
        <v>36</v>
      </c>
      <c r="G31" s="144" t="s">
        <v>2239</v>
      </c>
    </row>
    <row r="32" spans="1:7" x14ac:dyDescent="0.35">
      <c r="A32" s="144" t="s">
        <v>23</v>
      </c>
      <c r="B32" s="144" t="s">
        <v>206</v>
      </c>
      <c r="C32" s="188">
        <v>1</v>
      </c>
      <c r="D32" s="148">
        <v>26</v>
      </c>
      <c r="E32" s="145" t="s">
        <v>63</v>
      </c>
      <c r="F32" s="144" t="s">
        <v>35</v>
      </c>
      <c r="G32" s="144" t="s">
        <v>2240</v>
      </c>
    </row>
    <row r="33" spans="1:7" x14ac:dyDescent="0.35">
      <c r="A33" s="144" t="s">
        <v>6</v>
      </c>
      <c r="B33" s="144" t="s">
        <v>72</v>
      </c>
      <c r="C33" s="188">
        <v>1</v>
      </c>
      <c r="D33" s="148">
        <v>26</v>
      </c>
      <c r="E33" s="145" t="s">
        <v>1138</v>
      </c>
      <c r="F33" s="144" t="s">
        <v>35</v>
      </c>
      <c r="G33" s="144" t="s">
        <v>2241</v>
      </c>
    </row>
    <row r="34" spans="1:7" x14ac:dyDescent="0.35">
      <c r="A34" s="144" t="s">
        <v>23</v>
      </c>
      <c r="B34" s="144" t="s">
        <v>211</v>
      </c>
      <c r="C34" s="188">
        <v>1</v>
      </c>
      <c r="D34" s="148">
        <v>26</v>
      </c>
      <c r="E34" s="145" t="s">
        <v>62</v>
      </c>
      <c r="F34" s="144" t="s">
        <v>35</v>
      </c>
      <c r="G34" s="144" t="s">
        <v>2242</v>
      </c>
    </row>
    <row r="35" spans="1:7" x14ac:dyDescent="0.35">
      <c r="A35" s="144" t="s">
        <v>6</v>
      </c>
      <c r="B35" s="144" t="s">
        <v>1382</v>
      </c>
      <c r="C35" s="188">
        <v>1</v>
      </c>
      <c r="D35" s="148">
        <v>26</v>
      </c>
      <c r="E35" s="145" t="s">
        <v>51</v>
      </c>
      <c r="F35" s="144" t="s">
        <v>35</v>
      </c>
      <c r="G35" s="144" t="s">
        <v>2243</v>
      </c>
    </row>
    <row r="36" spans="1:7" x14ac:dyDescent="0.35">
      <c r="A36" s="144" t="s">
        <v>6</v>
      </c>
      <c r="B36" t="s">
        <v>2279</v>
      </c>
      <c r="C36" s="188">
        <v>1</v>
      </c>
      <c r="D36" s="148">
        <v>26</v>
      </c>
      <c r="E36" s="14" t="s">
        <v>2278</v>
      </c>
      <c r="F36" s="144" t="s">
        <v>35</v>
      </c>
      <c r="G36" s="144" t="s">
        <v>2244</v>
      </c>
    </row>
    <row r="37" spans="1:7" x14ac:dyDescent="0.35">
      <c r="A37" s="144" t="s">
        <v>6</v>
      </c>
      <c r="B37" s="144" t="s">
        <v>219</v>
      </c>
      <c r="C37" s="229">
        <v>1</v>
      </c>
      <c r="D37" s="148">
        <v>58</v>
      </c>
      <c r="E37" s="145" t="s">
        <v>876</v>
      </c>
      <c r="F37" s="144" t="s">
        <v>34</v>
      </c>
      <c r="G37" s="144" t="s">
        <v>2245</v>
      </c>
    </row>
    <row r="38" spans="1:7" x14ac:dyDescent="0.3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2246</v>
      </c>
    </row>
    <row r="39" spans="1:7" x14ac:dyDescent="0.35">
      <c r="A39" s="144" t="s">
        <v>6</v>
      </c>
      <c r="B39" s="144" t="s">
        <v>72</v>
      </c>
      <c r="C39" s="188">
        <v>1</v>
      </c>
      <c r="D39" s="148">
        <v>26</v>
      </c>
      <c r="E39" s="145" t="s">
        <v>1138</v>
      </c>
      <c r="F39" s="144" t="s">
        <v>35</v>
      </c>
      <c r="G39" s="144" t="s">
        <v>2247</v>
      </c>
    </row>
    <row r="40" spans="1:7" x14ac:dyDescent="0.35">
      <c r="A40" s="144" t="s">
        <v>6</v>
      </c>
      <c r="B40" s="144" t="s">
        <v>219</v>
      </c>
      <c r="C40" s="188">
        <v>1</v>
      </c>
      <c r="D40" s="148">
        <v>58</v>
      </c>
      <c r="E40" s="145" t="s">
        <v>876</v>
      </c>
      <c r="F40" s="144" t="s">
        <v>34</v>
      </c>
      <c r="G40" s="144" t="s">
        <v>2248</v>
      </c>
    </row>
    <row r="41" spans="1:7" x14ac:dyDescent="0.35">
      <c r="A41" s="144" t="s">
        <v>6</v>
      </c>
      <c r="B41" s="144" t="s">
        <v>86</v>
      </c>
      <c r="C41" s="188">
        <v>1</v>
      </c>
      <c r="D41" s="148">
        <v>39</v>
      </c>
      <c r="E41" s="145" t="s">
        <v>47</v>
      </c>
      <c r="F41" s="144" t="s">
        <v>36</v>
      </c>
      <c r="G41" s="144" t="s">
        <v>2249</v>
      </c>
    </row>
    <row r="42" spans="1:7" x14ac:dyDescent="0.35">
      <c r="A42" s="144" t="s">
        <v>6</v>
      </c>
      <c r="B42" s="144" t="s">
        <v>86</v>
      </c>
      <c r="C42" s="188">
        <v>1</v>
      </c>
      <c r="D42" s="148">
        <v>58</v>
      </c>
      <c r="E42" s="145" t="s">
        <v>47</v>
      </c>
      <c r="F42" s="144" t="s">
        <v>34</v>
      </c>
      <c r="G42" s="144" t="s">
        <v>2249</v>
      </c>
    </row>
    <row r="43" spans="1:7" x14ac:dyDescent="0.35">
      <c r="A43" s="144" t="s">
        <v>23</v>
      </c>
      <c r="B43" s="144" t="s">
        <v>206</v>
      </c>
      <c r="C43" s="188">
        <v>1</v>
      </c>
      <c r="D43" s="148">
        <v>26</v>
      </c>
      <c r="E43" s="145" t="s">
        <v>63</v>
      </c>
      <c r="F43" s="144" t="s">
        <v>35</v>
      </c>
      <c r="G43" s="144" t="s">
        <v>2250</v>
      </c>
    </row>
    <row r="44" spans="1:7" x14ac:dyDescent="0.35">
      <c r="A44" s="144" t="s">
        <v>23</v>
      </c>
      <c r="B44" s="144" t="s">
        <v>206</v>
      </c>
      <c r="C44" s="188">
        <v>1</v>
      </c>
      <c r="D44" s="148">
        <v>58</v>
      </c>
      <c r="E44" s="145" t="s">
        <v>63</v>
      </c>
      <c r="F44" s="144" t="s">
        <v>34</v>
      </c>
      <c r="G44" s="144" t="s">
        <v>2250</v>
      </c>
    </row>
    <row r="45" spans="1:7" x14ac:dyDescent="0.35">
      <c r="A45" s="144" t="s">
        <v>23</v>
      </c>
      <c r="B45" s="144" t="s">
        <v>206</v>
      </c>
      <c r="C45" s="188">
        <v>1</v>
      </c>
      <c r="D45" s="148">
        <v>58</v>
      </c>
      <c r="E45" s="145" t="s">
        <v>63</v>
      </c>
      <c r="F45" s="144" t="s">
        <v>34</v>
      </c>
      <c r="G45" s="144" t="s">
        <v>2251</v>
      </c>
    </row>
    <row r="46" spans="1:7" x14ac:dyDescent="0.35">
      <c r="A46" s="144" t="s">
        <v>23</v>
      </c>
      <c r="B46" s="144" t="s">
        <v>206</v>
      </c>
      <c r="C46" s="188">
        <v>1</v>
      </c>
      <c r="D46" s="148">
        <v>26</v>
      </c>
      <c r="E46" s="145" t="s">
        <v>63</v>
      </c>
      <c r="F46" s="144" t="s">
        <v>35</v>
      </c>
      <c r="G46" s="144" t="s">
        <v>2251</v>
      </c>
    </row>
    <row r="47" spans="1:7" x14ac:dyDescent="0.35">
      <c r="A47" s="144" t="s">
        <v>6</v>
      </c>
      <c r="B47" s="144" t="s">
        <v>72</v>
      </c>
      <c r="C47" s="188">
        <v>1</v>
      </c>
      <c r="D47" s="148">
        <v>26</v>
      </c>
      <c r="E47" s="145" t="s">
        <v>1138</v>
      </c>
      <c r="F47" s="144" t="s">
        <v>35</v>
      </c>
      <c r="G47" s="144" t="s">
        <v>2261</v>
      </c>
    </row>
    <row r="48" spans="1:7" x14ac:dyDescent="0.35">
      <c r="A48" s="144" t="s">
        <v>23</v>
      </c>
      <c r="B48" s="144" t="s">
        <v>211</v>
      </c>
      <c r="C48" s="188">
        <v>1</v>
      </c>
      <c r="D48" s="148">
        <v>26</v>
      </c>
      <c r="E48" s="145" t="s">
        <v>62</v>
      </c>
      <c r="F48" s="144" t="s">
        <v>35</v>
      </c>
      <c r="G48" s="144" t="s">
        <v>2262</v>
      </c>
    </row>
    <row r="49" spans="1:7" x14ac:dyDescent="0.35">
      <c r="A49" s="144" t="s">
        <v>6</v>
      </c>
      <c r="B49" s="144" t="s">
        <v>219</v>
      </c>
      <c r="C49" s="188">
        <v>1</v>
      </c>
      <c r="D49" s="148">
        <v>146.30000000000001</v>
      </c>
      <c r="E49" s="145" t="s">
        <v>876</v>
      </c>
      <c r="F49" s="144" t="s">
        <v>989</v>
      </c>
      <c r="G49" s="144" t="s">
        <v>2263</v>
      </c>
    </row>
    <row r="50" spans="1:7" x14ac:dyDescent="0.35">
      <c r="A50" s="144" t="s">
        <v>6</v>
      </c>
      <c r="B50" s="144" t="s">
        <v>142</v>
      </c>
      <c r="C50" s="229">
        <v>1</v>
      </c>
      <c r="D50" s="148">
        <v>146.30000000000001</v>
      </c>
      <c r="E50" s="145" t="s">
        <v>44</v>
      </c>
      <c r="F50" s="144" t="s">
        <v>989</v>
      </c>
      <c r="G50" s="144" t="s">
        <v>2264</v>
      </c>
    </row>
    <row r="51" spans="1:7" x14ac:dyDescent="0.35">
      <c r="A51" s="144" t="s">
        <v>6</v>
      </c>
      <c r="B51" s="144" t="s">
        <v>142</v>
      </c>
      <c r="C51" s="188">
        <v>1</v>
      </c>
      <c r="D51" s="148">
        <v>146.30000000000001</v>
      </c>
      <c r="E51" s="145" t="s">
        <v>44</v>
      </c>
      <c r="F51" s="144" t="s">
        <v>989</v>
      </c>
      <c r="G51" s="144" t="s">
        <v>2265</v>
      </c>
    </row>
    <row r="52" spans="1:7" x14ac:dyDescent="0.35">
      <c r="A52" s="144" t="s">
        <v>6</v>
      </c>
      <c r="B52" s="144" t="s">
        <v>142</v>
      </c>
      <c r="C52" s="188">
        <v>1</v>
      </c>
      <c r="D52" s="148">
        <v>146.30000000000001</v>
      </c>
      <c r="E52" s="145" t="s">
        <v>44</v>
      </c>
      <c r="F52" s="144" t="s">
        <v>989</v>
      </c>
      <c r="G52" s="144" t="s">
        <v>2175</v>
      </c>
    </row>
    <row r="53" spans="1:7" x14ac:dyDescent="0.35">
      <c r="A53" s="144" t="s">
        <v>6</v>
      </c>
      <c r="B53" s="144" t="s">
        <v>142</v>
      </c>
      <c r="C53" s="188">
        <v>1</v>
      </c>
      <c r="D53" s="148">
        <v>176</v>
      </c>
      <c r="E53" s="145" t="s">
        <v>44</v>
      </c>
      <c r="F53" s="144" t="s">
        <v>992</v>
      </c>
      <c r="G53" s="144" t="s">
        <v>2266</v>
      </c>
    </row>
    <row r="54" spans="1:7" x14ac:dyDescent="0.35">
      <c r="A54" s="144" t="s">
        <v>6</v>
      </c>
      <c r="B54" s="144" t="s">
        <v>219</v>
      </c>
      <c r="C54" s="188">
        <v>1</v>
      </c>
      <c r="D54" s="148">
        <v>82</v>
      </c>
      <c r="E54" s="145" t="s">
        <v>876</v>
      </c>
      <c r="F54" s="144" t="s">
        <v>33</v>
      </c>
      <c r="G54" s="144" t="s">
        <v>2267</v>
      </c>
    </row>
    <row r="55" spans="1:7" x14ac:dyDescent="0.35">
      <c r="A55" s="144" t="s">
        <v>23</v>
      </c>
      <c r="B55" s="144" t="s">
        <v>211</v>
      </c>
      <c r="C55" s="188">
        <v>1</v>
      </c>
      <c r="D55" s="148">
        <v>82</v>
      </c>
      <c r="E55" s="145" t="s">
        <v>62</v>
      </c>
      <c r="F55" s="144" t="s">
        <v>33</v>
      </c>
      <c r="G55" s="144" t="s">
        <v>2268</v>
      </c>
    </row>
    <row r="56" spans="1:7" x14ac:dyDescent="0.35">
      <c r="A56" s="144"/>
      <c r="B56" s="144" t="s">
        <v>163</v>
      </c>
      <c r="C56" s="188">
        <v>1</v>
      </c>
      <c r="D56" s="148">
        <v>82</v>
      </c>
      <c r="E56" s="145" t="s">
        <v>56</v>
      </c>
      <c r="F56" s="144" t="s">
        <v>33</v>
      </c>
      <c r="G56" s="144" t="s">
        <v>2269</v>
      </c>
    </row>
    <row r="57" spans="1:7" x14ac:dyDescent="0.35">
      <c r="A57" s="144"/>
      <c r="B57" s="144" t="s">
        <v>163</v>
      </c>
      <c r="C57" s="188">
        <v>1</v>
      </c>
      <c r="D57" s="148">
        <v>82</v>
      </c>
      <c r="E57" s="145" t="s">
        <v>56</v>
      </c>
      <c r="F57" s="144" t="s">
        <v>33</v>
      </c>
      <c r="G57" s="144" t="s">
        <v>2270</v>
      </c>
    </row>
    <row r="58" spans="1:7" x14ac:dyDescent="0.35">
      <c r="A58" s="144" t="s">
        <v>6</v>
      </c>
      <c r="B58" s="144" t="s">
        <v>72</v>
      </c>
      <c r="C58" s="188">
        <v>1</v>
      </c>
      <c r="D58" s="148">
        <v>82</v>
      </c>
      <c r="E58" s="145" t="s">
        <v>1138</v>
      </c>
      <c r="F58" s="144" t="s">
        <v>33</v>
      </c>
      <c r="G58" s="144" t="s">
        <v>2271</v>
      </c>
    </row>
    <row r="59" spans="1:7" x14ac:dyDescent="0.35">
      <c r="A59" s="144" t="s">
        <v>6</v>
      </c>
      <c r="B59" s="144" t="s">
        <v>219</v>
      </c>
      <c r="C59" s="188">
        <v>1</v>
      </c>
      <c r="D59" s="148">
        <v>82</v>
      </c>
      <c r="E59" s="145" t="s">
        <v>876</v>
      </c>
      <c r="F59" s="144" t="s">
        <v>33</v>
      </c>
      <c r="G59" s="144" t="s">
        <v>2272</v>
      </c>
    </row>
    <row r="60" spans="1:7" x14ac:dyDescent="0.35">
      <c r="A60" s="144" t="s">
        <v>23</v>
      </c>
      <c r="B60" s="144" t="s">
        <v>244</v>
      </c>
      <c r="C60" s="188">
        <v>1</v>
      </c>
      <c r="D60" s="148">
        <v>82</v>
      </c>
      <c r="E60" s="145" t="s">
        <v>64</v>
      </c>
      <c r="F60" s="144" t="s">
        <v>33</v>
      </c>
      <c r="G60" s="144" t="s">
        <v>2273</v>
      </c>
    </row>
    <row r="61" spans="1:7" x14ac:dyDescent="0.35">
      <c r="A61" s="144" t="s">
        <v>23</v>
      </c>
      <c r="B61" s="144" t="s">
        <v>244</v>
      </c>
      <c r="C61" s="188">
        <v>1</v>
      </c>
      <c r="D61" s="148">
        <v>82</v>
      </c>
      <c r="E61" s="145" t="s">
        <v>64</v>
      </c>
      <c r="F61" s="144" t="s">
        <v>33</v>
      </c>
      <c r="G61" s="216" t="s">
        <v>2274</v>
      </c>
    </row>
    <row r="62" spans="1:7" x14ac:dyDescent="0.35">
      <c r="A62" s="144" t="s">
        <v>23</v>
      </c>
      <c r="B62" s="144" t="s">
        <v>211</v>
      </c>
      <c r="C62" s="188">
        <v>1</v>
      </c>
      <c r="D62" s="148">
        <v>82</v>
      </c>
      <c r="E62" s="145" t="s">
        <v>62</v>
      </c>
      <c r="F62" s="144" t="s">
        <v>33</v>
      </c>
      <c r="G62" s="144" t="s">
        <v>2275</v>
      </c>
    </row>
    <row r="63" spans="1:7" x14ac:dyDescent="0.35">
      <c r="A63" s="144" t="s">
        <v>6</v>
      </c>
      <c r="B63" s="144" t="s">
        <v>1382</v>
      </c>
      <c r="C63" s="188">
        <v>1</v>
      </c>
      <c r="D63" s="148">
        <v>82</v>
      </c>
      <c r="E63" s="145" t="s">
        <v>51</v>
      </c>
      <c r="F63" s="144" t="s">
        <v>33</v>
      </c>
      <c r="G63" s="144" t="s">
        <v>2276</v>
      </c>
    </row>
    <row r="64" spans="1:7" x14ac:dyDescent="0.35">
      <c r="A64" s="144" t="s">
        <v>6</v>
      </c>
      <c r="B64" s="144" t="s">
        <v>88</v>
      </c>
      <c r="C64" s="188">
        <v>1</v>
      </c>
      <c r="D64" s="148">
        <v>82</v>
      </c>
      <c r="E64" s="145" t="s">
        <v>83</v>
      </c>
      <c r="F64" s="144" t="s">
        <v>33</v>
      </c>
      <c r="G64" s="144" t="s">
        <v>2277</v>
      </c>
    </row>
    <row r="65" spans="1:7" x14ac:dyDescent="0.35">
      <c r="A65" s="144" t="s">
        <v>6</v>
      </c>
      <c r="B65" s="144" t="s">
        <v>219</v>
      </c>
      <c r="C65" s="188">
        <v>1</v>
      </c>
      <c r="D65" s="148">
        <v>82</v>
      </c>
      <c r="E65" s="145" t="s">
        <v>876</v>
      </c>
      <c r="F65" s="144" t="s">
        <v>33</v>
      </c>
      <c r="G65" s="144" t="s">
        <v>2168</v>
      </c>
    </row>
    <row r="66" spans="1:7" x14ac:dyDescent="0.35">
      <c r="A66" s="144"/>
      <c r="B66" s="144"/>
      <c r="C66" s="188">
        <v>1</v>
      </c>
      <c r="D66" s="235"/>
      <c r="E66" s="145"/>
      <c r="F66" s="144"/>
      <c r="G66" s="144"/>
    </row>
    <row r="67" spans="1:7" x14ac:dyDescent="0.35">
      <c r="A67" s="144"/>
      <c r="B67" s="144"/>
      <c r="C67" s="188">
        <v>1</v>
      </c>
      <c r="D67" s="235"/>
      <c r="E67" s="145"/>
      <c r="F67" s="144"/>
      <c r="G67" s="144"/>
    </row>
    <row r="68" spans="1:7" x14ac:dyDescent="0.35">
      <c r="A68" s="144"/>
      <c r="B68" s="144"/>
      <c r="C68" s="188">
        <v>1</v>
      </c>
      <c r="D68" s="235"/>
      <c r="E68" s="145"/>
      <c r="F68" s="144"/>
      <c r="G68" s="144"/>
    </row>
    <row r="69" spans="1:7" x14ac:dyDescent="0.35">
      <c r="A69" s="144"/>
      <c r="B69" s="144"/>
      <c r="C69" s="188">
        <v>1</v>
      </c>
      <c r="D69" s="235"/>
      <c r="E69" s="145"/>
      <c r="F69" s="144"/>
      <c r="G69" s="144"/>
    </row>
    <row r="70" spans="1:7" x14ac:dyDescent="0.35">
      <c r="A70" s="144"/>
      <c r="B70" s="144"/>
      <c r="C70" s="188">
        <v>1</v>
      </c>
      <c r="D70" s="235"/>
      <c r="E70" s="145"/>
      <c r="F70" s="144"/>
      <c r="G70" s="144"/>
    </row>
    <row r="71" spans="1:7" x14ac:dyDescent="0.35">
      <c r="A71" s="144"/>
      <c r="B71" s="144"/>
      <c r="C71" s="188">
        <v>1</v>
      </c>
      <c r="D71" s="235"/>
      <c r="E71" s="145"/>
      <c r="F71" s="144"/>
      <c r="G71" s="144"/>
    </row>
    <row r="72" spans="1:7" x14ac:dyDescent="0.35">
      <c r="A72" s="144"/>
      <c r="B72" s="144"/>
      <c r="C72" s="188">
        <v>1</v>
      </c>
      <c r="D72" s="235"/>
      <c r="E72" s="145"/>
      <c r="F72" s="144"/>
      <c r="G72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68381-2C9D-4CF3-AEE7-F27A772EC485}">
  <dimension ref="A1:H83"/>
  <sheetViews>
    <sheetView workbookViewId="0">
      <selection activeCell="B3" sqref="B3"/>
    </sheetView>
  </sheetViews>
  <sheetFormatPr defaultRowHeight="14.5" x14ac:dyDescent="0.35"/>
  <cols>
    <col min="1" max="1" width="18.54296875" customWidth="1"/>
    <col min="2" max="2" width="20.81640625" customWidth="1"/>
    <col min="3" max="3" width="13.54296875" customWidth="1"/>
    <col min="4" max="4" width="26.453125" customWidth="1"/>
    <col min="5" max="5" width="46.1796875" customWidth="1"/>
    <col min="6" max="6" width="60.7265625" customWidth="1"/>
    <col min="7" max="7" width="48.1796875" customWidth="1"/>
    <col min="8" max="8" width="32.7265625" customWidth="1"/>
  </cols>
  <sheetData>
    <row r="1" spans="1:8" ht="26" x14ac:dyDescent="0.6">
      <c r="A1" s="253" t="s">
        <v>1872</v>
      </c>
      <c r="B1" s="253"/>
      <c r="C1" s="253"/>
      <c r="D1" s="253"/>
      <c r="E1" s="253"/>
      <c r="F1" s="253"/>
      <c r="G1" s="253"/>
    </row>
    <row r="2" spans="1:8" ht="26.5" thickBot="1" x14ac:dyDescent="0.4">
      <c r="A2" s="189"/>
      <c r="B2" s="189"/>
      <c r="C2" s="189"/>
      <c r="D2" s="189"/>
      <c r="E2" s="189"/>
      <c r="F2" s="189"/>
      <c r="G2" s="189"/>
    </row>
    <row r="3" spans="1:8" ht="18" customHeight="1" x14ac:dyDescent="0.35">
      <c r="A3" s="6" t="s">
        <v>28</v>
      </c>
      <c r="B3" s="218" t="s">
        <v>2280</v>
      </c>
      <c r="C3" s="189"/>
      <c r="D3" s="189"/>
      <c r="E3" s="189"/>
      <c r="F3" s="189"/>
      <c r="G3" s="189"/>
    </row>
    <row r="4" spans="1:8" ht="18" customHeight="1" x14ac:dyDescent="0.35">
      <c r="A4" s="8" t="s">
        <v>29</v>
      </c>
      <c r="B4" s="9">
        <v>46092</v>
      </c>
      <c r="C4" s="189"/>
      <c r="D4" s="189"/>
      <c r="E4" s="189"/>
      <c r="F4" s="189"/>
      <c r="G4" s="189"/>
    </row>
    <row r="5" spans="1:8" ht="18" customHeight="1" thickBot="1" x14ac:dyDescent="0.4">
      <c r="A5" s="10" t="s">
        <v>30</v>
      </c>
      <c r="B5" s="11" t="s">
        <v>2281</v>
      </c>
      <c r="C5" s="189"/>
      <c r="D5" s="189"/>
      <c r="E5" s="189"/>
      <c r="F5" s="189"/>
      <c r="G5" s="189"/>
    </row>
    <row r="6" spans="1:8" ht="17.25" customHeight="1" x14ac:dyDescent="0.35">
      <c r="A6" s="1"/>
      <c r="B6" s="190"/>
      <c r="C6" s="189"/>
      <c r="D6" s="189"/>
      <c r="E6" s="189"/>
      <c r="F6" s="189"/>
      <c r="G6" s="189"/>
    </row>
    <row r="8" spans="1:8" x14ac:dyDescent="0.35">
      <c r="A8" s="129" t="s">
        <v>0</v>
      </c>
      <c r="B8" s="129" t="s">
        <v>1</v>
      </c>
      <c r="C8" s="129" t="s">
        <v>71</v>
      </c>
      <c r="D8" s="146" t="s">
        <v>2</v>
      </c>
      <c r="E8" s="129" t="s">
        <v>4</v>
      </c>
      <c r="F8" s="129" t="s">
        <v>81</v>
      </c>
      <c r="G8" s="129" t="s">
        <v>77</v>
      </c>
    </row>
    <row r="9" spans="1:8" ht="15.5" x14ac:dyDescent="0.35">
      <c r="A9" s="242" t="s">
        <v>2225</v>
      </c>
      <c r="B9" s="241" t="s">
        <v>2224</v>
      </c>
      <c r="C9" s="229">
        <v>1</v>
      </c>
      <c r="D9" s="148">
        <v>624.5</v>
      </c>
      <c r="E9" s="145" t="s">
        <v>2053</v>
      </c>
      <c r="F9" s="144" t="s">
        <v>2222</v>
      </c>
      <c r="G9" s="142" t="s">
        <v>2223</v>
      </c>
      <c r="H9" s="25"/>
    </row>
    <row r="10" spans="1:8" x14ac:dyDescent="0.35">
      <c r="A10" s="144"/>
      <c r="B10" s="144"/>
      <c r="C10" s="229">
        <v>1</v>
      </c>
      <c r="D10" s="148"/>
      <c r="E10" s="145"/>
      <c r="F10" s="144"/>
      <c r="G10" s="144"/>
    </row>
    <row r="11" spans="1:8" x14ac:dyDescent="0.35">
      <c r="A11" s="144"/>
      <c r="B11" s="144"/>
      <c r="C11" s="229">
        <v>1</v>
      </c>
      <c r="D11" s="148"/>
      <c r="E11" s="145"/>
      <c r="F11" s="144"/>
      <c r="G11" s="217"/>
    </row>
    <row r="12" spans="1:8" x14ac:dyDescent="0.35">
      <c r="A12" s="144"/>
      <c r="B12" s="144"/>
      <c r="C12" s="229">
        <v>1</v>
      </c>
      <c r="D12" s="148"/>
      <c r="E12" s="145"/>
      <c r="F12" s="144"/>
      <c r="G12" s="144"/>
    </row>
    <row r="13" spans="1:8" x14ac:dyDescent="0.35">
      <c r="A13" s="144"/>
      <c r="B13" s="144"/>
      <c r="C13" s="229">
        <v>1</v>
      </c>
      <c r="D13" s="148"/>
      <c r="E13" s="145"/>
      <c r="F13" s="144"/>
      <c r="G13" s="144"/>
    </row>
    <row r="14" spans="1:8" x14ac:dyDescent="0.35">
      <c r="A14" s="124"/>
      <c r="B14" s="144"/>
      <c r="C14" s="229">
        <v>1</v>
      </c>
      <c r="D14" s="148"/>
      <c r="E14" s="145"/>
      <c r="F14" s="144"/>
      <c r="G14" s="217"/>
    </row>
    <row r="15" spans="1:8" x14ac:dyDescent="0.35">
      <c r="A15" s="144"/>
      <c r="B15" s="144"/>
      <c r="C15" s="229">
        <v>1</v>
      </c>
      <c r="D15" s="148"/>
      <c r="E15" s="145"/>
      <c r="F15" s="144"/>
      <c r="G15" s="144"/>
    </row>
    <row r="16" spans="1:8" x14ac:dyDescent="0.35">
      <c r="A16" s="144"/>
      <c r="B16" s="144"/>
      <c r="C16" s="188">
        <v>1</v>
      </c>
      <c r="D16" s="155"/>
      <c r="E16" s="145"/>
      <c r="F16" s="144"/>
      <c r="G16" s="144"/>
    </row>
    <row r="17" spans="1:7" x14ac:dyDescent="0.35">
      <c r="A17" s="144"/>
      <c r="B17" s="144"/>
      <c r="C17" s="188">
        <v>1</v>
      </c>
      <c r="D17" s="155"/>
      <c r="E17" s="145"/>
      <c r="F17" s="144"/>
      <c r="G17" s="144"/>
    </row>
    <row r="18" spans="1:7" x14ac:dyDescent="0.35">
      <c r="A18" s="144"/>
      <c r="B18" s="144"/>
      <c r="C18" s="229">
        <v>1</v>
      </c>
      <c r="D18" s="148"/>
      <c r="E18" s="145"/>
      <c r="F18" s="144"/>
      <c r="G18" s="142"/>
    </row>
    <row r="19" spans="1:7" x14ac:dyDescent="0.35">
      <c r="A19" s="144"/>
      <c r="B19" s="144"/>
      <c r="C19" s="188">
        <v>1</v>
      </c>
      <c r="D19" s="148"/>
      <c r="E19" s="145"/>
      <c r="F19" s="144"/>
      <c r="G19" s="142"/>
    </row>
    <row r="20" spans="1:7" x14ac:dyDescent="0.35">
      <c r="A20" s="144"/>
      <c r="B20" s="144"/>
      <c r="C20" s="188">
        <v>1</v>
      </c>
      <c r="D20" s="148"/>
      <c r="E20" s="145"/>
      <c r="F20" s="144"/>
      <c r="G20" s="144"/>
    </row>
    <row r="21" spans="1:7" x14ac:dyDescent="0.35">
      <c r="A21" s="144"/>
      <c r="B21" s="144"/>
      <c r="C21" s="188">
        <v>1</v>
      </c>
      <c r="D21" s="155"/>
      <c r="E21" s="145"/>
      <c r="F21" s="144"/>
      <c r="G21" s="144"/>
    </row>
    <row r="22" spans="1:7" x14ac:dyDescent="0.35">
      <c r="A22" s="144"/>
      <c r="B22" s="144"/>
      <c r="C22" s="188">
        <v>1</v>
      </c>
      <c r="D22" s="148"/>
      <c r="E22" s="145"/>
      <c r="F22" s="144"/>
      <c r="G22" s="144"/>
    </row>
    <row r="23" spans="1:7" x14ac:dyDescent="0.35">
      <c r="A23" s="144"/>
      <c r="B23" s="144"/>
      <c r="C23" s="188">
        <v>1</v>
      </c>
      <c r="D23" s="148"/>
      <c r="E23" s="145"/>
      <c r="F23" s="144"/>
      <c r="G23" s="144"/>
    </row>
    <row r="24" spans="1:7" x14ac:dyDescent="0.35">
      <c r="A24" s="144"/>
      <c r="B24" s="144"/>
      <c r="C24" s="188">
        <v>1</v>
      </c>
      <c r="D24" s="148"/>
      <c r="E24" s="145"/>
      <c r="F24" s="144"/>
      <c r="G24" s="144"/>
    </row>
    <row r="25" spans="1:7" x14ac:dyDescent="0.35">
      <c r="A25" s="144"/>
      <c r="B25" s="144"/>
      <c r="C25" s="188">
        <v>1</v>
      </c>
      <c r="D25" s="148"/>
      <c r="E25" s="145"/>
      <c r="F25" s="144"/>
      <c r="G25" s="144"/>
    </row>
    <row r="26" spans="1:7" x14ac:dyDescent="0.35">
      <c r="A26" s="144"/>
      <c r="B26" s="144"/>
      <c r="C26" s="188">
        <v>1</v>
      </c>
      <c r="D26" s="148"/>
      <c r="E26" s="145"/>
      <c r="F26" s="144"/>
      <c r="G26" s="144"/>
    </row>
    <row r="27" spans="1:7" x14ac:dyDescent="0.35">
      <c r="A27" s="144"/>
      <c r="B27" s="144"/>
      <c r="C27" s="188">
        <v>1</v>
      </c>
      <c r="D27" s="148"/>
      <c r="E27" s="145"/>
      <c r="F27" s="144"/>
      <c r="G27" s="144"/>
    </row>
    <row r="28" spans="1:7" x14ac:dyDescent="0.35">
      <c r="A28" s="144"/>
      <c r="B28" s="144"/>
      <c r="C28" s="188">
        <v>1</v>
      </c>
      <c r="D28" s="148"/>
      <c r="E28" s="145"/>
      <c r="F28" s="144"/>
      <c r="G28" s="144"/>
    </row>
    <row r="29" spans="1:7" x14ac:dyDescent="0.35">
      <c r="A29" s="144"/>
      <c r="B29" s="144"/>
      <c r="C29" s="188">
        <v>1</v>
      </c>
      <c r="D29" s="148"/>
      <c r="E29" s="145"/>
      <c r="F29" s="144"/>
      <c r="G29" s="144"/>
    </row>
    <row r="30" spans="1:7" x14ac:dyDescent="0.35">
      <c r="A30" s="144"/>
      <c r="B30" s="144"/>
      <c r="C30" s="188">
        <v>1</v>
      </c>
      <c r="D30" s="148"/>
      <c r="E30" s="145"/>
      <c r="F30" s="144"/>
      <c r="G30" s="144"/>
    </row>
    <row r="31" spans="1:7" x14ac:dyDescent="0.35">
      <c r="A31" s="144"/>
      <c r="B31" s="232"/>
      <c r="C31" s="188">
        <v>1</v>
      </c>
      <c r="D31" s="148"/>
      <c r="E31" s="145"/>
      <c r="F31" s="144"/>
      <c r="G31" s="144"/>
    </row>
    <row r="32" spans="1:7" x14ac:dyDescent="0.35">
      <c r="A32" s="144"/>
      <c r="B32" s="232"/>
      <c r="C32" s="188">
        <v>1</v>
      </c>
      <c r="D32" s="148"/>
      <c r="E32" s="145"/>
      <c r="F32" s="144"/>
      <c r="G32" s="144"/>
    </row>
    <row r="33" spans="1:7" x14ac:dyDescent="0.35">
      <c r="A33" s="144"/>
      <c r="B33" s="144"/>
      <c r="C33" s="188">
        <v>1</v>
      </c>
      <c r="D33" s="148"/>
      <c r="E33" s="145"/>
      <c r="F33" s="144"/>
      <c r="G33" s="144"/>
    </row>
    <row r="34" spans="1:7" x14ac:dyDescent="0.35">
      <c r="A34" s="144"/>
      <c r="B34" s="144"/>
      <c r="C34" s="188">
        <v>1</v>
      </c>
      <c r="D34" s="155"/>
      <c r="E34" s="145"/>
      <c r="F34" s="144"/>
      <c r="G34" s="144"/>
    </row>
    <row r="35" spans="1:7" x14ac:dyDescent="0.35">
      <c r="A35" s="144"/>
      <c r="B35" s="144"/>
      <c r="C35" s="188">
        <v>1</v>
      </c>
      <c r="D35" s="155"/>
      <c r="E35" s="145"/>
      <c r="F35" s="144"/>
      <c r="G35" s="144"/>
    </row>
    <row r="36" spans="1:7" x14ac:dyDescent="0.35">
      <c r="A36" s="144"/>
      <c r="B36" s="144"/>
      <c r="C36" s="188">
        <v>1</v>
      </c>
      <c r="D36" s="148"/>
      <c r="E36" s="145"/>
      <c r="F36" s="144"/>
      <c r="G36" s="144"/>
    </row>
    <row r="37" spans="1:7" x14ac:dyDescent="0.35">
      <c r="A37" s="144"/>
      <c r="B37" s="144"/>
      <c r="C37" s="188">
        <v>1</v>
      </c>
      <c r="D37" s="148"/>
      <c r="E37" s="145"/>
      <c r="F37" s="144"/>
      <c r="G37" s="144"/>
    </row>
    <row r="38" spans="1:7" x14ac:dyDescent="0.35">
      <c r="A38" s="144"/>
      <c r="B38" s="144"/>
      <c r="C38" s="188">
        <v>1</v>
      </c>
      <c r="D38" s="148"/>
      <c r="E38" s="145"/>
      <c r="F38" s="144"/>
      <c r="G38" s="144"/>
    </row>
    <row r="39" spans="1:7" x14ac:dyDescent="0.35">
      <c r="A39" s="144"/>
      <c r="B39" s="144"/>
      <c r="C39" s="188">
        <v>1</v>
      </c>
      <c r="D39" s="226"/>
      <c r="E39" s="145"/>
      <c r="F39" s="144"/>
      <c r="G39" s="144"/>
    </row>
    <row r="40" spans="1:7" x14ac:dyDescent="0.35">
      <c r="A40" s="144"/>
      <c r="B40" s="144"/>
      <c r="C40" s="188">
        <v>1</v>
      </c>
      <c r="D40" s="226"/>
      <c r="E40" s="145"/>
      <c r="F40" s="144"/>
      <c r="G40" s="144"/>
    </row>
    <row r="41" spans="1:7" x14ac:dyDescent="0.35">
      <c r="A41" s="144"/>
      <c r="B41" s="144"/>
      <c r="C41" s="188">
        <v>1</v>
      </c>
      <c r="D41" s="226"/>
      <c r="E41" s="145"/>
      <c r="F41" s="144"/>
      <c r="G41" s="144"/>
    </row>
    <row r="42" spans="1:7" x14ac:dyDescent="0.35">
      <c r="A42" s="144"/>
      <c r="B42" s="144"/>
      <c r="C42" s="188">
        <v>1</v>
      </c>
      <c r="D42" s="226"/>
      <c r="E42" s="145"/>
      <c r="F42" s="144"/>
      <c r="G42" s="144"/>
    </row>
    <row r="43" spans="1:7" x14ac:dyDescent="0.35">
      <c r="A43" s="144"/>
      <c r="B43" s="144"/>
      <c r="C43" s="188">
        <v>1</v>
      </c>
      <c r="D43" s="155"/>
      <c r="E43" s="145"/>
      <c r="F43" s="144"/>
      <c r="G43" s="144"/>
    </row>
    <row r="44" spans="1:7" x14ac:dyDescent="0.35">
      <c r="A44" s="144"/>
      <c r="B44" s="144"/>
      <c r="C44" s="188">
        <v>1</v>
      </c>
      <c r="D44" s="155"/>
      <c r="E44" s="145"/>
      <c r="F44" s="144"/>
      <c r="G44" s="144"/>
    </row>
    <row r="45" spans="1:7" x14ac:dyDescent="0.35">
      <c r="A45" s="144"/>
      <c r="B45" s="144"/>
      <c r="C45" s="188">
        <v>1</v>
      </c>
      <c r="D45" s="226"/>
      <c r="E45" s="204"/>
      <c r="F45" s="124"/>
      <c r="G45" s="124"/>
    </row>
    <row r="46" spans="1:7" x14ac:dyDescent="0.35">
      <c r="A46" s="144"/>
      <c r="B46" s="144"/>
      <c r="C46" s="188">
        <v>1</v>
      </c>
      <c r="D46" s="126"/>
      <c r="E46" s="204"/>
      <c r="F46" s="124"/>
      <c r="G46" s="124"/>
    </row>
    <row r="47" spans="1:7" x14ac:dyDescent="0.35">
      <c r="A47" s="144"/>
      <c r="B47" s="144"/>
      <c r="C47" s="188">
        <v>1</v>
      </c>
      <c r="D47" s="126"/>
      <c r="E47" s="145"/>
      <c r="F47" s="124"/>
      <c r="G47" s="144"/>
    </row>
    <row r="48" spans="1:7" x14ac:dyDescent="0.35">
      <c r="A48" s="144"/>
      <c r="B48" s="144"/>
      <c r="C48" s="188">
        <v>1</v>
      </c>
      <c r="D48" s="126"/>
      <c r="E48" s="145"/>
      <c r="F48" s="124"/>
      <c r="G48" s="144"/>
    </row>
    <row r="49" spans="1:7" x14ac:dyDescent="0.35">
      <c r="A49" s="144"/>
      <c r="B49" s="144"/>
      <c r="C49" s="188">
        <v>1</v>
      </c>
      <c r="D49" s="126"/>
      <c r="E49" s="145"/>
      <c r="F49" s="124"/>
      <c r="G49" s="144"/>
    </row>
    <row r="50" spans="1:7" x14ac:dyDescent="0.35">
      <c r="A50" s="144"/>
      <c r="B50" s="144"/>
      <c r="C50" s="188">
        <v>1</v>
      </c>
      <c r="D50" s="126"/>
      <c r="E50" s="145"/>
      <c r="F50" s="124"/>
      <c r="G50" s="144"/>
    </row>
    <row r="51" spans="1:7" x14ac:dyDescent="0.35">
      <c r="A51" s="144"/>
      <c r="B51" s="144"/>
      <c r="C51" s="188">
        <v>1</v>
      </c>
      <c r="D51" s="126"/>
      <c r="E51" s="145"/>
      <c r="F51" s="124"/>
      <c r="G51" s="144"/>
    </row>
    <row r="52" spans="1:7" x14ac:dyDescent="0.35">
      <c r="A52" s="144"/>
      <c r="B52" s="144"/>
      <c r="C52" s="188">
        <v>1</v>
      </c>
      <c r="D52" s="126"/>
      <c r="E52" s="145"/>
      <c r="F52" s="124"/>
      <c r="G52" s="144"/>
    </row>
    <row r="53" spans="1:7" x14ac:dyDescent="0.35">
      <c r="A53" s="144"/>
      <c r="B53" s="166"/>
      <c r="C53" s="188">
        <v>1</v>
      </c>
      <c r="D53" s="126"/>
      <c r="E53" s="145"/>
      <c r="F53" s="124"/>
      <c r="G53" s="144"/>
    </row>
    <row r="54" spans="1:7" x14ac:dyDescent="0.35">
      <c r="A54" s="144"/>
      <c r="B54" s="144"/>
      <c r="C54" s="188">
        <v>1</v>
      </c>
      <c r="D54" s="126"/>
      <c r="E54" s="145"/>
      <c r="F54" s="124"/>
      <c r="G54" s="144"/>
    </row>
    <row r="55" spans="1:7" x14ac:dyDescent="0.35">
      <c r="A55" s="144"/>
      <c r="B55" s="144"/>
      <c r="C55" s="188">
        <v>1</v>
      </c>
      <c r="D55" s="126"/>
      <c r="E55" s="145"/>
      <c r="F55" s="124"/>
      <c r="G55" s="144"/>
    </row>
    <row r="56" spans="1:7" x14ac:dyDescent="0.35">
      <c r="A56" s="144"/>
      <c r="B56" s="144"/>
      <c r="C56" s="188">
        <v>1</v>
      </c>
      <c r="D56" s="126"/>
      <c r="E56" s="145"/>
      <c r="F56" s="124"/>
      <c r="G56" s="144"/>
    </row>
    <row r="57" spans="1:7" x14ac:dyDescent="0.35">
      <c r="A57" s="144"/>
      <c r="B57" s="144"/>
      <c r="C57" s="188">
        <v>1</v>
      </c>
      <c r="D57" s="126"/>
      <c r="E57" s="145"/>
      <c r="F57" s="124"/>
      <c r="G57" s="144"/>
    </row>
    <row r="58" spans="1:7" x14ac:dyDescent="0.35">
      <c r="A58" s="144"/>
      <c r="B58" s="144"/>
      <c r="C58" s="188">
        <v>1</v>
      </c>
      <c r="D58" s="126"/>
      <c r="E58" s="145"/>
      <c r="F58" s="124"/>
      <c r="G58" s="144"/>
    </row>
    <row r="59" spans="1:7" x14ac:dyDescent="0.35">
      <c r="A59" s="144"/>
      <c r="B59" s="144"/>
      <c r="C59" s="188">
        <v>1</v>
      </c>
      <c r="D59" s="126"/>
      <c r="E59" s="145"/>
      <c r="F59" s="124"/>
      <c r="G59" s="144"/>
    </row>
    <row r="60" spans="1:7" ht="21" customHeight="1" x14ac:dyDescent="0.35">
      <c r="A60" s="144"/>
      <c r="B60" s="144"/>
      <c r="C60" s="188">
        <v>1</v>
      </c>
      <c r="D60" s="126"/>
      <c r="E60" s="145"/>
      <c r="F60" s="124"/>
      <c r="G60" s="144"/>
    </row>
    <row r="61" spans="1:7" x14ac:dyDescent="0.35">
      <c r="A61" s="227"/>
      <c r="B61" s="144"/>
      <c r="C61" s="188">
        <v>1</v>
      </c>
      <c r="D61" s="126"/>
      <c r="E61" s="145"/>
      <c r="F61" s="124"/>
      <c r="G61" s="144"/>
    </row>
    <row r="62" spans="1:7" ht="21" customHeight="1" x14ac:dyDescent="0.35">
      <c r="A62" s="144"/>
      <c r="B62" s="144"/>
      <c r="C62" s="188">
        <v>1</v>
      </c>
      <c r="D62" s="126"/>
      <c r="E62" s="145"/>
      <c r="F62" s="124"/>
      <c r="G62" s="144"/>
    </row>
    <row r="63" spans="1:7" x14ac:dyDescent="0.35">
      <c r="A63" s="144"/>
      <c r="B63" s="144"/>
      <c r="C63" s="188">
        <v>1</v>
      </c>
      <c r="D63" s="126"/>
      <c r="E63" s="145"/>
      <c r="F63" s="124"/>
      <c r="G63" s="144"/>
    </row>
    <row r="64" spans="1:7" ht="21" customHeight="1" x14ac:dyDescent="0.35">
      <c r="A64" s="144"/>
      <c r="B64" s="144"/>
      <c r="C64" s="188">
        <v>1</v>
      </c>
      <c r="D64" s="226"/>
      <c r="E64" s="145"/>
      <c r="F64" s="124"/>
      <c r="G64" s="144"/>
    </row>
    <row r="65" spans="1:7" x14ac:dyDescent="0.35">
      <c r="A65" s="144"/>
      <c r="B65" s="144"/>
      <c r="C65" s="188">
        <v>1</v>
      </c>
      <c r="D65" s="126"/>
      <c r="E65" s="145"/>
      <c r="F65" s="124"/>
      <c r="G65" s="144"/>
    </row>
    <row r="66" spans="1:7" ht="21" customHeight="1" x14ac:dyDescent="0.35">
      <c r="A66" s="144"/>
      <c r="B66" s="144"/>
      <c r="C66" s="188">
        <v>1</v>
      </c>
      <c r="D66" s="226"/>
      <c r="E66" s="145"/>
      <c r="F66" s="124"/>
      <c r="G66" s="144"/>
    </row>
    <row r="67" spans="1:7" x14ac:dyDescent="0.35">
      <c r="A67" s="227"/>
      <c r="B67" s="144"/>
      <c r="C67" s="188">
        <v>1</v>
      </c>
      <c r="D67" s="226"/>
      <c r="E67" s="145"/>
      <c r="F67" s="124"/>
      <c r="G67" s="144"/>
    </row>
    <row r="68" spans="1:7" ht="21" customHeight="1" x14ac:dyDescent="0.35">
      <c r="A68" s="227"/>
      <c r="B68" s="144"/>
      <c r="C68" s="188">
        <v>1</v>
      </c>
      <c r="D68" s="226"/>
      <c r="E68" s="145"/>
      <c r="F68" s="124"/>
      <c r="G68" s="144"/>
    </row>
    <row r="69" spans="1:7" x14ac:dyDescent="0.35">
      <c r="A69" s="144"/>
      <c r="B69" s="144"/>
      <c r="C69" s="188">
        <v>1</v>
      </c>
      <c r="D69" s="126"/>
      <c r="E69" s="145"/>
      <c r="F69" s="124"/>
      <c r="G69" s="144"/>
    </row>
    <row r="70" spans="1:7" ht="21" customHeight="1" x14ac:dyDescent="0.35">
      <c r="A70" s="227"/>
      <c r="B70" s="144"/>
      <c r="C70" s="188">
        <v>1</v>
      </c>
      <c r="D70" s="126"/>
      <c r="E70" s="145"/>
      <c r="F70" s="124"/>
      <c r="G70" s="144"/>
    </row>
    <row r="71" spans="1:7" x14ac:dyDescent="0.35">
      <c r="A71" s="227"/>
      <c r="B71" s="227"/>
      <c r="C71" s="188">
        <v>1</v>
      </c>
      <c r="D71" s="126"/>
      <c r="E71" s="230"/>
      <c r="F71" s="124"/>
      <c r="G71" s="144"/>
    </row>
    <row r="72" spans="1:7" x14ac:dyDescent="0.35">
      <c r="A72" s="227"/>
      <c r="B72" s="227"/>
      <c r="C72" s="188">
        <v>1</v>
      </c>
      <c r="D72" s="126"/>
      <c r="E72" s="230"/>
      <c r="F72" s="124"/>
      <c r="G72" s="144"/>
    </row>
    <row r="73" spans="1:7" x14ac:dyDescent="0.35">
      <c r="A73" s="227"/>
      <c r="B73" s="227"/>
      <c r="C73" s="188">
        <v>1</v>
      </c>
      <c r="D73" s="126"/>
      <c r="E73" s="230"/>
      <c r="F73" s="124"/>
      <c r="G73" s="144"/>
    </row>
    <row r="74" spans="1:7" x14ac:dyDescent="0.35">
      <c r="A74" s="227"/>
      <c r="B74" s="227"/>
      <c r="C74" s="188">
        <v>1</v>
      </c>
      <c r="D74" s="126"/>
      <c r="E74" s="230"/>
      <c r="F74" s="124"/>
      <c r="G74" s="144"/>
    </row>
    <row r="75" spans="1:7" x14ac:dyDescent="0.35">
      <c r="A75" s="227"/>
      <c r="B75" s="227"/>
      <c r="C75" s="188">
        <v>1</v>
      </c>
      <c r="D75" s="126"/>
      <c r="E75" s="230"/>
      <c r="F75" s="124"/>
      <c r="G75" s="144"/>
    </row>
    <row r="76" spans="1:7" x14ac:dyDescent="0.35">
      <c r="A76" s="227"/>
      <c r="B76" s="227"/>
      <c r="C76" s="188">
        <v>1</v>
      </c>
      <c r="D76" s="126"/>
      <c r="E76" s="230"/>
      <c r="F76" s="124"/>
      <c r="G76" s="144"/>
    </row>
    <row r="77" spans="1:7" x14ac:dyDescent="0.35">
      <c r="A77" s="227"/>
      <c r="B77" s="227"/>
      <c r="C77" s="188">
        <v>1</v>
      </c>
      <c r="D77" s="126"/>
      <c r="E77" s="230"/>
      <c r="F77" s="124"/>
      <c r="G77" s="144"/>
    </row>
    <row r="78" spans="1:7" x14ac:dyDescent="0.35">
      <c r="A78" s="227"/>
      <c r="B78" s="227"/>
      <c r="C78" s="188">
        <v>1</v>
      </c>
      <c r="D78" s="126"/>
      <c r="E78" s="230"/>
      <c r="F78" s="124"/>
      <c r="G78" s="144"/>
    </row>
    <row r="79" spans="1:7" x14ac:dyDescent="0.35">
      <c r="A79" s="227"/>
      <c r="B79" s="227"/>
      <c r="C79" s="188">
        <v>1</v>
      </c>
      <c r="D79" s="126"/>
      <c r="E79" s="230"/>
      <c r="F79" s="124"/>
      <c r="G79" s="144"/>
    </row>
    <row r="80" spans="1:7" x14ac:dyDescent="0.35">
      <c r="A80" s="227"/>
      <c r="B80" s="227"/>
      <c r="C80" s="188">
        <v>1</v>
      </c>
      <c r="D80" s="126"/>
      <c r="E80" s="230"/>
      <c r="F80" s="124"/>
      <c r="G80" s="144"/>
    </row>
    <row r="81" spans="1:7" x14ac:dyDescent="0.35">
      <c r="A81" s="227"/>
      <c r="B81" s="227"/>
      <c r="C81" s="188">
        <v>1</v>
      </c>
      <c r="D81" s="126"/>
      <c r="E81" s="230"/>
      <c r="F81" s="124"/>
      <c r="G81" s="144"/>
    </row>
    <row r="82" spans="1:7" x14ac:dyDescent="0.35">
      <c r="A82" s="227"/>
      <c r="B82" s="227"/>
      <c r="C82" s="188">
        <v>1</v>
      </c>
      <c r="D82" s="126"/>
      <c r="E82" s="230"/>
      <c r="F82" s="124"/>
      <c r="G82" s="144"/>
    </row>
    <row r="83" spans="1:7" x14ac:dyDescent="0.35">
      <c r="A83" s="227"/>
      <c r="B83" s="227"/>
      <c r="C83" s="188">
        <v>1</v>
      </c>
      <c r="D83" s="126"/>
      <c r="E83" s="230"/>
      <c r="F83" s="124"/>
      <c r="G83" s="144"/>
    </row>
  </sheetData>
  <mergeCells count="1">
    <mergeCell ref="A1:G1"/>
  </mergeCells>
  <pageMargins left="0.7" right="0.7" top="0.75" bottom="0.75" header="0.3" footer="0.3"/>
  <pageSetup paperSize="9" orientation="landscape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BA5AB-9C0D-4DCA-BA4E-744A65B5F881}">
  <dimension ref="A1:G57"/>
  <sheetViews>
    <sheetView topLeftCell="B1" workbookViewId="0">
      <selection activeCell="F38" sqref="F38"/>
    </sheetView>
  </sheetViews>
  <sheetFormatPr defaultRowHeight="14.5" x14ac:dyDescent="0.35"/>
  <cols>
    <col min="1" max="1" width="13.54296875" customWidth="1"/>
    <col min="2" max="2" width="16.81640625" customWidth="1"/>
    <col min="3" max="3" width="6.7265625" customWidth="1"/>
    <col min="4" max="4" width="17.54296875" bestFit="1" customWidth="1"/>
    <col min="5" max="5" width="50.7265625" customWidth="1"/>
    <col min="6" max="6" width="42.54296875" customWidth="1"/>
    <col min="7" max="7" width="41.5429687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6" x14ac:dyDescent="0.35">
      <c r="A3" s="6" t="s">
        <v>28</v>
      </c>
      <c r="B3" s="218" t="s">
        <v>2305</v>
      </c>
      <c r="C3" s="189"/>
      <c r="D3" s="189"/>
      <c r="E3" s="189"/>
      <c r="F3" s="189"/>
      <c r="G3" s="189"/>
    </row>
    <row r="4" spans="1:7" ht="26" x14ac:dyDescent="0.35">
      <c r="A4" s="8" t="s">
        <v>29</v>
      </c>
      <c r="B4" s="9">
        <v>46113</v>
      </c>
      <c r="C4" s="189"/>
      <c r="D4" s="189"/>
      <c r="E4" s="189"/>
      <c r="F4" s="189"/>
      <c r="G4" s="189"/>
    </row>
    <row r="5" spans="1:7" ht="26.5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26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243" t="s">
        <v>0</v>
      </c>
      <c r="B8" s="243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35">
      <c r="A9" s="244" t="s">
        <v>6</v>
      </c>
      <c r="B9" s="244" t="s">
        <v>88</v>
      </c>
      <c r="C9" s="188">
        <v>1</v>
      </c>
      <c r="D9" s="148">
        <v>82</v>
      </c>
      <c r="E9" s="145" t="s">
        <v>83</v>
      </c>
      <c r="F9" s="144" t="s">
        <v>33</v>
      </c>
      <c r="G9" s="144" t="s">
        <v>2304</v>
      </c>
    </row>
    <row r="10" spans="1:7" x14ac:dyDescent="0.35">
      <c r="A10" s="144" t="s">
        <v>6</v>
      </c>
      <c r="B10" s="144" t="s">
        <v>88</v>
      </c>
      <c r="C10" s="188">
        <v>1</v>
      </c>
      <c r="D10" s="148">
        <v>82</v>
      </c>
      <c r="E10" s="145" t="s">
        <v>83</v>
      </c>
      <c r="F10" s="144" t="s">
        <v>33</v>
      </c>
      <c r="G10" s="144" t="s">
        <v>2302</v>
      </c>
    </row>
    <row r="11" spans="1:7" x14ac:dyDescent="0.35">
      <c r="A11" s="144" t="s">
        <v>6</v>
      </c>
      <c r="B11" s="144" t="s">
        <v>219</v>
      </c>
      <c r="C11" s="188">
        <v>1</v>
      </c>
      <c r="D11" s="148">
        <v>82</v>
      </c>
      <c r="E11" s="145" t="s">
        <v>876</v>
      </c>
      <c r="F11" s="144" t="s">
        <v>33</v>
      </c>
      <c r="G11" s="144" t="s">
        <v>2303</v>
      </c>
    </row>
    <row r="12" spans="1:7" x14ac:dyDescent="0.35">
      <c r="A12" s="144" t="s">
        <v>6</v>
      </c>
      <c r="B12" s="144" t="s">
        <v>72</v>
      </c>
      <c r="C12" s="188">
        <v>1</v>
      </c>
      <c r="D12" s="148">
        <v>82</v>
      </c>
      <c r="E12" s="145" t="s">
        <v>1138</v>
      </c>
      <c r="F12" s="144" t="s">
        <v>33</v>
      </c>
      <c r="G12" s="144" t="s">
        <v>2300</v>
      </c>
    </row>
    <row r="13" spans="1:7" x14ac:dyDescent="0.35">
      <c r="A13" s="144" t="s">
        <v>6</v>
      </c>
      <c r="B13" s="144" t="s">
        <v>142</v>
      </c>
      <c r="C13" s="188">
        <v>1</v>
      </c>
      <c r="D13" s="148">
        <v>82</v>
      </c>
      <c r="E13" s="145" t="s">
        <v>44</v>
      </c>
      <c r="F13" s="144" t="s">
        <v>33</v>
      </c>
      <c r="G13" s="144" t="s">
        <v>2301</v>
      </c>
    </row>
    <row r="14" spans="1:7" x14ac:dyDescent="0.35">
      <c r="A14" s="144" t="s">
        <v>6</v>
      </c>
      <c r="B14" s="144" t="s">
        <v>142</v>
      </c>
      <c r="C14" s="188">
        <v>1</v>
      </c>
      <c r="D14" s="148">
        <v>82</v>
      </c>
      <c r="E14" s="145" t="s">
        <v>44</v>
      </c>
      <c r="F14" s="144" t="s">
        <v>33</v>
      </c>
      <c r="G14" s="144" t="s">
        <v>2298</v>
      </c>
    </row>
    <row r="15" spans="1:7" x14ac:dyDescent="0.35">
      <c r="A15" s="144"/>
      <c r="B15" s="144" t="s">
        <v>163</v>
      </c>
      <c r="C15" s="188">
        <v>1</v>
      </c>
      <c r="D15" s="148">
        <v>82</v>
      </c>
      <c r="E15" s="145" t="s">
        <v>56</v>
      </c>
      <c r="F15" s="144" t="s">
        <v>33</v>
      </c>
      <c r="G15" s="144" t="s">
        <v>2299</v>
      </c>
    </row>
    <row r="16" spans="1:7" x14ac:dyDescent="0.35">
      <c r="A16" s="144" t="s">
        <v>6</v>
      </c>
      <c r="B16" s="144" t="s">
        <v>219</v>
      </c>
      <c r="C16" s="188">
        <v>1</v>
      </c>
      <c r="D16" s="148">
        <v>82</v>
      </c>
      <c r="E16" s="145" t="s">
        <v>876</v>
      </c>
      <c r="F16" s="144" t="s">
        <v>33</v>
      </c>
      <c r="G16" s="144" t="s">
        <v>2296</v>
      </c>
    </row>
    <row r="17" spans="1:7" x14ac:dyDescent="0.35">
      <c r="A17" s="144"/>
      <c r="B17" s="144" t="s">
        <v>163</v>
      </c>
      <c r="C17" s="188">
        <v>1</v>
      </c>
      <c r="D17" s="148">
        <v>82</v>
      </c>
      <c r="E17" s="145" t="s">
        <v>56</v>
      </c>
      <c r="F17" s="144" t="s">
        <v>33</v>
      </c>
      <c r="G17" s="144" t="s">
        <v>2297</v>
      </c>
    </row>
    <row r="18" spans="1:7" x14ac:dyDescent="0.35">
      <c r="A18" s="144" t="s">
        <v>23</v>
      </c>
      <c r="B18" s="144" t="s">
        <v>206</v>
      </c>
      <c r="C18" s="188">
        <v>1</v>
      </c>
      <c r="D18" s="148">
        <v>82</v>
      </c>
      <c r="E18" s="145" t="s">
        <v>63</v>
      </c>
      <c r="F18" s="144" t="s">
        <v>33</v>
      </c>
      <c r="G18" s="144" t="s">
        <v>2294</v>
      </c>
    </row>
    <row r="19" spans="1:7" x14ac:dyDescent="0.35">
      <c r="A19" s="144" t="s">
        <v>6</v>
      </c>
      <c r="B19" s="144" t="s">
        <v>219</v>
      </c>
      <c r="C19" s="188">
        <v>1</v>
      </c>
      <c r="D19" s="148">
        <v>82</v>
      </c>
      <c r="E19" s="145" t="s">
        <v>876</v>
      </c>
      <c r="F19" s="144" t="s">
        <v>33</v>
      </c>
      <c r="G19" s="144" t="s">
        <v>2295</v>
      </c>
    </row>
    <row r="20" spans="1:7" x14ac:dyDescent="0.35">
      <c r="A20" s="144" t="s">
        <v>6</v>
      </c>
      <c r="B20" s="144" t="s">
        <v>86</v>
      </c>
      <c r="C20" s="188">
        <v>1</v>
      </c>
      <c r="D20" s="148">
        <v>82</v>
      </c>
      <c r="E20" s="145" t="s">
        <v>47</v>
      </c>
      <c r="F20" s="144" t="s">
        <v>33</v>
      </c>
      <c r="G20" s="144" t="s">
        <v>2292</v>
      </c>
    </row>
    <row r="21" spans="1:7" x14ac:dyDescent="0.35">
      <c r="A21" s="144" t="s">
        <v>6</v>
      </c>
      <c r="B21" s="144" t="s">
        <v>219</v>
      </c>
      <c r="C21" s="188">
        <v>1</v>
      </c>
      <c r="D21" s="148">
        <v>82</v>
      </c>
      <c r="E21" s="145" t="s">
        <v>876</v>
      </c>
      <c r="F21" s="144" t="s">
        <v>33</v>
      </c>
      <c r="G21" s="144" t="s">
        <v>2293</v>
      </c>
    </row>
    <row r="22" spans="1:7" x14ac:dyDescent="0.35">
      <c r="A22" s="144"/>
      <c r="B22" s="144" t="s">
        <v>163</v>
      </c>
      <c r="C22" s="188">
        <v>1</v>
      </c>
      <c r="D22" s="148">
        <v>82</v>
      </c>
      <c r="E22" s="145" t="s">
        <v>56</v>
      </c>
      <c r="F22" s="144" t="s">
        <v>33</v>
      </c>
      <c r="G22" s="144" t="s">
        <v>2287</v>
      </c>
    </row>
    <row r="23" spans="1:7" x14ac:dyDescent="0.35">
      <c r="A23" s="144" t="s">
        <v>6</v>
      </c>
      <c r="B23" s="144" t="s">
        <v>88</v>
      </c>
      <c r="C23" s="188">
        <v>1</v>
      </c>
      <c r="D23" s="148">
        <v>82</v>
      </c>
      <c r="E23" s="145" t="s">
        <v>83</v>
      </c>
      <c r="F23" s="144" t="s">
        <v>33</v>
      </c>
      <c r="G23" s="144" t="s">
        <v>2291</v>
      </c>
    </row>
    <row r="24" spans="1:7" x14ac:dyDescent="0.35">
      <c r="A24" s="144"/>
      <c r="B24" s="144" t="s">
        <v>163</v>
      </c>
      <c r="C24" s="188">
        <v>1</v>
      </c>
      <c r="D24" s="148">
        <v>82</v>
      </c>
      <c r="E24" s="145" t="s">
        <v>56</v>
      </c>
      <c r="F24" s="144" t="s">
        <v>33</v>
      </c>
      <c r="G24" s="144" t="s">
        <v>2288</v>
      </c>
    </row>
    <row r="25" spans="1:7" x14ac:dyDescent="0.35">
      <c r="A25" s="144" t="s">
        <v>6</v>
      </c>
      <c r="B25" s="144" t="s">
        <v>88</v>
      </c>
      <c r="C25" s="188">
        <v>1</v>
      </c>
      <c r="D25" s="148">
        <v>58</v>
      </c>
      <c r="E25" s="145" t="s">
        <v>83</v>
      </c>
      <c r="F25" s="144" t="s">
        <v>34</v>
      </c>
      <c r="G25" s="144" t="s">
        <v>2283</v>
      </c>
    </row>
    <row r="26" spans="1:7" x14ac:dyDescent="0.35">
      <c r="A26" s="144" t="s">
        <v>6</v>
      </c>
      <c r="B26" s="144" t="s">
        <v>86</v>
      </c>
      <c r="C26" s="188">
        <v>1</v>
      </c>
      <c r="D26" s="148">
        <v>82</v>
      </c>
      <c r="E26" s="145" t="s">
        <v>47</v>
      </c>
      <c r="F26" s="144" t="s">
        <v>33</v>
      </c>
      <c r="G26" s="144" t="s">
        <v>2289</v>
      </c>
    </row>
    <row r="27" spans="1:7" x14ac:dyDescent="0.35">
      <c r="A27" s="144" t="s">
        <v>23</v>
      </c>
      <c r="B27" s="144" t="s">
        <v>206</v>
      </c>
      <c r="C27" s="188">
        <v>1</v>
      </c>
      <c r="D27" s="148">
        <v>82</v>
      </c>
      <c r="E27" s="145" t="s">
        <v>63</v>
      </c>
      <c r="F27" s="144" t="s">
        <v>33</v>
      </c>
      <c r="G27" s="144" t="s">
        <v>2290</v>
      </c>
    </row>
    <row r="28" spans="1:7" x14ac:dyDescent="0.35">
      <c r="A28" s="144" t="s">
        <v>23</v>
      </c>
      <c r="B28" s="144" t="s">
        <v>211</v>
      </c>
      <c r="C28" s="188">
        <v>1</v>
      </c>
      <c r="D28" s="148">
        <v>82</v>
      </c>
      <c r="E28" s="145" t="s">
        <v>62</v>
      </c>
      <c r="F28" s="144" t="s">
        <v>33</v>
      </c>
      <c r="G28" s="144" t="s">
        <v>2286</v>
      </c>
    </row>
    <row r="29" spans="1:7" x14ac:dyDescent="0.35">
      <c r="A29" s="144" t="s">
        <v>6</v>
      </c>
      <c r="B29" s="144" t="s">
        <v>219</v>
      </c>
      <c r="C29" s="188">
        <v>1</v>
      </c>
      <c r="D29" s="148">
        <v>82</v>
      </c>
      <c r="E29" s="145" t="s">
        <v>876</v>
      </c>
      <c r="F29" s="144" t="s">
        <v>33</v>
      </c>
      <c r="G29" s="144" t="s">
        <v>2285</v>
      </c>
    </row>
    <row r="30" spans="1:7" x14ac:dyDescent="0.35">
      <c r="A30" s="144"/>
      <c r="B30" s="144" t="s">
        <v>163</v>
      </c>
      <c r="C30" s="188">
        <v>1</v>
      </c>
      <c r="D30" s="148">
        <v>58</v>
      </c>
      <c r="E30" s="145" t="s">
        <v>56</v>
      </c>
      <c r="F30" s="144" t="s">
        <v>34</v>
      </c>
      <c r="G30" s="144" t="s">
        <v>2252</v>
      </c>
    </row>
    <row r="31" spans="1:7" x14ac:dyDescent="0.35">
      <c r="A31" s="144"/>
      <c r="B31" s="144" t="s">
        <v>163</v>
      </c>
      <c r="C31" s="188">
        <v>1</v>
      </c>
      <c r="D31" s="148">
        <v>26</v>
      </c>
      <c r="E31" s="145" t="s">
        <v>56</v>
      </c>
      <c r="F31" s="144" t="s">
        <v>35</v>
      </c>
      <c r="G31" s="144" t="s">
        <v>2252</v>
      </c>
    </row>
    <row r="32" spans="1:7" x14ac:dyDescent="0.35">
      <c r="A32" s="144" t="s">
        <v>23</v>
      </c>
      <c r="B32" s="144" t="s">
        <v>211</v>
      </c>
      <c r="C32" s="188">
        <v>1</v>
      </c>
      <c r="D32" s="148">
        <v>58</v>
      </c>
      <c r="E32" s="145" t="s">
        <v>62</v>
      </c>
      <c r="F32" s="144" t="s">
        <v>34</v>
      </c>
      <c r="G32" s="144" t="s">
        <v>2253</v>
      </c>
    </row>
    <row r="33" spans="1:7" x14ac:dyDescent="0.35">
      <c r="A33" s="144" t="s">
        <v>23</v>
      </c>
      <c r="B33" s="144" t="s">
        <v>211</v>
      </c>
      <c r="C33" s="188">
        <v>1</v>
      </c>
      <c r="D33" s="148">
        <v>26</v>
      </c>
      <c r="E33" s="145" t="s">
        <v>62</v>
      </c>
      <c r="F33" s="144" t="s">
        <v>35</v>
      </c>
      <c r="G33" s="144" t="s">
        <v>2253</v>
      </c>
    </row>
    <row r="34" spans="1:7" x14ac:dyDescent="0.35">
      <c r="A34" s="144"/>
      <c r="B34" s="144" t="s">
        <v>163</v>
      </c>
      <c r="C34" s="188">
        <v>1</v>
      </c>
      <c r="D34" s="148">
        <v>26</v>
      </c>
      <c r="E34" s="145" t="s">
        <v>56</v>
      </c>
      <c r="F34" s="144" t="s">
        <v>35</v>
      </c>
      <c r="G34" s="144" t="s">
        <v>2254</v>
      </c>
    </row>
    <row r="35" spans="1:7" x14ac:dyDescent="0.35">
      <c r="A35" s="144"/>
      <c r="B35" s="144" t="s">
        <v>163</v>
      </c>
      <c r="C35" s="188">
        <v>1</v>
      </c>
      <c r="D35" s="148">
        <v>26</v>
      </c>
      <c r="E35" s="145" t="s">
        <v>56</v>
      </c>
      <c r="F35" s="144" t="s">
        <v>35</v>
      </c>
      <c r="G35" s="144" t="s">
        <v>2255</v>
      </c>
    </row>
    <row r="36" spans="1:7" x14ac:dyDescent="0.35">
      <c r="A36" s="144"/>
      <c r="B36" s="144" t="s">
        <v>163</v>
      </c>
      <c r="C36" s="188">
        <v>1</v>
      </c>
      <c r="D36" s="148">
        <v>58</v>
      </c>
      <c r="E36" s="145" t="s">
        <v>56</v>
      </c>
      <c r="F36" s="144" t="s">
        <v>34</v>
      </c>
      <c r="G36" s="144" t="s">
        <v>2256</v>
      </c>
    </row>
    <row r="37" spans="1:7" x14ac:dyDescent="0.35">
      <c r="A37" s="144"/>
      <c r="B37" s="144" t="s">
        <v>163</v>
      </c>
      <c r="C37" s="188">
        <v>1</v>
      </c>
      <c r="D37" s="148">
        <v>26</v>
      </c>
      <c r="E37" s="145" t="s">
        <v>56</v>
      </c>
      <c r="F37" s="144" t="s">
        <v>35</v>
      </c>
      <c r="G37" s="144" t="s">
        <v>2256</v>
      </c>
    </row>
    <row r="38" spans="1:7" x14ac:dyDescent="0.35">
      <c r="A38" s="144" t="s">
        <v>23</v>
      </c>
      <c r="B38" s="144" t="s">
        <v>211</v>
      </c>
      <c r="C38" s="188">
        <v>1</v>
      </c>
      <c r="D38" s="148">
        <v>26</v>
      </c>
      <c r="E38" s="145" t="s">
        <v>62</v>
      </c>
      <c r="F38" s="144" t="s">
        <v>35</v>
      </c>
      <c r="G38" s="144" t="s">
        <v>2257</v>
      </c>
    </row>
    <row r="39" spans="1:7" x14ac:dyDescent="0.35">
      <c r="A39" s="144" t="s">
        <v>6</v>
      </c>
      <c r="B39" s="144" t="s">
        <v>88</v>
      </c>
      <c r="C39" s="188">
        <v>1</v>
      </c>
      <c r="D39" s="148">
        <v>26</v>
      </c>
      <c r="E39" s="145" t="s">
        <v>83</v>
      </c>
      <c r="F39" s="144" t="s">
        <v>35</v>
      </c>
      <c r="G39" s="144" t="s">
        <v>2258</v>
      </c>
    </row>
    <row r="40" spans="1:7" x14ac:dyDescent="0.35">
      <c r="A40" s="144" t="s">
        <v>6</v>
      </c>
      <c r="B40" s="144" t="s">
        <v>142</v>
      </c>
      <c r="C40" s="188">
        <v>1</v>
      </c>
      <c r="D40" s="148">
        <v>26</v>
      </c>
      <c r="E40" s="145" t="s">
        <v>44</v>
      </c>
      <c r="F40" s="144" t="s">
        <v>35</v>
      </c>
      <c r="G40" s="144" t="s">
        <v>2259</v>
      </c>
    </row>
    <row r="41" spans="1:7" x14ac:dyDescent="0.35">
      <c r="A41" s="144" t="s">
        <v>6</v>
      </c>
      <c r="B41" s="144" t="s">
        <v>142</v>
      </c>
      <c r="C41" s="188">
        <v>1</v>
      </c>
      <c r="D41" s="148">
        <v>39</v>
      </c>
      <c r="E41" s="145" t="s">
        <v>44</v>
      </c>
      <c r="F41" s="144" t="s">
        <v>36</v>
      </c>
      <c r="G41" s="144" t="s">
        <v>2260</v>
      </c>
    </row>
    <row r="42" spans="1:7" x14ac:dyDescent="0.35">
      <c r="A42" s="144" t="s">
        <v>6</v>
      </c>
      <c r="B42" s="144" t="s">
        <v>142</v>
      </c>
      <c r="C42" s="188">
        <v>1</v>
      </c>
      <c r="D42" s="148">
        <v>26</v>
      </c>
      <c r="E42" s="145" t="s">
        <v>44</v>
      </c>
      <c r="F42" s="144" t="s">
        <v>35</v>
      </c>
      <c r="G42" s="144" t="s">
        <v>2260</v>
      </c>
    </row>
    <row r="43" spans="1:7" x14ac:dyDescent="0.35">
      <c r="A43" s="144" t="s">
        <v>6</v>
      </c>
      <c r="B43" s="144" t="s">
        <v>72</v>
      </c>
      <c r="C43" s="188">
        <v>1</v>
      </c>
      <c r="D43" s="148">
        <v>26</v>
      </c>
      <c r="E43" s="145" t="s">
        <v>1138</v>
      </c>
      <c r="F43" s="144" t="s">
        <v>35</v>
      </c>
      <c r="G43" s="144" t="s">
        <v>2284</v>
      </c>
    </row>
    <row r="44" spans="1:7" x14ac:dyDescent="0.35">
      <c r="A44" s="144"/>
      <c r="B44" s="144" t="s">
        <v>163</v>
      </c>
      <c r="C44" s="188">
        <v>1</v>
      </c>
      <c r="D44" s="148">
        <v>26</v>
      </c>
      <c r="E44" s="145" t="s">
        <v>56</v>
      </c>
      <c r="F44" s="144" t="s">
        <v>35</v>
      </c>
      <c r="G44" s="144" t="s">
        <v>2282</v>
      </c>
    </row>
    <row r="45" spans="1:7" x14ac:dyDescent="0.35">
      <c r="A45" s="144"/>
      <c r="B45" s="144"/>
      <c r="C45" s="188">
        <v>1</v>
      </c>
      <c r="D45" s="148"/>
      <c r="E45" s="145"/>
      <c r="F45" s="144"/>
      <c r="G45" s="144"/>
    </row>
    <row r="46" spans="1:7" x14ac:dyDescent="0.35">
      <c r="A46" s="144"/>
      <c r="B46" s="144"/>
      <c r="C46" s="188">
        <v>1</v>
      </c>
      <c r="D46" s="148"/>
      <c r="E46" s="145"/>
      <c r="F46" s="144"/>
      <c r="G46" s="216"/>
    </row>
    <row r="47" spans="1:7" x14ac:dyDescent="0.35">
      <c r="A47" s="144"/>
      <c r="B47" s="144"/>
      <c r="C47" s="188">
        <v>1</v>
      </c>
      <c r="D47" s="148"/>
      <c r="E47" s="145"/>
      <c r="F47" s="144"/>
      <c r="G47" s="144"/>
    </row>
    <row r="48" spans="1:7" x14ac:dyDescent="0.35">
      <c r="A48" s="144"/>
      <c r="B48" s="144"/>
      <c r="C48" s="188">
        <v>1</v>
      </c>
      <c r="D48" s="148"/>
      <c r="E48" s="145"/>
      <c r="F48" s="144"/>
      <c r="G48" s="144"/>
    </row>
    <row r="49" spans="1:7" x14ac:dyDescent="0.35">
      <c r="A49" s="144"/>
      <c r="B49" s="144"/>
      <c r="C49" s="188">
        <v>1</v>
      </c>
      <c r="D49" s="235"/>
      <c r="E49" s="145"/>
      <c r="F49" s="144"/>
      <c r="G49" s="144"/>
    </row>
    <row r="50" spans="1:7" x14ac:dyDescent="0.35">
      <c r="A50" s="144"/>
      <c r="B50" s="144"/>
      <c r="C50" s="188">
        <v>1</v>
      </c>
      <c r="D50" s="235"/>
      <c r="E50" s="145"/>
      <c r="F50" s="144"/>
      <c r="G50" s="144"/>
    </row>
    <row r="51" spans="1:7" x14ac:dyDescent="0.35">
      <c r="A51" s="144"/>
      <c r="B51" s="144"/>
      <c r="C51" s="188">
        <v>1</v>
      </c>
      <c r="D51" s="235"/>
      <c r="E51" s="145"/>
      <c r="F51" s="144"/>
      <c r="G51" s="144"/>
    </row>
    <row r="52" spans="1:7" x14ac:dyDescent="0.35">
      <c r="A52" s="144"/>
      <c r="B52" s="144"/>
      <c r="C52" s="188">
        <v>1</v>
      </c>
      <c r="D52" s="235"/>
      <c r="E52" s="145"/>
      <c r="F52" s="144"/>
      <c r="G52" s="144"/>
    </row>
    <row r="53" spans="1:7" x14ac:dyDescent="0.35">
      <c r="A53" s="144"/>
      <c r="B53" s="144"/>
      <c r="C53" s="188">
        <v>1</v>
      </c>
      <c r="D53" s="235"/>
      <c r="E53" s="145"/>
      <c r="F53" s="144"/>
      <c r="G53" s="144"/>
    </row>
    <row r="54" spans="1:7" x14ac:dyDescent="0.35">
      <c r="A54" s="144"/>
      <c r="B54" s="144"/>
      <c r="C54" s="188">
        <v>1</v>
      </c>
      <c r="D54" s="235"/>
      <c r="E54" s="145"/>
      <c r="F54" s="144"/>
      <c r="G54" s="144"/>
    </row>
    <row r="55" spans="1:7" x14ac:dyDescent="0.35">
      <c r="A55" s="144"/>
      <c r="B55" s="144"/>
      <c r="C55" s="188">
        <v>1</v>
      </c>
      <c r="D55" s="235"/>
      <c r="E55" s="145"/>
      <c r="F55" s="144"/>
      <c r="G55" s="144"/>
    </row>
    <row r="56" spans="1:7" x14ac:dyDescent="0.35">
      <c r="A56" s="144"/>
      <c r="B56" s="144"/>
      <c r="C56" s="188">
        <v>1</v>
      </c>
      <c r="D56" s="235"/>
      <c r="E56" s="145"/>
      <c r="F56" s="144"/>
      <c r="G56" s="144"/>
    </row>
    <row r="57" spans="1:7" x14ac:dyDescent="0.35">
      <c r="A57" s="144"/>
      <c r="B57" s="144"/>
      <c r="C57" s="188">
        <v>1</v>
      </c>
      <c r="D57" s="235"/>
      <c r="E57" s="145"/>
      <c r="F57" s="144"/>
      <c r="G57" s="144"/>
    </row>
  </sheetData>
  <mergeCells count="1">
    <mergeCell ref="A1:G1"/>
  </mergeCells>
  <pageMargins left="0.7" right="0.7" top="0.75" bottom="0.75" header="0.3" footer="0.3"/>
  <pageSetup paperSize="9" orientation="landscape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9D044-677D-4B39-BCF8-8B13ACAF246F}">
  <dimension ref="A1:H93"/>
  <sheetViews>
    <sheetView workbookViewId="0">
      <selection activeCell="K23" sqref="K23"/>
    </sheetView>
  </sheetViews>
  <sheetFormatPr defaultRowHeight="14.5" x14ac:dyDescent="0.35"/>
  <cols>
    <col min="1" max="1" width="14.7265625" customWidth="1"/>
    <col min="2" max="2" width="19.81640625" customWidth="1"/>
    <col min="3" max="3" width="9.1796875" customWidth="1"/>
    <col min="4" max="4" width="17.54296875" bestFit="1" customWidth="1"/>
    <col min="5" max="5" width="63.26953125" customWidth="1"/>
    <col min="6" max="6" width="42.54296875" customWidth="1"/>
    <col min="7" max="7" width="44.816406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1.75" customHeight="1" x14ac:dyDescent="0.35">
      <c r="A3" s="6" t="s">
        <v>28</v>
      </c>
      <c r="B3" s="218" t="s">
        <v>2360</v>
      </c>
      <c r="C3" s="189"/>
      <c r="D3" s="189"/>
      <c r="E3" s="189"/>
      <c r="F3" s="189"/>
      <c r="G3" s="189"/>
    </row>
    <row r="4" spans="1:7" ht="20.25" customHeight="1" x14ac:dyDescent="0.35">
      <c r="A4" s="8" t="s">
        <v>29</v>
      </c>
      <c r="B4" s="9">
        <v>46153</v>
      </c>
      <c r="C4" s="189"/>
      <c r="D4" s="189"/>
      <c r="E4" s="189"/>
      <c r="F4" s="189"/>
      <c r="G4" s="189"/>
    </row>
    <row r="5" spans="1:7" ht="23.25" customHeight="1" thickBot="1" x14ac:dyDescent="0.4">
      <c r="A5" s="10" t="s">
        <v>30</v>
      </c>
      <c r="B5" s="11" t="s">
        <v>1592</v>
      </c>
      <c r="C5" s="189"/>
      <c r="D5" s="189"/>
      <c r="E5" s="189"/>
      <c r="F5" s="189"/>
      <c r="G5" s="189"/>
    </row>
    <row r="6" spans="1:7" ht="17.25" customHeight="1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243" t="s">
        <v>0</v>
      </c>
      <c r="B8" s="243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35">
      <c r="A9" s="163" t="s">
        <v>6</v>
      </c>
      <c r="B9" s="163" t="s">
        <v>72</v>
      </c>
      <c r="C9" s="188">
        <v>1</v>
      </c>
      <c r="D9" s="148">
        <v>82</v>
      </c>
      <c r="E9" s="144" t="s">
        <v>1138</v>
      </c>
      <c r="F9" s="144" t="s">
        <v>33</v>
      </c>
      <c r="G9" s="144" t="s">
        <v>2306</v>
      </c>
    </row>
    <row r="10" spans="1:7" x14ac:dyDescent="0.35">
      <c r="A10" s="163" t="s">
        <v>23</v>
      </c>
      <c r="B10" s="163" t="s">
        <v>211</v>
      </c>
      <c r="C10" s="188">
        <v>1</v>
      </c>
      <c r="D10" s="148">
        <v>82</v>
      </c>
      <c r="E10" s="144" t="s">
        <v>62</v>
      </c>
      <c r="F10" s="144" t="s">
        <v>33</v>
      </c>
      <c r="G10" s="144" t="s">
        <v>2307</v>
      </c>
    </row>
    <row r="11" spans="1:7" x14ac:dyDescent="0.35">
      <c r="A11" s="163" t="s">
        <v>23</v>
      </c>
      <c r="B11" s="163" t="s">
        <v>211</v>
      </c>
      <c r="C11" s="188">
        <v>1</v>
      </c>
      <c r="D11" s="148">
        <v>82</v>
      </c>
      <c r="E11" s="144" t="s">
        <v>62</v>
      </c>
      <c r="F11" s="144" t="s">
        <v>33</v>
      </c>
      <c r="G11" s="144" t="s">
        <v>2308</v>
      </c>
    </row>
    <row r="12" spans="1:7" x14ac:dyDescent="0.35">
      <c r="A12" s="163" t="s">
        <v>23</v>
      </c>
      <c r="B12" s="163" t="s">
        <v>211</v>
      </c>
      <c r="C12" s="188">
        <v>1</v>
      </c>
      <c r="D12" s="148">
        <v>82</v>
      </c>
      <c r="E12" s="144" t="s">
        <v>62</v>
      </c>
      <c r="F12" s="144" t="s">
        <v>33</v>
      </c>
      <c r="G12" s="144" t="s">
        <v>2309</v>
      </c>
    </row>
    <row r="13" spans="1:7" x14ac:dyDescent="0.35">
      <c r="A13" s="144"/>
      <c r="B13" s="144" t="s">
        <v>163</v>
      </c>
      <c r="C13" s="188">
        <v>1</v>
      </c>
      <c r="D13" s="148">
        <v>82</v>
      </c>
      <c r="E13" s="144" t="s">
        <v>56</v>
      </c>
      <c r="F13" s="144" t="s">
        <v>33</v>
      </c>
      <c r="G13" s="144" t="s">
        <v>2312</v>
      </c>
    </row>
    <row r="14" spans="1:7" x14ac:dyDescent="0.35">
      <c r="A14" s="163" t="s">
        <v>6</v>
      </c>
      <c r="B14" s="163" t="s">
        <v>219</v>
      </c>
      <c r="C14" s="188">
        <v>1</v>
      </c>
      <c r="D14" s="148">
        <v>82</v>
      </c>
      <c r="E14" s="144" t="s">
        <v>876</v>
      </c>
      <c r="F14" s="144" t="s">
        <v>33</v>
      </c>
      <c r="G14" s="144" t="s">
        <v>2310</v>
      </c>
    </row>
    <row r="15" spans="1:7" x14ac:dyDescent="0.35">
      <c r="A15" s="163" t="s">
        <v>23</v>
      </c>
      <c r="B15" s="163" t="s">
        <v>211</v>
      </c>
      <c r="C15" s="188">
        <v>1</v>
      </c>
      <c r="D15" s="148">
        <v>82</v>
      </c>
      <c r="E15" s="144" t="s">
        <v>62</v>
      </c>
      <c r="F15" s="144" t="s">
        <v>33</v>
      </c>
      <c r="G15" s="144" t="s">
        <v>2311</v>
      </c>
    </row>
    <row r="16" spans="1:7" x14ac:dyDescent="0.35">
      <c r="A16" s="166" t="s">
        <v>6</v>
      </c>
      <c r="B16" s="166" t="s">
        <v>88</v>
      </c>
      <c r="C16" s="188">
        <v>1</v>
      </c>
      <c r="D16" s="148">
        <v>82</v>
      </c>
      <c r="E16" s="144" t="s">
        <v>83</v>
      </c>
      <c r="F16" s="144" t="s">
        <v>33</v>
      </c>
      <c r="G16" s="144" t="s">
        <v>2321</v>
      </c>
    </row>
    <row r="17" spans="1:7" x14ac:dyDescent="0.35">
      <c r="A17" s="166" t="s">
        <v>6</v>
      </c>
      <c r="B17" s="166" t="s">
        <v>88</v>
      </c>
      <c r="C17" s="188">
        <v>1</v>
      </c>
      <c r="D17" s="148">
        <v>82</v>
      </c>
      <c r="E17" s="144" t="s">
        <v>83</v>
      </c>
      <c r="F17" s="144" t="s">
        <v>33</v>
      </c>
      <c r="G17" s="144" t="s">
        <v>2313</v>
      </c>
    </row>
    <row r="18" spans="1:7" x14ac:dyDescent="0.35">
      <c r="A18" s="166" t="s">
        <v>6</v>
      </c>
      <c r="B18" s="166" t="s">
        <v>88</v>
      </c>
      <c r="C18" s="188">
        <v>1</v>
      </c>
      <c r="D18" s="148">
        <v>39</v>
      </c>
      <c r="E18" s="144" t="s">
        <v>83</v>
      </c>
      <c r="F18" s="228" t="s">
        <v>36</v>
      </c>
      <c r="G18" s="144" t="s">
        <v>2317</v>
      </c>
    </row>
    <row r="19" spans="1:7" x14ac:dyDescent="0.35">
      <c r="A19" s="163" t="s">
        <v>6</v>
      </c>
      <c r="B19" s="163" t="s">
        <v>72</v>
      </c>
      <c r="C19" s="188">
        <v>1</v>
      </c>
      <c r="D19" s="148">
        <v>39</v>
      </c>
      <c r="E19" s="144" t="s">
        <v>1138</v>
      </c>
      <c r="F19" s="228" t="s">
        <v>36</v>
      </c>
      <c r="G19" s="144" t="s">
        <v>2318</v>
      </c>
    </row>
    <row r="20" spans="1:7" x14ac:dyDescent="0.35">
      <c r="A20" s="163" t="s">
        <v>6</v>
      </c>
      <c r="B20" s="163" t="s">
        <v>72</v>
      </c>
      <c r="C20" s="188">
        <v>1</v>
      </c>
      <c r="D20" s="148">
        <v>58</v>
      </c>
      <c r="E20" s="144" t="s">
        <v>1138</v>
      </c>
      <c r="F20" s="228" t="s">
        <v>34</v>
      </c>
      <c r="G20" s="144" t="s">
        <v>2318</v>
      </c>
    </row>
    <row r="21" spans="1:7" x14ac:dyDescent="0.35">
      <c r="A21" s="166" t="s">
        <v>6</v>
      </c>
      <c r="B21" s="166" t="s">
        <v>142</v>
      </c>
      <c r="C21" s="188">
        <v>1</v>
      </c>
      <c r="D21" s="148">
        <v>82</v>
      </c>
      <c r="E21" s="144" t="s">
        <v>44</v>
      </c>
      <c r="F21" s="144" t="s">
        <v>33</v>
      </c>
      <c r="G21" s="144" t="s">
        <v>2314</v>
      </c>
    </row>
    <row r="22" spans="1:7" x14ac:dyDescent="0.35">
      <c r="A22" s="166" t="s">
        <v>6</v>
      </c>
      <c r="B22" s="166" t="s">
        <v>2279</v>
      </c>
      <c r="C22" s="188">
        <v>1</v>
      </c>
      <c r="D22" s="148">
        <v>26</v>
      </c>
      <c r="E22" s="144" t="s">
        <v>2322</v>
      </c>
      <c r="F22" s="228" t="s">
        <v>35</v>
      </c>
      <c r="G22" s="144" t="s">
        <v>2319</v>
      </c>
    </row>
    <row r="23" spans="1:7" x14ac:dyDescent="0.35">
      <c r="A23" s="166" t="s">
        <v>6</v>
      </c>
      <c r="B23" s="166" t="s">
        <v>2279</v>
      </c>
      <c r="C23" s="188">
        <v>1</v>
      </c>
      <c r="D23" s="148">
        <v>39</v>
      </c>
      <c r="E23" s="144" t="s">
        <v>2322</v>
      </c>
      <c r="F23" s="228" t="s">
        <v>36</v>
      </c>
      <c r="G23" s="144" t="s">
        <v>2320</v>
      </c>
    </row>
    <row r="24" spans="1:7" x14ac:dyDescent="0.35">
      <c r="A24" s="166" t="s">
        <v>6</v>
      </c>
      <c r="B24" s="166" t="s">
        <v>2279</v>
      </c>
      <c r="C24" s="188">
        <v>1</v>
      </c>
      <c r="D24" s="148">
        <v>26</v>
      </c>
      <c r="E24" s="144" t="s">
        <v>2322</v>
      </c>
      <c r="F24" s="228" t="s">
        <v>35</v>
      </c>
      <c r="G24" s="144" t="s">
        <v>2320</v>
      </c>
    </row>
    <row r="25" spans="1:7" x14ac:dyDescent="0.35">
      <c r="A25" s="144"/>
      <c r="B25" s="144" t="s">
        <v>163</v>
      </c>
      <c r="C25" s="188">
        <v>1</v>
      </c>
      <c r="D25" s="148">
        <v>39</v>
      </c>
      <c r="E25" s="144" t="s">
        <v>56</v>
      </c>
      <c r="F25" s="228" t="s">
        <v>36</v>
      </c>
      <c r="G25" s="144" t="s">
        <v>2323</v>
      </c>
    </row>
    <row r="26" spans="1:7" x14ac:dyDescent="0.35">
      <c r="A26" s="166" t="s">
        <v>6</v>
      </c>
      <c r="B26" s="166" t="s">
        <v>142</v>
      </c>
      <c r="C26" s="188">
        <v>1</v>
      </c>
      <c r="D26" s="148">
        <v>39</v>
      </c>
      <c r="E26" s="144" t="s">
        <v>44</v>
      </c>
      <c r="F26" s="228" t="s">
        <v>36</v>
      </c>
      <c r="G26" s="144" t="s">
        <v>2324</v>
      </c>
    </row>
    <row r="27" spans="1:7" x14ac:dyDescent="0.35">
      <c r="A27" s="166" t="s">
        <v>6</v>
      </c>
      <c r="B27" s="166" t="s">
        <v>142</v>
      </c>
      <c r="C27" s="188">
        <v>1</v>
      </c>
      <c r="D27" s="148">
        <v>58</v>
      </c>
      <c r="E27" s="144" t="s">
        <v>44</v>
      </c>
      <c r="F27" s="228" t="s">
        <v>34</v>
      </c>
      <c r="G27" s="144" t="s">
        <v>2324</v>
      </c>
    </row>
    <row r="28" spans="1:7" x14ac:dyDescent="0.35">
      <c r="A28" s="166" t="s">
        <v>6</v>
      </c>
      <c r="B28" s="166" t="s">
        <v>142</v>
      </c>
      <c r="C28" s="188">
        <v>1</v>
      </c>
      <c r="D28" s="148">
        <v>26</v>
      </c>
      <c r="E28" s="144" t="s">
        <v>44</v>
      </c>
      <c r="F28" s="228" t="s">
        <v>35</v>
      </c>
      <c r="G28" s="144" t="s">
        <v>2324</v>
      </c>
    </row>
    <row r="29" spans="1:7" x14ac:dyDescent="0.35">
      <c r="A29" s="163" t="s">
        <v>23</v>
      </c>
      <c r="B29" s="163" t="s">
        <v>211</v>
      </c>
      <c r="C29" s="188">
        <v>1</v>
      </c>
      <c r="D29" s="148">
        <v>26</v>
      </c>
      <c r="E29" s="144" t="s">
        <v>62</v>
      </c>
      <c r="F29" s="228" t="s">
        <v>35</v>
      </c>
      <c r="G29" s="144" t="s">
        <v>2325</v>
      </c>
    </row>
    <row r="30" spans="1:7" x14ac:dyDescent="0.35">
      <c r="A30" s="163" t="s">
        <v>23</v>
      </c>
      <c r="B30" s="163" t="s">
        <v>206</v>
      </c>
      <c r="C30" s="188">
        <v>1</v>
      </c>
      <c r="D30" s="148">
        <v>26</v>
      </c>
      <c r="E30" s="144" t="s">
        <v>63</v>
      </c>
      <c r="F30" s="228" t="s">
        <v>35</v>
      </c>
      <c r="G30" s="144" t="s">
        <v>2326</v>
      </c>
    </row>
    <row r="31" spans="1:7" x14ac:dyDescent="0.35">
      <c r="A31" s="163" t="s">
        <v>6</v>
      </c>
      <c r="B31" s="163" t="s">
        <v>86</v>
      </c>
      <c r="C31" s="188">
        <v>1</v>
      </c>
      <c r="D31" s="148">
        <v>58</v>
      </c>
      <c r="E31" s="144" t="s">
        <v>47</v>
      </c>
      <c r="F31" s="228" t="s">
        <v>34</v>
      </c>
      <c r="G31" s="144" t="s">
        <v>2327</v>
      </c>
    </row>
    <row r="32" spans="1:7" x14ac:dyDescent="0.35">
      <c r="A32" s="166" t="s">
        <v>6</v>
      </c>
      <c r="B32" s="166" t="s">
        <v>2279</v>
      </c>
      <c r="C32" s="188">
        <v>1</v>
      </c>
      <c r="D32" s="148">
        <v>26</v>
      </c>
      <c r="E32" s="144" t="s">
        <v>2322</v>
      </c>
      <c r="F32" s="228" t="s">
        <v>35</v>
      </c>
      <c r="G32" s="144" t="s">
        <v>2328</v>
      </c>
    </row>
    <row r="33" spans="1:7" x14ac:dyDescent="0.35">
      <c r="A33" s="163" t="s">
        <v>23</v>
      </c>
      <c r="B33" s="163" t="s">
        <v>211</v>
      </c>
      <c r="C33" s="188">
        <v>1</v>
      </c>
      <c r="D33" s="148">
        <v>82</v>
      </c>
      <c r="E33" s="144" t="s">
        <v>62</v>
      </c>
      <c r="F33" s="144" t="s">
        <v>33</v>
      </c>
      <c r="G33" s="144" t="s">
        <v>2315</v>
      </c>
    </row>
    <row r="34" spans="1:7" x14ac:dyDescent="0.35">
      <c r="A34" s="163" t="s">
        <v>23</v>
      </c>
      <c r="B34" s="163" t="s">
        <v>211</v>
      </c>
      <c r="C34" s="188">
        <v>1</v>
      </c>
      <c r="D34" s="148">
        <v>82</v>
      </c>
      <c r="E34" s="144" t="s">
        <v>62</v>
      </c>
      <c r="F34" s="144" t="s">
        <v>33</v>
      </c>
      <c r="G34" s="144" t="s">
        <v>2316</v>
      </c>
    </row>
    <row r="35" spans="1:7" x14ac:dyDescent="0.35">
      <c r="A35" s="163" t="s">
        <v>23</v>
      </c>
      <c r="B35" s="163" t="s">
        <v>211</v>
      </c>
      <c r="C35" s="188">
        <v>1</v>
      </c>
      <c r="D35" s="148">
        <v>39</v>
      </c>
      <c r="E35" s="144" t="s">
        <v>62</v>
      </c>
      <c r="F35" s="228" t="s">
        <v>36</v>
      </c>
      <c r="G35" s="144" t="s">
        <v>2329</v>
      </c>
    </row>
    <row r="36" spans="1:7" x14ac:dyDescent="0.35">
      <c r="A36" s="163" t="s">
        <v>6</v>
      </c>
      <c r="B36" s="163" t="s">
        <v>86</v>
      </c>
      <c r="C36" s="188">
        <v>1</v>
      </c>
      <c r="D36" s="148">
        <v>58</v>
      </c>
      <c r="E36" s="144" t="s">
        <v>47</v>
      </c>
      <c r="F36" s="228" t="s">
        <v>34</v>
      </c>
      <c r="G36" s="144" t="s">
        <v>2330</v>
      </c>
    </row>
    <row r="37" spans="1:7" x14ac:dyDescent="0.35">
      <c r="A37" s="163" t="s">
        <v>6</v>
      </c>
      <c r="B37" s="163" t="s">
        <v>86</v>
      </c>
      <c r="C37" s="188">
        <v>1</v>
      </c>
      <c r="D37" s="148">
        <v>26</v>
      </c>
      <c r="E37" s="144" t="s">
        <v>47</v>
      </c>
      <c r="F37" s="228" t="s">
        <v>35</v>
      </c>
      <c r="G37" s="144" t="s">
        <v>2330</v>
      </c>
    </row>
    <row r="38" spans="1:7" x14ac:dyDescent="0.35">
      <c r="A38" s="163" t="s">
        <v>6</v>
      </c>
      <c r="B38" s="163" t="s">
        <v>86</v>
      </c>
      <c r="C38" s="188">
        <v>1</v>
      </c>
      <c r="D38" s="148">
        <v>58</v>
      </c>
      <c r="E38" s="144" t="s">
        <v>47</v>
      </c>
      <c r="F38" s="228" t="s">
        <v>34</v>
      </c>
      <c r="G38" s="144" t="s">
        <v>2331</v>
      </c>
    </row>
    <row r="39" spans="1:7" x14ac:dyDescent="0.35">
      <c r="A39" s="163" t="s">
        <v>6</v>
      </c>
      <c r="B39" s="163" t="s">
        <v>86</v>
      </c>
      <c r="C39" s="188">
        <v>1</v>
      </c>
      <c r="D39" s="148">
        <v>26</v>
      </c>
      <c r="E39" s="144" t="s">
        <v>47</v>
      </c>
      <c r="F39" s="228" t="s">
        <v>35</v>
      </c>
      <c r="G39" s="144" t="s">
        <v>2331</v>
      </c>
    </row>
    <row r="40" spans="1:7" x14ac:dyDescent="0.35">
      <c r="A40" s="144"/>
      <c r="B40" s="144" t="s">
        <v>163</v>
      </c>
      <c r="C40" s="188">
        <v>1</v>
      </c>
      <c r="D40" s="148">
        <v>26</v>
      </c>
      <c r="E40" s="144" t="s">
        <v>56</v>
      </c>
      <c r="F40" s="228" t="s">
        <v>35</v>
      </c>
      <c r="G40" s="144" t="s">
        <v>2332</v>
      </c>
    </row>
    <row r="41" spans="1:7" x14ac:dyDescent="0.35">
      <c r="A41" s="166" t="s">
        <v>6</v>
      </c>
      <c r="B41" s="166" t="s">
        <v>142</v>
      </c>
      <c r="C41" s="188">
        <v>1</v>
      </c>
      <c r="D41" s="148">
        <v>26</v>
      </c>
      <c r="E41" s="144" t="s">
        <v>44</v>
      </c>
      <c r="F41" s="228" t="s">
        <v>35</v>
      </c>
      <c r="G41" s="144" t="s">
        <v>2333</v>
      </c>
    </row>
    <row r="42" spans="1:7" x14ac:dyDescent="0.35">
      <c r="A42" s="163" t="s">
        <v>6</v>
      </c>
      <c r="B42" s="163" t="s">
        <v>72</v>
      </c>
      <c r="C42" s="188">
        <v>1</v>
      </c>
      <c r="D42" s="148">
        <v>58</v>
      </c>
      <c r="E42" s="144" t="s">
        <v>1138</v>
      </c>
      <c r="F42" s="228" t="s">
        <v>34</v>
      </c>
      <c r="G42" s="144" t="s">
        <v>2334</v>
      </c>
    </row>
    <row r="43" spans="1:7" x14ac:dyDescent="0.35">
      <c r="A43" s="163" t="s">
        <v>6</v>
      </c>
      <c r="B43" s="163" t="s">
        <v>72</v>
      </c>
      <c r="C43" s="188">
        <v>1</v>
      </c>
      <c r="D43" s="148">
        <v>26</v>
      </c>
      <c r="E43" s="144" t="s">
        <v>1138</v>
      </c>
      <c r="F43" s="228" t="s">
        <v>35</v>
      </c>
      <c r="G43" s="144" t="s">
        <v>2334</v>
      </c>
    </row>
    <row r="44" spans="1:7" x14ac:dyDescent="0.35">
      <c r="A44" s="163" t="s">
        <v>23</v>
      </c>
      <c r="B44" s="163" t="s">
        <v>211</v>
      </c>
      <c r="C44" s="188">
        <v>1</v>
      </c>
      <c r="D44" s="148">
        <v>39</v>
      </c>
      <c r="E44" s="144" t="s">
        <v>62</v>
      </c>
      <c r="F44" s="228" t="s">
        <v>36</v>
      </c>
      <c r="G44" s="144" t="s">
        <v>2335</v>
      </c>
    </row>
    <row r="45" spans="1:7" x14ac:dyDescent="0.35">
      <c r="A45" s="163" t="s">
        <v>23</v>
      </c>
      <c r="B45" s="163" t="s">
        <v>211</v>
      </c>
      <c r="C45" s="188">
        <v>1</v>
      </c>
      <c r="D45" s="148">
        <v>58</v>
      </c>
      <c r="E45" s="144" t="s">
        <v>62</v>
      </c>
      <c r="F45" s="228" t="s">
        <v>34</v>
      </c>
      <c r="G45" s="144" t="s">
        <v>2335</v>
      </c>
    </row>
    <row r="46" spans="1:7" x14ac:dyDescent="0.35">
      <c r="A46" s="163" t="s">
        <v>6</v>
      </c>
      <c r="B46" s="163" t="s">
        <v>72</v>
      </c>
      <c r="C46" s="188">
        <v>1</v>
      </c>
      <c r="D46" s="148">
        <v>26</v>
      </c>
      <c r="E46" s="144" t="s">
        <v>1138</v>
      </c>
      <c r="F46" s="228" t="s">
        <v>35</v>
      </c>
      <c r="G46" s="144" t="s">
        <v>2336</v>
      </c>
    </row>
    <row r="47" spans="1:7" x14ac:dyDescent="0.35">
      <c r="A47" s="144" t="s">
        <v>6</v>
      </c>
      <c r="B47" s="144" t="s">
        <v>1382</v>
      </c>
      <c r="C47" s="188">
        <v>1</v>
      </c>
      <c r="D47" s="148">
        <v>58</v>
      </c>
      <c r="E47" s="145" t="s">
        <v>51</v>
      </c>
      <c r="F47" s="228" t="s">
        <v>34</v>
      </c>
      <c r="G47" s="144" t="s">
        <v>2337</v>
      </c>
    </row>
    <row r="48" spans="1:7" x14ac:dyDescent="0.35">
      <c r="A48" s="144" t="s">
        <v>6</v>
      </c>
      <c r="B48" s="144" t="s">
        <v>1382</v>
      </c>
      <c r="C48" s="188">
        <v>1</v>
      </c>
      <c r="D48" s="148">
        <v>26</v>
      </c>
      <c r="E48" s="145" t="s">
        <v>51</v>
      </c>
      <c r="F48" s="228" t="s">
        <v>35</v>
      </c>
      <c r="G48" s="144" t="s">
        <v>2337</v>
      </c>
    </row>
    <row r="49" spans="1:7" x14ac:dyDescent="0.35">
      <c r="A49" s="163" t="s">
        <v>6</v>
      </c>
      <c r="B49" s="163" t="s">
        <v>86</v>
      </c>
      <c r="C49" s="188">
        <v>1</v>
      </c>
      <c r="D49" s="148">
        <v>39</v>
      </c>
      <c r="E49" s="144" t="s">
        <v>47</v>
      </c>
      <c r="F49" s="228" t="s">
        <v>36</v>
      </c>
      <c r="G49" s="144" t="s">
        <v>2338</v>
      </c>
    </row>
    <row r="50" spans="1:7" x14ac:dyDescent="0.35">
      <c r="A50" s="163" t="s">
        <v>6</v>
      </c>
      <c r="B50" s="163" t="s">
        <v>72</v>
      </c>
      <c r="C50" s="188">
        <v>1</v>
      </c>
      <c r="D50" s="148">
        <v>39</v>
      </c>
      <c r="E50" s="144" t="s">
        <v>1138</v>
      </c>
      <c r="F50" s="228" t="s">
        <v>36</v>
      </c>
      <c r="G50" s="144" t="s">
        <v>2339</v>
      </c>
    </row>
    <row r="51" spans="1:7" x14ac:dyDescent="0.35">
      <c r="A51" s="163" t="s">
        <v>6</v>
      </c>
      <c r="B51" s="163" t="s">
        <v>72</v>
      </c>
      <c r="C51" s="188">
        <v>1</v>
      </c>
      <c r="D51" s="148">
        <v>58</v>
      </c>
      <c r="E51" s="144" t="s">
        <v>1138</v>
      </c>
      <c r="F51" s="228" t="s">
        <v>34</v>
      </c>
      <c r="G51" s="144" t="s">
        <v>2339</v>
      </c>
    </row>
    <row r="52" spans="1:7" x14ac:dyDescent="0.35">
      <c r="A52" s="144" t="s">
        <v>6</v>
      </c>
      <c r="B52" s="144" t="s">
        <v>1382</v>
      </c>
      <c r="C52" s="188">
        <v>1</v>
      </c>
      <c r="D52" s="148">
        <v>58</v>
      </c>
      <c r="E52" s="145" t="s">
        <v>51</v>
      </c>
      <c r="F52" s="228" t="s">
        <v>34</v>
      </c>
      <c r="G52" s="144" t="s">
        <v>2340</v>
      </c>
    </row>
    <row r="53" spans="1:7" x14ac:dyDescent="0.35">
      <c r="A53" s="144" t="s">
        <v>6</v>
      </c>
      <c r="B53" s="144" t="s">
        <v>1382</v>
      </c>
      <c r="C53" s="188">
        <v>1</v>
      </c>
      <c r="D53" s="148">
        <v>26</v>
      </c>
      <c r="E53" s="145" t="s">
        <v>51</v>
      </c>
      <c r="F53" s="228" t="s">
        <v>35</v>
      </c>
      <c r="G53" s="144" t="s">
        <v>2340</v>
      </c>
    </row>
    <row r="54" spans="1:7" x14ac:dyDescent="0.35">
      <c r="A54" s="163" t="s">
        <v>23</v>
      </c>
      <c r="B54" s="163" t="s">
        <v>211</v>
      </c>
      <c r="C54" s="188">
        <v>1</v>
      </c>
      <c r="D54" s="148">
        <v>26</v>
      </c>
      <c r="E54" s="144" t="s">
        <v>62</v>
      </c>
      <c r="F54" s="228" t="s">
        <v>35</v>
      </c>
      <c r="G54" s="144" t="s">
        <v>2341</v>
      </c>
    </row>
    <row r="55" spans="1:7" x14ac:dyDescent="0.35">
      <c r="A55" s="144" t="s">
        <v>6</v>
      </c>
      <c r="B55" s="144" t="s">
        <v>2279</v>
      </c>
      <c r="C55" s="188">
        <v>1</v>
      </c>
      <c r="D55" s="148">
        <v>26</v>
      </c>
      <c r="E55" s="145" t="s">
        <v>2278</v>
      </c>
      <c r="F55" s="228" t="s">
        <v>35</v>
      </c>
      <c r="G55" s="144" t="s">
        <v>2342</v>
      </c>
    </row>
    <row r="56" spans="1:7" x14ac:dyDescent="0.35">
      <c r="A56" s="144" t="s">
        <v>6</v>
      </c>
      <c r="B56" s="144" t="s">
        <v>142</v>
      </c>
      <c r="C56" s="188">
        <v>1</v>
      </c>
      <c r="D56" s="148">
        <v>26</v>
      </c>
      <c r="E56" s="145" t="s">
        <v>44</v>
      </c>
      <c r="F56" s="228" t="s">
        <v>35</v>
      </c>
      <c r="G56" s="144" t="s">
        <v>2343</v>
      </c>
    </row>
    <row r="57" spans="1:7" x14ac:dyDescent="0.35">
      <c r="A57" s="163" t="s">
        <v>6</v>
      </c>
      <c r="B57" s="163" t="s">
        <v>86</v>
      </c>
      <c r="C57" s="188">
        <v>1</v>
      </c>
      <c r="D57" s="148">
        <v>58</v>
      </c>
      <c r="E57" s="144" t="s">
        <v>47</v>
      </c>
      <c r="F57" s="228" t="s">
        <v>34</v>
      </c>
      <c r="G57" s="144" t="s">
        <v>2344</v>
      </c>
    </row>
    <row r="58" spans="1:7" x14ac:dyDescent="0.35">
      <c r="A58" s="163" t="s">
        <v>6</v>
      </c>
      <c r="B58" s="163" t="s">
        <v>86</v>
      </c>
      <c r="C58" s="188">
        <v>1</v>
      </c>
      <c r="D58" s="148">
        <v>26</v>
      </c>
      <c r="E58" s="144" t="s">
        <v>47</v>
      </c>
      <c r="F58" s="228" t="s">
        <v>35</v>
      </c>
      <c r="G58" s="144" t="s">
        <v>2344</v>
      </c>
    </row>
    <row r="59" spans="1:7" x14ac:dyDescent="0.35">
      <c r="A59" s="163" t="s">
        <v>6</v>
      </c>
      <c r="B59" s="163" t="s">
        <v>86</v>
      </c>
      <c r="C59" s="188">
        <v>1</v>
      </c>
      <c r="D59" s="148">
        <v>58</v>
      </c>
      <c r="E59" s="144" t="s">
        <v>47</v>
      </c>
      <c r="F59" s="228" t="s">
        <v>34</v>
      </c>
      <c r="G59" s="144" t="s">
        <v>2345</v>
      </c>
    </row>
    <row r="60" spans="1:7" x14ac:dyDescent="0.35">
      <c r="A60" s="163" t="s">
        <v>6</v>
      </c>
      <c r="B60" s="163" t="s">
        <v>72</v>
      </c>
      <c r="C60" s="188">
        <v>1</v>
      </c>
      <c r="D60" s="148">
        <v>58</v>
      </c>
      <c r="E60" s="144" t="s">
        <v>1138</v>
      </c>
      <c r="F60" s="228" t="s">
        <v>34</v>
      </c>
      <c r="G60" s="144" t="s">
        <v>2346</v>
      </c>
    </row>
    <row r="61" spans="1:7" x14ac:dyDescent="0.35">
      <c r="A61" s="163" t="s">
        <v>6</v>
      </c>
      <c r="B61" s="163" t="s">
        <v>72</v>
      </c>
      <c r="C61" s="188">
        <v>1</v>
      </c>
      <c r="D61" s="148">
        <v>26</v>
      </c>
      <c r="E61" s="144" t="s">
        <v>1138</v>
      </c>
      <c r="F61" s="228" t="s">
        <v>35</v>
      </c>
      <c r="G61" s="144" t="s">
        <v>2346</v>
      </c>
    </row>
    <row r="62" spans="1:7" x14ac:dyDescent="0.35">
      <c r="A62" s="163" t="s">
        <v>23</v>
      </c>
      <c r="B62" s="163" t="s">
        <v>211</v>
      </c>
      <c r="C62" s="188">
        <v>1</v>
      </c>
      <c r="D62" s="148">
        <v>58</v>
      </c>
      <c r="E62" s="144" t="s">
        <v>62</v>
      </c>
      <c r="F62" s="228" t="s">
        <v>34</v>
      </c>
      <c r="G62" s="144" t="s">
        <v>2347</v>
      </c>
    </row>
    <row r="63" spans="1:7" x14ac:dyDescent="0.35">
      <c r="A63" s="163" t="s">
        <v>23</v>
      </c>
      <c r="B63" s="163" t="s">
        <v>211</v>
      </c>
      <c r="C63" s="188">
        <v>1</v>
      </c>
      <c r="D63" s="148">
        <v>26</v>
      </c>
      <c r="E63" s="144" t="s">
        <v>62</v>
      </c>
      <c r="F63" s="228" t="s">
        <v>35</v>
      </c>
      <c r="G63" s="144" t="s">
        <v>2347</v>
      </c>
    </row>
    <row r="64" spans="1:7" x14ac:dyDescent="0.35">
      <c r="A64" s="163" t="s">
        <v>23</v>
      </c>
      <c r="B64" s="163" t="s">
        <v>211</v>
      </c>
      <c r="C64" s="188">
        <v>1</v>
      </c>
      <c r="D64" s="148">
        <v>39</v>
      </c>
      <c r="E64" s="144" t="s">
        <v>62</v>
      </c>
      <c r="F64" s="228" t="s">
        <v>36</v>
      </c>
      <c r="G64" s="144" t="s">
        <v>2348</v>
      </c>
    </row>
    <row r="65" spans="1:8" x14ac:dyDescent="0.35">
      <c r="A65" s="163" t="s">
        <v>23</v>
      </c>
      <c r="B65" s="163" t="s">
        <v>211</v>
      </c>
      <c r="C65" s="188">
        <v>1</v>
      </c>
      <c r="D65" s="148">
        <v>26</v>
      </c>
      <c r="E65" s="144" t="s">
        <v>62</v>
      </c>
      <c r="F65" s="228" t="s">
        <v>35</v>
      </c>
      <c r="G65" s="144" t="s">
        <v>2349</v>
      </c>
    </row>
    <row r="66" spans="1:8" x14ac:dyDescent="0.35">
      <c r="A66" s="163" t="s">
        <v>23</v>
      </c>
      <c r="B66" s="163" t="s">
        <v>211</v>
      </c>
      <c r="C66" s="188">
        <v>1</v>
      </c>
      <c r="D66" s="148">
        <v>39</v>
      </c>
      <c r="E66" s="144" t="s">
        <v>62</v>
      </c>
      <c r="F66" s="228" t="s">
        <v>36</v>
      </c>
      <c r="G66" s="144" t="s">
        <v>2350</v>
      </c>
    </row>
    <row r="67" spans="1:8" x14ac:dyDescent="0.35">
      <c r="A67" s="163" t="s">
        <v>6</v>
      </c>
      <c r="B67" s="163" t="s">
        <v>72</v>
      </c>
      <c r="C67" s="188">
        <v>1</v>
      </c>
      <c r="D67" s="148">
        <v>39</v>
      </c>
      <c r="E67" s="144" t="s">
        <v>1138</v>
      </c>
      <c r="F67" s="228" t="s">
        <v>36</v>
      </c>
      <c r="G67" s="144" t="s">
        <v>2351</v>
      </c>
    </row>
    <row r="68" spans="1:8" x14ac:dyDescent="0.35">
      <c r="A68" s="163" t="s">
        <v>6</v>
      </c>
      <c r="B68" s="163" t="s">
        <v>72</v>
      </c>
      <c r="C68" s="188">
        <v>1</v>
      </c>
      <c r="D68" s="148">
        <v>39</v>
      </c>
      <c r="E68" s="144" t="s">
        <v>1138</v>
      </c>
      <c r="F68" s="228" t="s">
        <v>36</v>
      </c>
      <c r="G68" s="144" t="s">
        <v>2352</v>
      </c>
    </row>
    <row r="69" spans="1:8" x14ac:dyDescent="0.35">
      <c r="A69" s="163" t="s">
        <v>6</v>
      </c>
      <c r="B69" s="163" t="s">
        <v>2279</v>
      </c>
      <c r="C69" s="188">
        <v>1</v>
      </c>
      <c r="D69" s="148">
        <v>26</v>
      </c>
      <c r="E69" s="145" t="s">
        <v>2278</v>
      </c>
      <c r="F69" s="228" t="s">
        <v>35</v>
      </c>
      <c r="G69" s="144" t="s">
        <v>2353</v>
      </c>
    </row>
    <row r="70" spans="1:8" x14ac:dyDescent="0.35">
      <c r="A70" s="163" t="s">
        <v>6</v>
      </c>
      <c r="B70" s="163" t="s">
        <v>142</v>
      </c>
      <c r="C70" s="188">
        <v>1</v>
      </c>
      <c r="D70" s="148">
        <v>26</v>
      </c>
      <c r="E70" s="144" t="s">
        <v>44</v>
      </c>
      <c r="F70" s="228" t="s">
        <v>35</v>
      </c>
      <c r="G70" s="144" t="s">
        <v>2354</v>
      </c>
    </row>
    <row r="71" spans="1:8" x14ac:dyDescent="0.35">
      <c r="A71" s="163" t="s">
        <v>6</v>
      </c>
      <c r="B71" s="163" t="s">
        <v>2279</v>
      </c>
      <c r="C71" s="188">
        <v>1</v>
      </c>
      <c r="D71" s="148">
        <v>26</v>
      </c>
      <c r="E71" s="145" t="s">
        <v>2278</v>
      </c>
      <c r="F71" s="228" t="s">
        <v>35</v>
      </c>
      <c r="G71" s="144" t="s">
        <v>2355</v>
      </c>
    </row>
    <row r="72" spans="1:8" x14ac:dyDescent="0.35">
      <c r="A72" s="163" t="s">
        <v>6</v>
      </c>
      <c r="B72" s="163" t="s">
        <v>8</v>
      </c>
      <c r="C72" s="188">
        <v>1</v>
      </c>
      <c r="D72" s="148">
        <v>39</v>
      </c>
      <c r="E72" s="14" t="s">
        <v>61</v>
      </c>
      <c r="F72" s="228" t="s">
        <v>36</v>
      </c>
      <c r="G72" s="144" t="s">
        <v>2356</v>
      </c>
    </row>
    <row r="73" spans="1:8" x14ac:dyDescent="0.35">
      <c r="A73" s="163" t="s">
        <v>23</v>
      </c>
      <c r="B73" s="163" t="s">
        <v>211</v>
      </c>
      <c r="C73" s="188">
        <v>1</v>
      </c>
      <c r="D73" s="148">
        <v>39</v>
      </c>
      <c r="E73" s="144" t="s">
        <v>62</v>
      </c>
      <c r="F73" s="228" t="s">
        <v>36</v>
      </c>
      <c r="G73" s="144" t="s">
        <v>2357</v>
      </c>
    </row>
    <row r="74" spans="1:8" x14ac:dyDescent="0.35">
      <c r="A74" s="163" t="s">
        <v>23</v>
      </c>
      <c r="B74" s="163" t="s">
        <v>211</v>
      </c>
      <c r="C74" s="188">
        <v>1</v>
      </c>
      <c r="D74" s="148">
        <v>58</v>
      </c>
      <c r="E74" s="145" t="s">
        <v>62</v>
      </c>
      <c r="F74" s="145" t="s">
        <v>34</v>
      </c>
      <c r="G74" s="145" t="s">
        <v>2357</v>
      </c>
    </row>
    <row r="75" spans="1:8" x14ac:dyDescent="0.35">
      <c r="A75" s="163" t="s">
        <v>6</v>
      </c>
      <c r="B75" s="163" t="s">
        <v>219</v>
      </c>
      <c r="C75" s="188">
        <v>1</v>
      </c>
      <c r="D75" s="148">
        <v>39</v>
      </c>
      <c r="E75" s="145" t="s">
        <v>876</v>
      </c>
      <c r="F75" s="145" t="s">
        <v>36</v>
      </c>
      <c r="G75" s="145" t="s">
        <v>2358</v>
      </c>
    </row>
    <row r="76" spans="1:8" x14ac:dyDescent="0.35">
      <c r="A76" s="144" t="s">
        <v>6</v>
      </c>
      <c r="B76" s="144" t="s">
        <v>1382</v>
      </c>
      <c r="C76" s="188">
        <v>1</v>
      </c>
      <c r="D76" s="148">
        <v>58</v>
      </c>
      <c r="E76" s="145" t="s">
        <v>51</v>
      </c>
      <c r="F76" s="145" t="s">
        <v>34</v>
      </c>
      <c r="G76" s="145" t="s">
        <v>2359</v>
      </c>
      <c r="H76" s="245"/>
    </row>
    <row r="77" spans="1:8" x14ac:dyDescent="0.35">
      <c r="A77" s="144" t="s">
        <v>6</v>
      </c>
      <c r="B77" s="144" t="s">
        <v>1382</v>
      </c>
      <c r="C77" s="188">
        <v>1</v>
      </c>
      <c r="D77" s="148">
        <v>26</v>
      </c>
      <c r="E77" s="145" t="s">
        <v>51</v>
      </c>
      <c r="F77" s="145" t="s">
        <v>35</v>
      </c>
      <c r="G77" s="145" t="s">
        <v>2359</v>
      </c>
      <c r="H77" s="245"/>
    </row>
    <row r="78" spans="1:8" x14ac:dyDescent="0.35">
      <c r="A78" s="144"/>
      <c r="B78" s="144"/>
      <c r="C78" s="188">
        <v>1</v>
      </c>
      <c r="D78" s="144"/>
      <c r="E78" s="144"/>
      <c r="F78" s="144"/>
      <c r="G78" s="144"/>
    </row>
    <row r="79" spans="1:8" x14ac:dyDescent="0.35">
      <c r="A79" s="144"/>
      <c r="B79" s="144"/>
      <c r="C79" s="188">
        <v>1</v>
      </c>
      <c r="D79" s="144"/>
      <c r="E79" s="144"/>
      <c r="F79" s="144"/>
      <c r="G79" s="144"/>
    </row>
    <row r="80" spans="1:8" x14ac:dyDescent="0.35">
      <c r="A80" s="144"/>
      <c r="B80" s="144"/>
      <c r="C80" s="188">
        <v>1</v>
      </c>
      <c r="D80" s="144"/>
      <c r="E80" s="144"/>
      <c r="F80" s="144"/>
      <c r="G80" s="144"/>
    </row>
    <row r="81" spans="1:7" x14ac:dyDescent="0.35">
      <c r="A81" s="144"/>
      <c r="B81" s="144"/>
      <c r="C81" s="188">
        <v>1</v>
      </c>
      <c r="D81" s="144"/>
      <c r="E81" s="144"/>
      <c r="F81" s="144"/>
      <c r="G81" s="144"/>
    </row>
    <row r="82" spans="1:7" x14ac:dyDescent="0.35">
      <c r="A82" s="144"/>
      <c r="B82" s="144"/>
      <c r="C82" s="188">
        <v>1</v>
      </c>
      <c r="D82" s="144"/>
      <c r="E82" s="144"/>
      <c r="F82" s="144"/>
      <c r="G82" s="144"/>
    </row>
    <row r="83" spans="1:7" x14ac:dyDescent="0.35">
      <c r="A83" s="144"/>
      <c r="B83" s="144"/>
      <c r="C83" s="188">
        <v>1</v>
      </c>
      <c r="D83" s="144"/>
      <c r="E83" s="144"/>
      <c r="F83" s="144"/>
      <c r="G83" s="144"/>
    </row>
    <row r="84" spans="1:7" x14ac:dyDescent="0.35">
      <c r="A84" s="144"/>
      <c r="B84" s="144"/>
      <c r="C84" s="188">
        <v>1</v>
      </c>
      <c r="D84" s="144"/>
      <c r="E84" s="144"/>
      <c r="F84" s="144"/>
      <c r="G84" s="144"/>
    </row>
    <row r="85" spans="1:7" x14ac:dyDescent="0.35">
      <c r="A85" s="144"/>
      <c r="B85" s="144"/>
      <c r="C85" s="188">
        <v>1</v>
      </c>
      <c r="D85" s="144"/>
      <c r="E85" s="144"/>
      <c r="F85" s="144"/>
      <c r="G85" s="144"/>
    </row>
    <row r="86" spans="1:7" x14ac:dyDescent="0.35">
      <c r="A86" s="144"/>
      <c r="B86" s="144"/>
      <c r="C86" s="188">
        <v>1</v>
      </c>
      <c r="D86" s="144"/>
      <c r="E86" s="144"/>
      <c r="F86" s="144"/>
      <c r="G86" s="144"/>
    </row>
    <row r="87" spans="1:7" x14ac:dyDescent="0.35">
      <c r="A87" s="144"/>
      <c r="B87" s="144"/>
      <c r="C87" s="188">
        <v>1</v>
      </c>
      <c r="D87" s="144"/>
      <c r="E87" s="144"/>
      <c r="F87" s="144"/>
      <c r="G87" s="144"/>
    </row>
    <row r="88" spans="1:7" x14ac:dyDescent="0.35">
      <c r="A88" s="144"/>
      <c r="B88" s="144"/>
      <c r="C88" s="188">
        <v>1</v>
      </c>
      <c r="D88" s="144"/>
      <c r="E88" s="144"/>
      <c r="F88" s="144"/>
      <c r="G88" s="144"/>
    </row>
    <row r="89" spans="1:7" x14ac:dyDescent="0.35">
      <c r="A89" s="144"/>
      <c r="B89" s="144"/>
      <c r="C89" s="188">
        <v>1</v>
      </c>
      <c r="D89" s="144"/>
      <c r="E89" s="144"/>
      <c r="F89" s="144"/>
      <c r="G89" s="144"/>
    </row>
    <row r="90" spans="1:7" x14ac:dyDescent="0.35">
      <c r="A90" s="144"/>
      <c r="B90" s="144"/>
      <c r="C90" s="188">
        <v>1</v>
      </c>
      <c r="D90" s="144"/>
      <c r="E90" s="144"/>
      <c r="F90" s="144"/>
      <c r="G90" s="144"/>
    </row>
    <row r="91" spans="1:7" x14ac:dyDescent="0.35">
      <c r="A91" s="144"/>
      <c r="B91" s="144"/>
      <c r="C91" s="188">
        <v>1</v>
      </c>
      <c r="D91" s="144"/>
      <c r="E91" s="144"/>
      <c r="F91" s="144"/>
      <c r="G91" s="144"/>
    </row>
    <row r="92" spans="1:7" x14ac:dyDescent="0.35">
      <c r="A92" s="144"/>
      <c r="B92" s="144"/>
      <c r="C92" s="188">
        <v>1</v>
      </c>
      <c r="D92" s="144"/>
      <c r="E92" s="144"/>
      <c r="F92" s="144"/>
      <c r="G92" s="144"/>
    </row>
    <row r="93" spans="1:7" x14ac:dyDescent="0.35">
      <c r="A93" s="144"/>
      <c r="B93" s="144"/>
      <c r="C93" s="188">
        <v>1</v>
      </c>
      <c r="D93" s="144"/>
      <c r="E93" s="144"/>
      <c r="F93" s="144"/>
      <c r="G93" s="144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B7B63-7BCF-4C4D-99E7-E1D0CE6F8428}">
  <dimension ref="A1:H77"/>
  <sheetViews>
    <sheetView tabSelected="1" topLeftCell="A15" workbookViewId="0">
      <selection activeCell="E15" sqref="E15"/>
    </sheetView>
  </sheetViews>
  <sheetFormatPr defaultRowHeight="14.5" x14ac:dyDescent="0.35"/>
  <cols>
    <col min="1" max="1" width="14.7265625" customWidth="1"/>
    <col min="2" max="2" width="19.81640625" customWidth="1"/>
    <col min="3" max="3" width="9.1796875" customWidth="1"/>
    <col min="4" max="4" width="17.54296875" bestFit="1" customWidth="1"/>
    <col min="5" max="5" width="63.26953125" customWidth="1"/>
    <col min="6" max="6" width="42.54296875" customWidth="1"/>
    <col min="7" max="7" width="44.81640625" customWidth="1"/>
  </cols>
  <sheetData>
    <row r="1" spans="1:7" ht="26" x14ac:dyDescent="0.35">
      <c r="A1" s="254" t="s">
        <v>27</v>
      </c>
      <c r="B1" s="254"/>
      <c r="C1" s="254"/>
      <c r="D1" s="254"/>
      <c r="E1" s="254"/>
      <c r="F1" s="254"/>
      <c r="G1" s="254"/>
    </row>
    <row r="2" spans="1:7" ht="26.5" thickBot="1" x14ac:dyDescent="0.4">
      <c r="A2" s="189"/>
      <c r="B2" s="189"/>
      <c r="C2" s="189"/>
      <c r="D2" s="189"/>
      <c r="E2" s="189"/>
      <c r="F2" s="189"/>
      <c r="G2" s="189"/>
    </row>
    <row r="3" spans="1:7" ht="21.75" customHeight="1" x14ac:dyDescent="0.35">
      <c r="A3" s="6" t="s">
        <v>28</v>
      </c>
      <c r="B3" s="218" t="s">
        <v>2418</v>
      </c>
      <c r="C3" s="189"/>
      <c r="D3" s="189"/>
      <c r="E3" s="189"/>
      <c r="F3" s="189"/>
      <c r="G3" s="189"/>
    </row>
    <row r="4" spans="1:7" ht="20.25" customHeight="1" x14ac:dyDescent="0.35">
      <c r="A4" s="8" t="s">
        <v>29</v>
      </c>
      <c r="B4" s="9">
        <v>46185</v>
      </c>
      <c r="C4" s="189"/>
      <c r="D4" s="189"/>
      <c r="E4" s="189"/>
      <c r="F4" s="189"/>
      <c r="G4" s="189"/>
    </row>
    <row r="5" spans="1:7" ht="23.25" customHeight="1" thickBot="1" x14ac:dyDescent="0.4">
      <c r="A5" s="10" t="s">
        <v>30</v>
      </c>
      <c r="B5" s="11" t="s">
        <v>2419</v>
      </c>
      <c r="C5" s="189"/>
      <c r="D5" s="189"/>
      <c r="E5" s="189"/>
      <c r="F5" s="189"/>
      <c r="G5" s="189"/>
    </row>
    <row r="6" spans="1:7" ht="17.25" customHeight="1" x14ac:dyDescent="0.35">
      <c r="A6" s="1"/>
      <c r="B6" s="190"/>
      <c r="C6" s="189"/>
      <c r="D6" s="189"/>
      <c r="E6" s="189"/>
      <c r="F6" s="189"/>
      <c r="G6" s="189"/>
    </row>
    <row r="8" spans="1:7" x14ac:dyDescent="0.35">
      <c r="A8" s="243" t="s">
        <v>0</v>
      </c>
      <c r="B8" s="243" t="s">
        <v>1</v>
      </c>
      <c r="C8" s="238" t="s">
        <v>71</v>
      </c>
      <c r="D8" s="239" t="s">
        <v>2</v>
      </c>
      <c r="E8" s="238" t="s">
        <v>4</v>
      </c>
      <c r="F8" s="238" t="s">
        <v>81</v>
      </c>
      <c r="G8" s="238" t="s">
        <v>77</v>
      </c>
    </row>
    <row r="9" spans="1:7" x14ac:dyDescent="0.35">
      <c r="A9" s="163" t="s">
        <v>6</v>
      </c>
      <c r="B9" s="163" t="s">
        <v>219</v>
      </c>
      <c r="C9" s="188">
        <v>1</v>
      </c>
      <c r="D9" s="148">
        <v>146.30000000000001</v>
      </c>
      <c r="E9" s="145" t="s">
        <v>876</v>
      </c>
      <c r="F9" s="144" t="s">
        <v>989</v>
      </c>
      <c r="G9" s="144" t="s">
        <v>2364</v>
      </c>
    </row>
    <row r="10" spans="1:7" x14ac:dyDescent="0.35">
      <c r="A10" s="144"/>
      <c r="B10" s="144" t="s">
        <v>163</v>
      </c>
      <c r="C10" s="188">
        <v>1</v>
      </c>
      <c r="D10" s="148">
        <v>146.30000000000001</v>
      </c>
      <c r="E10" s="144" t="s">
        <v>56</v>
      </c>
      <c r="F10" s="144" t="s">
        <v>989</v>
      </c>
      <c r="G10" s="144" t="s">
        <v>2365</v>
      </c>
    </row>
    <row r="11" spans="1:7" x14ac:dyDescent="0.35">
      <c r="A11" s="163" t="s">
        <v>6</v>
      </c>
      <c r="B11" s="163" t="s">
        <v>86</v>
      </c>
      <c r="C11" s="188">
        <v>1</v>
      </c>
      <c r="D11" s="148">
        <v>176</v>
      </c>
      <c r="E11" s="144" t="s">
        <v>47</v>
      </c>
      <c r="F11" s="144" t="s">
        <v>992</v>
      </c>
      <c r="G11" s="144" t="s">
        <v>2366</v>
      </c>
    </row>
    <row r="12" spans="1:7" x14ac:dyDescent="0.35">
      <c r="A12" s="163" t="s">
        <v>6</v>
      </c>
      <c r="B12" s="163" t="s">
        <v>86</v>
      </c>
      <c r="C12" s="188">
        <v>1</v>
      </c>
      <c r="D12" s="148">
        <v>26</v>
      </c>
      <c r="E12" s="144" t="s">
        <v>47</v>
      </c>
      <c r="F12" s="228" t="s">
        <v>35</v>
      </c>
      <c r="G12" s="144" t="s">
        <v>2367</v>
      </c>
    </row>
    <row r="13" spans="1:7" x14ac:dyDescent="0.35">
      <c r="A13" s="144"/>
      <c r="B13" s="144" t="s">
        <v>163</v>
      </c>
      <c r="C13" s="188">
        <v>1</v>
      </c>
      <c r="D13" s="148">
        <v>26</v>
      </c>
      <c r="E13" s="144" t="s">
        <v>56</v>
      </c>
      <c r="F13" s="228" t="s">
        <v>35</v>
      </c>
      <c r="G13" s="144" t="s">
        <v>2368</v>
      </c>
    </row>
    <row r="14" spans="1:7" x14ac:dyDescent="0.35">
      <c r="A14" s="144"/>
      <c r="B14" s="144" t="s">
        <v>163</v>
      </c>
      <c r="C14" s="188">
        <v>1</v>
      </c>
      <c r="D14" s="148">
        <v>58</v>
      </c>
      <c r="E14" s="144" t="s">
        <v>56</v>
      </c>
      <c r="F14" s="145" t="s">
        <v>34</v>
      </c>
      <c r="G14" s="144" t="s">
        <v>2368</v>
      </c>
    </row>
    <row r="15" spans="1:7" x14ac:dyDescent="0.35">
      <c r="A15" s="163" t="s">
        <v>6</v>
      </c>
      <c r="B15" s="163" t="s">
        <v>72</v>
      </c>
      <c r="C15" s="188">
        <v>1</v>
      </c>
      <c r="D15" s="148">
        <v>39</v>
      </c>
      <c r="E15" s="144" t="s">
        <v>1138</v>
      </c>
      <c r="F15" s="145" t="s">
        <v>36</v>
      </c>
      <c r="G15" s="144" t="s">
        <v>2369</v>
      </c>
    </row>
    <row r="16" spans="1:7" x14ac:dyDescent="0.35">
      <c r="A16" s="163" t="s">
        <v>6</v>
      </c>
      <c r="B16" s="163" t="s">
        <v>72</v>
      </c>
      <c r="C16" s="188">
        <v>1</v>
      </c>
      <c r="D16" s="148">
        <v>39</v>
      </c>
      <c r="E16" s="144" t="s">
        <v>1138</v>
      </c>
      <c r="F16" s="145" t="s">
        <v>36</v>
      </c>
      <c r="G16" s="144" t="s">
        <v>2370</v>
      </c>
    </row>
    <row r="17" spans="1:7" x14ac:dyDescent="0.35">
      <c r="A17" s="163" t="s">
        <v>6</v>
      </c>
      <c r="B17" s="163" t="s">
        <v>142</v>
      </c>
      <c r="C17" s="188">
        <v>1</v>
      </c>
      <c r="D17" s="148">
        <v>26</v>
      </c>
      <c r="E17" s="144" t="s">
        <v>44</v>
      </c>
      <c r="F17" s="228" t="s">
        <v>35</v>
      </c>
      <c r="G17" s="144" t="s">
        <v>2371</v>
      </c>
    </row>
    <row r="18" spans="1:7" x14ac:dyDescent="0.35">
      <c r="A18" s="163" t="s">
        <v>23</v>
      </c>
      <c r="B18" s="163" t="s">
        <v>211</v>
      </c>
      <c r="C18" s="188">
        <v>1</v>
      </c>
      <c r="D18" s="148">
        <v>26</v>
      </c>
      <c r="E18" s="144" t="s">
        <v>62</v>
      </c>
      <c r="F18" s="228" t="s">
        <v>35</v>
      </c>
      <c r="G18" s="144" t="s">
        <v>2372</v>
      </c>
    </row>
    <row r="19" spans="1:7" x14ac:dyDescent="0.35">
      <c r="A19" s="163" t="s">
        <v>6</v>
      </c>
      <c r="B19" s="163" t="s">
        <v>86</v>
      </c>
      <c r="C19" s="188">
        <v>1</v>
      </c>
      <c r="D19" s="148">
        <v>26</v>
      </c>
      <c r="E19" s="144" t="s">
        <v>47</v>
      </c>
      <c r="F19" s="228" t="s">
        <v>35</v>
      </c>
      <c r="G19" s="144" t="s">
        <v>2373</v>
      </c>
    </row>
    <row r="20" spans="1:7" x14ac:dyDescent="0.35">
      <c r="A20" s="144"/>
      <c r="B20" s="144" t="s">
        <v>163</v>
      </c>
      <c r="C20" s="188">
        <v>1</v>
      </c>
      <c r="D20" s="148">
        <v>26</v>
      </c>
      <c r="E20" s="144" t="s">
        <v>56</v>
      </c>
      <c r="F20" s="228" t="s">
        <v>35</v>
      </c>
      <c r="G20" s="144" t="s">
        <v>2374</v>
      </c>
    </row>
    <row r="21" spans="1:7" x14ac:dyDescent="0.35">
      <c r="A21" s="144"/>
      <c r="B21" s="144" t="s">
        <v>163</v>
      </c>
      <c r="C21" s="188">
        <v>1</v>
      </c>
      <c r="D21" s="148">
        <v>58</v>
      </c>
      <c r="E21" s="144" t="s">
        <v>56</v>
      </c>
      <c r="F21" s="145" t="s">
        <v>34</v>
      </c>
      <c r="G21" s="144" t="s">
        <v>2374</v>
      </c>
    </row>
    <row r="22" spans="1:7" x14ac:dyDescent="0.35">
      <c r="A22" s="163" t="s">
        <v>23</v>
      </c>
      <c r="B22" s="163" t="s">
        <v>211</v>
      </c>
      <c r="C22" s="188">
        <v>1</v>
      </c>
      <c r="D22" s="148">
        <v>26</v>
      </c>
      <c r="E22" s="144" t="s">
        <v>62</v>
      </c>
      <c r="F22" s="145" t="s">
        <v>35</v>
      </c>
      <c r="G22" s="144" t="s">
        <v>2375</v>
      </c>
    </row>
    <row r="23" spans="1:7" x14ac:dyDescent="0.35">
      <c r="A23" s="163" t="s">
        <v>23</v>
      </c>
      <c r="B23" s="163" t="s">
        <v>211</v>
      </c>
      <c r="C23" s="188">
        <v>1</v>
      </c>
      <c r="D23" s="148">
        <v>58</v>
      </c>
      <c r="E23" s="144" t="s">
        <v>62</v>
      </c>
      <c r="F23" s="145" t="s">
        <v>34</v>
      </c>
      <c r="G23" s="144" t="s">
        <v>2375</v>
      </c>
    </row>
    <row r="24" spans="1:7" x14ac:dyDescent="0.35">
      <c r="A24" s="163" t="s">
        <v>6</v>
      </c>
      <c r="B24" s="163" t="s">
        <v>86</v>
      </c>
      <c r="C24" s="188">
        <v>1</v>
      </c>
      <c r="D24" s="148">
        <v>39</v>
      </c>
      <c r="E24" s="144" t="s">
        <v>47</v>
      </c>
      <c r="F24" s="145" t="s">
        <v>36</v>
      </c>
      <c r="G24" s="144" t="s">
        <v>2376</v>
      </c>
    </row>
    <row r="25" spans="1:7" x14ac:dyDescent="0.35">
      <c r="A25" s="163" t="s">
        <v>6</v>
      </c>
      <c r="B25" s="163" t="s">
        <v>86</v>
      </c>
      <c r="C25" s="188">
        <v>1</v>
      </c>
      <c r="D25" s="148">
        <v>146.30000000000001</v>
      </c>
      <c r="E25" s="144" t="s">
        <v>47</v>
      </c>
      <c r="F25" s="144" t="s">
        <v>989</v>
      </c>
      <c r="G25" s="144" t="s">
        <v>2377</v>
      </c>
    </row>
    <row r="26" spans="1:7" x14ac:dyDescent="0.35">
      <c r="A26" s="163" t="s">
        <v>6</v>
      </c>
      <c r="B26" s="163" t="s">
        <v>219</v>
      </c>
      <c r="C26" s="188">
        <v>1</v>
      </c>
      <c r="D26" s="148">
        <v>176</v>
      </c>
      <c r="E26" s="145" t="s">
        <v>876</v>
      </c>
      <c r="F26" s="144" t="s">
        <v>992</v>
      </c>
      <c r="G26" s="144" t="s">
        <v>2378</v>
      </c>
    </row>
    <row r="27" spans="1:7" x14ac:dyDescent="0.35">
      <c r="A27" s="163" t="s">
        <v>6</v>
      </c>
      <c r="B27" s="163" t="s">
        <v>142</v>
      </c>
      <c r="C27" s="188">
        <v>1</v>
      </c>
      <c r="D27" s="148">
        <v>26</v>
      </c>
      <c r="E27" s="144" t="s">
        <v>44</v>
      </c>
      <c r="F27" s="145" t="s">
        <v>35</v>
      </c>
      <c r="G27" s="144" t="s">
        <v>2379</v>
      </c>
    </row>
    <row r="28" spans="1:7" x14ac:dyDescent="0.35">
      <c r="A28" s="163" t="s">
        <v>6</v>
      </c>
      <c r="B28" s="163" t="s">
        <v>86</v>
      </c>
      <c r="C28" s="188">
        <v>1</v>
      </c>
      <c r="D28" s="148">
        <v>39</v>
      </c>
      <c r="E28" s="144" t="s">
        <v>47</v>
      </c>
      <c r="F28" s="145" t="s">
        <v>36</v>
      </c>
      <c r="G28" s="144" t="s">
        <v>2380</v>
      </c>
    </row>
    <row r="29" spans="1:7" x14ac:dyDescent="0.35">
      <c r="A29" s="163" t="s">
        <v>6</v>
      </c>
      <c r="B29" s="163" t="s">
        <v>142</v>
      </c>
      <c r="C29" s="188">
        <v>1</v>
      </c>
      <c r="D29" s="148">
        <v>26</v>
      </c>
      <c r="E29" s="144" t="s">
        <v>44</v>
      </c>
      <c r="F29" s="145" t="s">
        <v>35</v>
      </c>
      <c r="G29" s="144" t="s">
        <v>2381</v>
      </c>
    </row>
    <row r="30" spans="1:7" x14ac:dyDescent="0.35">
      <c r="A30" s="163" t="s">
        <v>23</v>
      </c>
      <c r="B30" s="163" t="s">
        <v>211</v>
      </c>
      <c r="C30" s="188">
        <v>1</v>
      </c>
      <c r="D30" s="148">
        <v>58</v>
      </c>
      <c r="E30" s="144" t="s">
        <v>62</v>
      </c>
      <c r="F30" s="145" t="s">
        <v>34</v>
      </c>
      <c r="G30" s="144" t="s">
        <v>2382</v>
      </c>
    </row>
    <row r="31" spans="1:7" x14ac:dyDescent="0.35">
      <c r="A31" s="163" t="s">
        <v>23</v>
      </c>
      <c r="B31" s="163" t="s">
        <v>211</v>
      </c>
      <c r="C31" s="188">
        <v>1</v>
      </c>
      <c r="D31" s="148">
        <v>176</v>
      </c>
      <c r="E31" s="144" t="s">
        <v>62</v>
      </c>
      <c r="F31" s="144" t="s">
        <v>992</v>
      </c>
      <c r="G31" s="144" t="s">
        <v>2383</v>
      </c>
    </row>
    <row r="32" spans="1:7" x14ac:dyDescent="0.35">
      <c r="A32" s="163" t="s">
        <v>6</v>
      </c>
      <c r="B32" s="163" t="s">
        <v>219</v>
      </c>
      <c r="C32" s="188">
        <v>1</v>
      </c>
      <c r="D32" s="148">
        <v>176</v>
      </c>
      <c r="E32" s="145" t="s">
        <v>876</v>
      </c>
      <c r="F32" s="144" t="s">
        <v>992</v>
      </c>
      <c r="G32" s="144" t="s">
        <v>2384</v>
      </c>
    </row>
    <row r="33" spans="1:7" x14ac:dyDescent="0.35">
      <c r="A33" s="163" t="s">
        <v>6</v>
      </c>
      <c r="B33" s="163" t="s">
        <v>142</v>
      </c>
      <c r="C33" s="188">
        <v>1</v>
      </c>
      <c r="D33" s="148">
        <v>58</v>
      </c>
      <c r="E33" s="144" t="s">
        <v>44</v>
      </c>
      <c r="F33" s="145" t="s">
        <v>34</v>
      </c>
      <c r="G33" s="144" t="s">
        <v>2385</v>
      </c>
    </row>
    <row r="34" spans="1:7" x14ac:dyDescent="0.35">
      <c r="A34" s="163" t="s">
        <v>6</v>
      </c>
      <c r="B34" s="163" t="s">
        <v>72</v>
      </c>
      <c r="C34" s="188">
        <v>1</v>
      </c>
      <c r="D34" s="148">
        <v>58</v>
      </c>
      <c r="E34" s="144" t="s">
        <v>1138</v>
      </c>
      <c r="F34" s="145" t="s">
        <v>34</v>
      </c>
      <c r="G34" s="144" t="s">
        <v>2386</v>
      </c>
    </row>
    <row r="35" spans="1:7" x14ac:dyDescent="0.35">
      <c r="A35" s="163" t="s">
        <v>23</v>
      </c>
      <c r="B35" s="163" t="s">
        <v>211</v>
      </c>
      <c r="C35" s="188">
        <v>1</v>
      </c>
      <c r="D35" s="148">
        <v>146.30000000000001</v>
      </c>
      <c r="E35" s="144" t="s">
        <v>62</v>
      </c>
      <c r="F35" s="144" t="s">
        <v>989</v>
      </c>
      <c r="G35" s="144" t="s">
        <v>2387</v>
      </c>
    </row>
    <row r="36" spans="1:7" x14ac:dyDescent="0.35">
      <c r="A36" s="163" t="s">
        <v>6</v>
      </c>
      <c r="B36" s="163" t="s">
        <v>142</v>
      </c>
      <c r="C36" s="188">
        <v>1</v>
      </c>
      <c r="D36" s="148">
        <v>176</v>
      </c>
      <c r="E36" s="144" t="s">
        <v>44</v>
      </c>
      <c r="F36" s="144" t="s">
        <v>992</v>
      </c>
      <c r="G36" s="144" t="s">
        <v>2388</v>
      </c>
    </row>
    <row r="37" spans="1:7" x14ac:dyDescent="0.35">
      <c r="A37" s="163" t="s">
        <v>23</v>
      </c>
      <c r="B37" s="163" t="s">
        <v>211</v>
      </c>
      <c r="C37" s="188">
        <v>1</v>
      </c>
      <c r="D37" s="148">
        <v>176</v>
      </c>
      <c r="E37" s="144" t="s">
        <v>62</v>
      </c>
      <c r="F37" s="144" t="s">
        <v>992</v>
      </c>
      <c r="G37" s="144" t="s">
        <v>2389</v>
      </c>
    </row>
    <row r="38" spans="1:7" x14ac:dyDescent="0.35">
      <c r="A38" s="163" t="s">
        <v>23</v>
      </c>
      <c r="B38" s="163" t="s">
        <v>211</v>
      </c>
      <c r="C38" s="188">
        <v>1</v>
      </c>
      <c r="D38" s="148">
        <v>176</v>
      </c>
      <c r="E38" s="144" t="s">
        <v>62</v>
      </c>
      <c r="F38" s="144" t="s">
        <v>992</v>
      </c>
      <c r="G38" s="144" t="s">
        <v>2390</v>
      </c>
    </row>
    <row r="39" spans="1:7" x14ac:dyDescent="0.35">
      <c r="A39" s="163" t="s">
        <v>23</v>
      </c>
      <c r="B39" s="163" t="s">
        <v>211</v>
      </c>
      <c r="C39" s="188">
        <v>1</v>
      </c>
      <c r="D39" s="148">
        <v>176</v>
      </c>
      <c r="E39" s="144" t="s">
        <v>62</v>
      </c>
      <c r="F39" s="144" t="s">
        <v>992</v>
      </c>
      <c r="G39" s="144" t="s">
        <v>2391</v>
      </c>
    </row>
    <row r="40" spans="1:7" x14ac:dyDescent="0.35">
      <c r="A40" s="163" t="s">
        <v>6</v>
      </c>
      <c r="B40" s="163" t="s">
        <v>219</v>
      </c>
      <c r="C40" s="188">
        <v>1</v>
      </c>
      <c r="D40" s="148">
        <v>146.30000000000001</v>
      </c>
      <c r="E40" s="145" t="s">
        <v>876</v>
      </c>
      <c r="F40" s="144" t="s">
        <v>989</v>
      </c>
      <c r="G40" s="144" t="s">
        <v>2392</v>
      </c>
    </row>
    <row r="41" spans="1:7" x14ac:dyDescent="0.35">
      <c r="A41" s="163" t="s">
        <v>6</v>
      </c>
      <c r="B41" s="163" t="s">
        <v>72</v>
      </c>
      <c r="C41" s="188">
        <v>1</v>
      </c>
      <c r="D41" s="148">
        <v>58</v>
      </c>
      <c r="E41" s="144" t="s">
        <v>1138</v>
      </c>
      <c r="F41" s="145" t="s">
        <v>34</v>
      </c>
      <c r="G41" s="144" t="s">
        <v>2393</v>
      </c>
    </row>
    <row r="42" spans="1:7" x14ac:dyDescent="0.35">
      <c r="A42" s="163" t="s">
        <v>6</v>
      </c>
      <c r="B42" s="163" t="s">
        <v>72</v>
      </c>
      <c r="C42" s="188">
        <v>1</v>
      </c>
      <c r="D42" s="148">
        <v>39</v>
      </c>
      <c r="E42" s="144" t="s">
        <v>1138</v>
      </c>
      <c r="F42" s="145" t="s">
        <v>36</v>
      </c>
      <c r="G42" s="144" t="s">
        <v>2393</v>
      </c>
    </row>
    <row r="43" spans="1:7" x14ac:dyDescent="0.35">
      <c r="A43" s="144"/>
      <c r="B43" s="144" t="s">
        <v>163</v>
      </c>
      <c r="C43" s="188">
        <v>1</v>
      </c>
      <c r="D43" s="148">
        <v>146.30000000000001</v>
      </c>
      <c r="E43" s="144" t="s">
        <v>56</v>
      </c>
      <c r="F43" s="144" t="s">
        <v>989</v>
      </c>
      <c r="G43" s="144" t="s">
        <v>2394</v>
      </c>
    </row>
    <row r="44" spans="1:7" x14ac:dyDescent="0.35">
      <c r="A44" s="144"/>
      <c r="B44" s="144" t="s">
        <v>163</v>
      </c>
      <c r="C44" s="188">
        <v>1</v>
      </c>
      <c r="D44" s="148">
        <v>146.30000000000001</v>
      </c>
      <c r="E44" s="144" t="s">
        <v>56</v>
      </c>
      <c r="F44" s="144" t="s">
        <v>989</v>
      </c>
      <c r="G44" s="144" t="s">
        <v>2395</v>
      </c>
    </row>
    <row r="45" spans="1:7" x14ac:dyDescent="0.35">
      <c r="A45" s="163" t="s">
        <v>23</v>
      </c>
      <c r="B45" s="163" t="s">
        <v>211</v>
      </c>
      <c r="C45" s="188">
        <v>1</v>
      </c>
      <c r="D45" s="148">
        <v>146.30000000000001</v>
      </c>
      <c r="E45" s="144" t="s">
        <v>62</v>
      </c>
      <c r="F45" s="144" t="s">
        <v>989</v>
      </c>
      <c r="G45" s="144" t="s">
        <v>2396</v>
      </c>
    </row>
    <row r="46" spans="1:7" x14ac:dyDescent="0.35">
      <c r="A46" s="144"/>
      <c r="B46" s="144" t="s">
        <v>163</v>
      </c>
      <c r="C46" s="188">
        <v>1</v>
      </c>
      <c r="D46" s="148">
        <v>176</v>
      </c>
      <c r="E46" s="144" t="s">
        <v>56</v>
      </c>
      <c r="F46" s="144" t="s">
        <v>992</v>
      </c>
      <c r="G46" s="144" t="s">
        <v>2397</v>
      </c>
    </row>
    <row r="47" spans="1:7" x14ac:dyDescent="0.35">
      <c r="A47" s="163" t="s">
        <v>6</v>
      </c>
      <c r="B47" s="163" t="s">
        <v>72</v>
      </c>
      <c r="C47" s="188">
        <v>1</v>
      </c>
      <c r="D47" s="148">
        <v>39</v>
      </c>
      <c r="E47" s="144" t="s">
        <v>1138</v>
      </c>
      <c r="F47" s="145" t="s">
        <v>36</v>
      </c>
      <c r="G47" s="144" t="s">
        <v>2398</v>
      </c>
    </row>
    <row r="48" spans="1:7" ht="15.5" x14ac:dyDescent="0.35">
      <c r="A48" s="144" t="s">
        <v>6</v>
      </c>
      <c r="B48" s="246" t="s">
        <v>1425</v>
      </c>
      <c r="C48" s="188">
        <v>1</v>
      </c>
      <c r="D48" s="148">
        <v>26</v>
      </c>
      <c r="E48" s="14" t="s">
        <v>2361</v>
      </c>
      <c r="F48" s="145" t="s">
        <v>35</v>
      </c>
      <c r="G48" s="144" t="s">
        <v>2399</v>
      </c>
    </row>
    <row r="49" spans="1:7" x14ac:dyDescent="0.35">
      <c r="A49" s="163" t="s">
        <v>23</v>
      </c>
      <c r="B49" s="163" t="s">
        <v>211</v>
      </c>
      <c r="C49" s="188">
        <v>1</v>
      </c>
      <c r="D49" s="148">
        <v>82</v>
      </c>
      <c r="E49" s="144" t="s">
        <v>62</v>
      </c>
      <c r="F49" s="144" t="s">
        <v>33</v>
      </c>
      <c r="G49" s="144" t="s">
        <v>2400</v>
      </c>
    </row>
    <row r="50" spans="1:7" x14ac:dyDescent="0.35">
      <c r="A50" s="163" t="s">
        <v>6</v>
      </c>
      <c r="B50" s="163" t="s">
        <v>72</v>
      </c>
      <c r="C50" s="188">
        <v>1</v>
      </c>
      <c r="D50" s="148">
        <v>82</v>
      </c>
      <c r="E50" s="144" t="s">
        <v>1138</v>
      </c>
      <c r="F50" s="144" t="s">
        <v>33</v>
      </c>
      <c r="G50" s="144" t="s">
        <v>2401</v>
      </c>
    </row>
    <row r="51" spans="1:7" x14ac:dyDescent="0.35">
      <c r="A51" t="s">
        <v>6</v>
      </c>
      <c r="B51" t="s">
        <v>88</v>
      </c>
      <c r="C51" s="188">
        <v>1</v>
      </c>
      <c r="D51" s="148">
        <v>82</v>
      </c>
      <c r="E51" s="14" t="s">
        <v>83</v>
      </c>
      <c r="F51" s="144" t="s">
        <v>33</v>
      </c>
      <c r="G51" s="144" t="s">
        <v>2402</v>
      </c>
    </row>
    <row r="52" spans="1:7" x14ac:dyDescent="0.35">
      <c r="A52" s="163" t="s">
        <v>6</v>
      </c>
      <c r="B52" s="163" t="s">
        <v>86</v>
      </c>
      <c r="C52" s="188">
        <v>1</v>
      </c>
      <c r="D52" s="148">
        <v>82</v>
      </c>
      <c r="E52" s="144" t="s">
        <v>47</v>
      </c>
      <c r="F52" s="144" t="s">
        <v>33</v>
      </c>
      <c r="G52" s="144" t="s">
        <v>2338</v>
      </c>
    </row>
    <row r="53" spans="1:7" x14ac:dyDescent="0.35">
      <c r="A53" s="163" t="s">
        <v>6</v>
      </c>
      <c r="B53" s="163" t="s">
        <v>72</v>
      </c>
      <c r="C53" s="188">
        <v>1</v>
      </c>
      <c r="D53" s="148">
        <v>82</v>
      </c>
      <c r="E53" s="144" t="s">
        <v>1138</v>
      </c>
      <c r="F53" s="144" t="s">
        <v>33</v>
      </c>
      <c r="G53" s="144" t="s">
        <v>2403</v>
      </c>
    </row>
    <row r="54" spans="1:7" x14ac:dyDescent="0.35">
      <c r="A54" t="s">
        <v>6</v>
      </c>
      <c r="B54" t="s">
        <v>88</v>
      </c>
      <c r="C54" s="188">
        <v>1</v>
      </c>
      <c r="D54" s="148">
        <v>82</v>
      </c>
      <c r="E54" s="14" t="s">
        <v>83</v>
      </c>
      <c r="F54" s="144" t="s">
        <v>33</v>
      </c>
      <c r="G54" s="144" t="s">
        <v>2404</v>
      </c>
    </row>
    <row r="55" spans="1:7" x14ac:dyDescent="0.35">
      <c r="A55" t="s">
        <v>23</v>
      </c>
      <c r="B55" t="s">
        <v>244</v>
      </c>
      <c r="C55" s="188">
        <v>1</v>
      </c>
      <c r="D55" s="148">
        <v>82</v>
      </c>
      <c r="E55" s="145" t="s">
        <v>64</v>
      </c>
      <c r="F55" s="144" t="s">
        <v>33</v>
      </c>
      <c r="G55" s="144" t="s">
        <v>2405</v>
      </c>
    </row>
    <row r="56" spans="1:7" x14ac:dyDescent="0.35">
      <c r="A56" s="144"/>
      <c r="B56" s="144" t="s">
        <v>163</v>
      </c>
      <c r="C56" s="188">
        <v>1</v>
      </c>
      <c r="D56" s="148">
        <v>82</v>
      </c>
      <c r="E56" s="144" t="s">
        <v>56</v>
      </c>
      <c r="F56" s="144" t="s">
        <v>33</v>
      </c>
      <c r="G56" s="144" t="s">
        <v>2406</v>
      </c>
    </row>
    <row r="57" spans="1:7" ht="15.5" x14ac:dyDescent="0.35">
      <c r="A57" s="144" t="s">
        <v>6</v>
      </c>
      <c r="B57" s="246" t="s">
        <v>1425</v>
      </c>
      <c r="C57" s="188">
        <v>1</v>
      </c>
      <c r="D57" s="148">
        <v>82</v>
      </c>
      <c r="E57" s="14" t="s">
        <v>2361</v>
      </c>
      <c r="F57" s="144" t="s">
        <v>33</v>
      </c>
      <c r="G57" s="144" t="s">
        <v>2407</v>
      </c>
    </row>
    <row r="58" spans="1:7" x14ac:dyDescent="0.35">
      <c r="A58" s="163" t="s">
        <v>23</v>
      </c>
      <c r="B58" s="163" t="s">
        <v>211</v>
      </c>
      <c r="C58" s="188">
        <v>1</v>
      </c>
      <c r="D58" s="148">
        <v>82</v>
      </c>
      <c r="E58" s="144" t="s">
        <v>62</v>
      </c>
      <c r="F58" s="144" t="s">
        <v>33</v>
      </c>
      <c r="G58" s="144" t="s">
        <v>2408</v>
      </c>
    </row>
    <row r="59" spans="1:7" x14ac:dyDescent="0.35">
      <c r="A59" s="163" t="s">
        <v>23</v>
      </c>
      <c r="B59" s="163" t="s">
        <v>211</v>
      </c>
      <c r="C59" s="188">
        <v>1</v>
      </c>
      <c r="D59" s="148">
        <v>176</v>
      </c>
      <c r="E59" s="144" t="s">
        <v>62</v>
      </c>
      <c r="F59" s="144" t="s">
        <v>992</v>
      </c>
      <c r="G59" s="144" t="s">
        <v>2409</v>
      </c>
    </row>
    <row r="60" spans="1:7" x14ac:dyDescent="0.35">
      <c r="A60" s="163" t="s">
        <v>6</v>
      </c>
      <c r="B60" s="163" t="s">
        <v>142</v>
      </c>
      <c r="C60" s="188">
        <v>1</v>
      </c>
      <c r="D60" s="148">
        <v>146.30000000000001</v>
      </c>
      <c r="E60" s="144" t="s">
        <v>44</v>
      </c>
      <c r="F60" s="144" t="s">
        <v>989</v>
      </c>
      <c r="G60" s="144" t="s">
        <v>2410</v>
      </c>
    </row>
    <row r="61" spans="1:7" x14ac:dyDescent="0.35">
      <c r="A61" s="163" t="s">
        <v>23</v>
      </c>
      <c r="B61" s="163" t="s">
        <v>211</v>
      </c>
      <c r="C61" s="188">
        <v>1</v>
      </c>
      <c r="D61" s="148">
        <v>146.30000000000001</v>
      </c>
      <c r="E61" s="144" t="s">
        <v>62</v>
      </c>
      <c r="F61" s="144" t="s">
        <v>989</v>
      </c>
      <c r="G61" s="144" t="s">
        <v>2411</v>
      </c>
    </row>
    <row r="62" spans="1:7" x14ac:dyDescent="0.35">
      <c r="A62" s="163" t="s">
        <v>23</v>
      </c>
      <c r="B62" s="163" t="s">
        <v>211</v>
      </c>
      <c r="C62" s="188">
        <v>1</v>
      </c>
      <c r="D62" s="148">
        <v>146.30000000000001</v>
      </c>
      <c r="E62" s="144" t="s">
        <v>62</v>
      </c>
      <c r="F62" s="144" t="s">
        <v>989</v>
      </c>
      <c r="G62" s="144" t="s">
        <v>2412</v>
      </c>
    </row>
    <row r="63" spans="1:7" x14ac:dyDescent="0.35">
      <c r="A63" s="163" t="s">
        <v>23</v>
      </c>
      <c r="B63" s="163" t="s">
        <v>211</v>
      </c>
      <c r="C63" s="188">
        <v>1</v>
      </c>
      <c r="D63" s="148">
        <v>146.30000000000001</v>
      </c>
      <c r="E63" s="144" t="s">
        <v>62</v>
      </c>
      <c r="F63" s="144" t="s">
        <v>989</v>
      </c>
      <c r="G63" s="144" t="s">
        <v>2413</v>
      </c>
    </row>
    <row r="64" spans="1:7" x14ac:dyDescent="0.35">
      <c r="A64" s="163" t="s">
        <v>6</v>
      </c>
      <c r="B64" s="163" t="s">
        <v>72</v>
      </c>
      <c r="C64" s="188">
        <v>1</v>
      </c>
      <c r="D64" s="148">
        <v>39</v>
      </c>
      <c r="E64" s="144" t="s">
        <v>1138</v>
      </c>
      <c r="F64" s="145" t="s">
        <v>36</v>
      </c>
      <c r="G64" s="144" t="s">
        <v>2414</v>
      </c>
    </row>
    <row r="65" spans="1:8" x14ac:dyDescent="0.35">
      <c r="A65" s="163" t="s">
        <v>6</v>
      </c>
      <c r="B65" s="163" t="s">
        <v>72</v>
      </c>
      <c r="C65" s="188">
        <v>1</v>
      </c>
      <c r="D65" s="148">
        <v>26</v>
      </c>
      <c r="E65" s="144" t="s">
        <v>1138</v>
      </c>
      <c r="F65" s="145" t="s">
        <v>35</v>
      </c>
      <c r="G65" s="144" t="s">
        <v>2414</v>
      </c>
    </row>
    <row r="66" spans="1:8" x14ac:dyDescent="0.35">
      <c r="A66" s="163" t="s">
        <v>23</v>
      </c>
      <c r="B66" s="163" t="s">
        <v>211</v>
      </c>
      <c r="C66" s="188">
        <v>1</v>
      </c>
      <c r="D66" s="148">
        <v>26</v>
      </c>
      <c r="E66" s="144" t="s">
        <v>62</v>
      </c>
      <c r="F66" s="145" t="s">
        <v>35</v>
      </c>
      <c r="G66" s="144" t="s">
        <v>2415</v>
      </c>
    </row>
    <row r="67" spans="1:8" x14ac:dyDescent="0.35">
      <c r="A67" s="163" t="s">
        <v>23</v>
      </c>
      <c r="B67" s="163" t="s">
        <v>211</v>
      </c>
      <c r="C67" s="188">
        <v>1</v>
      </c>
      <c r="D67" s="148">
        <v>58</v>
      </c>
      <c r="E67" s="144" t="s">
        <v>62</v>
      </c>
      <c r="F67" s="145" t="s">
        <v>34</v>
      </c>
      <c r="G67" s="144" t="s">
        <v>2416</v>
      </c>
    </row>
    <row r="68" spans="1:8" x14ac:dyDescent="0.35">
      <c r="A68" s="163" t="s">
        <v>23</v>
      </c>
      <c r="B68" s="163" t="s">
        <v>211</v>
      </c>
      <c r="C68" s="188">
        <v>1</v>
      </c>
      <c r="D68" s="148">
        <v>58</v>
      </c>
      <c r="E68" s="144" t="s">
        <v>62</v>
      </c>
      <c r="F68" s="145" t="s">
        <v>34</v>
      </c>
      <c r="G68" s="144" t="s">
        <v>2417</v>
      </c>
    </row>
    <row r="69" spans="1:8" x14ac:dyDescent="0.35">
      <c r="A69" s="163" t="s">
        <v>23</v>
      </c>
      <c r="B69" s="163" t="s">
        <v>211</v>
      </c>
      <c r="C69" s="188">
        <v>1</v>
      </c>
      <c r="D69" s="148">
        <v>39</v>
      </c>
      <c r="E69" s="144" t="s">
        <v>62</v>
      </c>
      <c r="F69" s="145" t="s">
        <v>36</v>
      </c>
      <c r="G69" s="144" t="s">
        <v>2417</v>
      </c>
    </row>
    <row r="70" spans="1:8" x14ac:dyDescent="0.35">
      <c r="A70" s="144"/>
      <c r="B70" s="144"/>
      <c r="C70" s="188">
        <v>1</v>
      </c>
      <c r="D70" s="148"/>
      <c r="E70" s="144"/>
      <c r="F70" s="144"/>
      <c r="G70" s="144"/>
    </row>
    <row r="71" spans="1:8" x14ac:dyDescent="0.35">
      <c r="A71" s="144"/>
      <c r="B71" s="144"/>
      <c r="C71" s="188">
        <v>1</v>
      </c>
      <c r="D71" s="148"/>
      <c r="E71" s="144"/>
      <c r="F71" s="144"/>
      <c r="G71" s="144"/>
    </row>
    <row r="72" spans="1:8" x14ac:dyDescent="0.35">
      <c r="A72" s="144"/>
      <c r="B72" s="144"/>
      <c r="C72" s="188">
        <v>1</v>
      </c>
      <c r="D72" s="148"/>
      <c r="E72" s="144"/>
      <c r="F72" s="144"/>
      <c r="G72" s="144"/>
    </row>
    <row r="73" spans="1:8" x14ac:dyDescent="0.35">
      <c r="A73" s="144"/>
      <c r="B73" s="144"/>
      <c r="C73" s="188">
        <v>1</v>
      </c>
      <c r="D73" s="148"/>
      <c r="E73" s="144"/>
      <c r="F73" s="144"/>
      <c r="G73" s="144"/>
    </row>
    <row r="74" spans="1:8" x14ac:dyDescent="0.35">
      <c r="A74" s="144"/>
      <c r="B74" s="144"/>
      <c r="C74" s="188">
        <v>1</v>
      </c>
      <c r="D74" s="148"/>
      <c r="E74" s="144"/>
      <c r="F74" s="144"/>
      <c r="G74" s="144"/>
    </row>
    <row r="76" spans="1:8" x14ac:dyDescent="0.35">
      <c r="H76" s="245"/>
    </row>
    <row r="77" spans="1:8" x14ac:dyDescent="0.35">
      <c r="H77" s="245"/>
    </row>
  </sheetData>
  <mergeCells count="1">
    <mergeCell ref="A1:G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30F82-48B8-4FF5-B2D0-F63853F413FD}">
  <sheetPr codeName="Sheet3"/>
  <dimension ref="A1:J37"/>
  <sheetViews>
    <sheetView topLeftCell="A9" zoomScaleNormal="100" workbookViewId="0">
      <selection activeCell="H32" sqref="H32:I32"/>
    </sheetView>
  </sheetViews>
  <sheetFormatPr defaultRowHeight="14.5" x14ac:dyDescent="0.35"/>
  <cols>
    <col min="1" max="1" width="53.81640625" bestFit="1" customWidth="1"/>
    <col min="2" max="2" width="16" customWidth="1"/>
    <col min="7" max="7" width="71.7265625" customWidth="1"/>
    <col min="8" max="8" width="21.453125" customWidth="1"/>
    <col min="9" max="9" width="22.81640625" customWidth="1"/>
    <col min="10" max="10" width="9.81640625" bestFit="1" customWidth="1"/>
  </cols>
  <sheetData>
    <row r="1" spans="1:9" ht="18.5" x14ac:dyDescent="0.45">
      <c r="A1" s="157" t="s">
        <v>78</v>
      </c>
      <c r="B1" s="157" t="s">
        <v>79</v>
      </c>
      <c r="G1" s="23" t="s">
        <v>80</v>
      </c>
      <c r="H1" s="23" t="s">
        <v>0</v>
      </c>
      <c r="I1" s="23" t="s">
        <v>85</v>
      </c>
    </row>
    <row r="2" spans="1:9" x14ac:dyDescent="0.35">
      <c r="A2" s="153" t="s">
        <v>33</v>
      </c>
      <c r="B2" s="154">
        <v>82</v>
      </c>
      <c r="G2" s="14" t="s">
        <v>37</v>
      </c>
    </row>
    <row r="3" spans="1:9" x14ac:dyDescent="0.35">
      <c r="A3" s="144" t="s">
        <v>34</v>
      </c>
      <c r="B3" s="148">
        <v>58</v>
      </c>
      <c r="G3" s="14" t="s">
        <v>38</v>
      </c>
    </row>
    <row r="4" spans="1:9" x14ac:dyDescent="0.35">
      <c r="A4" s="144" t="s">
        <v>35</v>
      </c>
      <c r="B4" s="148">
        <v>26</v>
      </c>
      <c r="G4" s="14" t="s">
        <v>39</v>
      </c>
    </row>
    <row r="5" spans="1:9" x14ac:dyDescent="0.35">
      <c r="A5" s="124" t="s">
        <v>988</v>
      </c>
      <c r="B5" s="126">
        <v>63</v>
      </c>
      <c r="G5" s="14" t="s">
        <v>40</v>
      </c>
    </row>
    <row r="6" spans="1:9" x14ac:dyDescent="0.35">
      <c r="A6" s="153" t="s">
        <v>989</v>
      </c>
      <c r="B6" s="154">
        <v>146.30000000000001</v>
      </c>
      <c r="G6" s="14" t="s">
        <v>41</v>
      </c>
    </row>
    <row r="7" spans="1:9" x14ac:dyDescent="0.35">
      <c r="A7" s="144" t="s">
        <v>36</v>
      </c>
      <c r="B7" s="155">
        <v>39</v>
      </c>
      <c r="G7" s="14" t="s">
        <v>42</v>
      </c>
    </row>
    <row r="8" spans="1:9" x14ac:dyDescent="0.35">
      <c r="A8" s="144" t="s">
        <v>215</v>
      </c>
      <c r="B8" s="155">
        <v>0</v>
      </c>
      <c r="G8" s="14" t="s">
        <v>43</v>
      </c>
      <c r="H8" t="s">
        <v>6</v>
      </c>
      <c r="I8" t="s">
        <v>350</v>
      </c>
    </row>
    <row r="9" spans="1:9" x14ac:dyDescent="0.35">
      <c r="A9" s="153" t="s">
        <v>992</v>
      </c>
      <c r="B9" s="154">
        <v>176</v>
      </c>
      <c r="G9" s="14" t="s">
        <v>44</v>
      </c>
      <c r="H9" t="s">
        <v>6</v>
      </c>
      <c r="I9" t="s">
        <v>142</v>
      </c>
    </row>
    <row r="10" spans="1:9" x14ac:dyDescent="0.35">
      <c r="A10" s="153" t="s">
        <v>990</v>
      </c>
      <c r="B10" s="154">
        <v>112.5</v>
      </c>
      <c r="G10" s="14" t="s">
        <v>45</v>
      </c>
    </row>
    <row r="11" spans="1:9" x14ac:dyDescent="0.35">
      <c r="A11" s="153" t="s">
        <v>991</v>
      </c>
      <c r="B11" s="154">
        <v>133</v>
      </c>
      <c r="G11" s="14" t="s">
        <v>46</v>
      </c>
    </row>
    <row r="12" spans="1:9" x14ac:dyDescent="0.35">
      <c r="A12" s="144" t="s">
        <v>813</v>
      </c>
      <c r="B12" s="156">
        <v>40</v>
      </c>
      <c r="G12" s="14" t="s">
        <v>47</v>
      </c>
      <c r="H12" t="s">
        <v>6</v>
      </c>
      <c r="I12" t="s">
        <v>86</v>
      </c>
    </row>
    <row r="13" spans="1:9" x14ac:dyDescent="0.35">
      <c r="A13" s="124" t="s">
        <v>987</v>
      </c>
      <c r="B13" s="126">
        <v>16</v>
      </c>
      <c r="G13" s="14" t="s">
        <v>48</v>
      </c>
      <c r="H13" t="s">
        <v>6</v>
      </c>
      <c r="I13" t="s">
        <v>87</v>
      </c>
    </row>
    <row r="14" spans="1:9" x14ac:dyDescent="0.35">
      <c r="A14" s="153" t="s">
        <v>1051</v>
      </c>
      <c r="B14" s="154">
        <v>89</v>
      </c>
      <c r="G14" s="14" t="s">
        <v>1138</v>
      </c>
      <c r="H14" t="s">
        <v>6</v>
      </c>
      <c r="I14" t="s">
        <v>72</v>
      </c>
    </row>
    <row r="15" spans="1:9" x14ac:dyDescent="0.35">
      <c r="A15" s="149"/>
      <c r="B15" s="184"/>
      <c r="G15" s="14" t="s">
        <v>83</v>
      </c>
      <c r="H15" t="s">
        <v>6</v>
      </c>
      <c r="I15" t="s">
        <v>88</v>
      </c>
    </row>
    <row r="16" spans="1:9" x14ac:dyDescent="0.35">
      <c r="G16" s="14" t="s">
        <v>84</v>
      </c>
      <c r="H16" t="s">
        <v>6</v>
      </c>
      <c r="I16" t="s">
        <v>89</v>
      </c>
    </row>
    <row r="17" spans="1:9" x14ac:dyDescent="0.35">
      <c r="G17" s="14" t="s">
        <v>49</v>
      </c>
    </row>
    <row r="18" spans="1:9" x14ac:dyDescent="0.35">
      <c r="G18" s="14" t="s">
        <v>876</v>
      </c>
      <c r="H18" t="s">
        <v>6</v>
      </c>
      <c r="I18" t="s">
        <v>219</v>
      </c>
    </row>
    <row r="19" spans="1:9" ht="61.5" customHeight="1" x14ac:dyDescent="0.35">
      <c r="G19" s="14" t="s">
        <v>51</v>
      </c>
      <c r="H19" s="205" t="s">
        <v>2363</v>
      </c>
    </row>
    <row r="20" spans="1:9" ht="15.5" x14ac:dyDescent="0.35">
      <c r="G20" s="14" t="s">
        <v>2361</v>
      </c>
      <c r="H20" t="s">
        <v>6</v>
      </c>
      <c r="I20" s="225" t="s">
        <v>2362</v>
      </c>
    </row>
    <row r="21" spans="1:9" x14ac:dyDescent="0.35">
      <c r="G21" s="14" t="s">
        <v>53</v>
      </c>
    </row>
    <row r="22" spans="1:9" x14ac:dyDescent="0.35">
      <c r="G22" s="14" t="s">
        <v>54</v>
      </c>
    </row>
    <row r="23" spans="1:9" x14ac:dyDescent="0.35">
      <c r="A23" s="151" t="s">
        <v>983</v>
      </c>
      <c r="B23" s="151"/>
      <c r="G23" s="14" t="s">
        <v>55</v>
      </c>
    </row>
    <row r="24" spans="1:9" x14ac:dyDescent="0.35">
      <c r="A24" s="151" t="s">
        <v>982</v>
      </c>
      <c r="B24" s="151" t="s">
        <v>7</v>
      </c>
      <c r="G24" s="14" t="s">
        <v>56</v>
      </c>
      <c r="I24" t="s">
        <v>163</v>
      </c>
    </row>
    <row r="25" spans="1:9" x14ac:dyDescent="0.35">
      <c r="A25" s="151" t="s">
        <v>984</v>
      </c>
      <c r="B25" s="151" t="s">
        <v>549</v>
      </c>
      <c r="G25" s="14" t="s">
        <v>57</v>
      </c>
    </row>
    <row r="26" spans="1:9" x14ac:dyDescent="0.35">
      <c r="G26" s="14" t="s">
        <v>58</v>
      </c>
    </row>
    <row r="27" spans="1:9" x14ac:dyDescent="0.35">
      <c r="G27" s="14" t="s">
        <v>59</v>
      </c>
    </row>
    <row r="28" spans="1:9" x14ac:dyDescent="0.35">
      <c r="G28" s="14" t="s">
        <v>60</v>
      </c>
      <c r="H28" t="s">
        <v>25</v>
      </c>
      <c r="I28" t="s">
        <v>26</v>
      </c>
    </row>
    <row r="29" spans="1:9" x14ac:dyDescent="0.35">
      <c r="G29" s="14" t="s">
        <v>61</v>
      </c>
      <c r="H29" t="s">
        <v>6</v>
      </c>
      <c r="I29" s="26" t="s">
        <v>8</v>
      </c>
    </row>
    <row r="30" spans="1:9" x14ac:dyDescent="0.35">
      <c r="G30" s="14" t="s">
        <v>62</v>
      </c>
      <c r="H30" t="s">
        <v>23</v>
      </c>
      <c r="I30" t="s">
        <v>211</v>
      </c>
    </row>
    <row r="31" spans="1:9" x14ac:dyDescent="0.35">
      <c r="G31" s="14" t="s">
        <v>63</v>
      </c>
      <c r="H31" s="45" t="s">
        <v>23</v>
      </c>
      <c r="I31" t="s">
        <v>206</v>
      </c>
    </row>
    <row r="32" spans="1:9" x14ac:dyDescent="0.35">
      <c r="G32" s="14" t="s">
        <v>64</v>
      </c>
      <c r="H32" t="s">
        <v>23</v>
      </c>
      <c r="I32" t="s">
        <v>244</v>
      </c>
    </row>
    <row r="33" spans="7:10" x14ac:dyDescent="0.35">
      <c r="G33" s="14" t="s">
        <v>65</v>
      </c>
    </row>
    <row r="34" spans="7:10" x14ac:dyDescent="0.35">
      <c r="G34" s="14" t="s">
        <v>66</v>
      </c>
    </row>
    <row r="35" spans="7:10" x14ac:dyDescent="0.35">
      <c r="G35" s="14" t="s">
        <v>67</v>
      </c>
    </row>
    <row r="36" spans="7:10" x14ac:dyDescent="0.35">
      <c r="G36" s="14" t="s">
        <v>2278</v>
      </c>
      <c r="H36" t="s">
        <v>6</v>
      </c>
      <c r="I36" t="s">
        <v>2279</v>
      </c>
    </row>
    <row r="37" spans="7:10" x14ac:dyDescent="0.35">
      <c r="G37" s="187" t="s">
        <v>82</v>
      </c>
      <c r="H37" s="12" t="s">
        <v>6</v>
      </c>
      <c r="I37" s="12" t="s">
        <v>72</v>
      </c>
      <c r="J37" s="12" t="s">
        <v>1139</v>
      </c>
    </row>
  </sheetData>
  <autoFilter ref="G1:I38" xr:uid="{1A890093-7238-4B96-B033-6829EF2D2B77}"/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103</vt:i4>
      </vt:variant>
    </vt:vector>
  </HeadingPairs>
  <TitlesOfParts>
    <vt:vector size="103" baseType="lpstr">
      <vt:lpstr>Parks Journal input May 2021</vt:lpstr>
      <vt:lpstr>May-2021</vt:lpstr>
      <vt:lpstr>April Example</vt:lpstr>
      <vt:lpstr>Parks Journal input June 2021</vt:lpstr>
      <vt:lpstr>June 2021</vt:lpstr>
      <vt:lpstr>July 2021</vt:lpstr>
      <vt:lpstr>Parks Journal input July 2021</vt:lpstr>
      <vt:lpstr>August 2021</vt:lpstr>
      <vt:lpstr>Parks Journal input August 2021</vt:lpstr>
      <vt:lpstr>September 2021</vt:lpstr>
      <vt:lpstr>Parks Journal input October 21</vt:lpstr>
      <vt:lpstr>October 2021</vt:lpstr>
      <vt:lpstr>Parks Journal input Nov 21</vt:lpstr>
      <vt:lpstr>November 2021</vt:lpstr>
      <vt:lpstr>Parks Journal input Dec 2021</vt:lpstr>
      <vt:lpstr>December 2021</vt:lpstr>
      <vt:lpstr>Parks Journal input Jan 2022</vt:lpstr>
      <vt:lpstr>January 2022</vt:lpstr>
      <vt:lpstr>Parks Journal input March 2022</vt:lpstr>
      <vt:lpstr>March 2022</vt:lpstr>
      <vt:lpstr>Parks Journal input April 2022</vt:lpstr>
      <vt:lpstr>April 2022 </vt:lpstr>
      <vt:lpstr>Parks Journal input May 2022</vt:lpstr>
      <vt:lpstr>May 2022</vt:lpstr>
      <vt:lpstr>Parks Journal input June 2022</vt:lpstr>
      <vt:lpstr>June 2022</vt:lpstr>
      <vt:lpstr>Parks Journal input July 22</vt:lpstr>
      <vt:lpstr>July 2022</vt:lpstr>
      <vt:lpstr>Parks Journal input August 22</vt:lpstr>
      <vt:lpstr>August 2022</vt:lpstr>
      <vt:lpstr>FSDM Renewals 22.23</vt:lpstr>
      <vt:lpstr>EH Internal Invoicing</vt:lpstr>
      <vt:lpstr>CSP Renewals 22.23</vt:lpstr>
      <vt:lpstr>Parks Journal input Sep 2022</vt:lpstr>
      <vt:lpstr>September 2022</vt:lpstr>
      <vt:lpstr>Parks Journal input Oct 2022</vt:lpstr>
      <vt:lpstr>October 2022</vt:lpstr>
      <vt:lpstr>Parks Journal input Nov 2022</vt:lpstr>
      <vt:lpstr>November 2022</vt:lpstr>
      <vt:lpstr>Parks Journal input Dec 2022</vt:lpstr>
      <vt:lpstr>December 2022</vt:lpstr>
      <vt:lpstr>Parks Journal input Jan 2023</vt:lpstr>
      <vt:lpstr>January 2023</vt:lpstr>
      <vt:lpstr>Parks Journal input Feb 2023</vt:lpstr>
      <vt:lpstr>February 2023</vt:lpstr>
      <vt:lpstr>Parks Journal input Mar 2023</vt:lpstr>
      <vt:lpstr>March 2023</vt:lpstr>
      <vt:lpstr>Parks Journal input April 2023</vt:lpstr>
      <vt:lpstr>April 2023</vt:lpstr>
      <vt:lpstr>EH April</vt:lpstr>
      <vt:lpstr>EH May 2023</vt:lpstr>
      <vt:lpstr>EH Renewals</vt:lpstr>
      <vt:lpstr>EH July 2023</vt:lpstr>
      <vt:lpstr>Parks Journal input May 2023</vt:lpstr>
      <vt:lpstr>Parks Journal input June 2023</vt:lpstr>
      <vt:lpstr>May 2023</vt:lpstr>
      <vt:lpstr>June 2023</vt:lpstr>
      <vt:lpstr>July 2023</vt:lpstr>
      <vt:lpstr>August 2023</vt:lpstr>
      <vt:lpstr>EH September </vt:lpstr>
      <vt:lpstr>September 2023</vt:lpstr>
      <vt:lpstr>October 2023</vt:lpstr>
      <vt:lpstr>November 2023</vt:lpstr>
      <vt:lpstr>December 2023</vt:lpstr>
      <vt:lpstr>January 2024</vt:lpstr>
      <vt:lpstr>Feb 2024</vt:lpstr>
      <vt:lpstr>March 2024</vt:lpstr>
      <vt:lpstr>April 2024</vt:lpstr>
      <vt:lpstr>May 2024</vt:lpstr>
      <vt:lpstr>EH May 2024 </vt:lpstr>
      <vt:lpstr>June 2024</vt:lpstr>
      <vt:lpstr>EH Renewal - July</vt:lpstr>
      <vt:lpstr>July 2024</vt:lpstr>
      <vt:lpstr>August 2024</vt:lpstr>
      <vt:lpstr>September 2024</vt:lpstr>
      <vt:lpstr>October 2024</vt:lpstr>
      <vt:lpstr>October - EH Internal Invoice</vt:lpstr>
      <vt:lpstr>November 2024</vt:lpstr>
      <vt:lpstr>December 2024</vt:lpstr>
      <vt:lpstr>January 2025</vt:lpstr>
      <vt:lpstr>February 2025</vt:lpstr>
      <vt:lpstr>EH February 2025</vt:lpstr>
      <vt:lpstr>March 2025</vt:lpstr>
      <vt:lpstr>April 2025</vt:lpstr>
      <vt:lpstr>EH May 2025</vt:lpstr>
      <vt:lpstr>May 2025</vt:lpstr>
      <vt:lpstr>June 2025</vt:lpstr>
      <vt:lpstr>July 2025</vt:lpstr>
      <vt:lpstr>EH July 2025</vt:lpstr>
      <vt:lpstr>August 2025</vt:lpstr>
      <vt:lpstr>EH August 2025</vt:lpstr>
      <vt:lpstr>September 2025</vt:lpstr>
      <vt:lpstr>October 2025</vt:lpstr>
      <vt:lpstr>EH November 2025</vt:lpstr>
      <vt:lpstr>November 2025</vt:lpstr>
      <vt:lpstr>December 2025</vt:lpstr>
      <vt:lpstr>January 2026</vt:lpstr>
      <vt:lpstr>February 2026</vt:lpstr>
      <vt:lpstr>EH February 2026</vt:lpstr>
      <vt:lpstr>March 2026</vt:lpstr>
      <vt:lpstr>April 2026</vt:lpstr>
      <vt:lpstr>May 2026</vt:lpstr>
      <vt:lpstr>Lookup Values</vt:lpstr>
    </vt:vector>
  </TitlesOfParts>
  <Company>Logan City Council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Davis, Stacey</dc:creator>
  <cp:lastModifiedBy>Spero Efstathiadis</cp:lastModifiedBy>
  <dcterms:created xsi:type="dcterms:W3CDTF">2021-05-04T03:27:02Z</dcterms:created>
  <dcterms:modified xsi:type="dcterms:W3CDTF">2026-06-16T07:15:48Z</dcterms:modified>
</cp:coreProperties>
</file>