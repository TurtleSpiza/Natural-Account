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ga Road Quarry\Downloads\"/>
    </mc:Choice>
  </mc:AlternateContent>
  <xr:revisionPtr revIDLastSave="0" documentId="13_ncr:1_{6649BDD6-178D-4B01-A92C-D267F7A913E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COMING" sheetId="1" r:id="rId1"/>
    <sheet name="OUTGOING" sheetId="2" r:id="rId2"/>
    <sheet name="Sheet1" sheetId="3" r:id="rId3"/>
  </sheets>
  <definedNames>
    <definedName name="_xlnm.Print_Area" localSheetId="0">INCOMING!$A$1:$K$42</definedName>
    <definedName name="_xlnm.Print_Area" localSheetId="1">OUTGOING!$A$1:$H$42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2" l="1"/>
  <c r="C5" i="2" s="1"/>
  <c r="E6" i="2"/>
  <c r="C6" i="2" s="1"/>
  <c r="E7" i="2"/>
  <c r="C7" i="2" s="1"/>
  <c r="E8" i="2"/>
  <c r="C8" i="2" s="1"/>
  <c r="E9" i="2"/>
  <c r="C9" i="2" s="1"/>
  <c r="E10" i="2"/>
  <c r="C10" i="2" s="1"/>
  <c r="E11" i="2"/>
  <c r="C11" i="2" s="1"/>
  <c r="E12" i="2"/>
  <c r="C12" i="2" s="1"/>
  <c r="E13" i="2"/>
  <c r="C13" i="2" s="1"/>
  <c r="E14" i="2"/>
  <c r="C14" i="2" s="1"/>
  <c r="E15" i="2"/>
  <c r="C15" i="2" s="1"/>
  <c r="E16" i="2"/>
  <c r="C16" i="2" s="1"/>
  <c r="E17" i="2"/>
  <c r="C17" i="2" s="1"/>
  <c r="E18" i="2"/>
  <c r="C18" i="2" s="1"/>
  <c r="E19" i="2"/>
  <c r="C19" i="2" s="1"/>
  <c r="E20" i="2"/>
  <c r="C20" i="2" s="1"/>
  <c r="E21" i="2"/>
  <c r="C21" i="2" s="1"/>
  <c r="E22" i="2"/>
  <c r="C22" i="2" s="1"/>
  <c r="E23" i="2"/>
  <c r="C23" i="2" s="1"/>
  <c r="E24" i="2"/>
  <c r="C24" i="2" s="1"/>
  <c r="E25" i="2"/>
  <c r="C25" i="2" s="1"/>
  <c r="E26" i="2"/>
  <c r="C26" i="2" s="1"/>
  <c r="E27" i="2"/>
  <c r="C27" i="2" s="1"/>
  <c r="E28" i="2"/>
  <c r="C28" i="2" s="1"/>
  <c r="E29" i="2"/>
  <c r="C29" i="2" s="1"/>
  <c r="E30" i="2"/>
  <c r="C30" i="2" s="1"/>
  <c r="E31" i="2"/>
  <c r="C31" i="2" s="1"/>
  <c r="E32" i="2"/>
  <c r="C32" i="2" s="1"/>
  <c r="E33" i="2"/>
  <c r="C33" i="2" s="1"/>
  <c r="E34" i="2"/>
  <c r="C34" i="2" s="1"/>
  <c r="E35" i="2"/>
  <c r="C35" i="2" s="1"/>
  <c r="E36" i="2"/>
  <c r="C36" i="2" s="1"/>
  <c r="E37" i="2"/>
  <c r="E38" i="2"/>
  <c r="C38" i="2" s="1"/>
  <c r="E39" i="2"/>
  <c r="C39" i="2" s="1"/>
  <c r="E40" i="2"/>
  <c r="C40" i="2" s="1"/>
  <c r="E41" i="2"/>
  <c r="C41" i="2" s="1"/>
  <c r="E42" i="2"/>
  <c r="C42" i="2" s="1"/>
  <c r="C37" i="2"/>
  <c r="G45" i="2" l="1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5" i="1"/>
  <c r="C71" i="2" l="1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71" i="1" l="1"/>
  <c r="C67" i="1"/>
  <c r="C64" i="1"/>
  <c r="C63" i="1"/>
  <c r="C60" i="1"/>
  <c r="C59" i="1"/>
  <c r="C56" i="1"/>
  <c r="C55" i="1"/>
  <c r="C52" i="1"/>
  <c r="C51" i="1"/>
  <c r="C48" i="1"/>
  <c r="C47" i="1"/>
  <c r="C70" i="1"/>
  <c r="C69" i="1"/>
  <c r="C68" i="1"/>
  <c r="C66" i="1"/>
  <c r="C65" i="1"/>
  <c r="C62" i="1"/>
  <c r="C61" i="1"/>
  <c r="C58" i="1"/>
  <c r="C57" i="1"/>
  <c r="C54" i="1"/>
  <c r="C53" i="1"/>
  <c r="C50" i="1"/>
  <c r="C49" i="1"/>
  <c r="C37" i="1" l="1"/>
  <c r="C38" i="1"/>
  <c r="C39" i="1"/>
  <c r="C40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6" i="1"/>
  <c r="C41" i="1"/>
  <c r="C42" i="1"/>
  <c r="C5" i="1"/>
  <c r="C35" i="1"/>
</calcChain>
</file>

<file path=xl/sharedStrings.xml><?xml version="1.0" encoding="utf-8"?>
<sst xmlns="http://schemas.openxmlformats.org/spreadsheetml/2006/main" count="398" uniqueCount="165">
  <si>
    <t>ROAD CONSTRUCTION AND MAINTENANCE</t>
  </si>
  <si>
    <t>BEGA ROAD FACILITY - DAILY RECORDING SHEET (INCOMING)</t>
  </si>
  <si>
    <t xml:space="preserve">DAY : </t>
  </si>
  <si>
    <t>Monday</t>
  </si>
  <si>
    <t xml:space="preserve">DATE : </t>
  </si>
  <si>
    <t>MATERIAL</t>
  </si>
  <si>
    <t>QTY</t>
  </si>
  <si>
    <t>BRANCH</t>
  </si>
  <si>
    <t>JOB NAME/ CONTRACTOR</t>
  </si>
  <si>
    <t>Ledger</t>
  </si>
  <si>
    <t>JOB NO.</t>
  </si>
  <si>
    <t>TRUCK NO./ REGO</t>
  </si>
  <si>
    <t>DRIVERS NAME (please print)</t>
  </si>
  <si>
    <t>FIRE ANT YES NO</t>
  </si>
  <si>
    <t>CERTIFICATE NO.</t>
  </si>
  <si>
    <t>E</t>
  </si>
  <si>
    <t>R</t>
  </si>
  <si>
    <t>K</t>
  </si>
  <si>
    <t>Covered characters in furmula</t>
  </si>
  <si>
    <t>U</t>
  </si>
  <si>
    <t>Y</t>
  </si>
  <si>
    <t>M</t>
  </si>
  <si>
    <t>D</t>
  </si>
  <si>
    <t>C</t>
  </si>
  <si>
    <t>H</t>
  </si>
  <si>
    <t>Sand</t>
  </si>
  <si>
    <t>Topsoil</t>
  </si>
  <si>
    <t>Gravel 2.1</t>
  </si>
  <si>
    <t>RCM</t>
  </si>
  <si>
    <t>01</t>
  </si>
  <si>
    <t>Rock 100-300mm</t>
  </si>
  <si>
    <t>Water</t>
  </si>
  <si>
    <t>02</t>
  </si>
  <si>
    <t>Rock 300-600mm</t>
  </si>
  <si>
    <t>Parks</t>
  </si>
  <si>
    <t>17</t>
  </si>
  <si>
    <t>Screenings 10mm</t>
  </si>
  <si>
    <t>Contractor</t>
  </si>
  <si>
    <t>03</t>
  </si>
  <si>
    <t>Ballast 20mm</t>
  </si>
  <si>
    <t>09</t>
  </si>
  <si>
    <t>Crusher Dust</t>
  </si>
  <si>
    <t>10</t>
  </si>
  <si>
    <t>11</t>
  </si>
  <si>
    <t>Gravel 2.3</t>
  </si>
  <si>
    <t>Tuesday</t>
  </si>
  <si>
    <t>13</t>
  </si>
  <si>
    <t>Recycled Profile</t>
  </si>
  <si>
    <t>WS</t>
  </si>
  <si>
    <t>Wednesday</t>
  </si>
  <si>
    <t>16</t>
  </si>
  <si>
    <t>PK</t>
  </si>
  <si>
    <t>Thursday</t>
  </si>
  <si>
    <t>20</t>
  </si>
  <si>
    <t>Friday</t>
  </si>
  <si>
    <t>24</t>
  </si>
  <si>
    <t>Recycled Topsoil</t>
  </si>
  <si>
    <t>Saturday</t>
  </si>
  <si>
    <t>25</t>
  </si>
  <si>
    <t>Recycled Gravel 2.3</t>
  </si>
  <si>
    <t>Sunday</t>
  </si>
  <si>
    <t>21</t>
  </si>
  <si>
    <t>7mm Screenings</t>
  </si>
  <si>
    <t>Moggill Rock</t>
  </si>
  <si>
    <t>27</t>
  </si>
  <si>
    <t>Profile Stones</t>
  </si>
  <si>
    <t>28</t>
  </si>
  <si>
    <t>Unprocessed Profile</t>
  </si>
  <si>
    <t xml:space="preserve">RCCA (Recycled Crushed Concrete Aggregate) </t>
  </si>
  <si>
    <t>Concrete Spoil (Non Fire Ant Area)</t>
  </si>
  <si>
    <t>Spoil (Non Fire Ant zone)</t>
  </si>
  <si>
    <t>Organic Material</t>
  </si>
  <si>
    <t>07</t>
  </si>
  <si>
    <t>Concrete Spoil (Fire Ant Area)</t>
  </si>
  <si>
    <t>08</t>
  </si>
  <si>
    <t>12</t>
  </si>
  <si>
    <t>18</t>
  </si>
  <si>
    <t>Spoil (Fire Ant Restricted zone)</t>
  </si>
  <si>
    <t>19</t>
  </si>
  <si>
    <t>23</t>
  </si>
  <si>
    <t>Profile</t>
  </si>
  <si>
    <t>P0</t>
  </si>
  <si>
    <t>F</t>
  </si>
  <si>
    <t>SL</t>
  </si>
  <si>
    <t>N</t>
  </si>
  <si>
    <t>BEGA ROAD FACILITY - DAILY RECORDING SHEET (outgoing)</t>
  </si>
  <si>
    <t>M00-00-015</t>
  </si>
  <si>
    <t>Potholes</t>
  </si>
  <si>
    <t>M00-00-007</t>
  </si>
  <si>
    <t>David</t>
  </si>
  <si>
    <t>XB60PC</t>
  </si>
  <si>
    <t>Kel</t>
  </si>
  <si>
    <t>448 XJY</t>
  </si>
  <si>
    <t>Lagoon Rd</t>
  </si>
  <si>
    <t>H84P-1-0222</t>
  </si>
  <si>
    <t>962 VYY</t>
  </si>
  <si>
    <t>Andy</t>
  </si>
  <si>
    <t>Robin St</t>
  </si>
  <si>
    <t>PC003247</t>
  </si>
  <si>
    <t>XB12RM</t>
  </si>
  <si>
    <t>XB57RJ</t>
  </si>
  <si>
    <t>Mark</t>
  </si>
  <si>
    <t>M00-00-036</t>
  </si>
  <si>
    <t>M00-00-033</t>
  </si>
  <si>
    <t>K196-1-0803</t>
  </si>
  <si>
    <t>XB68RJ</t>
  </si>
  <si>
    <t>XB69NH</t>
  </si>
  <si>
    <t>XB93FO</t>
  </si>
  <si>
    <t>XB05TU</t>
  </si>
  <si>
    <t>XB40GV</t>
  </si>
  <si>
    <t>Joshua</t>
  </si>
  <si>
    <t>Nick</t>
  </si>
  <si>
    <t>Ricky</t>
  </si>
  <si>
    <t>Ryan</t>
  </si>
  <si>
    <t>Steve</t>
  </si>
  <si>
    <t>XB34XU</t>
  </si>
  <si>
    <t>Josiah</t>
  </si>
  <si>
    <t>T Cooper</t>
  </si>
  <si>
    <t>XB18VQ</t>
  </si>
  <si>
    <t>Koplick Rd</t>
  </si>
  <si>
    <t>Park Ridge Rd</t>
  </si>
  <si>
    <t>Wardell Cres</t>
  </si>
  <si>
    <t>Hilary St</t>
  </si>
  <si>
    <t>Exillis St</t>
  </si>
  <si>
    <t>Nujooloo Rd</t>
  </si>
  <si>
    <t>Volker St</t>
  </si>
  <si>
    <t>Exillis Rd</t>
  </si>
  <si>
    <t>Faverell Crt</t>
  </si>
  <si>
    <t>WS00127618</t>
  </si>
  <si>
    <t>K85D-1-0803</t>
  </si>
  <si>
    <t>WS00150995</t>
  </si>
  <si>
    <t>WS00147124</t>
  </si>
  <si>
    <t>WS00151059</t>
  </si>
  <si>
    <t>WS00146032</t>
  </si>
  <si>
    <t>Zac</t>
  </si>
  <si>
    <t>XQ14SG</t>
  </si>
  <si>
    <t>James</t>
  </si>
  <si>
    <t>Darryl</t>
  </si>
  <si>
    <t>447 XJY</t>
  </si>
  <si>
    <t>Brad</t>
  </si>
  <si>
    <t>XB21XY</t>
  </si>
  <si>
    <t>Cameron</t>
  </si>
  <si>
    <t>XQ41WB</t>
  </si>
  <si>
    <t>XB20XY</t>
  </si>
  <si>
    <t>Allan</t>
  </si>
  <si>
    <t>498 WEI</t>
  </si>
  <si>
    <t>WS00145850</t>
  </si>
  <si>
    <t>Lark Hill St</t>
  </si>
  <si>
    <t>Exillis Dr</t>
  </si>
  <si>
    <t>K85S-1-0802</t>
  </si>
  <si>
    <t>WS00147324</t>
  </si>
  <si>
    <t>M00-00-008</t>
  </si>
  <si>
    <t>PK000403-73212</t>
  </si>
  <si>
    <t>397 VFZ</t>
  </si>
  <si>
    <t>523 XUO</t>
  </si>
  <si>
    <t>XB75OS</t>
  </si>
  <si>
    <t>TTO 823</t>
  </si>
  <si>
    <t>Gavin</t>
  </si>
  <si>
    <t>Gillan</t>
  </si>
  <si>
    <t>Andrew</t>
  </si>
  <si>
    <t>Keegan</t>
  </si>
  <si>
    <t>Volker Cct</t>
  </si>
  <si>
    <t>Underwood Park</t>
  </si>
  <si>
    <t>Kielpa St</t>
  </si>
  <si>
    <t>XQ12QC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</si>
</sst>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2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2" fillId="0" borderId="0" xfId="1" applyFont="1" applyProtection="1"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14" fontId="2" fillId="0" borderId="2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1" xfId="1" applyNumberFormat="1" applyFont="1" applyBorder="1" applyAlignment="1" applyProtection="1">
      <alignment horizontal="center" vertical="center"/>
      <protection locked="0"/>
    </xf>
    <xf numFmtId="14" fontId="2" fillId="0" borderId="3" xfId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5" fillId="0" borderId="1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horizontal="center" vertical="center"/>
      <protection locked="0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1" fillId="0" borderId="0" xfId="1" applyProtection="1">
      <protection locked="0"/>
    </xf>
    <xf numFmtId="0" fontId="5" fillId="0" borderId="0" xfId="1" applyFont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6" fillId="0" borderId="0" xfId="2" applyNumberFormat="1" applyFont="1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quotePrefix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1" applyFont="1" applyFill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14" fontId="1" fillId="0" borderId="2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 wrapTex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29"/>
  <sheetViews>
    <sheetView workbookViewId="0">
      <selection activeCell="B10" sqref="B10"/>
    </sheetView>
  </sheetViews>
  <sheetFormatPr defaultColWidth="9.109375" defaultRowHeight="13.8" x14ac:dyDescent="0.3"/>
  <cols>
    <col min="1" max="1" width="32.6640625" style="1" customWidth="1"/>
    <col min="2" max="2" width="11.109375" style="1" customWidth="1"/>
    <col min="3" max="3" width="13.5546875" style="1" customWidth="1"/>
    <col min="4" max="4" width="29.5546875" style="1" customWidth="1"/>
    <col min="5" max="5" width="12.6640625" style="1" customWidth="1"/>
    <col min="6" max="6" width="24.88671875" style="1" customWidth="1"/>
    <col min="7" max="7" width="13.5546875" style="1" customWidth="1"/>
    <col min="8" max="8" width="17.6640625" style="1" customWidth="1"/>
    <col min="9" max="10" width="6.44140625" style="1" customWidth="1"/>
    <col min="11" max="11" width="15.44140625" style="1" customWidth="1"/>
    <col min="12" max="13" width="9.109375" style="1"/>
    <col min="14" max="14" width="9.109375" style="1" hidden="1" customWidth="1"/>
    <col min="15" max="15" width="17" style="1" hidden="1" customWidth="1"/>
    <col min="16" max="20" width="9.109375" style="1"/>
    <col min="21" max="21" width="9.109375" style="35" hidden="1" customWidth="1"/>
    <col min="22" max="22" width="5.6640625" style="36" hidden="1" customWidth="1"/>
    <col min="23" max="25" width="9.109375" style="35" hidden="1" customWidth="1"/>
    <col min="26" max="26" width="30.109375" style="35" hidden="1" customWidth="1"/>
    <col min="27" max="27" width="0" style="35" hidden="1" customWidth="1"/>
    <col min="28" max="16384" width="9.109375" style="1"/>
  </cols>
  <sheetData>
    <row r="1" spans="1:26" ht="22.8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X1" s="37" t="s">
        <v>28</v>
      </c>
      <c r="Y1" s="40" t="s">
        <v>72</v>
      </c>
      <c r="Z1" s="40" t="s">
        <v>73</v>
      </c>
    </row>
    <row r="2" spans="1:26" ht="18" thickBot="1" x14ac:dyDescent="0.3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X2" s="37" t="s">
        <v>31</v>
      </c>
      <c r="Y2" s="40" t="s">
        <v>74</v>
      </c>
      <c r="Z2" s="40" t="s">
        <v>69</v>
      </c>
    </row>
    <row r="3" spans="1:26" ht="15" thickBot="1" x14ac:dyDescent="0.35">
      <c r="A3" s="29"/>
      <c r="B3" s="29"/>
      <c r="C3" s="30" t="s">
        <v>2</v>
      </c>
      <c r="D3" s="11" t="s">
        <v>45</v>
      </c>
      <c r="E3" s="6"/>
      <c r="F3" s="22" t="s">
        <v>4</v>
      </c>
      <c r="G3" s="46">
        <v>45916</v>
      </c>
      <c r="H3" s="22"/>
      <c r="I3" s="22"/>
      <c r="J3" s="23"/>
      <c r="K3" s="23"/>
      <c r="X3" s="37" t="s">
        <v>34</v>
      </c>
      <c r="Y3" s="40" t="s">
        <v>75</v>
      </c>
      <c r="Z3" s="40" t="s">
        <v>71</v>
      </c>
    </row>
    <row r="4" spans="1:26" ht="39.6" x14ac:dyDescent="0.3">
      <c r="A4" s="13" t="s">
        <v>5</v>
      </c>
      <c r="B4" s="13" t="s">
        <v>6</v>
      </c>
      <c r="C4" s="3" t="s">
        <v>7</v>
      </c>
      <c r="D4" s="9" t="s">
        <v>8</v>
      </c>
      <c r="E4" s="4" t="s">
        <v>9</v>
      </c>
      <c r="F4" s="13" t="s">
        <v>10</v>
      </c>
      <c r="G4" s="9" t="s">
        <v>11</v>
      </c>
      <c r="H4" s="9" t="s">
        <v>12</v>
      </c>
      <c r="I4" s="50" t="s">
        <v>13</v>
      </c>
      <c r="J4" s="51"/>
      <c r="K4" s="24" t="s">
        <v>14</v>
      </c>
      <c r="N4" s="17" t="s">
        <v>9</v>
      </c>
      <c r="O4" s="12" t="s">
        <v>18</v>
      </c>
      <c r="X4" s="37" t="s">
        <v>37</v>
      </c>
      <c r="Y4" s="40" t="s">
        <v>76</v>
      </c>
      <c r="Z4" s="40" t="s">
        <v>77</v>
      </c>
    </row>
    <row r="5" spans="1:26" ht="14.4" x14ac:dyDescent="0.3">
      <c r="A5" s="34" t="s">
        <v>70</v>
      </c>
      <c r="B5" s="14">
        <v>6</v>
      </c>
      <c r="C5" s="2" t="str">
        <f>IF((E5="WS"),"WATER",IF((E5="R"),"RCM",IF((E5="E"),"RCM","FALSE")))</f>
        <v>RCM</v>
      </c>
      <c r="D5" s="44" t="s">
        <v>119</v>
      </c>
      <c r="E5" s="2" t="str">
        <f>IF((LEFT(F5,1)="w"),"WS",IF((LEFT(F5,1)="M"),"R",IF((LEFT(F5,1)="Q"),"R",IF((LEFT(F5,1)="F"),"R",IF((LEFT(F5,1)="D"),"R",IF((LEFT(F5,1)="P"),"R",IF((LEFT(F5,1)="U"),"E",IF((LEFT(F5,1)="K"),"E",IF((LEFT(F5,1)="Y"),"E",IF((LEFT(F5,1)="C"),"E",IF((LEFT(F5,1)="H"),"E",IF((LEFT(F5,1)="G"),"E",IF((LEFT(F5,1)="R"),"E","FALSE")))))))))))))</f>
        <v>R</v>
      </c>
      <c r="F5" s="45" t="s">
        <v>102</v>
      </c>
      <c r="G5" s="44" t="s">
        <v>109</v>
      </c>
      <c r="H5" s="44" t="s">
        <v>110</v>
      </c>
      <c r="I5" s="25"/>
      <c r="J5" s="26"/>
      <c r="K5" s="17"/>
      <c r="N5" s="1" t="s">
        <v>15</v>
      </c>
      <c r="O5" s="1" t="s">
        <v>19</v>
      </c>
      <c r="X5" s="37"/>
      <c r="Y5" s="40" t="s">
        <v>78</v>
      </c>
      <c r="Z5" s="40" t="s">
        <v>70</v>
      </c>
    </row>
    <row r="6" spans="1:26" ht="14.4" x14ac:dyDescent="0.3">
      <c r="A6" s="34" t="s">
        <v>71</v>
      </c>
      <c r="B6" s="14">
        <v>1</v>
      </c>
      <c r="C6" s="2" t="str">
        <f t="shared" ref="C6:C42" si="0">IF((E6="WS"),"WATER",IF((E6="R"),"RCM",IF((E6="E"),"RCM","FALSE")))</f>
        <v>WATER</v>
      </c>
      <c r="D6" s="44" t="s">
        <v>161</v>
      </c>
      <c r="E6" s="2" t="str">
        <f t="shared" ref="E6:E42" si="1">IF((LEFT(F6,1)="w"),"WS",IF((LEFT(F6,1)="M"),"R",IF((LEFT(F6,1)="Q"),"R",IF((LEFT(F6,1)="F"),"R",IF((LEFT(F6,1)="D"),"R",IF((LEFT(F6,1)="P"),"R",IF((LEFT(F6,1)="U"),"E",IF((LEFT(F6,1)="K"),"E",IF((LEFT(F6,1)="Y"),"E",IF((LEFT(F6,1)="C"),"E",IF((LEFT(F6,1)="H"),"E",IF((LEFT(F6,1)="G"),"E",IF((LEFT(F6,1)="R"),"E","FALSE")))))))))))))</f>
        <v>WS</v>
      </c>
      <c r="F6" s="45" t="s">
        <v>133</v>
      </c>
      <c r="G6" s="44" t="s">
        <v>153</v>
      </c>
      <c r="H6" s="27" t="s">
        <v>160</v>
      </c>
      <c r="I6" s="17"/>
      <c r="J6" s="17"/>
      <c r="K6" s="17"/>
      <c r="N6" s="1" t="s">
        <v>15</v>
      </c>
      <c r="O6" s="1" t="s">
        <v>17</v>
      </c>
      <c r="X6" s="37"/>
      <c r="Y6" s="40" t="s">
        <v>79</v>
      </c>
      <c r="Z6" s="40" t="s">
        <v>80</v>
      </c>
    </row>
    <row r="7" spans="1:26" ht="14.4" x14ac:dyDescent="0.3">
      <c r="A7" s="34" t="s">
        <v>69</v>
      </c>
      <c r="B7" s="14">
        <v>4</v>
      </c>
      <c r="C7" s="2" t="str">
        <f t="shared" si="0"/>
        <v>WATER</v>
      </c>
      <c r="D7" s="44" t="s">
        <v>126</v>
      </c>
      <c r="E7" s="2" t="str">
        <f t="shared" si="1"/>
        <v>WS</v>
      </c>
      <c r="F7" s="45" t="s">
        <v>131</v>
      </c>
      <c r="G7" s="44" t="s">
        <v>143</v>
      </c>
      <c r="H7" s="27" t="s">
        <v>141</v>
      </c>
      <c r="I7" s="17"/>
      <c r="J7" s="17"/>
      <c r="K7" s="17"/>
      <c r="N7" s="1" t="s">
        <v>15</v>
      </c>
      <c r="O7" s="1" t="s">
        <v>20</v>
      </c>
      <c r="V7" s="41" t="s">
        <v>16</v>
      </c>
      <c r="W7" s="41" t="s">
        <v>3</v>
      </c>
      <c r="X7" s="37"/>
      <c r="Y7" s="40"/>
      <c r="Z7" s="40"/>
    </row>
    <row r="8" spans="1:26" ht="14.4" x14ac:dyDescent="0.3">
      <c r="A8" s="34" t="s">
        <v>70</v>
      </c>
      <c r="B8" s="14">
        <v>3</v>
      </c>
      <c r="C8" s="2" t="str">
        <f t="shared" si="0"/>
        <v>WATER</v>
      </c>
      <c r="D8" s="44" t="s">
        <v>120</v>
      </c>
      <c r="E8" s="2" t="str">
        <f t="shared" si="1"/>
        <v>WS</v>
      </c>
      <c r="F8" s="45" t="s">
        <v>128</v>
      </c>
      <c r="G8" s="44" t="s">
        <v>135</v>
      </c>
      <c r="H8" s="27" t="s">
        <v>136</v>
      </c>
      <c r="I8" s="17"/>
      <c r="J8" s="17"/>
      <c r="K8" s="17"/>
      <c r="N8" s="1" t="s">
        <v>15</v>
      </c>
      <c r="O8" s="1" t="s">
        <v>23</v>
      </c>
      <c r="V8" s="41" t="s">
        <v>15</v>
      </c>
      <c r="W8" s="41" t="s">
        <v>45</v>
      </c>
      <c r="X8" s="37"/>
      <c r="Y8" s="40"/>
      <c r="Z8" s="40"/>
    </row>
    <row r="9" spans="1:26" ht="14.4" x14ac:dyDescent="0.3">
      <c r="A9" s="34" t="s">
        <v>69</v>
      </c>
      <c r="B9" s="14">
        <v>3</v>
      </c>
      <c r="C9" s="2" t="str">
        <f t="shared" si="0"/>
        <v>RCM</v>
      </c>
      <c r="D9" s="44" t="s">
        <v>28</v>
      </c>
      <c r="E9" s="2" t="str">
        <f t="shared" si="1"/>
        <v>R</v>
      </c>
      <c r="F9" s="45" t="s">
        <v>103</v>
      </c>
      <c r="G9" s="44" t="s">
        <v>154</v>
      </c>
      <c r="H9" s="27" t="s">
        <v>159</v>
      </c>
      <c r="I9" s="27"/>
      <c r="J9" s="27"/>
      <c r="K9" s="27"/>
      <c r="N9" s="1" t="s">
        <v>15</v>
      </c>
      <c r="O9" s="1" t="s">
        <v>24</v>
      </c>
      <c r="V9" s="41" t="s">
        <v>48</v>
      </c>
      <c r="W9" s="41" t="s">
        <v>49</v>
      </c>
      <c r="X9" s="37"/>
      <c r="Y9" s="40"/>
      <c r="Z9" s="40"/>
    </row>
    <row r="10" spans="1:26" ht="14.4" x14ac:dyDescent="0.3">
      <c r="A10" s="34" t="s">
        <v>70</v>
      </c>
      <c r="B10" s="14">
        <v>30</v>
      </c>
      <c r="C10" s="2" t="str">
        <f t="shared" si="0"/>
        <v>RCM</v>
      </c>
      <c r="D10" s="44" t="s">
        <v>34</v>
      </c>
      <c r="E10" s="2" t="str">
        <f t="shared" si="1"/>
        <v>R</v>
      </c>
      <c r="F10" s="45" t="s">
        <v>152</v>
      </c>
      <c r="G10" s="44" t="s">
        <v>155</v>
      </c>
      <c r="H10" s="27" t="s">
        <v>158</v>
      </c>
      <c r="I10" s="17"/>
      <c r="J10" s="17"/>
      <c r="K10" s="17"/>
      <c r="N10" s="1" t="s">
        <v>15</v>
      </c>
      <c r="O10" s="1" t="s">
        <v>84</v>
      </c>
      <c r="V10" s="41" t="s">
        <v>51</v>
      </c>
      <c r="W10" s="41" t="s">
        <v>52</v>
      </c>
      <c r="X10" s="37"/>
      <c r="Y10" s="40"/>
      <c r="Z10" s="40"/>
    </row>
    <row r="11" spans="1:26" ht="14.4" x14ac:dyDescent="0.3">
      <c r="A11" s="34" t="s">
        <v>80</v>
      </c>
      <c r="B11" s="14">
        <v>2.5</v>
      </c>
      <c r="C11" s="2" t="str">
        <f t="shared" si="0"/>
        <v>RCM</v>
      </c>
      <c r="D11" s="44" t="s">
        <v>162</v>
      </c>
      <c r="E11" s="2" t="str">
        <f t="shared" si="1"/>
        <v>R</v>
      </c>
      <c r="F11" s="45" t="s">
        <v>151</v>
      </c>
      <c r="G11" s="44" t="s">
        <v>156</v>
      </c>
      <c r="H11" s="27" t="s">
        <v>157</v>
      </c>
      <c r="I11" s="17"/>
      <c r="J11" s="17"/>
      <c r="K11" s="17"/>
      <c r="N11" s="1" t="s">
        <v>15</v>
      </c>
      <c r="V11" s="41"/>
      <c r="W11" s="41" t="s">
        <v>54</v>
      </c>
      <c r="Y11" s="40"/>
      <c r="Z11" s="40"/>
    </row>
    <row r="12" spans="1:26" ht="14.4" x14ac:dyDescent="0.3">
      <c r="A12" s="34" t="s">
        <v>70</v>
      </c>
      <c r="B12" s="14">
        <v>3</v>
      </c>
      <c r="C12" s="2" t="str">
        <f t="shared" si="0"/>
        <v>WATER</v>
      </c>
      <c r="D12" s="44" t="s">
        <v>161</v>
      </c>
      <c r="E12" s="2" t="str">
        <f t="shared" si="1"/>
        <v>WS</v>
      </c>
      <c r="F12" s="45" t="s">
        <v>150</v>
      </c>
      <c r="G12" s="44" t="s">
        <v>107</v>
      </c>
      <c r="H12" s="27" t="s">
        <v>96</v>
      </c>
      <c r="I12" s="17"/>
      <c r="J12" s="17"/>
      <c r="K12" s="17"/>
      <c r="N12" s="1" t="s">
        <v>15</v>
      </c>
      <c r="V12" s="41"/>
      <c r="W12" s="41" t="s">
        <v>57</v>
      </c>
      <c r="X12" s="37"/>
      <c r="Y12" s="40"/>
      <c r="Z12" s="40"/>
    </row>
    <row r="13" spans="1:26" ht="14.4" x14ac:dyDescent="0.3">
      <c r="A13" s="34" t="s">
        <v>70</v>
      </c>
      <c r="B13" s="14">
        <v>2</v>
      </c>
      <c r="C13" s="2" t="str">
        <f t="shared" si="0"/>
        <v>RCM</v>
      </c>
      <c r="D13" s="44" t="s">
        <v>163</v>
      </c>
      <c r="E13" s="2" t="str">
        <f t="shared" si="1"/>
        <v>E</v>
      </c>
      <c r="F13" s="27" t="s">
        <v>149</v>
      </c>
      <c r="G13" s="44" t="s">
        <v>92</v>
      </c>
      <c r="H13" s="27" t="s">
        <v>91</v>
      </c>
      <c r="I13" s="17"/>
      <c r="J13" s="17"/>
      <c r="K13" s="17"/>
      <c r="N13" s="1" t="s">
        <v>16</v>
      </c>
      <c r="O13" s="1" t="s">
        <v>21</v>
      </c>
      <c r="V13" s="41"/>
      <c r="W13" s="41" t="s">
        <v>60</v>
      </c>
      <c r="X13" s="37"/>
      <c r="Y13" s="40"/>
      <c r="Z13" s="40"/>
    </row>
    <row r="14" spans="1:26" ht="14.4" x14ac:dyDescent="0.3">
      <c r="A14" s="34" t="s">
        <v>70</v>
      </c>
      <c r="B14" s="14">
        <v>4</v>
      </c>
      <c r="C14" s="2" t="str">
        <f t="shared" si="0"/>
        <v>WATER</v>
      </c>
      <c r="D14" s="44" t="s">
        <v>126</v>
      </c>
      <c r="E14" s="2" t="str">
        <f t="shared" si="1"/>
        <v>WS</v>
      </c>
      <c r="F14" s="27" t="s">
        <v>131</v>
      </c>
      <c r="G14" s="44" t="s">
        <v>143</v>
      </c>
      <c r="H14" s="27" t="s">
        <v>141</v>
      </c>
      <c r="I14" s="17"/>
      <c r="J14" s="17"/>
      <c r="K14" s="17"/>
      <c r="N14" s="1" t="s">
        <v>16</v>
      </c>
      <c r="O14" s="1" t="s">
        <v>22</v>
      </c>
      <c r="X14" s="37"/>
      <c r="Y14" s="40"/>
      <c r="Z14" s="40"/>
    </row>
    <row r="15" spans="1:26" ht="14.4" x14ac:dyDescent="0.3">
      <c r="A15" s="34" t="s">
        <v>71</v>
      </c>
      <c r="B15" s="14">
        <v>12</v>
      </c>
      <c r="C15" s="2" t="str">
        <f t="shared" si="0"/>
        <v>RCM</v>
      </c>
      <c r="D15" s="44" t="s">
        <v>93</v>
      </c>
      <c r="E15" s="2" t="str">
        <f t="shared" si="1"/>
        <v>E</v>
      </c>
      <c r="F15" s="27" t="s">
        <v>94</v>
      </c>
      <c r="G15" s="44" t="s">
        <v>115</v>
      </c>
      <c r="H15" s="27" t="s">
        <v>116</v>
      </c>
      <c r="I15" s="17"/>
      <c r="J15" s="17"/>
      <c r="K15" s="17"/>
      <c r="N15" s="1" t="s">
        <v>16</v>
      </c>
      <c r="O15" s="1" t="s">
        <v>81</v>
      </c>
      <c r="X15" s="37"/>
      <c r="Y15" s="40"/>
      <c r="Z15" s="40"/>
    </row>
    <row r="16" spans="1:26" ht="14.4" x14ac:dyDescent="0.3">
      <c r="A16" s="34" t="s">
        <v>71</v>
      </c>
      <c r="B16" s="14">
        <v>3</v>
      </c>
      <c r="C16" s="2" t="str">
        <f t="shared" si="0"/>
        <v>WATER</v>
      </c>
      <c r="D16" s="44" t="s">
        <v>148</v>
      </c>
      <c r="E16" s="2" t="str">
        <f t="shared" si="1"/>
        <v>WS</v>
      </c>
      <c r="F16" s="27" t="s">
        <v>131</v>
      </c>
      <c r="G16" s="44" t="s">
        <v>90</v>
      </c>
      <c r="H16" s="27" t="s">
        <v>89</v>
      </c>
      <c r="I16" s="17"/>
      <c r="J16" s="17"/>
      <c r="K16" s="17"/>
      <c r="N16" s="1" t="s">
        <v>16</v>
      </c>
      <c r="O16" s="1" t="s">
        <v>82</v>
      </c>
      <c r="X16" s="37"/>
      <c r="Y16" s="40"/>
      <c r="Z16" s="40"/>
    </row>
    <row r="17" spans="1:26" ht="14.4" x14ac:dyDescent="0.3">
      <c r="A17" s="34" t="s">
        <v>69</v>
      </c>
      <c r="B17" s="14">
        <v>4</v>
      </c>
      <c r="C17" s="2" t="str">
        <f t="shared" si="0"/>
        <v>WATER</v>
      </c>
      <c r="D17" s="44" t="s">
        <v>123</v>
      </c>
      <c r="E17" s="2" t="str">
        <f t="shared" si="1"/>
        <v>WS</v>
      </c>
      <c r="F17" s="27" t="s">
        <v>131</v>
      </c>
      <c r="G17" s="44" t="s">
        <v>140</v>
      </c>
      <c r="H17" s="27" t="s">
        <v>139</v>
      </c>
      <c r="I17" s="17"/>
      <c r="J17" s="17"/>
      <c r="K17" s="17"/>
      <c r="N17" s="1" t="s">
        <v>83</v>
      </c>
      <c r="O17" s="47">
        <v>1</v>
      </c>
      <c r="X17" s="37"/>
      <c r="Y17" s="40"/>
      <c r="Z17" s="40"/>
    </row>
    <row r="18" spans="1:26" ht="14.4" x14ac:dyDescent="0.3">
      <c r="A18" s="34" t="s">
        <v>70</v>
      </c>
      <c r="B18" s="14">
        <v>2</v>
      </c>
      <c r="C18" s="2" t="str">
        <f t="shared" si="0"/>
        <v>WATER</v>
      </c>
      <c r="D18" s="44" t="s">
        <v>147</v>
      </c>
      <c r="E18" s="2" t="str">
        <f t="shared" si="1"/>
        <v>WS</v>
      </c>
      <c r="F18" s="27" t="s">
        <v>146</v>
      </c>
      <c r="G18" s="44" t="s">
        <v>145</v>
      </c>
      <c r="H18" s="27" t="s">
        <v>144</v>
      </c>
      <c r="I18" s="17"/>
      <c r="J18" s="17"/>
      <c r="K18" s="17"/>
      <c r="N18" s="1" t="s">
        <v>83</v>
      </c>
      <c r="O18" s="47">
        <v>2</v>
      </c>
      <c r="Y18" s="40"/>
      <c r="Z18" s="40"/>
    </row>
    <row r="19" spans="1:26" ht="14.4" x14ac:dyDescent="0.3">
      <c r="A19" s="34" t="s">
        <v>70</v>
      </c>
      <c r="B19" s="14">
        <v>2.5</v>
      </c>
      <c r="C19" s="2" t="str">
        <f t="shared" si="0"/>
        <v>WATER</v>
      </c>
      <c r="D19" s="44" t="s">
        <v>123</v>
      </c>
      <c r="E19" s="2" t="str">
        <f t="shared" si="1"/>
        <v>WS</v>
      </c>
      <c r="F19" s="27" t="s">
        <v>131</v>
      </c>
      <c r="G19" s="44" t="s">
        <v>108</v>
      </c>
      <c r="H19" s="27" t="s">
        <v>112</v>
      </c>
      <c r="I19" s="17"/>
      <c r="J19" s="17"/>
      <c r="K19" s="17"/>
      <c r="N19" s="1" t="s">
        <v>51</v>
      </c>
      <c r="O19" s="1" t="s">
        <v>51</v>
      </c>
      <c r="Y19" s="40"/>
      <c r="Z19" s="40"/>
    </row>
    <row r="20" spans="1:26" x14ac:dyDescent="0.3">
      <c r="A20" s="34" t="s">
        <v>69</v>
      </c>
      <c r="B20" s="14">
        <v>2</v>
      </c>
      <c r="C20" s="2" t="str">
        <f t="shared" si="0"/>
        <v>RCM</v>
      </c>
      <c r="D20" s="44" t="s">
        <v>163</v>
      </c>
      <c r="E20" s="2" t="str">
        <f t="shared" si="1"/>
        <v>E</v>
      </c>
      <c r="F20" s="27" t="s">
        <v>149</v>
      </c>
      <c r="G20" s="44" t="s">
        <v>92</v>
      </c>
      <c r="H20" s="27" t="s">
        <v>91</v>
      </c>
      <c r="I20" s="17"/>
      <c r="J20" s="17"/>
      <c r="K20" s="17"/>
      <c r="Y20" s="38"/>
    </row>
    <row r="21" spans="1:26" x14ac:dyDescent="0.3">
      <c r="A21" s="34" t="s">
        <v>70</v>
      </c>
      <c r="B21" s="14">
        <v>0.3</v>
      </c>
      <c r="C21" s="2" t="str">
        <f t="shared" si="0"/>
        <v>RCM</v>
      </c>
      <c r="D21" s="44" t="s">
        <v>87</v>
      </c>
      <c r="E21" s="2" t="str">
        <f t="shared" si="1"/>
        <v>R</v>
      </c>
      <c r="F21" s="27" t="s">
        <v>88</v>
      </c>
      <c r="G21" s="44" t="s">
        <v>164</v>
      </c>
      <c r="H21" s="27" t="s">
        <v>159</v>
      </c>
      <c r="I21" s="17"/>
      <c r="J21" s="17"/>
      <c r="K21" s="17"/>
    </row>
    <row r="22" spans="1:26" x14ac:dyDescent="0.3">
      <c r="A22" s="34" t="s">
        <v>70</v>
      </c>
      <c r="B22" s="14">
        <v>0.5</v>
      </c>
      <c r="C22" s="2" t="str">
        <f t="shared" si="0"/>
        <v>RCM</v>
      </c>
      <c r="D22" s="44" t="s">
        <v>87</v>
      </c>
      <c r="E22" s="2" t="str">
        <f t="shared" si="1"/>
        <v>R</v>
      </c>
      <c r="F22" s="27" t="s">
        <v>88</v>
      </c>
      <c r="G22" s="44" t="s">
        <v>118</v>
      </c>
      <c r="H22" s="27" t="s">
        <v>117</v>
      </c>
      <c r="I22" s="17"/>
      <c r="J22" s="17"/>
      <c r="K22" s="17"/>
    </row>
    <row r="23" spans="1:26" x14ac:dyDescent="0.3">
      <c r="A23" s="34"/>
      <c r="B23" s="14"/>
      <c r="C23" s="2" t="str">
        <f t="shared" si="0"/>
        <v>FALSE</v>
      </c>
      <c r="D23" s="44"/>
      <c r="E23" s="2" t="str">
        <f t="shared" si="1"/>
        <v>FALSE</v>
      </c>
      <c r="F23" s="27"/>
      <c r="G23" s="44"/>
      <c r="H23" s="27"/>
      <c r="I23" s="17"/>
      <c r="J23" s="17"/>
      <c r="K23" s="17"/>
    </row>
    <row r="24" spans="1:26" x14ac:dyDescent="0.3">
      <c r="A24" s="34"/>
      <c r="B24" s="14"/>
      <c r="C24" s="2" t="str">
        <f t="shared" si="0"/>
        <v>FALSE</v>
      </c>
      <c r="D24" s="44"/>
      <c r="E24" s="2" t="str">
        <f t="shared" si="1"/>
        <v>FALSE</v>
      </c>
      <c r="F24" s="27"/>
      <c r="G24" s="44"/>
      <c r="H24" s="27"/>
      <c r="I24" s="17"/>
      <c r="J24" s="17"/>
      <c r="K24" s="17"/>
    </row>
    <row r="25" spans="1:26" x14ac:dyDescent="0.3">
      <c r="A25" s="34"/>
      <c r="B25" s="14"/>
      <c r="C25" s="2" t="str">
        <f t="shared" si="0"/>
        <v>FALSE</v>
      </c>
      <c r="D25" s="44"/>
      <c r="E25" s="2" t="str">
        <f t="shared" si="1"/>
        <v>FALSE</v>
      </c>
      <c r="F25" s="27"/>
      <c r="G25" s="44"/>
      <c r="H25" s="27"/>
      <c r="I25" s="17"/>
      <c r="J25" s="17"/>
      <c r="K25" s="17"/>
      <c r="X25" s="37"/>
      <c r="Y25" s="38"/>
    </row>
    <row r="26" spans="1:26" x14ac:dyDescent="0.3">
      <c r="A26" s="34"/>
      <c r="B26" s="14"/>
      <c r="C26" s="2" t="str">
        <f t="shared" si="0"/>
        <v>FALSE</v>
      </c>
      <c r="D26" s="44"/>
      <c r="E26" s="2" t="str">
        <f t="shared" si="1"/>
        <v>FALSE</v>
      </c>
      <c r="F26" s="44"/>
      <c r="G26" s="44"/>
      <c r="H26" s="27"/>
      <c r="I26" s="17"/>
      <c r="J26" s="17"/>
      <c r="K26" s="17"/>
    </row>
    <row r="27" spans="1:26" x14ac:dyDescent="0.3">
      <c r="A27" s="34"/>
      <c r="B27" s="14"/>
      <c r="C27" s="2" t="str">
        <f t="shared" si="0"/>
        <v>FALSE</v>
      </c>
      <c r="D27" s="44"/>
      <c r="E27" s="2" t="str">
        <f t="shared" si="1"/>
        <v>FALSE</v>
      </c>
      <c r="F27" s="44"/>
      <c r="G27" s="44"/>
      <c r="H27" s="27"/>
      <c r="I27" s="17"/>
      <c r="J27" s="17"/>
      <c r="K27" s="17"/>
    </row>
    <row r="28" spans="1:26" x14ac:dyDescent="0.3">
      <c r="A28" s="34"/>
      <c r="B28" s="14"/>
      <c r="C28" s="2" t="str">
        <f t="shared" si="0"/>
        <v>FALSE</v>
      </c>
      <c r="D28" s="44"/>
      <c r="E28" s="2" t="str">
        <f t="shared" si="1"/>
        <v>FALSE</v>
      </c>
      <c r="F28" s="44"/>
      <c r="G28" s="44"/>
      <c r="H28" s="27"/>
      <c r="I28" s="17"/>
      <c r="J28" s="17"/>
      <c r="K28" s="17"/>
    </row>
    <row r="29" spans="1:26" x14ac:dyDescent="0.3">
      <c r="A29" s="34"/>
      <c r="B29" s="14"/>
      <c r="C29" s="2" t="str">
        <f t="shared" si="0"/>
        <v>FALSE</v>
      </c>
      <c r="D29" s="44"/>
      <c r="E29" s="2" t="str">
        <f t="shared" si="1"/>
        <v>FALSE</v>
      </c>
      <c r="F29" s="44"/>
      <c r="G29" s="44"/>
      <c r="H29" s="27"/>
      <c r="I29" s="17"/>
      <c r="J29" s="17"/>
      <c r="K29" s="17"/>
    </row>
    <row r="30" spans="1:26" x14ac:dyDescent="0.3">
      <c r="A30" s="34"/>
      <c r="B30" s="14"/>
      <c r="C30" s="2" t="str">
        <f t="shared" si="0"/>
        <v>FALSE</v>
      </c>
      <c r="D30" s="44"/>
      <c r="E30" s="2" t="str">
        <f t="shared" si="1"/>
        <v>FALSE</v>
      </c>
      <c r="F30" s="44"/>
      <c r="G30" s="44"/>
      <c r="H30" s="27"/>
      <c r="I30" s="17"/>
      <c r="J30" s="17"/>
      <c r="K30" s="17"/>
    </row>
    <row r="31" spans="1:26" x14ac:dyDescent="0.3">
      <c r="A31" s="34"/>
      <c r="B31" s="14"/>
      <c r="C31" s="2" t="str">
        <f>IF((E31="WS"),"WATER",IF((E31="R"),"RCM",IF((E31="E"),"RCM","FALSE")))</f>
        <v>FALSE</v>
      </c>
      <c r="D31" s="44"/>
      <c r="E31" s="2" t="str">
        <f t="shared" si="1"/>
        <v>FALSE</v>
      </c>
      <c r="F31" s="27"/>
      <c r="G31" s="44"/>
      <c r="H31" s="27"/>
      <c r="I31" s="17"/>
      <c r="J31" s="17"/>
      <c r="K31" s="17"/>
    </row>
    <row r="32" spans="1:26" x14ac:dyDescent="0.3">
      <c r="A32" s="34"/>
      <c r="B32" s="14"/>
      <c r="C32" s="2" t="str">
        <f t="shared" si="0"/>
        <v>FALSE</v>
      </c>
      <c r="D32" s="44"/>
      <c r="E32" s="2" t="str">
        <f t="shared" si="1"/>
        <v>FALSE</v>
      </c>
      <c r="F32" s="44"/>
      <c r="G32" s="44"/>
      <c r="H32" s="27"/>
      <c r="I32" s="17"/>
      <c r="J32" s="17"/>
      <c r="K32" s="17"/>
    </row>
    <row r="33" spans="1:26" x14ac:dyDescent="0.3">
      <c r="A33" s="34"/>
      <c r="B33" s="14"/>
      <c r="C33" s="2" t="str">
        <f t="shared" si="0"/>
        <v>FALSE</v>
      </c>
      <c r="D33" s="44"/>
      <c r="E33" s="2" t="str">
        <f t="shared" si="1"/>
        <v>FALSE</v>
      </c>
      <c r="F33" s="21"/>
      <c r="G33" s="44"/>
      <c r="H33" s="27"/>
      <c r="I33" s="17"/>
      <c r="J33" s="17"/>
      <c r="K33" s="17"/>
      <c r="X33" s="37"/>
      <c r="Y33" s="38"/>
      <c r="Z33" s="38"/>
    </row>
    <row r="34" spans="1:26" x14ac:dyDescent="0.3">
      <c r="A34" s="34"/>
      <c r="B34" s="14"/>
      <c r="C34" s="2" t="str">
        <f t="shared" si="0"/>
        <v>FALSE</v>
      </c>
      <c r="D34" s="44"/>
      <c r="E34" s="2" t="str">
        <f t="shared" si="1"/>
        <v>FALSE</v>
      </c>
      <c r="F34" s="21"/>
      <c r="G34" s="44"/>
      <c r="H34" s="27"/>
      <c r="I34" s="17"/>
      <c r="J34" s="17"/>
      <c r="K34" s="17"/>
      <c r="X34" s="37"/>
      <c r="Y34" s="38"/>
      <c r="Z34" s="38"/>
    </row>
    <row r="35" spans="1:26" x14ac:dyDescent="0.3">
      <c r="A35" s="34"/>
      <c r="B35" s="14"/>
      <c r="C35" s="2" t="str">
        <f t="shared" si="0"/>
        <v>FALSE</v>
      </c>
      <c r="D35" s="44"/>
      <c r="E35" s="2" t="str">
        <f t="shared" si="1"/>
        <v>FALSE</v>
      </c>
      <c r="F35" s="21"/>
      <c r="G35" s="44"/>
      <c r="H35" s="27"/>
      <c r="I35" s="17"/>
      <c r="J35" s="17"/>
      <c r="K35" s="17"/>
      <c r="X35" s="37"/>
      <c r="Y35" s="38"/>
      <c r="Z35" s="37"/>
    </row>
    <row r="36" spans="1:26" x14ac:dyDescent="0.3">
      <c r="A36" s="34"/>
      <c r="B36" s="14"/>
      <c r="C36" s="2" t="str">
        <f t="shared" si="0"/>
        <v>FALSE</v>
      </c>
      <c r="D36" s="44"/>
      <c r="E36" s="2" t="str">
        <f t="shared" si="1"/>
        <v>FALSE</v>
      </c>
      <c r="F36" s="21"/>
      <c r="G36" s="44"/>
      <c r="H36" s="27"/>
      <c r="I36" s="17"/>
      <c r="J36" s="17"/>
      <c r="K36" s="17"/>
      <c r="X36" s="37"/>
      <c r="Y36" s="38"/>
      <c r="Z36" s="38"/>
    </row>
    <row r="37" spans="1:26" x14ac:dyDescent="0.3">
      <c r="A37" s="34"/>
      <c r="B37" s="14"/>
      <c r="C37" s="2" t="str">
        <f t="shared" ref="C37:C40" si="2">IF((E37="WS"),"WATER",IF((E37="R"),"RCM",IF((E37="E"),"RCM","FALSE")))</f>
        <v>FALSE</v>
      </c>
      <c r="D37" s="44"/>
      <c r="E37" s="2" t="str">
        <f t="shared" si="1"/>
        <v>FALSE</v>
      </c>
      <c r="F37" s="21"/>
      <c r="G37" s="44"/>
      <c r="H37" s="27"/>
      <c r="I37" s="17"/>
      <c r="J37" s="17"/>
      <c r="K37" s="17"/>
      <c r="X37" s="37"/>
      <c r="Y37" s="38"/>
      <c r="Z37" s="38"/>
    </row>
    <row r="38" spans="1:26" x14ac:dyDescent="0.3">
      <c r="A38" s="34"/>
      <c r="B38" s="14"/>
      <c r="C38" s="2" t="str">
        <f t="shared" si="2"/>
        <v>FALSE</v>
      </c>
      <c r="D38" s="44"/>
      <c r="E38" s="2" t="str">
        <f t="shared" si="1"/>
        <v>FALSE</v>
      </c>
      <c r="F38" s="21"/>
      <c r="G38" s="44"/>
      <c r="H38" s="27"/>
      <c r="I38" s="17"/>
      <c r="J38" s="17"/>
      <c r="K38" s="17"/>
      <c r="X38" s="37"/>
      <c r="Y38" s="38"/>
      <c r="Z38" s="38"/>
    </row>
    <row r="39" spans="1:26" x14ac:dyDescent="0.3">
      <c r="A39" s="34"/>
      <c r="B39" s="14"/>
      <c r="C39" s="2" t="str">
        <f t="shared" si="2"/>
        <v>FALSE</v>
      </c>
      <c r="D39" s="44"/>
      <c r="E39" s="2" t="str">
        <f t="shared" si="1"/>
        <v>FALSE</v>
      </c>
      <c r="F39" s="21"/>
      <c r="G39" s="44"/>
      <c r="H39" s="27"/>
      <c r="I39" s="17"/>
      <c r="J39" s="17"/>
      <c r="K39" s="17"/>
      <c r="V39" s="41"/>
      <c r="W39" s="41"/>
      <c r="X39" s="37"/>
      <c r="Y39" s="38"/>
      <c r="Z39" s="38"/>
    </row>
    <row r="40" spans="1:26" x14ac:dyDescent="0.3">
      <c r="A40" s="34"/>
      <c r="B40" s="14"/>
      <c r="C40" s="2" t="str">
        <f t="shared" si="2"/>
        <v>FALSE</v>
      </c>
      <c r="D40" s="44"/>
      <c r="E40" s="2" t="str">
        <f t="shared" si="1"/>
        <v>FALSE</v>
      </c>
      <c r="F40" s="21"/>
      <c r="G40" s="44"/>
      <c r="H40" s="27"/>
      <c r="I40" s="17"/>
      <c r="J40" s="17"/>
      <c r="K40" s="17"/>
      <c r="V40" s="41"/>
      <c r="W40" s="41"/>
      <c r="X40" s="37"/>
      <c r="Y40" s="38"/>
      <c r="Z40" s="38"/>
    </row>
    <row r="41" spans="1:26" x14ac:dyDescent="0.3">
      <c r="A41" s="34"/>
      <c r="B41" s="14"/>
      <c r="C41" s="2" t="str">
        <f t="shared" si="0"/>
        <v>FALSE</v>
      </c>
      <c r="D41" s="44"/>
      <c r="E41" s="2" t="str">
        <f t="shared" si="1"/>
        <v>FALSE</v>
      </c>
      <c r="F41" s="27"/>
      <c r="G41" s="44"/>
      <c r="H41" s="27"/>
      <c r="I41" s="17"/>
      <c r="J41" s="17"/>
      <c r="K41" s="17"/>
      <c r="V41" s="41"/>
      <c r="W41" s="41"/>
      <c r="X41" s="37"/>
      <c r="Y41" s="38"/>
      <c r="Z41" s="38"/>
    </row>
    <row r="42" spans="1:26" x14ac:dyDescent="0.3">
      <c r="A42" s="34"/>
      <c r="B42" s="14"/>
      <c r="C42" s="2" t="str">
        <f t="shared" si="0"/>
        <v>FALSE</v>
      </c>
      <c r="D42" s="44"/>
      <c r="E42" s="2" t="str">
        <f t="shared" si="1"/>
        <v>FALSE</v>
      </c>
      <c r="F42" s="27"/>
      <c r="G42" s="44"/>
      <c r="H42" s="27"/>
      <c r="I42" s="17"/>
      <c r="J42" s="17"/>
      <c r="K42" s="17"/>
      <c r="V42" s="41"/>
      <c r="W42" s="41"/>
      <c r="X42" s="37"/>
      <c r="Y42" s="38"/>
      <c r="Z42" s="38"/>
    </row>
    <row r="43" spans="1:26" ht="22.8" x14ac:dyDescent="0.3">
      <c r="A43" s="48" t="s">
        <v>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V43" s="41"/>
      <c r="W43" s="41"/>
      <c r="Y43" s="38"/>
      <c r="Z43" s="38"/>
    </row>
    <row r="44" spans="1:26" ht="18" thickBot="1" x14ac:dyDescent="0.35">
      <c r="A44" s="49" t="s">
        <v>1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V44" s="41"/>
      <c r="W44" s="41"/>
      <c r="X44" s="37"/>
      <c r="Y44" s="38"/>
      <c r="Z44" s="38"/>
    </row>
    <row r="45" spans="1:26" ht="14.4" thickBot="1" x14ac:dyDescent="0.35">
      <c r="A45" s="29"/>
      <c r="B45" s="29"/>
      <c r="C45" s="22" t="s">
        <v>2</v>
      </c>
      <c r="D45" s="11"/>
      <c r="E45" s="6"/>
      <c r="F45" s="22" t="s">
        <v>4</v>
      </c>
      <c r="G45" s="16"/>
      <c r="H45" s="22"/>
      <c r="I45" s="22"/>
      <c r="J45" s="23"/>
      <c r="K45" s="23"/>
      <c r="V45" s="41"/>
      <c r="W45" s="41"/>
      <c r="X45" s="37"/>
      <c r="Y45" s="38"/>
      <c r="Z45" s="38"/>
    </row>
    <row r="46" spans="1:26" ht="26.4" x14ac:dyDescent="0.3">
      <c r="A46" s="8" t="s">
        <v>5</v>
      </c>
      <c r="B46" s="8" t="s">
        <v>6</v>
      </c>
      <c r="C46" s="8" t="s">
        <v>7</v>
      </c>
      <c r="D46" s="24" t="s">
        <v>8</v>
      </c>
      <c r="E46" s="24" t="s">
        <v>9</v>
      </c>
      <c r="F46" s="8" t="s">
        <v>10</v>
      </c>
      <c r="G46" s="24" t="s">
        <v>11</v>
      </c>
      <c r="H46" s="24" t="s">
        <v>12</v>
      </c>
      <c r="I46" s="50" t="s">
        <v>13</v>
      </c>
      <c r="J46" s="51"/>
      <c r="K46" s="24" t="s">
        <v>14</v>
      </c>
      <c r="V46" s="41"/>
      <c r="W46" s="41"/>
      <c r="X46" s="37"/>
      <c r="Y46" s="38"/>
      <c r="Z46" s="38"/>
    </row>
    <row r="47" spans="1:26" x14ac:dyDescent="0.3">
      <c r="A47" s="34"/>
      <c r="B47" s="10"/>
      <c r="C47" s="2" t="str">
        <f t="shared" ref="C47:C71" si="3">IF((E47="WS"),"WATER",IF((E47="R"),"RCM",IF((E47="E"),"RCM","FALSE")))</f>
        <v>FALSE</v>
      </c>
      <c r="D47" s="21"/>
      <c r="E47" s="2" t="str">
        <f t="shared" ref="E47:E71" si="4">IF((LEFT(F47,1)="w"),"WS",IF((LEFT(F47,1)="M"),"R",IF((LEFT(F47,1)="Q"),"R",IF((LEFT(F47,1)="F"),"R",IF((LEFT(F47,1)="D"),"R",IF((LEFT(F47,1)="P"),"R",IF((LEFT(F47,1)="U"),"E",IF((LEFT(F47,1)="K"),"E",IF((LEFT(F47,1)="Y"),"E",IF((LEFT(F47,1)="C"),"E",IF((LEFT(F47,1)="H"),"E",IF((LEFT(F47,1)="G"),"E",IF((LEFT(F47,1)="R"),"E","FALSE")))))))))))))</f>
        <v>FALSE</v>
      </c>
      <c r="F47" s="21"/>
      <c r="G47" s="17"/>
      <c r="H47" s="17"/>
      <c r="I47" s="25"/>
      <c r="J47" s="26"/>
      <c r="K47" s="25"/>
      <c r="V47" s="41"/>
      <c r="W47" s="41"/>
      <c r="X47" s="37"/>
      <c r="Y47" s="38"/>
      <c r="Z47" s="38"/>
    </row>
    <row r="48" spans="1:26" x14ac:dyDescent="0.3">
      <c r="A48" s="34"/>
      <c r="B48" s="10"/>
      <c r="C48" s="2" t="str">
        <f t="shared" si="3"/>
        <v>FALSE</v>
      </c>
      <c r="D48" s="21"/>
      <c r="E48" s="2" t="str">
        <f t="shared" si="4"/>
        <v>FALSE</v>
      </c>
      <c r="F48" s="21"/>
      <c r="G48" s="27"/>
      <c r="H48" s="17"/>
      <c r="I48" s="17"/>
      <c r="J48" s="17"/>
      <c r="K48" s="17"/>
      <c r="V48" s="41"/>
      <c r="W48" s="41"/>
      <c r="X48" s="37"/>
      <c r="Y48" s="38"/>
      <c r="Z48" s="38"/>
    </row>
    <row r="49" spans="1:26" x14ac:dyDescent="0.3">
      <c r="A49" s="34"/>
      <c r="B49" s="10"/>
      <c r="C49" s="2" t="str">
        <f t="shared" si="3"/>
        <v>FALSE</v>
      </c>
      <c r="D49" s="17"/>
      <c r="E49" s="2" t="str">
        <f t="shared" si="4"/>
        <v>FALSE</v>
      </c>
      <c r="F49" s="17"/>
      <c r="G49" s="17"/>
      <c r="H49" s="17"/>
      <c r="I49" s="17"/>
      <c r="J49" s="17"/>
      <c r="K49" s="17"/>
      <c r="X49" s="37"/>
      <c r="Y49" s="38"/>
      <c r="Z49" s="38"/>
    </row>
    <row r="50" spans="1:26" x14ac:dyDescent="0.3">
      <c r="A50" s="34"/>
      <c r="B50" s="10"/>
      <c r="C50" s="2" t="str">
        <f t="shared" si="3"/>
        <v>FALSE</v>
      </c>
      <c r="D50" s="17"/>
      <c r="E50" s="2" t="str">
        <f t="shared" si="4"/>
        <v>FALSE</v>
      </c>
      <c r="F50" s="17"/>
      <c r="G50" s="17"/>
      <c r="H50" s="17"/>
      <c r="I50" s="17"/>
      <c r="J50" s="17"/>
      <c r="K50" s="17"/>
      <c r="Y50" s="38"/>
      <c r="Z50" s="38"/>
    </row>
    <row r="51" spans="1:26" x14ac:dyDescent="0.3">
      <c r="A51" s="34"/>
      <c r="B51" s="10"/>
      <c r="C51" s="2" t="str">
        <f t="shared" si="3"/>
        <v>FALSE</v>
      </c>
      <c r="D51" s="17"/>
      <c r="E51" s="2" t="str">
        <f t="shared" si="4"/>
        <v>FALSE</v>
      </c>
      <c r="F51" s="17"/>
      <c r="G51" s="17"/>
      <c r="H51" s="17"/>
      <c r="I51" s="17"/>
      <c r="J51" s="17"/>
      <c r="K51" s="17"/>
      <c r="Y51" s="38"/>
    </row>
    <row r="52" spans="1:26" x14ac:dyDescent="0.3">
      <c r="A52" s="34"/>
      <c r="B52" s="10"/>
      <c r="C52" s="2" t="str">
        <f t="shared" si="3"/>
        <v>FALSE</v>
      </c>
      <c r="D52" s="17"/>
      <c r="E52" s="2" t="str">
        <f t="shared" si="4"/>
        <v>FALSE</v>
      </c>
      <c r="F52" s="17"/>
      <c r="G52" s="17"/>
      <c r="H52" s="17"/>
      <c r="I52" s="17"/>
      <c r="J52" s="17"/>
      <c r="K52" s="17"/>
      <c r="Y52" s="38"/>
    </row>
    <row r="53" spans="1:26" x14ac:dyDescent="0.3">
      <c r="A53" s="34"/>
      <c r="B53" s="10"/>
      <c r="C53" s="2" t="str">
        <f t="shared" si="3"/>
        <v>FALSE</v>
      </c>
      <c r="D53" s="17"/>
      <c r="E53" s="2" t="str">
        <f t="shared" si="4"/>
        <v>FALSE</v>
      </c>
      <c r="F53" s="17"/>
      <c r="G53" s="17"/>
      <c r="H53" s="17"/>
      <c r="I53" s="17"/>
      <c r="J53" s="17"/>
      <c r="K53" s="17"/>
    </row>
    <row r="54" spans="1:26" x14ac:dyDescent="0.3">
      <c r="A54" s="34"/>
      <c r="B54" s="10"/>
      <c r="C54" s="2" t="str">
        <f t="shared" si="3"/>
        <v>FALSE</v>
      </c>
      <c r="D54" s="17"/>
      <c r="E54" s="2" t="str">
        <f t="shared" si="4"/>
        <v>FALSE</v>
      </c>
      <c r="F54" s="28"/>
      <c r="G54" s="17"/>
      <c r="H54" s="17"/>
      <c r="I54" s="17"/>
      <c r="J54" s="17"/>
      <c r="K54" s="17"/>
    </row>
    <row r="55" spans="1:26" x14ac:dyDescent="0.3">
      <c r="A55" s="34"/>
      <c r="B55" s="10"/>
      <c r="C55" s="2" t="str">
        <f t="shared" si="3"/>
        <v>FALSE</v>
      </c>
      <c r="D55" s="17"/>
      <c r="E55" s="2" t="str">
        <f t="shared" si="4"/>
        <v>FALSE</v>
      </c>
      <c r="F55" s="17"/>
      <c r="G55" s="17"/>
      <c r="H55" s="17"/>
      <c r="I55" s="17"/>
      <c r="J55" s="17"/>
      <c r="K55" s="17"/>
    </row>
    <row r="56" spans="1:26" x14ac:dyDescent="0.3">
      <c r="A56" s="34"/>
      <c r="B56" s="10"/>
      <c r="C56" s="2" t="str">
        <f t="shared" si="3"/>
        <v>FALSE</v>
      </c>
      <c r="D56" s="17"/>
      <c r="E56" s="2" t="str">
        <f t="shared" si="4"/>
        <v>FALSE</v>
      </c>
      <c r="F56" s="17"/>
      <c r="G56" s="17"/>
      <c r="H56" s="17"/>
      <c r="I56" s="17"/>
      <c r="J56" s="17"/>
      <c r="K56" s="17"/>
    </row>
    <row r="57" spans="1:26" x14ac:dyDescent="0.3">
      <c r="A57" s="34"/>
      <c r="B57" s="10"/>
      <c r="C57" s="2" t="str">
        <f t="shared" si="3"/>
        <v>FALSE</v>
      </c>
      <c r="D57" s="17"/>
      <c r="E57" s="2" t="str">
        <f t="shared" si="4"/>
        <v>FALSE</v>
      </c>
      <c r="F57" s="17"/>
      <c r="G57" s="17"/>
      <c r="H57" s="17"/>
      <c r="I57" s="17"/>
      <c r="J57" s="17"/>
      <c r="K57" s="17"/>
      <c r="X57" s="37"/>
      <c r="Y57" s="38"/>
    </row>
    <row r="58" spans="1:26" x14ac:dyDescent="0.3">
      <c r="A58" s="34"/>
      <c r="B58" s="10"/>
      <c r="C58" s="2" t="str">
        <f t="shared" si="3"/>
        <v>FALSE</v>
      </c>
      <c r="D58" s="17"/>
      <c r="E58" s="2" t="str">
        <f t="shared" si="4"/>
        <v>FALSE</v>
      </c>
      <c r="F58" s="17"/>
      <c r="G58" s="17"/>
      <c r="H58" s="17"/>
      <c r="I58" s="17"/>
      <c r="J58" s="17"/>
      <c r="K58" s="17"/>
    </row>
    <row r="59" spans="1:26" x14ac:dyDescent="0.3">
      <c r="A59" s="34"/>
      <c r="B59" s="10"/>
      <c r="C59" s="2" t="str">
        <f t="shared" si="3"/>
        <v>FALSE</v>
      </c>
      <c r="D59" s="17"/>
      <c r="E59" s="2" t="str">
        <f t="shared" si="4"/>
        <v>FALSE</v>
      </c>
      <c r="F59" s="17"/>
      <c r="G59" s="20"/>
      <c r="H59" s="17"/>
      <c r="I59" s="17"/>
      <c r="J59" s="17"/>
      <c r="K59" s="17"/>
    </row>
    <row r="60" spans="1:26" x14ac:dyDescent="0.3">
      <c r="A60" s="34"/>
      <c r="B60" s="10"/>
      <c r="C60" s="2" t="str">
        <f t="shared" si="3"/>
        <v>FALSE</v>
      </c>
      <c r="D60" s="17"/>
      <c r="E60" s="2" t="str">
        <f t="shared" si="4"/>
        <v>FALSE</v>
      </c>
      <c r="F60" s="17"/>
      <c r="G60" s="17"/>
      <c r="H60" s="17"/>
      <c r="I60" s="17"/>
      <c r="J60" s="17"/>
      <c r="K60" s="17"/>
    </row>
    <row r="61" spans="1:26" x14ac:dyDescent="0.3">
      <c r="A61" s="34"/>
      <c r="B61" s="10"/>
      <c r="C61" s="2" t="str">
        <f t="shared" si="3"/>
        <v>FALSE</v>
      </c>
      <c r="D61" s="17"/>
      <c r="E61" s="2" t="str">
        <f t="shared" si="4"/>
        <v>FALSE</v>
      </c>
      <c r="F61" s="17"/>
      <c r="G61" s="17"/>
      <c r="H61" s="17"/>
      <c r="I61" s="17"/>
      <c r="J61" s="17"/>
      <c r="K61" s="17"/>
    </row>
    <row r="62" spans="1:26" x14ac:dyDescent="0.3">
      <c r="A62" s="34"/>
      <c r="B62" s="10"/>
      <c r="C62" s="2" t="str">
        <f t="shared" si="3"/>
        <v>FALSE</v>
      </c>
      <c r="D62" s="17"/>
      <c r="E62" s="2" t="str">
        <f t="shared" si="4"/>
        <v>FALSE</v>
      </c>
      <c r="F62" s="17"/>
      <c r="G62" s="17"/>
      <c r="H62" s="17"/>
      <c r="I62" s="17"/>
      <c r="J62" s="17"/>
      <c r="K62" s="17"/>
      <c r="X62" s="37"/>
      <c r="Y62" s="38"/>
      <c r="Z62" s="38"/>
    </row>
    <row r="63" spans="1:26" x14ac:dyDescent="0.3">
      <c r="A63" s="34"/>
      <c r="B63" s="10"/>
      <c r="C63" s="2" t="str">
        <f t="shared" si="3"/>
        <v>FALSE</v>
      </c>
      <c r="D63" s="17"/>
      <c r="E63" s="2" t="str">
        <f t="shared" si="4"/>
        <v>FALSE</v>
      </c>
      <c r="F63" s="17"/>
      <c r="G63" s="17"/>
      <c r="H63" s="17"/>
      <c r="I63" s="17"/>
      <c r="J63" s="17"/>
      <c r="K63" s="17"/>
      <c r="X63" s="37"/>
      <c r="Y63" s="38"/>
      <c r="Z63" s="38"/>
    </row>
    <row r="64" spans="1:26" x14ac:dyDescent="0.3">
      <c r="A64" s="34"/>
      <c r="B64" s="10"/>
      <c r="C64" s="2" t="str">
        <f t="shared" si="3"/>
        <v>FALSE</v>
      </c>
      <c r="D64" s="17"/>
      <c r="E64" s="2" t="str">
        <f t="shared" si="4"/>
        <v>FALSE</v>
      </c>
      <c r="F64" s="17"/>
      <c r="G64" s="17"/>
      <c r="H64" s="17"/>
      <c r="I64" s="17"/>
      <c r="J64" s="17"/>
      <c r="K64" s="17"/>
      <c r="X64" s="37"/>
      <c r="Y64" s="38"/>
      <c r="Z64" s="37"/>
    </row>
    <row r="65" spans="1:26" x14ac:dyDescent="0.3">
      <c r="A65" s="34"/>
      <c r="B65" s="10"/>
      <c r="C65" s="2" t="str">
        <f t="shared" si="3"/>
        <v>FALSE</v>
      </c>
      <c r="D65" s="17"/>
      <c r="E65" s="2" t="str">
        <f t="shared" si="4"/>
        <v>FALSE</v>
      </c>
      <c r="F65" s="17"/>
      <c r="G65" s="17"/>
      <c r="H65" s="17"/>
      <c r="I65" s="17"/>
      <c r="J65" s="17"/>
      <c r="K65" s="17"/>
      <c r="X65" s="37"/>
      <c r="Y65" s="38"/>
      <c r="Z65" s="38"/>
    </row>
    <row r="66" spans="1:26" x14ac:dyDescent="0.3">
      <c r="A66" s="34"/>
      <c r="B66" s="10"/>
      <c r="C66" s="2" t="str">
        <f t="shared" si="3"/>
        <v>FALSE</v>
      </c>
      <c r="D66" s="17"/>
      <c r="E66" s="2" t="str">
        <f t="shared" si="4"/>
        <v>FALSE</v>
      </c>
      <c r="F66" s="17"/>
      <c r="G66" s="17"/>
      <c r="H66" s="17"/>
      <c r="I66" s="17"/>
      <c r="J66" s="17"/>
      <c r="K66" s="17"/>
      <c r="X66" s="37"/>
      <c r="Y66" s="38"/>
      <c r="Z66" s="38"/>
    </row>
    <row r="67" spans="1:26" x14ac:dyDescent="0.3">
      <c r="A67" s="34"/>
      <c r="B67" s="10"/>
      <c r="C67" s="2" t="str">
        <f t="shared" si="3"/>
        <v>FALSE</v>
      </c>
      <c r="D67" s="17"/>
      <c r="E67" s="2" t="str">
        <f t="shared" si="4"/>
        <v>FALSE</v>
      </c>
      <c r="F67" s="17"/>
      <c r="G67" s="17"/>
      <c r="H67" s="17"/>
      <c r="I67" s="17"/>
      <c r="J67" s="17"/>
      <c r="K67" s="17"/>
      <c r="X67" s="37"/>
      <c r="Y67" s="38"/>
      <c r="Z67" s="38"/>
    </row>
    <row r="68" spans="1:26" x14ac:dyDescent="0.3">
      <c r="A68" s="34"/>
      <c r="B68" s="10"/>
      <c r="C68" s="2" t="str">
        <f t="shared" si="3"/>
        <v>FALSE</v>
      </c>
      <c r="D68" s="17"/>
      <c r="E68" s="2" t="str">
        <f t="shared" si="4"/>
        <v>FALSE</v>
      </c>
      <c r="F68" s="17"/>
      <c r="G68" s="17"/>
      <c r="H68" s="17"/>
      <c r="I68" s="17"/>
      <c r="J68" s="17"/>
      <c r="K68" s="17"/>
      <c r="V68" s="41"/>
      <c r="W68" s="41"/>
      <c r="X68" s="37"/>
      <c r="Y68" s="38"/>
      <c r="Z68" s="38"/>
    </row>
    <row r="69" spans="1:26" x14ac:dyDescent="0.3">
      <c r="A69" s="34"/>
      <c r="B69" s="10"/>
      <c r="C69" s="2" t="str">
        <f t="shared" si="3"/>
        <v>FALSE</v>
      </c>
      <c r="D69" s="17"/>
      <c r="E69" s="2" t="str">
        <f t="shared" si="4"/>
        <v>FALSE</v>
      </c>
      <c r="F69" s="17"/>
      <c r="G69" s="17"/>
      <c r="H69" s="17"/>
      <c r="I69" s="17"/>
      <c r="J69" s="17"/>
      <c r="K69" s="17"/>
      <c r="V69" s="41"/>
      <c r="W69" s="41"/>
      <c r="X69" s="37"/>
      <c r="Y69" s="38"/>
      <c r="Z69" s="38"/>
    </row>
    <row r="70" spans="1:26" x14ac:dyDescent="0.3">
      <c r="A70" s="34"/>
      <c r="B70" s="10"/>
      <c r="C70" s="2" t="str">
        <f t="shared" si="3"/>
        <v>FALSE</v>
      </c>
      <c r="D70" s="17"/>
      <c r="E70" s="2" t="str">
        <f t="shared" si="4"/>
        <v>FALSE</v>
      </c>
      <c r="F70" s="17"/>
      <c r="G70" s="17"/>
      <c r="H70" s="17"/>
      <c r="I70" s="17"/>
      <c r="J70" s="17"/>
      <c r="K70" s="17"/>
      <c r="V70" s="41"/>
      <c r="W70" s="41"/>
      <c r="X70" s="37"/>
      <c r="Y70" s="38"/>
      <c r="Z70" s="38"/>
    </row>
    <row r="71" spans="1:26" x14ac:dyDescent="0.3">
      <c r="A71" s="34"/>
      <c r="B71" s="10"/>
      <c r="C71" s="2" t="str">
        <f t="shared" si="3"/>
        <v>FALSE</v>
      </c>
      <c r="D71" s="17"/>
      <c r="E71" s="2" t="str">
        <f t="shared" si="4"/>
        <v>FALSE</v>
      </c>
      <c r="F71" s="17"/>
      <c r="G71" s="17"/>
      <c r="H71" s="17"/>
      <c r="I71" s="17"/>
      <c r="J71" s="17"/>
      <c r="K71" s="17"/>
      <c r="V71" s="41"/>
      <c r="W71" s="41"/>
      <c r="X71" s="37"/>
      <c r="Y71" s="38"/>
      <c r="Z71" s="38"/>
    </row>
    <row r="72" spans="1:26" ht="22.8" x14ac:dyDescent="0.3">
      <c r="A72" s="48" t="s">
        <v>0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V72" s="41"/>
      <c r="W72" s="41"/>
      <c r="Y72" s="38"/>
      <c r="Z72" s="38"/>
    </row>
    <row r="73" spans="1:26" ht="18" thickBot="1" x14ac:dyDescent="0.35">
      <c r="A73" s="49" t="s">
        <v>1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V73" s="41"/>
      <c r="W73" s="41"/>
      <c r="X73" s="37"/>
      <c r="Y73" s="38"/>
      <c r="Z73" s="38"/>
    </row>
    <row r="74" spans="1:26" ht="14.4" thickBot="1" x14ac:dyDescent="0.35">
      <c r="A74" s="29"/>
      <c r="B74" s="29"/>
      <c r="C74" s="22" t="s">
        <v>2</v>
      </c>
      <c r="D74" s="11"/>
      <c r="E74" s="6"/>
      <c r="F74" s="22" t="s">
        <v>4</v>
      </c>
      <c r="G74" s="16"/>
      <c r="H74" s="22"/>
      <c r="I74" s="22"/>
      <c r="J74" s="23"/>
      <c r="K74" s="23"/>
      <c r="V74" s="41"/>
      <c r="W74" s="41"/>
      <c r="X74" s="37"/>
      <c r="Y74" s="38"/>
      <c r="Z74" s="38"/>
    </row>
    <row r="75" spans="1:26" ht="26.4" x14ac:dyDescent="0.3">
      <c r="A75" s="8" t="s">
        <v>5</v>
      </c>
      <c r="B75" s="8" t="s">
        <v>6</v>
      </c>
      <c r="C75" s="8" t="s">
        <v>7</v>
      </c>
      <c r="D75" s="24" t="s">
        <v>8</v>
      </c>
      <c r="E75" s="24" t="s">
        <v>9</v>
      </c>
      <c r="F75" s="8" t="s">
        <v>10</v>
      </c>
      <c r="G75" s="24" t="s">
        <v>11</v>
      </c>
      <c r="H75" s="24" t="s">
        <v>12</v>
      </c>
      <c r="I75" s="50" t="s">
        <v>13</v>
      </c>
      <c r="J75" s="51"/>
      <c r="K75" s="24" t="s">
        <v>14</v>
      </c>
      <c r="V75" s="41"/>
      <c r="W75" s="41"/>
      <c r="X75" s="37"/>
      <c r="Y75" s="38"/>
      <c r="Z75" s="38"/>
    </row>
    <row r="76" spans="1:26" x14ac:dyDescent="0.3">
      <c r="A76" s="34"/>
      <c r="B76" s="10"/>
      <c r="C76" s="19"/>
      <c r="D76" s="21"/>
      <c r="E76" s="19"/>
      <c r="F76" s="21"/>
      <c r="G76" s="17"/>
      <c r="H76" s="17"/>
      <c r="I76" s="25"/>
      <c r="J76" s="26"/>
      <c r="K76" s="25"/>
      <c r="V76" s="41"/>
      <c r="W76" s="41"/>
      <c r="X76" s="37"/>
      <c r="Y76" s="38"/>
      <c r="Z76" s="38"/>
    </row>
    <row r="77" spans="1:26" x14ac:dyDescent="0.3">
      <c r="A77" s="34"/>
      <c r="B77" s="10"/>
      <c r="C77" s="19"/>
      <c r="D77" s="21"/>
      <c r="E77" s="19"/>
      <c r="F77" s="21"/>
      <c r="G77" s="17"/>
      <c r="H77" s="17"/>
      <c r="I77" s="17"/>
      <c r="J77" s="17"/>
      <c r="K77" s="17"/>
      <c r="V77" s="41"/>
      <c r="W77" s="41"/>
      <c r="X77" s="37"/>
      <c r="Y77" s="38"/>
      <c r="Z77" s="38"/>
    </row>
    <row r="78" spans="1:26" x14ac:dyDescent="0.3">
      <c r="A78" s="34"/>
      <c r="B78" s="10"/>
      <c r="C78" s="18"/>
      <c r="D78" s="17"/>
      <c r="E78" s="18"/>
      <c r="F78" s="17"/>
      <c r="G78" s="17"/>
      <c r="H78" s="17"/>
      <c r="I78" s="17"/>
      <c r="J78" s="17"/>
      <c r="K78" s="17"/>
      <c r="X78" s="37"/>
      <c r="Y78" s="38"/>
      <c r="Z78" s="38"/>
    </row>
    <row r="79" spans="1:26" x14ac:dyDescent="0.3">
      <c r="A79" s="34"/>
      <c r="B79" s="10"/>
      <c r="C79" s="18"/>
      <c r="D79" s="17"/>
      <c r="E79" s="18"/>
      <c r="F79" s="17"/>
      <c r="G79" s="17"/>
      <c r="H79" s="17"/>
      <c r="I79" s="17"/>
      <c r="J79" s="17"/>
      <c r="K79" s="17"/>
      <c r="Y79" s="38"/>
      <c r="Z79" s="38"/>
    </row>
    <row r="80" spans="1:26" x14ac:dyDescent="0.3">
      <c r="A80" s="34"/>
      <c r="B80" s="10"/>
      <c r="C80" s="18"/>
      <c r="D80" s="17"/>
      <c r="E80" s="18"/>
      <c r="F80" s="17"/>
      <c r="G80" s="17"/>
      <c r="H80" s="17"/>
      <c r="I80" s="17"/>
      <c r="J80" s="17"/>
      <c r="K80" s="17"/>
      <c r="Y80" s="38"/>
    </row>
    <row r="81" spans="1:26" x14ac:dyDescent="0.3">
      <c r="A81" s="34"/>
      <c r="B81" s="10"/>
      <c r="C81" s="18"/>
      <c r="D81" s="17"/>
      <c r="E81" s="18"/>
      <c r="F81" s="17"/>
      <c r="G81" s="17"/>
      <c r="H81" s="17"/>
      <c r="I81" s="17"/>
      <c r="J81" s="17"/>
      <c r="K81" s="17"/>
      <c r="Y81" s="38"/>
    </row>
    <row r="82" spans="1:26" x14ac:dyDescent="0.3">
      <c r="A82" s="34"/>
      <c r="B82" s="10"/>
      <c r="C82" s="18"/>
      <c r="D82" s="17"/>
      <c r="E82" s="18"/>
      <c r="F82" s="17"/>
      <c r="G82" s="17"/>
      <c r="H82" s="17"/>
      <c r="I82" s="17"/>
      <c r="J82" s="17"/>
      <c r="K82" s="17"/>
    </row>
    <row r="83" spans="1:26" x14ac:dyDescent="0.3">
      <c r="A83" s="34"/>
      <c r="B83" s="10"/>
      <c r="C83" s="18"/>
      <c r="D83" s="17"/>
      <c r="E83" s="18"/>
      <c r="F83" s="5"/>
      <c r="G83" s="17"/>
      <c r="H83" s="17"/>
      <c r="I83" s="17"/>
      <c r="J83" s="17"/>
      <c r="K83" s="17"/>
    </row>
    <row r="84" spans="1:26" x14ac:dyDescent="0.3">
      <c r="A84" s="34"/>
      <c r="B84" s="10"/>
      <c r="C84" s="18"/>
      <c r="D84" s="17"/>
      <c r="E84" s="18"/>
      <c r="F84" s="17"/>
      <c r="G84" s="17"/>
      <c r="H84" s="17"/>
      <c r="I84" s="17"/>
      <c r="J84" s="17"/>
      <c r="K84" s="17"/>
    </row>
    <row r="85" spans="1:26" x14ac:dyDescent="0.3">
      <c r="A85" s="34"/>
      <c r="B85" s="10"/>
      <c r="C85" s="18"/>
      <c r="D85" s="17"/>
      <c r="E85" s="18"/>
      <c r="F85" s="17"/>
      <c r="G85" s="17"/>
      <c r="H85" s="17"/>
      <c r="I85" s="17"/>
      <c r="J85" s="17"/>
      <c r="K85" s="17"/>
    </row>
    <row r="86" spans="1:26" x14ac:dyDescent="0.3">
      <c r="A86" s="34"/>
      <c r="B86" s="10"/>
      <c r="C86" s="18"/>
      <c r="D86" s="17"/>
      <c r="E86" s="18"/>
      <c r="F86" s="17"/>
      <c r="G86" s="17"/>
      <c r="H86" s="17"/>
      <c r="I86" s="17"/>
      <c r="J86" s="17"/>
      <c r="K86" s="17"/>
      <c r="X86" s="37"/>
      <c r="Y86" s="38"/>
    </row>
    <row r="87" spans="1:26" x14ac:dyDescent="0.3">
      <c r="A87" s="34"/>
      <c r="B87" s="10"/>
      <c r="C87" s="18"/>
      <c r="D87" s="17"/>
      <c r="E87" s="18"/>
      <c r="F87" s="17"/>
      <c r="G87" s="17"/>
      <c r="H87" s="17"/>
      <c r="I87" s="17"/>
      <c r="J87" s="17"/>
      <c r="K87" s="17"/>
    </row>
    <row r="88" spans="1:26" x14ac:dyDescent="0.3">
      <c r="A88" s="34"/>
      <c r="B88" s="10"/>
      <c r="C88" s="18"/>
      <c r="D88" s="17"/>
      <c r="E88" s="18"/>
      <c r="F88" s="17"/>
      <c r="G88" s="20"/>
      <c r="H88" s="17"/>
      <c r="I88" s="17"/>
      <c r="J88" s="17"/>
      <c r="K88" s="17"/>
    </row>
    <row r="89" spans="1:26" x14ac:dyDescent="0.3">
      <c r="A89" s="34"/>
      <c r="B89" s="10"/>
      <c r="C89" s="18"/>
      <c r="D89" s="17"/>
      <c r="E89" s="18"/>
      <c r="F89" s="17"/>
      <c r="G89" s="17"/>
      <c r="H89" s="17"/>
      <c r="I89" s="17"/>
      <c r="J89" s="17"/>
      <c r="K89" s="17"/>
    </row>
    <row r="90" spans="1:26" x14ac:dyDescent="0.3">
      <c r="A90" s="34"/>
      <c r="B90" s="10"/>
      <c r="C90" s="18"/>
      <c r="D90" s="17"/>
      <c r="E90" s="18"/>
      <c r="F90" s="17"/>
      <c r="G90" s="17"/>
      <c r="H90" s="17"/>
      <c r="I90" s="17"/>
      <c r="J90" s="17"/>
      <c r="K90" s="17"/>
    </row>
    <row r="91" spans="1:26" x14ac:dyDescent="0.3">
      <c r="A91" s="34"/>
      <c r="B91" s="10"/>
      <c r="C91" s="18"/>
      <c r="D91" s="17"/>
      <c r="E91" s="18"/>
      <c r="F91" s="17"/>
      <c r="G91" s="17"/>
      <c r="H91" s="17"/>
      <c r="I91" s="17"/>
      <c r="J91" s="17"/>
      <c r="K91" s="17"/>
      <c r="X91" s="37"/>
      <c r="Y91" s="38"/>
      <c r="Z91" s="38"/>
    </row>
    <row r="92" spans="1:26" x14ac:dyDescent="0.3">
      <c r="A92" s="34"/>
      <c r="B92" s="10"/>
      <c r="C92" s="18"/>
      <c r="D92" s="17"/>
      <c r="E92" s="18"/>
      <c r="F92" s="17"/>
      <c r="G92" s="17"/>
      <c r="H92" s="17"/>
      <c r="I92" s="17"/>
      <c r="J92" s="17"/>
      <c r="K92" s="17"/>
      <c r="X92" s="37"/>
      <c r="Y92" s="38"/>
      <c r="Z92" s="38"/>
    </row>
    <row r="93" spans="1:26" x14ac:dyDescent="0.3">
      <c r="A93" s="34"/>
      <c r="B93" s="10"/>
      <c r="C93" s="18"/>
      <c r="D93" s="17"/>
      <c r="E93" s="18"/>
      <c r="F93" s="17"/>
      <c r="G93" s="17"/>
      <c r="H93" s="17"/>
      <c r="I93" s="17"/>
      <c r="J93" s="17"/>
      <c r="K93" s="17"/>
      <c r="X93" s="37"/>
      <c r="Y93" s="38"/>
      <c r="Z93" s="37"/>
    </row>
    <row r="94" spans="1:26" x14ac:dyDescent="0.3">
      <c r="A94" s="34"/>
      <c r="B94" s="10"/>
      <c r="C94" s="18"/>
      <c r="D94" s="17"/>
      <c r="E94" s="18"/>
      <c r="F94" s="17"/>
      <c r="G94" s="17"/>
      <c r="H94" s="17"/>
      <c r="I94" s="17"/>
      <c r="J94" s="17"/>
      <c r="K94" s="17"/>
      <c r="X94" s="37"/>
      <c r="Y94" s="38"/>
      <c r="Z94" s="38"/>
    </row>
    <row r="95" spans="1:26" x14ac:dyDescent="0.3">
      <c r="A95" s="34"/>
      <c r="B95" s="10"/>
      <c r="C95" s="18"/>
      <c r="D95" s="17"/>
      <c r="E95" s="18"/>
      <c r="F95" s="17"/>
      <c r="G95" s="17"/>
      <c r="H95" s="17"/>
      <c r="I95" s="17"/>
      <c r="J95" s="17"/>
      <c r="K95" s="17"/>
      <c r="X95" s="37"/>
      <c r="Y95" s="38"/>
      <c r="Z95" s="38"/>
    </row>
    <row r="96" spans="1:26" x14ac:dyDescent="0.3">
      <c r="A96" s="34"/>
      <c r="B96" s="10"/>
      <c r="C96" s="18"/>
      <c r="D96" s="17"/>
      <c r="E96" s="18"/>
      <c r="F96" s="17"/>
      <c r="G96" s="17"/>
      <c r="H96" s="17"/>
      <c r="I96" s="17"/>
      <c r="J96" s="17"/>
      <c r="K96" s="17"/>
      <c r="X96" s="37"/>
      <c r="Y96" s="38"/>
      <c r="Z96" s="38"/>
    </row>
    <row r="97" spans="1:26" x14ac:dyDescent="0.3">
      <c r="A97" s="34"/>
      <c r="B97" s="10"/>
      <c r="C97" s="18"/>
      <c r="D97" s="17"/>
      <c r="E97" s="18"/>
      <c r="F97" s="17"/>
      <c r="G97" s="17"/>
      <c r="H97" s="17"/>
      <c r="I97" s="17"/>
      <c r="J97" s="17"/>
      <c r="K97" s="17"/>
      <c r="V97" s="41"/>
      <c r="W97" s="41"/>
      <c r="X97" s="37"/>
      <c r="Y97" s="38"/>
      <c r="Z97" s="38"/>
    </row>
    <row r="98" spans="1:26" x14ac:dyDescent="0.3">
      <c r="A98" s="34"/>
      <c r="B98" s="10"/>
      <c r="C98" s="18"/>
      <c r="D98" s="17"/>
      <c r="E98" s="18"/>
      <c r="F98" s="17"/>
      <c r="G98" s="17"/>
      <c r="H98" s="17"/>
      <c r="I98" s="17"/>
      <c r="J98" s="17"/>
      <c r="K98" s="17"/>
      <c r="V98" s="41"/>
      <c r="W98" s="41"/>
      <c r="X98" s="37"/>
      <c r="Y98" s="38"/>
      <c r="Z98" s="38"/>
    </row>
    <row r="99" spans="1:26" x14ac:dyDescent="0.3">
      <c r="A99" s="34"/>
      <c r="B99" s="10"/>
      <c r="C99" s="18"/>
      <c r="D99" s="17"/>
      <c r="E99" s="18"/>
      <c r="F99" s="17"/>
      <c r="G99" s="17"/>
      <c r="H99" s="17"/>
      <c r="I99" s="17"/>
      <c r="J99" s="17"/>
      <c r="K99" s="17"/>
      <c r="V99" s="41"/>
      <c r="W99" s="41"/>
      <c r="X99" s="37"/>
      <c r="Y99" s="38"/>
      <c r="Z99" s="38"/>
    </row>
    <row r="100" spans="1:26" x14ac:dyDescent="0.3">
      <c r="A100" s="34"/>
      <c r="B100" s="10"/>
      <c r="C100" s="18"/>
      <c r="D100" s="17"/>
      <c r="E100" s="18"/>
      <c r="F100" s="17"/>
      <c r="G100" s="17"/>
      <c r="H100" s="17"/>
      <c r="I100" s="17"/>
      <c r="J100" s="17"/>
      <c r="K100" s="17"/>
      <c r="V100" s="41"/>
      <c r="W100" s="41"/>
      <c r="X100" s="37"/>
      <c r="Y100" s="38"/>
      <c r="Z100" s="38"/>
    </row>
    <row r="101" spans="1:26" ht="22.8" x14ac:dyDescent="0.3">
      <c r="A101" s="48" t="s">
        <v>0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V101" s="41"/>
      <c r="W101" s="41"/>
      <c r="Y101" s="38"/>
      <c r="Z101" s="38"/>
    </row>
    <row r="102" spans="1:26" ht="18" thickBot="1" x14ac:dyDescent="0.35">
      <c r="A102" s="49" t="s">
        <v>1</v>
      </c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V102" s="41"/>
      <c r="W102" s="41"/>
      <c r="X102" s="37"/>
      <c r="Y102" s="38"/>
      <c r="Z102" s="38"/>
    </row>
    <row r="103" spans="1:26" ht="14.4" thickBot="1" x14ac:dyDescent="0.35">
      <c r="A103" s="29"/>
      <c r="B103" s="29"/>
      <c r="C103" s="22" t="s">
        <v>2</v>
      </c>
      <c r="D103" s="11"/>
      <c r="E103" s="6"/>
      <c r="F103" s="22" t="s">
        <v>4</v>
      </c>
      <c r="G103" s="16"/>
      <c r="H103" s="22"/>
      <c r="I103" s="22"/>
      <c r="J103" s="23"/>
      <c r="K103" s="23"/>
      <c r="V103" s="41"/>
      <c r="W103" s="41"/>
      <c r="X103" s="37"/>
      <c r="Y103" s="38"/>
      <c r="Z103" s="38"/>
    </row>
    <row r="104" spans="1:26" ht="26.4" x14ac:dyDescent="0.3">
      <c r="A104" s="8" t="s">
        <v>5</v>
      </c>
      <c r="B104" s="8" t="s">
        <v>6</v>
      </c>
      <c r="C104" s="8" t="s">
        <v>7</v>
      </c>
      <c r="D104" s="24" t="s">
        <v>8</v>
      </c>
      <c r="E104" s="24" t="s">
        <v>9</v>
      </c>
      <c r="F104" s="8" t="s">
        <v>10</v>
      </c>
      <c r="G104" s="24" t="s">
        <v>11</v>
      </c>
      <c r="H104" s="24" t="s">
        <v>12</v>
      </c>
      <c r="I104" s="50" t="s">
        <v>13</v>
      </c>
      <c r="J104" s="51"/>
      <c r="K104" s="24" t="s">
        <v>14</v>
      </c>
      <c r="V104" s="41"/>
      <c r="W104" s="41"/>
      <c r="X104" s="37"/>
      <c r="Y104" s="38"/>
      <c r="Z104" s="38"/>
    </row>
    <row r="105" spans="1:26" x14ac:dyDescent="0.3">
      <c r="A105" s="34"/>
      <c r="B105" s="10"/>
      <c r="C105" s="21"/>
      <c r="D105" s="21"/>
      <c r="E105" s="21"/>
      <c r="F105" s="21"/>
      <c r="G105" s="17"/>
      <c r="H105" s="17"/>
      <c r="I105" s="25"/>
      <c r="J105" s="26"/>
      <c r="K105" s="25"/>
      <c r="V105" s="41"/>
      <c r="W105" s="41"/>
      <c r="X105" s="37"/>
      <c r="Y105" s="38"/>
      <c r="Z105" s="38"/>
    </row>
    <row r="106" spans="1:26" x14ac:dyDescent="0.3">
      <c r="A106" s="34"/>
      <c r="B106" s="10"/>
      <c r="C106" s="21"/>
      <c r="D106" s="21"/>
      <c r="E106" s="21"/>
      <c r="F106" s="21"/>
      <c r="G106" s="17"/>
      <c r="H106" s="17"/>
      <c r="I106" s="17"/>
      <c r="J106" s="17"/>
      <c r="K106" s="17"/>
      <c r="V106" s="41"/>
      <c r="W106" s="41"/>
      <c r="X106" s="37"/>
      <c r="Y106" s="38"/>
      <c r="Z106" s="38"/>
    </row>
    <row r="107" spans="1:26" x14ac:dyDescent="0.3">
      <c r="A107" s="34"/>
      <c r="B107" s="10"/>
      <c r="C107" s="17"/>
      <c r="D107" s="17"/>
      <c r="E107" s="17"/>
      <c r="F107" s="17"/>
      <c r="G107" s="17"/>
      <c r="H107" s="17"/>
      <c r="I107" s="17"/>
      <c r="J107" s="17"/>
      <c r="K107" s="17"/>
      <c r="X107" s="37"/>
      <c r="Y107" s="38"/>
      <c r="Z107" s="38"/>
    </row>
    <row r="108" spans="1:26" x14ac:dyDescent="0.3">
      <c r="A108" s="34"/>
      <c r="B108" s="10"/>
      <c r="C108" s="17"/>
      <c r="D108" s="17"/>
      <c r="E108" s="17"/>
      <c r="F108" s="17"/>
      <c r="G108" s="17"/>
      <c r="H108" s="17"/>
      <c r="I108" s="17"/>
      <c r="J108" s="17"/>
      <c r="K108" s="17"/>
      <c r="Y108" s="38"/>
      <c r="Z108" s="38"/>
    </row>
    <row r="109" spans="1:26" x14ac:dyDescent="0.3">
      <c r="A109" s="34"/>
      <c r="B109" s="10"/>
      <c r="C109" s="17"/>
      <c r="D109" s="17"/>
      <c r="E109" s="17"/>
      <c r="F109" s="17"/>
      <c r="G109" s="17"/>
      <c r="H109" s="17"/>
      <c r="I109" s="17"/>
      <c r="J109" s="17"/>
      <c r="K109" s="17"/>
      <c r="Y109" s="38"/>
    </row>
    <row r="110" spans="1:26" x14ac:dyDescent="0.3">
      <c r="A110" s="34"/>
      <c r="B110" s="10"/>
      <c r="C110" s="17"/>
      <c r="D110" s="17"/>
      <c r="E110" s="17"/>
      <c r="F110" s="17"/>
      <c r="G110" s="17"/>
      <c r="H110" s="17"/>
      <c r="I110" s="17"/>
      <c r="J110" s="17"/>
      <c r="K110" s="17"/>
      <c r="Y110" s="38"/>
    </row>
    <row r="111" spans="1:26" x14ac:dyDescent="0.3">
      <c r="A111" s="34"/>
      <c r="B111" s="10"/>
      <c r="C111" s="17"/>
      <c r="D111" s="17"/>
      <c r="E111" s="17"/>
      <c r="F111" s="17"/>
      <c r="G111" s="17"/>
      <c r="H111" s="17"/>
      <c r="I111" s="17"/>
      <c r="J111" s="17"/>
      <c r="K111" s="17"/>
    </row>
    <row r="112" spans="1:26" x14ac:dyDescent="0.3">
      <c r="A112" s="34"/>
      <c r="B112" s="10"/>
      <c r="C112" s="17"/>
      <c r="D112" s="17"/>
      <c r="E112" s="17"/>
      <c r="F112" s="5"/>
      <c r="G112" s="17"/>
      <c r="H112" s="17"/>
      <c r="I112" s="17"/>
      <c r="J112" s="17"/>
      <c r="K112" s="17"/>
    </row>
    <row r="113" spans="1:25" x14ac:dyDescent="0.3">
      <c r="A113" s="34"/>
      <c r="B113" s="10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25" x14ac:dyDescent="0.3">
      <c r="A114" s="34"/>
      <c r="B114" s="10"/>
      <c r="C114" s="17"/>
      <c r="D114" s="17"/>
      <c r="E114" s="17"/>
      <c r="F114" s="17"/>
      <c r="G114" s="17"/>
      <c r="H114" s="17"/>
      <c r="I114" s="17"/>
      <c r="J114" s="17"/>
      <c r="K114" s="17"/>
    </row>
    <row r="115" spans="1:25" x14ac:dyDescent="0.3">
      <c r="A115" s="34"/>
      <c r="B115" s="10"/>
      <c r="C115" s="17"/>
      <c r="D115" s="17"/>
      <c r="E115" s="17"/>
      <c r="F115" s="17"/>
      <c r="G115" s="17"/>
      <c r="H115" s="17"/>
      <c r="I115" s="17"/>
      <c r="J115" s="17"/>
      <c r="K115" s="17"/>
      <c r="X115" s="37"/>
      <c r="Y115" s="38"/>
    </row>
    <row r="116" spans="1:25" x14ac:dyDescent="0.3">
      <c r="A116" s="34"/>
      <c r="B116" s="10"/>
      <c r="C116" s="17"/>
      <c r="D116" s="17"/>
      <c r="E116" s="17"/>
      <c r="F116" s="17"/>
      <c r="G116" s="17"/>
      <c r="H116" s="17"/>
      <c r="I116" s="17"/>
      <c r="J116" s="17"/>
      <c r="K116" s="17"/>
    </row>
    <row r="117" spans="1:25" x14ac:dyDescent="0.3">
      <c r="A117" s="34"/>
      <c r="B117" s="10"/>
      <c r="C117" s="17"/>
      <c r="D117" s="17"/>
      <c r="E117" s="17"/>
      <c r="F117" s="17"/>
      <c r="G117" s="20"/>
      <c r="H117" s="17"/>
      <c r="I117" s="17"/>
      <c r="J117" s="17"/>
      <c r="K117" s="17"/>
    </row>
    <row r="118" spans="1:25" x14ac:dyDescent="0.3">
      <c r="A118" s="34"/>
      <c r="B118" s="10"/>
      <c r="C118" s="17"/>
      <c r="D118" s="17"/>
      <c r="E118" s="17"/>
      <c r="F118" s="17"/>
      <c r="G118" s="17"/>
      <c r="H118" s="17"/>
      <c r="I118" s="17"/>
      <c r="J118" s="17"/>
      <c r="K118" s="17"/>
    </row>
    <row r="119" spans="1:25" x14ac:dyDescent="0.3">
      <c r="A119" s="34"/>
      <c r="B119" s="10"/>
      <c r="C119" s="17"/>
      <c r="D119" s="17"/>
      <c r="E119" s="17"/>
      <c r="F119" s="17"/>
      <c r="G119" s="17"/>
      <c r="H119" s="17"/>
      <c r="I119" s="17"/>
      <c r="J119" s="17"/>
      <c r="K119" s="17"/>
    </row>
    <row r="120" spans="1:25" x14ac:dyDescent="0.3">
      <c r="A120" s="34"/>
      <c r="B120" s="10"/>
      <c r="C120" s="17"/>
      <c r="D120" s="17"/>
      <c r="E120" s="17"/>
      <c r="F120" s="17"/>
      <c r="G120" s="17"/>
      <c r="H120" s="17"/>
      <c r="I120" s="17"/>
      <c r="J120" s="17"/>
      <c r="K120" s="17"/>
    </row>
    <row r="121" spans="1:25" x14ac:dyDescent="0.3">
      <c r="A121" s="34"/>
      <c r="B121" s="10"/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25" x14ac:dyDescent="0.3">
      <c r="A122" s="34"/>
      <c r="B122" s="10"/>
      <c r="C122" s="17"/>
      <c r="D122" s="17"/>
      <c r="E122" s="17"/>
      <c r="F122" s="17"/>
      <c r="G122" s="17"/>
      <c r="H122" s="17"/>
      <c r="I122" s="17"/>
      <c r="J122" s="17"/>
      <c r="K122" s="17"/>
    </row>
    <row r="123" spans="1:25" x14ac:dyDescent="0.3">
      <c r="A123" s="34"/>
      <c r="B123" s="10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25" x14ac:dyDescent="0.3">
      <c r="A124" s="34"/>
      <c r="B124" s="10"/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25" x14ac:dyDescent="0.3">
      <c r="A125" s="34"/>
      <c r="B125" s="10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25" x14ac:dyDescent="0.3">
      <c r="A126" s="34"/>
      <c r="B126" s="10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25" x14ac:dyDescent="0.3">
      <c r="A127" s="34"/>
      <c r="B127" s="10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25" x14ac:dyDescent="0.3">
      <c r="A128" s="34"/>
      <c r="B128" s="10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1" x14ac:dyDescent="0.3">
      <c r="A129" s="34"/>
      <c r="B129" s="10"/>
      <c r="C129" s="17"/>
      <c r="D129" s="17"/>
      <c r="E129" s="17"/>
      <c r="F129" s="17"/>
      <c r="G129" s="17"/>
      <c r="H129" s="17"/>
      <c r="I129" s="17"/>
      <c r="J129" s="17"/>
      <c r="K129" s="17"/>
    </row>
  </sheetData>
  <sheetProtection algorithmName="SHA-512" hashValue="RnQAmrirGgp547wvu608nYdXuPUKQu6h2IgwrKvC2hN7hyI1AnGvKaY6bysE3phB0tVYk/v5doHQ7R2mVFWtIg==" saltValue="XyaTQQ2bU6o5HvvZ1nsGcg==" spinCount="100000" sheet="1" objects="1" scenarios="1"/>
  <protectedRanges>
    <protectedRange sqref="G3 D3" name="Range7"/>
    <protectedRange algorithmName="SHA-512" hashValue="5fqIa6YwtwDikzdPAf4/EdW88cHZe1DxuBAmIc5mY6mL2N87hMIXoBgAjDvdqpvBS9CiheNi3J7QOV9xyFd4ow==" saltValue="X1zP/CxaNy7UQXNHpM4XDw==" spinCount="100000" sqref="A3:B4 C3 D4:D42 F4:K4 B76:B100 D76:D100 F76:K100 A75:K75 G74 A103:B104 D104:D129 F103:K129 A46:B46 A45:C45 D46:D71 F46:K71 B5:B42 B47:B71 B105:B129 E3:J3 E45:K45 F13:K42" name="Range1"/>
    <protectedRange sqref="A5:A42 A47:A71 A76:A100 A105:A129" name="Outgoing_1"/>
    <protectedRange sqref="A5:A42 A47:A71 A76:A100 A105:A129" name="Incoming"/>
    <protectedRange sqref="D3 D45 D74 D103" name="Range1_1"/>
    <protectedRange algorithmName="SHA-512" hashValue="Tj3zTfml9/jS30OCW1nNre+vQ1RTXRBYsWMZN7QOux5qMH2Gsq9fT2XOTDa4wlhDKAiFZViUa6prDiHQALjCjg==" saltValue="7o5BLjz9ygRdZTNMBU/n0g==" spinCount="100000" sqref="F5:F6 F9:F11" name="Range1_1_1"/>
    <protectedRange algorithmName="SHA-512" hashValue="Tj3zTfml9/jS30OCW1nNre+vQ1RTXRBYsWMZN7QOux5qMH2Gsq9fT2XOTDa4wlhDKAiFZViUa6prDiHQALjCjg==" saltValue="7o5BLjz9ygRdZTNMBU/n0g==" spinCount="100000" sqref="F7:F8 F12" name="Range1_2_1"/>
  </protectedRanges>
  <mergeCells count="12">
    <mergeCell ref="A1:K1"/>
    <mergeCell ref="A2:K2"/>
    <mergeCell ref="I104:J104"/>
    <mergeCell ref="I4:J4"/>
    <mergeCell ref="A101:K101"/>
    <mergeCell ref="A102:K102"/>
    <mergeCell ref="A72:K72"/>
    <mergeCell ref="A73:K73"/>
    <mergeCell ref="I46:J46"/>
    <mergeCell ref="A44:K44"/>
    <mergeCell ref="A43:K43"/>
    <mergeCell ref="I75:J75"/>
  </mergeCells>
  <phoneticPr fontId="7" type="noConversion"/>
  <conditionalFormatting sqref="C5:C42">
    <cfRule type="cellIs" dxfId="1" priority="5" operator="equal">
      <formula>FALSE</formula>
    </cfRule>
  </conditionalFormatting>
  <conditionalFormatting sqref="C47:C71">
    <cfRule type="cellIs" dxfId="0" priority="1" operator="equal">
      <formula>FALSE</formula>
    </cfRule>
  </conditionalFormatting>
  <dataValidations count="2">
    <dataValidation type="list" allowBlank="1" showInputMessage="1" showErrorMessage="1" sqref="A5:A42 A47:A71 A76:A100 A105:A129" xr:uid="{00000000-0002-0000-0000-000000000000}">
      <formula1>$Z$1:$Z$6</formula1>
    </dataValidation>
    <dataValidation type="list" allowBlank="1" showInputMessage="1" showErrorMessage="1" sqref="D3 D45 D74 D103" xr:uid="{00000000-0002-0000-0000-000001000000}">
      <formula1>$W$7:$W$13</formula1>
    </dataValidation>
  </dataValidations>
  <pageMargins left="0.11811023622047245" right="0.11811023622047245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9"/>
  <sheetViews>
    <sheetView tabSelected="1" workbookViewId="0">
      <selection activeCell="B16" sqref="B16"/>
    </sheetView>
  </sheetViews>
  <sheetFormatPr defaultColWidth="9.109375" defaultRowHeight="13.8" x14ac:dyDescent="0.3"/>
  <cols>
    <col min="1" max="1" width="36.109375" style="1" customWidth="1"/>
    <col min="2" max="2" width="11.109375" style="1" customWidth="1"/>
    <col min="3" max="3" width="12.6640625" style="1" customWidth="1"/>
    <col min="4" max="4" width="30.33203125" style="1" customWidth="1"/>
    <col min="5" max="5" width="12.6640625" style="1" customWidth="1"/>
    <col min="6" max="6" width="33.6640625" style="1" customWidth="1"/>
    <col min="7" max="7" width="13.5546875" style="1" customWidth="1"/>
    <col min="8" max="8" width="16.33203125" style="1" customWidth="1"/>
    <col min="9" max="10" width="9.109375" style="1"/>
    <col min="11" max="11" width="9.109375" style="1" hidden="1" customWidth="1"/>
    <col min="12" max="12" width="17" style="1" hidden="1" customWidth="1"/>
    <col min="13" max="17" width="9.109375" style="1"/>
    <col min="18" max="18" width="9.109375" style="35" customWidth="1"/>
    <col min="19" max="19" width="5.6640625" style="36" hidden="1" customWidth="1"/>
    <col min="20" max="20" width="9.109375" style="35" hidden="1" customWidth="1"/>
    <col min="21" max="22" width="9.109375" style="35" customWidth="1"/>
    <col min="23" max="24" width="9.109375" style="35" hidden="1" customWidth="1"/>
    <col min="25" max="25" width="30.109375" style="35" hidden="1" customWidth="1"/>
    <col min="26" max="26" width="9.109375" style="35" hidden="1" customWidth="1"/>
    <col min="27" max="27" width="9.109375" style="35" customWidth="1"/>
    <col min="28" max="16384" width="9.109375" style="1"/>
  </cols>
  <sheetData>
    <row r="1" spans="1:27" ht="22.8" x14ac:dyDescent="0.3">
      <c r="A1" s="48" t="s">
        <v>0</v>
      </c>
      <c r="B1" s="48"/>
      <c r="C1" s="48"/>
      <c r="D1" s="48"/>
      <c r="E1" s="48"/>
      <c r="F1" s="48"/>
      <c r="G1" s="48"/>
      <c r="H1" s="48"/>
      <c r="W1" s="37" t="s">
        <v>28</v>
      </c>
      <c r="X1" s="38" t="s">
        <v>29</v>
      </c>
      <c r="Y1" s="39" t="s">
        <v>30</v>
      </c>
      <c r="Z1" s="40"/>
      <c r="AA1" s="40"/>
    </row>
    <row r="2" spans="1:27" ht="18" thickBot="1" x14ac:dyDescent="0.35">
      <c r="A2" s="49" t="s">
        <v>85</v>
      </c>
      <c r="B2" s="49"/>
      <c r="C2" s="49"/>
      <c r="D2" s="49"/>
      <c r="E2" s="49"/>
      <c r="F2" s="49"/>
      <c r="G2" s="49"/>
      <c r="H2" s="49"/>
      <c r="W2" s="37" t="s">
        <v>31</v>
      </c>
      <c r="X2" s="38" t="s">
        <v>32</v>
      </c>
      <c r="Y2" s="39" t="s">
        <v>33</v>
      </c>
      <c r="Z2" s="40"/>
      <c r="AA2" s="40"/>
    </row>
    <row r="3" spans="1:27" ht="15" thickBot="1" x14ac:dyDescent="0.35">
      <c r="A3" s="29"/>
      <c r="B3" s="29"/>
      <c r="C3" s="22" t="s">
        <v>2</v>
      </c>
      <c r="D3" s="11" t="s">
        <v>45</v>
      </c>
      <c r="E3" s="6"/>
      <c r="F3" s="22" t="s">
        <v>4</v>
      </c>
      <c r="G3" s="46">
        <v>45916</v>
      </c>
      <c r="H3" s="22"/>
      <c r="W3" s="37" t="s">
        <v>34</v>
      </c>
      <c r="X3" s="38" t="s">
        <v>35</v>
      </c>
      <c r="Y3" s="39" t="s">
        <v>36</v>
      </c>
      <c r="Z3" s="40"/>
      <c r="AA3" s="40"/>
    </row>
    <row r="4" spans="1:27" ht="25.5" customHeight="1" x14ac:dyDescent="0.3">
      <c r="A4" s="13" t="s">
        <v>5</v>
      </c>
      <c r="B4" s="13" t="s">
        <v>6</v>
      </c>
      <c r="C4" s="3" t="s">
        <v>7</v>
      </c>
      <c r="D4" s="9" t="s">
        <v>8</v>
      </c>
      <c r="E4" s="4" t="s">
        <v>9</v>
      </c>
      <c r="F4" s="13" t="s">
        <v>10</v>
      </c>
      <c r="G4" s="9" t="s">
        <v>11</v>
      </c>
      <c r="H4" s="9" t="s">
        <v>12</v>
      </c>
      <c r="K4" s="17" t="s">
        <v>9</v>
      </c>
      <c r="L4" s="12" t="s">
        <v>18</v>
      </c>
      <c r="W4" s="37" t="s">
        <v>37</v>
      </c>
      <c r="X4" s="38" t="s">
        <v>38</v>
      </c>
      <c r="Y4" s="39" t="s">
        <v>39</v>
      </c>
      <c r="Z4" s="40"/>
      <c r="AA4" s="40"/>
    </row>
    <row r="5" spans="1:27" ht="14.4" x14ac:dyDescent="0.3">
      <c r="A5" s="33"/>
      <c r="B5" s="15"/>
      <c r="C5" s="2" t="str">
        <f>IF((E5="WS"),"WATER",IF((E5="R"),"RCM",IF((E5="E"),"RCM",IF((E5="PK"),"Parks",IF((E5="SL"),"Parks","FALSE")))))</f>
        <v>FALSE</v>
      </c>
      <c r="D5" s="27"/>
      <c r="E5" s="2" t="str">
        <f>IF((LEFT(F5,1)="w"),"WS",IF((LEFT(F5,1)="M"),"R",IF((LEFT(F5,1)="Q"),"R",IF((LEFT(F5,1)="F"),"R",IF((LEFT(F5,1)="D"),"R",IF((LEFT(F5,2)="P0"),"R",IF((LEFT(F5,1)="U"),"E",IF((LEFT(F5,1)="K"),"E",IF((LEFT(F5,1)="Y"),"E",IF((LEFT(F5,1)="C"),"E",IF((LEFT(F5,1)="H"),"E",IF((LEFT(F5,1)="G"),"E",IF((LEFT(F5,1)="R"),"E",IF((LEFT(F5,1)="1"),"SL",IF((LEFT(F5,1)="2"),"SL",IF((LEFT(F5,2)="PK"),"PK",IF((LEFT(F5,1)="N"),"E","FALSE")))))))))))))))))</f>
        <v>FALSE</v>
      </c>
      <c r="F5" s="45"/>
      <c r="G5" s="27"/>
      <c r="H5" s="27"/>
      <c r="K5" s="1" t="s">
        <v>15</v>
      </c>
      <c r="L5" s="1" t="s">
        <v>19</v>
      </c>
      <c r="W5" s="37"/>
      <c r="X5" s="38" t="s">
        <v>40</v>
      </c>
      <c r="Y5" s="39" t="s">
        <v>41</v>
      </c>
      <c r="Z5" s="40"/>
      <c r="AA5" s="40"/>
    </row>
    <row r="6" spans="1:27" ht="14.4" x14ac:dyDescent="0.3">
      <c r="A6" s="33" t="s">
        <v>26</v>
      </c>
      <c r="B6" s="15">
        <v>8</v>
      </c>
      <c r="C6" s="2" t="str">
        <f t="shared" ref="C6:C42" si="0">IF((E6="WS"),"WATER",IF((E6="R"),"RCM",IF((E6="E"),"RCM",IF((E6="PK"),"Parks",IF((E6="SL"),"Parks","FALSE")))))</f>
        <v>RCM</v>
      </c>
      <c r="D6" s="27" t="s">
        <v>97</v>
      </c>
      <c r="E6" s="2" t="str">
        <f t="shared" ref="E6:E42" si="1">IF((LEFT(F6,1)="w"),"WS",IF((LEFT(F6,1)="M"),"R",IF((LEFT(F6,1)="Q"),"R",IF((LEFT(F6,1)="F"),"R",IF((LEFT(F6,1)="D"),"R",IF((LEFT(F6,2)="P0"),"R",IF((LEFT(F6,1)="U"),"E",IF((LEFT(F6,1)="K"),"E",IF((LEFT(F6,1)="Y"),"E",IF((LEFT(F6,1)="C"),"E",IF((LEFT(F6,1)="H"),"E",IF((LEFT(F6,1)="G"),"E",IF((LEFT(F6,1)="R"),"E",IF((LEFT(F6,1)="1"),"SL",IF((LEFT(F6,1)="2"),"SL",IF((LEFT(F6,2)="PK"),"PK","FALSE"))))))))))))))))</f>
        <v>R</v>
      </c>
      <c r="F6" s="45" t="s">
        <v>86</v>
      </c>
      <c r="G6" s="27" t="s">
        <v>95</v>
      </c>
      <c r="H6" s="27" t="s">
        <v>111</v>
      </c>
      <c r="K6" s="1" t="s">
        <v>15</v>
      </c>
      <c r="L6" s="1" t="s">
        <v>17</v>
      </c>
      <c r="W6" s="37"/>
      <c r="X6" s="38" t="s">
        <v>42</v>
      </c>
      <c r="Y6" s="39" t="s">
        <v>27</v>
      </c>
      <c r="Z6" s="40"/>
      <c r="AA6" s="40"/>
    </row>
    <row r="7" spans="1:27" ht="14.4" x14ac:dyDescent="0.3">
      <c r="A7" s="34" t="s">
        <v>68</v>
      </c>
      <c r="B7" s="15">
        <v>70</v>
      </c>
      <c r="C7" s="2" t="str">
        <f t="shared" si="0"/>
        <v>FALSE</v>
      </c>
      <c r="D7" s="27" t="s">
        <v>34</v>
      </c>
      <c r="E7" s="2" t="str">
        <f t="shared" si="1"/>
        <v>FALSE</v>
      </c>
      <c r="F7" s="45" t="s">
        <v>98</v>
      </c>
      <c r="G7" s="27" t="s">
        <v>106</v>
      </c>
      <c r="H7" s="27" t="s">
        <v>113</v>
      </c>
      <c r="K7" s="1" t="s">
        <v>15</v>
      </c>
      <c r="L7" s="1" t="s">
        <v>20</v>
      </c>
      <c r="S7" s="41" t="s">
        <v>16</v>
      </c>
      <c r="T7" s="41" t="s">
        <v>3</v>
      </c>
      <c r="W7" s="41" t="s">
        <v>3</v>
      </c>
      <c r="X7" s="38" t="s">
        <v>43</v>
      </c>
      <c r="Y7" s="39" t="s">
        <v>44</v>
      </c>
      <c r="Z7" s="40"/>
      <c r="AA7" s="40"/>
    </row>
    <row r="8" spans="1:27" ht="14.4" x14ac:dyDescent="0.3">
      <c r="A8" s="34" t="s">
        <v>68</v>
      </c>
      <c r="B8" s="15">
        <v>36</v>
      </c>
      <c r="C8" s="2" t="str">
        <f t="shared" si="0"/>
        <v>FALSE</v>
      </c>
      <c r="D8" s="27" t="s">
        <v>34</v>
      </c>
      <c r="E8" s="2" t="str">
        <f t="shared" si="1"/>
        <v>FALSE</v>
      </c>
      <c r="F8" s="45" t="s">
        <v>98</v>
      </c>
      <c r="G8" s="27" t="s">
        <v>99</v>
      </c>
      <c r="H8" s="27" t="s">
        <v>134</v>
      </c>
      <c r="K8" s="1" t="s">
        <v>15</v>
      </c>
      <c r="L8" s="1" t="s">
        <v>23</v>
      </c>
      <c r="S8" s="41" t="s">
        <v>15</v>
      </c>
      <c r="T8" s="41" t="s">
        <v>45</v>
      </c>
      <c r="W8" s="41" t="s">
        <v>45</v>
      </c>
      <c r="X8" s="38" t="s">
        <v>46</v>
      </c>
      <c r="Y8" s="39" t="s">
        <v>47</v>
      </c>
      <c r="Z8" s="40"/>
      <c r="AA8" s="40"/>
    </row>
    <row r="9" spans="1:27" ht="14.4" x14ac:dyDescent="0.3">
      <c r="A9" s="34" t="s">
        <v>62</v>
      </c>
      <c r="B9" s="15">
        <v>3</v>
      </c>
      <c r="C9" s="2" t="str">
        <f t="shared" si="0"/>
        <v>WATER</v>
      </c>
      <c r="D9" s="27" t="s">
        <v>120</v>
      </c>
      <c r="E9" s="2" t="str">
        <f t="shared" si="1"/>
        <v>WS</v>
      </c>
      <c r="F9" s="45" t="s">
        <v>128</v>
      </c>
      <c r="G9" s="27" t="s">
        <v>135</v>
      </c>
      <c r="H9" s="27" t="s">
        <v>136</v>
      </c>
      <c r="K9" s="1" t="s">
        <v>15</v>
      </c>
      <c r="L9" s="1" t="s">
        <v>24</v>
      </c>
      <c r="S9" s="41" t="s">
        <v>48</v>
      </c>
      <c r="T9" s="41" t="s">
        <v>49</v>
      </c>
      <c r="W9" s="41" t="s">
        <v>49</v>
      </c>
      <c r="X9" s="38" t="s">
        <v>50</v>
      </c>
      <c r="Y9" s="39" t="s">
        <v>25</v>
      </c>
      <c r="Z9" s="40"/>
      <c r="AA9" s="40"/>
    </row>
    <row r="10" spans="1:27" ht="14.4" x14ac:dyDescent="0.3">
      <c r="A10" s="34" t="s">
        <v>26</v>
      </c>
      <c r="B10" s="15">
        <v>1</v>
      </c>
      <c r="C10" s="2" t="str">
        <f t="shared" si="0"/>
        <v>RCM</v>
      </c>
      <c r="D10" s="27" t="s">
        <v>121</v>
      </c>
      <c r="E10" s="2" t="str">
        <f t="shared" si="1"/>
        <v>E</v>
      </c>
      <c r="F10" s="44" t="s">
        <v>129</v>
      </c>
      <c r="G10" s="27" t="s">
        <v>138</v>
      </c>
      <c r="H10" s="27" t="s">
        <v>137</v>
      </c>
      <c r="K10" s="1" t="s">
        <v>15</v>
      </c>
      <c r="L10" s="1" t="s">
        <v>84</v>
      </c>
      <c r="S10" s="41" t="s">
        <v>51</v>
      </c>
      <c r="T10" s="41" t="s">
        <v>52</v>
      </c>
      <c r="W10" s="41" t="s">
        <v>52</v>
      </c>
      <c r="X10" s="38" t="s">
        <v>53</v>
      </c>
      <c r="Y10" s="39" t="s">
        <v>26</v>
      </c>
      <c r="Z10" s="40"/>
      <c r="AA10" s="40"/>
    </row>
    <row r="11" spans="1:27" ht="14.4" x14ac:dyDescent="0.3">
      <c r="A11" s="34" t="s">
        <v>68</v>
      </c>
      <c r="B11" s="15">
        <v>1</v>
      </c>
      <c r="C11" s="2" t="str">
        <f t="shared" si="0"/>
        <v>RCM</v>
      </c>
      <c r="D11" s="27" t="s">
        <v>121</v>
      </c>
      <c r="E11" s="2" t="str">
        <f t="shared" si="1"/>
        <v>E</v>
      </c>
      <c r="F11" s="45" t="s">
        <v>129</v>
      </c>
      <c r="G11" s="27" t="s">
        <v>138</v>
      </c>
      <c r="H11" s="27" t="s">
        <v>137</v>
      </c>
      <c r="K11" s="1" t="s">
        <v>15</v>
      </c>
      <c r="S11" s="41"/>
      <c r="T11" s="41" t="s">
        <v>54</v>
      </c>
      <c r="W11" s="41" t="s">
        <v>54</v>
      </c>
      <c r="X11" s="38" t="s">
        <v>55</v>
      </c>
      <c r="Y11" s="39" t="s">
        <v>56</v>
      </c>
      <c r="Z11" s="40"/>
      <c r="AA11" s="40"/>
    </row>
    <row r="12" spans="1:27" ht="14.4" x14ac:dyDescent="0.3">
      <c r="A12" s="34" t="s">
        <v>62</v>
      </c>
      <c r="B12" s="15">
        <v>3</v>
      </c>
      <c r="C12" s="2" t="str">
        <f t="shared" si="0"/>
        <v>WATER</v>
      </c>
      <c r="D12" s="27" t="s">
        <v>122</v>
      </c>
      <c r="E12" s="2" t="str">
        <f t="shared" si="1"/>
        <v>WS</v>
      </c>
      <c r="F12" s="45" t="s">
        <v>130</v>
      </c>
      <c r="G12" s="27" t="s">
        <v>100</v>
      </c>
      <c r="H12" s="27" t="s">
        <v>101</v>
      </c>
      <c r="K12" s="1" t="s">
        <v>15</v>
      </c>
      <c r="S12" s="41"/>
      <c r="T12" s="41" t="s">
        <v>57</v>
      </c>
      <c r="W12" s="41" t="s">
        <v>57</v>
      </c>
      <c r="X12" s="38" t="s">
        <v>58</v>
      </c>
      <c r="Y12" s="39" t="s">
        <v>59</v>
      </c>
      <c r="Z12" s="40"/>
      <c r="AA12" s="40"/>
    </row>
    <row r="13" spans="1:27" ht="14.4" x14ac:dyDescent="0.3">
      <c r="A13" s="34" t="s">
        <v>62</v>
      </c>
      <c r="B13" s="15">
        <v>5</v>
      </c>
      <c r="C13" s="2" t="str">
        <f t="shared" si="0"/>
        <v>WATER</v>
      </c>
      <c r="D13" s="27" t="s">
        <v>123</v>
      </c>
      <c r="E13" s="2" t="str">
        <f t="shared" si="1"/>
        <v>WS</v>
      </c>
      <c r="F13" s="45" t="s">
        <v>131</v>
      </c>
      <c r="G13" s="27" t="s">
        <v>140</v>
      </c>
      <c r="H13" s="27" t="s">
        <v>139</v>
      </c>
      <c r="K13" s="1" t="s">
        <v>16</v>
      </c>
      <c r="L13" s="1" t="s">
        <v>21</v>
      </c>
      <c r="S13" s="41"/>
      <c r="T13" s="41" t="s">
        <v>60</v>
      </c>
      <c r="W13" s="41" t="s">
        <v>60</v>
      </c>
      <c r="X13" s="38" t="s">
        <v>61</v>
      </c>
      <c r="Y13" s="39" t="s">
        <v>62</v>
      </c>
      <c r="Z13" s="40"/>
      <c r="AA13" s="40"/>
    </row>
    <row r="14" spans="1:27" ht="14.4" x14ac:dyDescent="0.3">
      <c r="A14" s="34" t="s">
        <v>25</v>
      </c>
      <c r="B14" s="15">
        <v>2</v>
      </c>
      <c r="C14" s="2" t="str">
        <f t="shared" si="0"/>
        <v>WATER</v>
      </c>
      <c r="D14" s="27" t="s">
        <v>124</v>
      </c>
      <c r="E14" s="2" t="str">
        <f t="shared" si="1"/>
        <v>WS</v>
      </c>
      <c r="F14" s="45" t="s">
        <v>132</v>
      </c>
      <c r="G14" s="27" t="s">
        <v>105</v>
      </c>
      <c r="H14" s="27" t="s">
        <v>114</v>
      </c>
      <c r="K14" s="1" t="s">
        <v>16</v>
      </c>
      <c r="L14" s="1" t="s">
        <v>22</v>
      </c>
      <c r="W14" s="37"/>
      <c r="X14" s="35">
        <v>26</v>
      </c>
      <c r="Y14" s="36" t="s">
        <v>63</v>
      </c>
      <c r="Z14" s="40"/>
      <c r="AA14" s="40"/>
    </row>
    <row r="15" spans="1:27" ht="14.4" x14ac:dyDescent="0.3">
      <c r="A15" s="34" t="s">
        <v>25</v>
      </c>
      <c r="B15" s="15">
        <v>4</v>
      </c>
      <c r="C15" s="2" t="str">
        <f t="shared" si="0"/>
        <v>WATER</v>
      </c>
      <c r="D15" s="27" t="s">
        <v>125</v>
      </c>
      <c r="E15" s="2" t="str">
        <f t="shared" si="1"/>
        <v>WS</v>
      </c>
      <c r="F15" s="45" t="s">
        <v>133</v>
      </c>
      <c r="G15" s="27" t="s">
        <v>107</v>
      </c>
      <c r="H15" s="27" t="s">
        <v>96</v>
      </c>
      <c r="K15" s="1" t="s">
        <v>16</v>
      </c>
      <c r="L15" s="1" t="s">
        <v>81</v>
      </c>
      <c r="X15" s="42" t="s">
        <v>64</v>
      </c>
      <c r="Y15" s="36" t="s">
        <v>65</v>
      </c>
      <c r="Z15" s="40"/>
      <c r="AA15" s="40"/>
    </row>
    <row r="16" spans="1:27" ht="14.4" x14ac:dyDescent="0.3">
      <c r="A16" s="34" t="s">
        <v>44</v>
      </c>
      <c r="B16" s="15">
        <v>2.5</v>
      </c>
      <c r="C16" s="2" t="str">
        <f t="shared" si="0"/>
        <v>WATER</v>
      </c>
      <c r="D16" s="27" t="s">
        <v>123</v>
      </c>
      <c r="E16" s="2" t="str">
        <f t="shared" si="1"/>
        <v>WS</v>
      </c>
      <c r="F16" s="45" t="s">
        <v>131</v>
      </c>
      <c r="G16" s="27" t="s">
        <v>108</v>
      </c>
      <c r="H16" s="27" t="s">
        <v>112</v>
      </c>
      <c r="K16" s="1" t="s">
        <v>16</v>
      </c>
      <c r="L16" s="1" t="s">
        <v>82</v>
      </c>
      <c r="X16" s="42" t="s">
        <v>66</v>
      </c>
      <c r="Y16" s="36" t="s">
        <v>67</v>
      </c>
      <c r="Z16" s="40"/>
      <c r="AA16" s="40"/>
    </row>
    <row r="17" spans="1:27" ht="14.4" x14ac:dyDescent="0.3">
      <c r="A17" s="34" t="s">
        <v>62</v>
      </c>
      <c r="B17" s="15">
        <v>2</v>
      </c>
      <c r="C17" s="2" t="str">
        <f t="shared" si="0"/>
        <v>WATER</v>
      </c>
      <c r="D17" s="27" t="s">
        <v>126</v>
      </c>
      <c r="E17" s="2" t="str">
        <f t="shared" si="1"/>
        <v>WS</v>
      </c>
      <c r="F17" s="45" t="s">
        <v>131</v>
      </c>
      <c r="G17" s="27" t="s">
        <v>143</v>
      </c>
      <c r="H17" s="27" t="s">
        <v>141</v>
      </c>
      <c r="K17" s="1" t="s">
        <v>83</v>
      </c>
      <c r="L17" s="47">
        <v>1</v>
      </c>
      <c r="X17" s="35">
        <v>29</v>
      </c>
      <c r="Y17" s="36" t="s">
        <v>68</v>
      </c>
      <c r="Z17" s="40"/>
      <c r="AA17" s="40"/>
    </row>
    <row r="18" spans="1:27" ht="14.4" x14ac:dyDescent="0.3">
      <c r="A18" s="34" t="s">
        <v>26</v>
      </c>
      <c r="B18" s="15">
        <v>0.25</v>
      </c>
      <c r="C18" s="2" t="str">
        <f t="shared" si="0"/>
        <v>RCM</v>
      </c>
      <c r="D18" s="27" t="s">
        <v>127</v>
      </c>
      <c r="E18" s="2" t="str">
        <f t="shared" si="1"/>
        <v>E</v>
      </c>
      <c r="F18" s="45" t="s">
        <v>104</v>
      </c>
      <c r="G18" s="27" t="s">
        <v>142</v>
      </c>
      <c r="H18" s="27" t="s">
        <v>137</v>
      </c>
      <c r="K18" s="1" t="s">
        <v>83</v>
      </c>
      <c r="L18" s="47">
        <v>2</v>
      </c>
      <c r="Z18" s="40"/>
      <c r="AA18" s="40"/>
    </row>
    <row r="19" spans="1:27" ht="14.4" x14ac:dyDescent="0.3">
      <c r="A19" s="34"/>
      <c r="B19" s="15"/>
      <c r="C19" s="2" t="str">
        <f t="shared" si="0"/>
        <v>FALSE</v>
      </c>
      <c r="D19" s="27"/>
      <c r="E19" s="2" t="str">
        <f t="shared" si="1"/>
        <v>FALSE</v>
      </c>
      <c r="F19" s="45"/>
      <c r="G19" s="27"/>
      <c r="H19" s="27"/>
      <c r="K19" s="1" t="s">
        <v>51</v>
      </c>
      <c r="L19" s="1" t="s">
        <v>51</v>
      </c>
      <c r="Z19" s="40"/>
      <c r="AA19" s="40"/>
    </row>
    <row r="20" spans="1:27" x14ac:dyDescent="0.3">
      <c r="A20" s="34"/>
      <c r="B20" s="15"/>
      <c r="C20" s="2" t="str">
        <f t="shared" si="0"/>
        <v>FALSE</v>
      </c>
      <c r="D20" s="27"/>
      <c r="E20" s="2" t="str">
        <f t="shared" si="1"/>
        <v>FALSE</v>
      </c>
      <c r="F20" s="45"/>
      <c r="G20" s="27"/>
      <c r="H20" s="27"/>
    </row>
    <row r="21" spans="1:27" x14ac:dyDescent="0.3">
      <c r="A21" s="34"/>
      <c r="B21" s="15"/>
      <c r="C21" s="2" t="str">
        <f t="shared" si="0"/>
        <v>FALSE</v>
      </c>
      <c r="D21" s="27"/>
      <c r="E21" s="2" t="str">
        <f t="shared" si="1"/>
        <v>FALSE</v>
      </c>
      <c r="F21" s="45"/>
      <c r="G21" s="27"/>
      <c r="H21" s="27"/>
    </row>
    <row r="22" spans="1:27" x14ac:dyDescent="0.3">
      <c r="A22" s="34"/>
      <c r="B22" s="15"/>
      <c r="C22" s="2" t="str">
        <f t="shared" si="0"/>
        <v>FALSE</v>
      </c>
      <c r="D22" s="27"/>
      <c r="E22" s="2" t="str">
        <f t="shared" si="1"/>
        <v>FALSE</v>
      </c>
      <c r="F22" s="45"/>
      <c r="G22" s="27"/>
      <c r="H22" s="27"/>
    </row>
    <row r="23" spans="1:27" x14ac:dyDescent="0.3">
      <c r="A23" s="34"/>
      <c r="B23" s="15"/>
      <c r="C23" s="2" t="str">
        <f t="shared" si="0"/>
        <v>FALSE</v>
      </c>
      <c r="D23" s="27"/>
      <c r="E23" s="2" t="str">
        <f t="shared" si="1"/>
        <v>FALSE</v>
      </c>
      <c r="F23" s="45"/>
      <c r="G23" s="27"/>
      <c r="H23" s="27"/>
    </row>
    <row r="24" spans="1:27" x14ac:dyDescent="0.3">
      <c r="A24" s="34"/>
      <c r="B24" s="15"/>
      <c r="C24" s="2" t="str">
        <f t="shared" si="0"/>
        <v>FALSE</v>
      </c>
      <c r="D24" s="27"/>
      <c r="E24" s="2" t="str">
        <f t="shared" si="1"/>
        <v>FALSE</v>
      </c>
      <c r="F24" s="45"/>
      <c r="G24" s="27"/>
      <c r="H24" s="27"/>
    </row>
    <row r="25" spans="1:27" x14ac:dyDescent="0.3">
      <c r="A25" s="34"/>
      <c r="B25" s="15"/>
      <c r="C25" s="2" t="str">
        <f t="shared" si="0"/>
        <v>FALSE</v>
      </c>
      <c r="D25" s="27"/>
      <c r="E25" s="2" t="str">
        <f t="shared" si="1"/>
        <v>FALSE</v>
      </c>
      <c r="F25" s="45"/>
      <c r="G25" s="27"/>
      <c r="H25" s="27"/>
    </row>
    <row r="26" spans="1:27" x14ac:dyDescent="0.3">
      <c r="A26" s="34"/>
      <c r="B26" s="15"/>
      <c r="C26" s="2" t="str">
        <f t="shared" si="0"/>
        <v>FALSE</v>
      </c>
      <c r="D26" s="27"/>
      <c r="E26" s="2" t="str">
        <f t="shared" si="1"/>
        <v>FALSE</v>
      </c>
      <c r="F26" s="45"/>
      <c r="G26" s="27"/>
      <c r="H26" s="27"/>
      <c r="W26" s="37"/>
      <c r="X26" s="38"/>
    </row>
    <row r="27" spans="1:27" x14ac:dyDescent="0.3">
      <c r="A27" s="34"/>
      <c r="B27" s="15"/>
      <c r="C27" s="2" t="str">
        <f t="shared" si="0"/>
        <v>FALSE</v>
      </c>
      <c r="D27" s="27"/>
      <c r="E27" s="2" t="str">
        <f t="shared" si="1"/>
        <v>FALSE</v>
      </c>
      <c r="F27" s="45"/>
      <c r="G27" s="27"/>
      <c r="H27" s="27"/>
    </row>
    <row r="28" spans="1:27" x14ac:dyDescent="0.3">
      <c r="A28" s="34"/>
      <c r="B28" s="15"/>
      <c r="C28" s="2" t="str">
        <f t="shared" si="0"/>
        <v>FALSE</v>
      </c>
      <c r="D28" s="27"/>
      <c r="E28" s="2" t="str">
        <f t="shared" si="1"/>
        <v>FALSE</v>
      </c>
      <c r="F28" s="45"/>
      <c r="G28" s="27"/>
      <c r="H28" s="27"/>
    </row>
    <row r="29" spans="1:27" x14ac:dyDescent="0.3">
      <c r="A29" s="34"/>
      <c r="B29" s="15"/>
      <c r="C29" s="2" t="str">
        <f t="shared" si="0"/>
        <v>FALSE</v>
      </c>
      <c r="D29" s="27"/>
      <c r="E29" s="2" t="str">
        <f t="shared" si="1"/>
        <v>FALSE</v>
      </c>
      <c r="F29" s="45"/>
      <c r="G29" s="27"/>
      <c r="H29" s="27"/>
    </row>
    <row r="30" spans="1:27" x14ac:dyDescent="0.3">
      <c r="A30" s="34"/>
      <c r="B30" s="15"/>
      <c r="C30" s="2" t="str">
        <f t="shared" si="0"/>
        <v>FALSE</v>
      </c>
      <c r="D30" s="27"/>
      <c r="E30" s="2" t="str">
        <f t="shared" si="1"/>
        <v>FALSE</v>
      </c>
      <c r="F30" s="45"/>
      <c r="G30" s="27"/>
      <c r="H30" s="27"/>
    </row>
    <row r="31" spans="1:27" x14ac:dyDescent="0.3">
      <c r="A31" s="34"/>
      <c r="B31" s="15"/>
      <c r="C31" s="2" t="str">
        <f t="shared" si="0"/>
        <v>FALSE</v>
      </c>
      <c r="D31" s="27"/>
      <c r="E31" s="2" t="str">
        <f t="shared" si="1"/>
        <v>FALSE</v>
      </c>
      <c r="F31" s="45"/>
      <c r="G31" s="27"/>
      <c r="H31" s="27"/>
    </row>
    <row r="32" spans="1:27" x14ac:dyDescent="0.3">
      <c r="A32" s="34"/>
      <c r="B32" s="15"/>
      <c r="C32" s="2" t="str">
        <f t="shared" si="0"/>
        <v>FALSE</v>
      </c>
      <c r="D32" s="27"/>
      <c r="E32" s="2" t="str">
        <f t="shared" si="1"/>
        <v>FALSE</v>
      </c>
      <c r="F32" s="45"/>
      <c r="G32" s="27"/>
      <c r="H32" s="27"/>
    </row>
    <row r="33" spans="1:8" x14ac:dyDescent="0.3">
      <c r="A33" s="34"/>
      <c r="B33" s="15"/>
      <c r="C33" s="2" t="str">
        <f t="shared" si="0"/>
        <v>FALSE</v>
      </c>
      <c r="D33" s="27"/>
      <c r="E33" s="2" t="str">
        <f t="shared" si="1"/>
        <v>FALSE</v>
      </c>
      <c r="F33" s="45"/>
      <c r="G33" s="27"/>
      <c r="H33" s="27"/>
    </row>
    <row r="34" spans="1:8" x14ac:dyDescent="0.3">
      <c r="A34" s="34"/>
      <c r="B34" s="15"/>
      <c r="C34" s="2" t="str">
        <f t="shared" si="0"/>
        <v>FALSE</v>
      </c>
      <c r="D34" s="27"/>
      <c r="E34" s="2" t="str">
        <f t="shared" si="1"/>
        <v>FALSE</v>
      </c>
      <c r="F34" s="45"/>
      <c r="G34" s="27"/>
      <c r="H34" s="27"/>
    </row>
    <row r="35" spans="1:8" x14ac:dyDescent="0.3">
      <c r="A35" s="34"/>
      <c r="B35" s="15"/>
      <c r="C35" s="2" t="str">
        <f t="shared" si="0"/>
        <v>FALSE</v>
      </c>
      <c r="D35" s="27"/>
      <c r="E35" s="2" t="str">
        <f t="shared" si="1"/>
        <v>FALSE</v>
      </c>
      <c r="F35" s="45"/>
      <c r="G35" s="27"/>
      <c r="H35" s="27"/>
    </row>
    <row r="36" spans="1:8" x14ac:dyDescent="0.3">
      <c r="A36" s="34"/>
      <c r="B36" s="15"/>
      <c r="C36" s="2" t="str">
        <f t="shared" si="0"/>
        <v>FALSE</v>
      </c>
      <c r="D36" s="27"/>
      <c r="E36" s="2" t="str">
        <f t="shared" si="1"/>
        <v>FALSE</v>
      </c>
      <c r="F36" s="45"/>
      <c r="G36" s="27"/>
      <c r="H36" s="27"/>
    </row>
    <row r="37" spans="1:8" x14ac:dyDescent="0.3">
      <c r="A37" s="34"/>
      <c r="B37" s="15"/>
      <c r="C37" s="2" t="str">
        <f t="shared" si="0"/>
        <v>FALSE</v>
      </c>
      <c r="D37" s="27"/>
      <c r="E37" s="2" t="str">
        <f t="shared" si="1"/>
        <v>FALSE</v>
      </c>
      <c r="F37" s="45"/>
      <c r="G37" s="27"/>
      <c r="H37" s="27"/>
    </row>
    <row r="38" spans="1:8" x14ac:dyDescent="0.3">
      <c r="A38" s="34"/>
      <c r="B38" s="15"/>
      <c r="C38" s="2" t="str">
        <f t="shared" si="0"/>
        <v>FALSE</v>
      </c>
      <c r="D38" s="27"/>
      <c r="E38" s="2" t="str">
        <f t="shared" si="1"/>
        <v>FALSE</v>
      </c>
      <c r="F38" s="45"/>
      <c r="G38" s="27"/>
      <c r="H38" s="27"/>
    </row>
    <row r="39" spans="1:8" x14ac:dyDescent="0.3">
      <c r="A39" s="34"/>
      <c r="B39" s="15"/>
      <c r="C39" s="2" t="str">
        <f t="shared" si="0"/>
        <v>FALSE</v>
      </c>
      <c r="D39" s="27"/>
      <c r="E39" s="2" t="str">
        <f t="shared" si="1"/>
        <v>FALSE</v>
      </c>
      <c r="F39" s="45"/>
      <c r="G39" s="27"/>
      <c r="H39" s="27"/>
    </row>
    <row r="40" spans="1:8" x14ac:dyDescent="0.3">
      <c r="A40" s="34"/>
      <c r="B40" s="15"/>
      <c r="C40" s="2" t="str">
        <f t="shared" si="0"/>
        <v>FALSE</v>
      </c>
      <c r="D40" s="27"/>
      <c r="E40" s="2" t="str">
        <f t="shared" si="1"/>
        <v>FALSE</v>
      </c>
      <c r="F40" s="45"/>
      <c r="G40" s="27"/>
      <c r="H40" s="27"/>
    </row>
    <row r="41" spans="1:8" x14ac:dyDescent="0.3">
      <c r="A41" s="34"/>
      <c r="B41" s="10"/>
      <c r="C41" s="2" t="str">
        <f t="shared" si="0"/>
        <v>FALSE</v>
      </c>
      <c r="D41" s="27"/>
      <c r="E41" s="2" t="str">
        <f t="shared" si="1"/>
        <v>FALSE</v>
      </c>
      <c r="F41" s="45"/>
      <c r="G41" s="27"/>
      <c r="H41" s="27"/>
    </row>
    <row r="42" spans="1:8" x14ac:dyDescent="0.3">
      <c r="A42" s="34"/>
      <c r="B42" s="10"/>
      <c r="C42" s="2" t="str">
        <f t="shared" si="0"/>
        <v>FALSE</v>
      </c>
      <c r="D42" s="27"/>
      <c r="E42" s="2" t="str">
        <f t="shared" si="1"/>
        <v>FALSE</v>
      </c>
      <c r="F42" s="45"/>
      <c r="G42" s="27"/>
      <c r="H42" s="27"/>
    </row>
    <row r="43" spans="1:8" ht="22.8" x14ac:dyDescent="0.3">
      <c r="A43" s="48" t="s">
        <v>0</v>
      </c>
      <c r="B43" s="48"/>
      <c r="C43" s="48"/>
      <c r="D43" s="48"/>
      <c r="E43" s="48"/>
      <c r="F43" s="48"/>
      <c r="G43" s="48"/>
      <c r="H43" s="48"/>
    </row>
    <row r="44" spans="1:8" ht="18" thickBot="1" x14ac:dyDescent="0.35">
      <c r="A44" s="49" t="s">
        <v>1</v>
      </c>
      <c r="B44" s="49"/>
      <c r="C44" s="49"/>
      <c r="D44" s="49"/>
      <c r="E44" s="49"/>
      <c r="F44" s="49"/>
      <c r="G44" s="49"/>
      <c r="H44" s="49"/>
    </row>
    <row r="45" spans="1:8" x14ac:dyDescent="0.3">
      <c r="A45" s="29"/>
      <c r="B45" s="29"/>
      <c r="C45" s="22" t="s">
        <v>2</v>
      </c>
      <c r="D45" s="43"/>
      <c r="E45" s="6"/>
      <c r="F45" s="22" t="s">
        <v>4</v>
      </c>
      <c r="G45" s="7">
        <f>INCOMING!G45</f>
        <v>0</v>
      </c>
      <c r="H45" s="22"/>
    </row>
    <row r="46" spans="1:8" ht="25.5" customHeight="1" x14ac:dyDescent="0.3">
      <c r="A46" s="8" t="s">
        <v>5</v>
      </c>
      <c r="B46" s="8" t="s">
        <v>6</v>
      </c>
      <c r="C46" s="31" t="s">
        <v>7</v>
      </c>
      <c r="D46" s="24" t="s">
        <v>8</v>
      </c>
      <c r="E46" s="32" t="s">
        <v>9</v>
      </c>
      <c r="F46" s="8" t="s">
        <v>10</v>
      </c>
      <c r="G46" s="24" t="s">
        <v>11</v>
      </c>
      <c r="H46" s="24" t="s">
        <v>12</v>
      </c>
    </row>
    <row r="47" spans="1:8" x14ac:dyDescent="0.3">
      <c r="A47" s="33"/>
      <c r="B47" s="10"/>
      <c r="C47" s="2" t="str">
        <f t="shared" ref="C47:C71" si="2">IF((E47="WS"),"WATER",IF((E47="R"),"RCM",IF((E47="E"),"RCM","FALSE")))</f>
        <v>FALSE</v>
      </c>
      <c r="D47" s="17"/>
      <c r="E47" s="2" t="str">
        <f t="shared" ref="E47:E71" si="3">IF((LEFT(F47,1)="w"),"WS",IF((LEFT(F47,1)="M"),"R",IF((LEFT(F47,1)="Q"),"R",IF((LEFT(F47,1)="F"),"R",IF((LEFT(F47,1)="D"),"R",IF((LEFT(F47,1)="P"),"R",IF((LEFT(F47,1)="U"),"E",IF((LEFT(F47,1)="K"),"E",IF((LEFT(F47,1)="Y"),"E",IF((LEFT(F47,1)="C"),"E",IF((LEFT(F47,1)="H"),"E",IF((LEFT(F47,1)="G"),"E",IF((LEFT(F47,1)="R"),"E","FALSE")))))))))))))</f>
        <v>FALSE</v>
      </c>
      <c r="F47" s="21"/>
      <c r="G47" s="17"/>
      <c r="H47" s="17"/>
    </row>
    <row r="48" spans="1:8" x14ac:dyDescent="0.3">
      <c r="A48" s="33"/>
      <c r="B48" s="10"/>
      <c r="C48" s="2" t="str">
        <f t="shared" si="2"/>
        <v>FALSE</v>
      </c>
      <c r="D48" s="17"/>
      <c r="E48" s="2" t="str">
        <f t="shared" si="3"/>
        <v>FALSE</v>
      </c>
      <c r="F48" s="21"/>
      <c r="G48" s="27"/>
      <c r="H48" s="17"/>
    </row>
    <row r="49" spans="1:8" x14ac:dyDescent="0.3">
      <c r="A49" s="33"/>
      <c r="B49" s="10"/>
      <c r="C49" s="2" t="str">
        <f t="shared" si="2"/>
        <v>FALSE</v>
      </c>
      <c r="D49" s="17"/>
      <c r="E49" s="2" t="str">
        <f t="shared" si="3"/>
        <v>FALSE</v>
      </c>
      <c r="F49" s="17"/>
      <c r="G49" s="17"/>
      <c r="H49" s="17"/>
    </row>
    <row r="50" spans="1:8" x14ac:dyDescent="0.3">
      <c r="A50" s="33"/>
      <c r="B50" s="10"/>
      <c r="C50" s="2" t="str">
        <f t="shared" si="2"/>
        <v>FALSE</v>
      </c>
      <c r="D50" s="17"/>
      <c r="E50" s="2" t="str">
        <f t="shared" si="3"/>
        <v>FALSE</v>
      </c>
      <c r="F50" s="17"/>
      <c r="G50" s="17"/>
      <c r="H50" s="17"/>
    </row>
    <row r="51" spans="1:8" x14ac:dyDescent="0.3">
      <c r="A51" s="33"/>
      <c r="B51" s="10"/>
      <c r="C51" s="2" t="str">
        <f t="shared" si="2"/>
        <v>FALSE</v>
      </c>
      <c r="D51" s="17"/>
      <c r="E51" s="2" t="str">
        <f t="shared" si="3"/>
        <v>FALSE</v>
      </c>
      <c r="F51" s="17"/>
      <c r="G51" s="17"/>
      <c r="H51" s="17"/>
    </row>
    <row r="52" spans="1:8" x14ac:dyDescent="0.3">
      <c r="A52" s="33"/>
      <c r="B52" s="10"/>
      <c r="C52" s="2" t="str">
        <f t="shared" si="2"/>
        <v>FALSE</v>
      </c>
      <c r="D52" s="17"/>
      <c r="E52" s="2" t="str">
        <f t="shared" si="3"/>
        <v>FALSE</v>
      </c>
      <c r="F52" s="17"/>
      <c r="G52" s="17"/>
      <c r="H52" s="17"/>
    </row>
    <row r="53" spans="1:8" x14ac:dyDescent="0.3">
      <c r="A53" s="33"/>
      <c r="B53" s="10"/>
      <c r="C53" s="2" t="str">
        <f t="shared" si="2"/>
        <v>FALSE</v>
      </c>
      <c r="D53" s="17"/>
      <c r="E53" s="2" t="str">
        <f t="shared" si="3"/>
        <v>FALSE</v>
      </c>
      <c r="F53" s="17"/>
      <c r="G53" s="17"/>
      <c r="H53" s="17"/>
    </row>
    <row r="54" spans="1:8" x14ac:dyDescent="0.3">
      <c r="A54" s="33"/>
      <c r="B54" s="10"/>
      <c r="C54" s="2" t="str">
        <f t="shared" si="2"/>
        <v>FALSE</v>
      </c>
      <c r="D54" s="17"/>
      <c r="E54" s="2" t="str">
        <f t="shared" si="3"/>
        <v>FALSE</v>
      </c>
      <c r="F54" s="28"/>
      <c r="G54" s="17"/>
      <c r="H54" s="17"/>
    </row>
    <row r="55" spans="1:8" x14ac:dyDescent="0.3">
      <c r="A55" s="33"/>
      <c r="B55" s="10"/>
      <c r="C55" s="2" t="str">
        <f t="shared" si="2"/>
        <v>FALSE</v>
      </c>
      <c r="D55" s="17"/>
      <c r="E55" s="2" t="str">
        <f t="shared" si="3"/>
        <v>FALSE</v>
      </c>
      <c r="F55" s="17"/>
      <c r="G55" s="17"/>
      <c r="H55" s="17"/>
    </row>
    <row r="56" spans="1:8" x14ac:dyDescent="0.3">
      <c r="A56" s="33"/>
      <c r="B56" s="10"/>
      <c r="C56" s="2" t="str">
        <f t="shared" si="2"/>
        <v>FALSE</v>
      </c>
      <c r="D56" s="17"/>
      <c r="E56" s="2" t="str">
        <f t="shared" si="3"/>
        <v>FALSE</v>
      </c>
      <c r="F56" s="17"/>
      <c r="G56" s="17"/>
      <c r="H56" s="17"/>
    </row>
    <row r="57" spans="1:8" x14ac:dyDescent="0.3">
      <c r="A57" s="33"/>
      <c r="B57" s="10"/>
      <c r="C57" s="2" t="str">
        <f t="shared" si="2"/>
        <v>FALSE</v>
      </c>
      <c r="D57" s="17"/>
      <c r="E57" s="2" t="str">
        <f t="shared" si="3"/>
        <v>FALSE</v>
      </c>
      <c r="F57" s="17"/>
      <c r="G57" s="17"/>
      <c r="H57" s="17"/>
    </row>
    <row r="58" spans="1:8" x14ac:dyDescent="0.3">
      <c r="A58" s="33"/>
      <c r="B58" s="10"/>
      <c r="C58" s="2" t="str">
        <f t="shared" si="2"/>
        <v>FALSE</v>
      </c>
      <c r="D58" s="17"/>
      <c r="E58" s="2" t="str">
        <f t="shared" si="3"/>
        <v>FALSE</v>
      </c>
      <c r="F58" s="17"/>
      <c r="G58" s="17"/>
      <c r="H58" s="17"/>
    </row>
    <row r="59" spans="1:8" x14ac:dyDescent="0.3">
      <c r="A59" s="33"/>
      <c r="B59" s="10"/>
      <c r="C59" s="2" t="str">
        <f t="shared" si="2"/>
        <v>FALSE</v>
      </c>
      <c r="D59" s="17"/>
      <c r="E59" s="2" t="str">
        <f t="shared" si="3"/>
        <v>FALSE</v>
      </c>
      <c r="F59" s="17"/>
      <c r="G59" s="20"/>
      <c r="H59" s="17"/>
    </row>
    <row r="60" spans="1:8" x14ac:dyDescent="0.3">
      <c r="A60" s="33"/>
      <c r="B60" s="10"/>
      <c r="C60" s="2" t="str">
        <f t="shared" si="2"/>
        <v>FALSE</v>
      </c>
      <c r="D60" s="17"/>
      <c r="E60" s="2" t="str">
        <f t="shared" si="3"/>
        <v>FALSE</v>
      </c>
      <c r="F60" s="17"/>
      <c r="G60" s="17"/>
      <c r="H60" s="17"/>
    </row>
    <row r="61" spans="1:8" x14ac:dyDescent="0.3">
      <c r="A61" s="33"/>
      <c r="B61" s="10"/>
      <c r="C61" s="2" t="str">
        <f t="shared" si="2"/>
        <v>FALSE</v>
      </c>
      <c r="D61" s="17"/>
      <c r="E61" s="2" t="str">
        <f t="shared" si="3"/>
        <v>FALSE</v>
      </c>
      <c r="F61" s="17"/>
      <c r="G61" s="17"/>
      <c r="H61" s="17"/>
    </row>
    <row r="62" spans="1:8" x14ac:dyDescent="0.3">
      <c r="A62" s="33"/>
      <c r="B62" s="10"/>
      <c r="C62" s="2" t="str">
        <f t="shared" si="2"/>
        <v>FALSE</v>
      </c>
      <c r="D62" s="17"/>
      <c r="E62" s="2" t="str">
        <f t="shared" si="3"/>
        <v>FALSE</v>
      </c>
      <c r="F62" s="17"/>
      <c r="G62" s="17"/>
      <c r="H62" s="17"/>
    </row>
    <row r="63" spans="1:8" x14ac:dyDescent="0.3">
      <c r="A63" s="33"/>
      <c r="B63" s="10"/>
      <c r="C63" s="2" t="str">
        <f t="shared" si="2"/>
        <v>FALSE</v>
      </c>
      <c r="D63" s="17"/>
      <c r="E63" s="2" t="str">
        <f t="shared" si="3"/>
        <v>FALSE</v>
      </c>
      <c r="F63" s="17"/>
      <c r="G63" s="17"/>
      <c r="H63" s="17"/>
    </row>
    <row r="64" spans="1:8" x14ac:dyDescent="0.3">
      <c r="A64" s="33"/>
      <c r="B64" s="10"/>
      <c r="C64" s="2" t="str">
        <f t="shared" si="2"/>
        <v>FALSE</v>
      </c>
      <c r="D64" s="17"/>
      <c r="E64" s="2" t="str">
        <f t="shared" si="3"/>
        <v>FALSE</v>
      </c>
      <c r="F64" s="17"/>
      <c r="G64" s="17"/>
      <c r="H64" s="17"/>
    </row>
    <row r="65" spans="1:8" x14ac:dyDescent="0.3">
      <c r="A65" s="33"/>
      <c r="B65" s="10"/>
      <c r="C65" s="2" t="str">
        <f t="shared" si="2"/>
        <v>FALSE</v>
      </c>
      <c r="D65" s="17"/>
      <c r="E65" s="2" t="str">
        <f t="shared" si="3"/>
        <v>FALSE</v>
      </c>
      <c r="F65" s="17"/>
      <c r="G65" s="17"/>
      <c r="H65" s="17"/>
    </row>
    <row r="66" spans="1:8" x14ac:dyDescent="0.3">
      <c r="A66" s="33"/>
      <c r="B66" s="10"/>
      <c r="C66" s="2" t="str">
        <f t="shared" si="2"/>
        <v>FALSE</v>
      </c>
      <c r="D66" s="17"/>
      <c r="E66" s="2" t="str">
        <f t="shared" si="3"/>
        <v>FALSE</v>
      </c>
      <c r="F66" s="17"/>
      <c r="G66" s="17"/>
      <c r="H66" s="17"/>
    </row>
    <row r="67" spans="1:8" x14ac:dyDescent="0.3">
      <c r="A67" s="33"/>
      <c r="B67" s="10"/>
      <c r="C67" s="2" t="str">
        <f t="shared" si="2"/>
        <v>FALSE</v>
      </c>
      <c r="D67" s="17"/>
      <c r="E67" s="2" t="str">
        <f t="shared" si="3"/>
        <v>FALSE</v>
      </c>
      <c r="F67" s="17"/>
      <c r="G67" s="17"/>
      <c r="H67" s="17"/>
    </row>
    <row r="68" spans="1:8" x14ac:dyDescent="0.3">
      <c r="A68" s="33"/>
      <c r="B68" s="10"/>
      <c r="C68" s="2" t="str">
        <f t="shared" si="2"/>
        <v>FALSE</v>
      </c>
      <c r="D68" s="17"/>
      <c r="E68" s="2" t="str">
        <f t="shared" si="3"/>
        <v>FALSE</v>
      </c>
      <c r="F68" s="17"/>
      <c r="G68" s="17"/>
      <c r="H68" s="17"/>
    </row>
    <row r="69" spans="1:8" x14ac:dyDescent="0.3">
      <c r="A69" s="33"/>
      <c r="B69" s="10"/>
      <c r="C69" s="2" t="str">
        <f t="shared" si="2"/>
        <v>FALSE</v>
      </c>
      <c r="D69" s="17"/>
      <c r="E69" s="2" t="str">
        <f t="shared" si="3"/>
        <v>FALSE</v>
      </c>
      <c r="F69" s="17"/>
      <c r="G69" s="17"/>
      <c r="H69" s="17"/>
    </row>
    <row r="70" spans="1:8" x14ac:dyDescent="0.3">
      <c r="A70" s="33"/>
      <c r="B70" s="10"/>
      <c r="C70" s="2" t="str">
        <f t="shared" si="2"/>
        <v>FALSE</v>
      </c>
      <c r="D70" s="17"/>
      <c r="E70" s="2" t="str">
        <f t="shared" si="3"/>
        <v>FALSE</v>
      </c>
      <c r="F70" s="17"/>
      <c r="G70" s="17"/>
      <c r="H70" s="17"/>
    </row>
    <row r="71" spans="1:8" x14ac:dyDescent="0.3">
      <c r="A71" s="33"/>
      <c r="B71" s="10"/>
      <c r="C71" s="2" t="str">
        <f t="shared" si="2"/>
        <v>FALSE</v>
      </c>
      <c r="D71" s="17"/>
      <c r="E71" s="2" t="str">
        <f t="shared" si="3"/>
        <v>FALSE</v>
      </c>
      <c r="F71" s="17"/>
      <c r="G71" s="17"/>
      <c r="H71" s="17"/>
    </row>
    <row r="72" spans="1:8" ht="22.8" x14ac:dyDescent="0.3">
      <c r="A72" s="48" t="s">
        <v>0</v>
      </c>
      <c r="B72" s="48"/>
      <c r="C72" s="48"/>
      <c r="D72" s="48"/>
      <c r="E72" s="48"/>
      <c r="F72" s="48"/>
      <c r="G72" s="48"/>
      <c r="H72" s="48"/>
    </row>
    <row r="73" spans="1:8" ht="18" thickBot="1" x14ac:dyDescent="0.35">
      <c r="A73" s="49" t="s">
        <v>1</v>
      </c>
      <c r="B73" s="49"/>
      <c r="C73" s="49"/>
      <c r="D73" s="49"/>
      <c r="E73" s="49"/>
      <c r="F73" s="49"/>
      <c r="G73" s="49"/>
      <c r="H73" s="49"/>
    </row>
    <row r="74" spans="1:8" ht="14.4" thickBot="1" x14ac:dyDescent="0.35">
      <c r="A74" s="29"/>
      <c r="B74" s="29"/>
      <c r="C74" s="22" t="s">
        <v>2</v>
      </c>
      <c r="D74" s="43"/>
      <c r="E74" s="6"/>
      <c r="F74" s="22" t="s">
        <v>4</v>
      </c>
      <c r="G74" s="16"/>
      <c r="H74" s="22"/>
    </row>
    <row r="75" spans="1:8" ht="25.5" customHeight="1" x14ac:dyDescent="0.3">
      <c r="A75" s="8" t="s">
        <v>5</v>
      </c>
      <c r="B75" s="8" t="s">
        <v>6</v>
      </c>
      <c r="C75" s="31" t="s">
        <v>7</v>
      </c>
      <c r="D75" s="24" t="s">
        <v>8</v>
      </c>
      <c r="E75" s="32" t="s">
        <v>9</v>
      </c>
      <c r="F75" s="8" t="s">
        <v>10</v>
      </c>
      <c r="G75" s="24" t="s">
        <v>11</v>
      </c>
      <c r="H75" s="24" t="s">
        <v>12</v>
      </c>
    </row>
    <row r="76" spans="1:8" x14ac:dyDescent="0.3">
      <c r="A76" s="33"/>
      <c r="B76" s="10"/>
      <c r="C76" s="2"/>
      <c r="D76" s="21"/>
      <c r="E76" s="2"/>
      <c r="F76" s="21"/>
      <c r="G76" s="17"/>
      <c r="H76" s="17"/>
    </row>
    <row r="77" spans="1:8" x14ac:dyDescent="0.3">
      <c r="A77" s="33"/>
      <c r="B77" s="10"/>
      <c r="C77" s="2"/>
      <c r="D77" s="21"/>
      <c r="E77" s="2"/>
      <c r="F77" s="21"/>
      <c r="G77" s="17"/>
      <c r="H77" s="17"/>
    </row>
    <row r="78" spans="1:8" x14ac:dyDescent="0.3">
      <c r="A78" s="33"/>
      <c r="B78" s="10"/>
      <c r="C78" s="2"/>
      <c r="D78" s="17"/>
      <c r="E78" s="2"/>
      <c r="F78" s="17"/>
      <c r="G78" s="17"/>
      <c r="H78" s="17"/>
    </row>
    <row r="79" spans="1:8" x14ac:dyDescent="0.3">
      <c r="A79" s="33"/>
      <c r="B79" s="10"/>
      <c r="C79" s="2"/>
      <c r="D79" s="17"/>
      <c r="E79" s="2"/>
      <c r="F79" s="17"/>
      <c r="G79" s="17"/>
      <c r="H79" s="17"/>
    </row>
    <row r="80" spans="1:8" x14ac:dyDescent="0.3">
      <c r="A80" s="33"/>
      <c r="B80" s="10"/>
      <c r="C80" s="2"/>
      <c r="D80" s="17"/>
      <c r="E80" s="2"/>
      <c r="F80" s="17"/>
      <c r="G80" s="17"/>
      <c r="H80" s="17"/>
    </row>
    <row r="81" spans="1:8" x14ac:dyDescent="0.3">
      <c r="A81" s="33"/>
      <c r="B81" s="10"/>
      <c r="C81" s="2"/>
      <c r="D81" s="17"/>
      <c r="E81" s="2"/>
      <c r="F81" s="17"/>
      <c r="G81" s="17"/>
      <c r="H81" s="17"/>
    </row>
    <row r="82" spans="1:8" x14ac:dyDescent="0.3">
      <c r="A82" s="33"/>
      <c r="B82" s="10"/>
      <c r="C82" s="2"/>
      <c r="D82" s="17"/>
      <c r="E82" s="2"/>
      <c r="F82" s="17"/>
      <c r="G82" s="17"/>
      <c r="H82" s="17"/>
    </row>
    <row r="83" spans="1:8" x14ac:dyDescent="0.3">
      <c r="A83" s="33"/>
      <c r="B83" s="10"/>
      <c r="C83" s="2"/>
      <c r="D83" s="17"/>
      <c r="E83" s="2"/>
      <c r="F83" s="5"/>
      <c r="G83" s="17"/>
      <c r="H83" s="17"/>
    </row>
    <row r="84" spans="1:8" x14ac:dyDescent="0.3">
      <c r="A84" s="33"/>
      <c r="B84" s="10"/>
      <c r="C84" s="2"/>
      <c r="D84" s="17"/>
      <c r="E84" s="2"/>
      <c r="F84" s="17"/>
      <c r="G84" s="17"/>
      <c r="H84" s="17"/>
    </row>
    <row r="85" spans="1:8" x14ac:dyDescent="0.3">
      <c r="A85" s="33"/>
      <c r="B85" s="10"/>
      <c r="C85" s="2"/>
      <c r="D85" s="17"/>
      <c r="E85" s="2"/>
      <c r="F85" s="17"/>
      <c r="G85" s="17"/>
      <c r="H85" s="17"/>
    </row>
    <row r="86" spans="1:8" x14ac:dyDescent="0.3">
      <c r="A86" s="33"/>
      <c r="B86" s="10"/>
      <c r="C86" s="2"/>
      <c r="D86" s="17"/>
      <c r="E86" s="2"/>
      <c r="F86" s="17"/>
      <c r="G86" s="17"/>
      <c r="H86" s="17"/>
    </row>
    <row r="87" spans="1:8" x14ac:dyDescent="0.3">
      <c r="A87" s="33"/>
      <c r="B87" s="10"/>
      <c r="C87" s="2"/>
      <c r="D87" s="17"/>
      <c r="E87" s="2"/>
      <c r="F87" s="17"/>
      <c r="G87" s="17"/>
      <c r="H87" s="17"/>
    </row>
    <row r="88" spans="1:8" x14ac:dyDescent="0.3">
      <c r="A88" s="33"/>
      <c r="B88" s="10"/>
      <c r="C88" s="2"/>
      <c r="D88" s="17"/>
      <c r="E88" s="2"/>
      <c r="F88" s="17"/>
      <c r="G88" s="20"/>
      <c r="H88" s="17"/>
    </row>
    <row r="89" spans="1:8" x14ac:dyDescent="0.3">
      <c r="A89" s="33"/>
      <c r="B89" s="10"/>
      <c r="C89" s="2"/>
      <c r="D89" s="17"/>
      <c r="E89" s="2"/>
      <c r="F89" s="17"/>
      <c r="G89" s="17"/>
      <c r="H89" s="17"/>
    </row>
    <row r="90" spans="1:8" x14ac:dyDescent="0.3">
      <c r="A90" s="33"/>
      <c r="B90" s="10"/>
      <c r="C90" s="2"/>
      <c r="D90" s="17"/>
      <c r="E90" s="2"/>
      <c r="F90" s="17"/>
      <c r="G90" s="17"/>
      <c r="H90" s="17"/>
    </row>
    <row r="91" spans="1:8" x14ac:dyDescent="0.3">
      <c r="A91" s="33"/>
      <c r="B91" s="10"/>
      <c r="C91" s="2"/>
      <c r="D91" s="17"/>
      <c r="E91" s="2"/>
      <c r="F91" s="17"/>
      <c r="G91" s="17"/>
      <c r="H91" s="17"/>
    </row>
    <row r="92" spans="1:8" x14ac:dyDescent="0.3">
      <c r="A92" s="33"/>
      <c r="B92" s="10"/>
      <c r="C92" s="2"/>
      <c r="D92" s="17"/>
      <c r="E92" s="2"/>
      <c r="F92" s="17"/>
      <c r="G92" s="17"/>
      <c r="H92" s="17"/>
    </row>
    <row r="93" spans="1:8" x14ac:dyDescent="0.3">
      <c r="A93" s="33"/>
      <c r="B93" s="10"/>
      <c r="C93" s="2"/>
      <c r="D93" s="17"/>
      <c r="E93" s="2"/>
      <c r="F93" s="17"/>
      <c r="G93" s="17"/>
      <c r="H93" s="17"/>
    </row>
    <row r="94" spans="1:8" x14ac:dyDescent="0.3">
      <c r="A94" s="33"/>
      <c r="B94" s="10"/>
      <c r="C94" s="2"/>
      <c r="D94" s="17"/>
      <c r="E94" s="2"/>
      <c r="F94" s="17"/>
      <c r="G94" s="17"/>
      <c r="H94" s="17"/>
    </row>
    <row r="95" spans="1:8" x14ac:dyDescent="0.3">
      <c r="A95" s="33"/>
      <c r="B95" s="10"/>
      <c r="C95" s="2"/>
      <c r="D95" s="17"/>
      <c r="E95" s="2"/>
      <c r="F95" s="17"/>
      <c r="G95" s="17"/>
      <c r="H95" s="17"/>
    </row>
    <row r="96" spans="1:8" x14ac:dyDescent="0.3">
      <c r="A96" s="33"/>
      <c r="B96" s="10"/>
      <c r="C96" s="2"/>
      <c r="D96" s="17"/>
      <c r="E96" s="2"/>
      <c r="F96" s="17"/>
      <c r="G96" s="17"/>
      <c r="H96" s="17"/>
    </row>
    <row r="97" spans="1:8" x14ac:dyDescent="0.3">
      <c r="A97" s="33"/>
      <c r="B97" s="10"/>
      <c r="C97" s="2"/>
      <c r="D97" s="17"/>
      <c r="E97" s="2"/>
      <c r="F97" s="17"/>
      <c r="G97" s="17"/>
      <c r="H97" s="17"/>
    </row>
    <row r="98" spans="1:8" x14ac:dyDescent="0.3">
      <c r="A98" s="33"/>
      <c r="B98" s="10"/>
      <c r="C98" s="2"/>
      <c r="D98" s="17"/>
      <c r="E98" s="2"/>
      <c r="F98" s="17"/>
      <c r="G98" s="17"/>
      <c r="H98" s="17"/>
    </row>
    <row r="99" spans="1:8" x14ac:dyDescent="0.3">
      <c r="A99" s="33"/>
      <c r="B99" s="10"/>
      <c r="C99" s="2"/>
      <c r="D99" s="17"/>
      <c r="E99" s="2"/>
      <c r="F99" s="17"/>
      <c r="G99" s="17"/>
      <c r="H99" s="17"/>
    </row>
    <row r="100" spans="1:8" x14ac:dyDescent="0.3">
      <c r="A100" s="33"/>
      <c r="B100" s="10"/>
      <c r="C100" s="2"/>
      <c r="D100" s="17"/>
      <c r="E100" s="2"/>
      <c r="F100" s="17"/>
      <c r="G100" s="17"/>
      <c r="H100" s="17"/>
    </row>
    <row r="101" spans="1:8" ht="22.8" x14ac:dyDescent="0.3">
      <c r="A101" s="48" t="s">
        <v>0</v>
      </c>
      <c r="B101" s="48"/>
      <c r="C101" s="48"/>
      <c r="D101" s="48"/>
      <c r="E101" s="48"/>
      <c r="F101" s="48"/>
      <c r="G101" s="48"/>
      <c r="H101" s="48"/>
    </row>
    <row r="102" spans="1:8" ht="18" thickBot="1" x14ac:dyDescent="0.35">
      <c r="A102" s="49" t="s">
        <v>1</v>
      </c>
      <c r="B102" s="49"/>
      <c r="C102" s="49"/>
      <c r="D102" s="49"/>
      <c r="E102" s="49"/>
      <c r="F102" s="49"/>
      <c r="G102" s="49"/>
      <c r="H102" s="49"/>
    </row>
    <row r="103" spans="1:8" ht="14.4" thickBot="1" x14ac:dyDescent="0.35">
      <c r="A103" s="29"/>
      <c r="B103" s="29"/>
      <c r="C103" s="22" t="s">
        <v>2</v>
      </c>
      <c r="D103" s="43"/>
      <c r="E103" s="6"/>
      <c r="F103" s="22" t="s">
        <v>4</v>
      </c>
      <c r="G103" s="16"/>
      <c r="H103" s="22"/>
    </row>
    <row r="104" spans="1:8" ht="25.5" customHeight="1" x14ac:dyDescent="0.3">
      <c r="A104" s="8" t="s">
        <v>5</v>
      </c>
      <c r="B104" s="8" t="s">
        <v>6</v>
      </c>
      <c r="C104" s="31" t="s">
        <v>7</v>
      </c>
      <c r="D104" s="24" t="s">
        <v>8</v>
      </c>
      <c r="E104" s="32" t="s">
        <v>9</v>
      </c>
      <c r="F104" s="8" t="s">
        <v>10</v>
      </c>
      <c r="G104" s="24" t="s">
        <v>11</v>
      </c>
      <c r="H104" s="24" t="s">
        <v>12</v>
      </c>
    </row>
    <row r="105" spans="1:8" x14ac:dyDescent="0.3">
      <c r="A105" s="33"/>
      <c r="B105" s="10"/>
      <c r="C105" s="19"/>
      <c r="D105" s="21"/>
      <c r="E105" s="19"/>
      <c r="F105" s="21"/>
      <c r="G105" s="17"/>
      <c r="H105" s="17"/>
    </row>
    <row r="106" spans="1:8" x14ac:dyDescent="0.3">
      <c r="A106" s="33"/>
      <c r="B106" s="10"/>
      <c r="C106" s="19"/>
      <c r="D106" s="21"/>
      <c r="E106" s="19"/>
      <c r="F106" s="21"/>
      <c r="G106" s="17"/>
      <c r="H106" s="17"/>
    </row>
    <row r="107" spans="1:8" x14ac:dyDescent="0.3">
      <c r="A107" s="33"/>
      <c r="B107" s="10"/>
      <c r="C107" s="18"/>
      <c r="D107" s="17"/>
      <c r="E107" s="18"/>
      <c r="F107" s="17"/>
      <c r="G107" s="17"/>
      <c r="H107" s="17"/>
    </row>
    <row r="108" spans="1:8" x14ac:dyDescent="0.3">
      <c r="A108" s="33"/>
      <c r="B108" s="10"/>
      <c r="C108" s="18"/>
      <c r="D108" s="17"/>
      <c r="E108" s="18"/>
      <c r="F108" s="17"/>
      <c r="G108" s="17"/>
      <c r="H108" s="17"/>
    </row>
    <row r="109" spans="1:8" x14ac:dyDescent="0.3">
      <c r="A109" s="33"/>
      <c r="B109" s="10"/>
      <c r="C109" s="18"/>
      <c r="D109" s="17"/>
      <c r="E109" s="18"/>
      <c r="F109" s="17"/>
      <c r="G109" s="17"/>
      <c r="H109" s="17"/>
    </row>
    <row r="110" spans="1:8" x14ac:dyDescent="0.3">
      <c r="A110" s="33"/>
      <c r="B110" s="10"/>
      <c r="C110" s="18"/>
      <c r="D110" s="17"/>
      <c r="E110" s="18"/>
      <c r="F110" s="17"/>
      <c r="G110" s="17"/>
      <c r="H110" s="17"/>
    </row>
    <row r="111" spans="1:8" x14ac:dyDescent="0.3">
      <c r="A111" s="33"/>
      <c r="B111" s="10"/>
      <c r="C111" s="18"/>
      <c r="D111" s="17"/>
      <c r="E111" s="18"/>
      <c r="F111" s="17"/>
      <c r="G111" s="17"/>
      <c r="H111" s="17"/>
    </row>
    <row r="112" spans="1:8" x14ac:dyDescent="0.3">
      <c r="A112" s="33"/>
      <c r="B112" s="10"/>
      <c r="C112" s="18"/>
      <c r="D112" s="17"/>
      <c r="E112" s="18"/>
      <c r="F112" s="5"/>
      <c r="G112" s="17"/>
      <c r="H112" s="17"/>
    </row>
    <row r="113" spans="1:8" x14ac:dyDescent="0.3">
      <c r="A113" s="33"/>
      <c r="B113" s="10"/>
      <c r="C113" s="18"/>
      <c r="D113" s="17"/>
      <c r="E113" s="18"/>
      <c r="F113" s="17"/>
      <c r="G113" s="17"/>
      <c r="H113" s="17"/>
    </row>
    <row r="114" spans="1:8" x14ac:dyDescent="0.3">
      <c r="A114" s="33"/>
      <c r="B114" s="10"/>
      <c r="C114" s="18"/>
      <c r="D114" s="17"/>
      <c r="E114" s="18"/>
      <c r="F114" s="17"/>
      <c r="G114" s="17"/>
      <c r="H114" s="17"/>
    </row>
    <row r="115" spans="1:8" x14ac:dyDescent="0.3">
      <c r="A115" s="33"/>
      <c r="B115" s="10"/>
      <c r="C115" s="18"/>
      <c r="D115" s="17"/>
      <c r="E115" s="18"/>
      <c r="F115" s="17"/>
      <c r="G115" s="17"/>
      <c r="H115" s="17"/>
    </row>
    <row r="116" spans="1:8" x14ac:dyDescent="0.3">
      <c r="A116" s="33"/>
      <c r="B116" s="10"/>
      <c r="C116" s="18"/>
      <c r="D116" s="17"/>
      <c r="E116" s="18"/>
      <c r="F116" s="17"/>
      <c r="G116" s="17"/>
      <c r="H116" s="17"/>
    </row>
    <row r="117" spans="1:8" x14ac:dyDescent="0.3">
      <c r="A117" s="33"/>
      <c r="B117" s="10"/>
      <c r="C117" s="18"/>
      <c r="D117" s="17"/>
      <c r="E117" s="18"/>
      <c r="F117" s="17"/>
      <c r="G117" s="20"/>
      <c r="H117" s="17"/>
    </row>
    <row r="118" spans="1:8" x14ac:dyDescent="0.3">
      <c r="A118" s="33"/>
      <c r="B118" s="10"/>
      <c r="C118" s="18"/>
      <c r="D118" s="17"/>
      <c r="E118" s="18"/>
      <c r="F118" s="17"/>
      <c r="G118" s="17"/>
      <c r="H118" s="17"/>
    </row>
    <row r="119" spans="1:8" x14ac:dyDescent="0.3">
      <c r="A119" s="33"/>
      <c r="B119" s="10"/>
      <c r="C119" s="18"/>
      <c r="D119" s="17"/>
      <c r="E119" s="18"/>
      <c r="F119" s="17"/>
      <c r="G119" s="17"/>
      <c r="H119" s="17"/>
    </row>
    <row r="120" spans="1:8" x14ac:dyDescent="0.3">
      <c r="A120" s="33"/>
      <c r="B120" s="10"/>
      <c r="C120" s="18"/>
      <c r="D120" s="17"/>
      <c r="E120" s="18"/>
      <c r="F120" s="17"/>
      <c r="G120" s="17"/>
      <c r="H120" s="17"/>
    </row>
    <row r="121" spans="1:8" x14ac:dyDescent="0.3">
      <c r="A121" s="33"/>
      <c r="B121" s="10"/>
      <c r="C121" s="18"/>
      <c r="D121" s="17"/>
      <c r="E121" s="18"/>
      <c r="F121" s="17"/>
      <c r="G121" s="17"/>
      <c r="H121" s="17"/>
    </row>
    <row r="122" spans="1:8" x14ac:dyDescent="0.3">
      <c r="A122" s="33"/>
      <c r="B122" s="10"/>
      <c r="C122" s="18"/>
      <c r="D122" s="17"/>
      <c r="E122" s="18"/>
      <c r="F122" s="17"/>
      <c r="G122" s="17"/>
      <c r="H122" s="17"/>
    </row>
    <row r="123" spans="1:8" x14ac:dyDescent="0.3">
      <c r="A123" s="33"/>
      <c r="B123" s="10"/>
      <c r="C123" s="18"/>
      <c r="D123" s="17"/>
      <c r="E123" s="18"/>
      <c r="F123" s="17"/>
      <c r="G123" s="17"/>
      <c r="H123" s="17"/>
    </row>
    <row r="124" spans="1:8" x14ac:dyDescent="0.3">
      <c r="A124" s="33"/>
      <c r="B124" s="10"/>
      <c r="C124" s="18"/>
      <c r="D124" s="17"/>
      <c r="E124" s="18"/>
      <c r="F124" s="17"/>
      <c r="G124" s="17"/>
      <c r="H124" s="17"/>
    </row>
    <row r="125" spans="1:8" x14ac:dyDescent="0.3">
      <c r="A125" s="33"/>
      <c r="B125" s="10"/>
      <c r="C125" s="18"/>
      <c r="D125" s="17"/>
      <c r="E125" s="18"/>
      <c r="F125" s="17"/>
      <c r="G125" s="17"/>
      <c r="H125" s="17"/>
    </row>
    <row r="126" spans="1:8" x14ac:dyDescent="0.3">
      <c r="A126" s="33"/>
      <c r="B126" s="10"/>
      <c r="C126" s="18"/>
      <c r="D126" s="17"/>
      <c r="E126" s="18"/>
      <c r="F126" s="17"/>
      <c r="G126" s="17"/>
      <c r="H126" s="17"/>
    </row>
    <row r="127" spans="1:8" x14ac:dyDescent="0.3">
      <c r="A127" s="33"/>
      <c r="B127" s="10"/>
      <c r="C127" s="18"/>
      <c r="D127" s="17"/>
      <c r="E127" s="18"/>
      <c r="F127" s="17"/>
      <c r="G127" s="17"/>
      <c r="H127" s="17"/>
    </row>
    <row r="128" spans="1:8" x14ac:dyDescent="0.3">
      <c r="A128" s="33"/>
      <c r="B128" s="10"/>
      <c r="C128" s="18"/>
      <c r="D128" s="17"/>
      <c r="E128" s="18"/>
      <c r="F128" s="17"/>
      <c r="G128" s="17"/>
      <c r="H128" s="17"/>
    </row>
    <row r="129" spans="1:8" x14ac:dyDescent="0.3">
      <c r="A129" s="33"/>
      <c r="B129" s="10"/>
      <c r="C129" s="18"/>
      <c r="D129" s="17"/>
      <c r="E129" s="18"/>
      <c r="F129" s="17"/>
      <c r="G129" s="17"/>
      <c r="H129" s="17"/>
    </row>
  </sheetData>
  <sheetProtection algorithmName="SHA-512" hashValue="cG0/ys0NI8RaeR8pO6rI91OK9qXmHHrkK8l98/gksYFGg0LayexribzAkavaF/Nat3a4p2UHqQQoZcFm44SpvA==" saltValue="ErqNoT7GXoi8mLrlEOzpkg==" spinCount="100000" sheet="1" objects="1" scenarios="1"/>
  <protectedRanges>
    <protectedRange sqref="A5:B42 D5:D42 F5:H42 A47:B71 D47:D71 F47:H71 A76:B100 D76:D100 F76:H100" name="Range5"/>
    <protectedRange algorithmName="SHA-512" hashValue="Tj3zTfml9/jS30OCW1nNre+vQ1RTXRBYsWMZN7QOux5qMH2Gsq9fT2XOTDa4wlhDKAiFZViUa6prDiHQALjCjg==" saltValue="7o5BLjz9ygRdZTNMBU/n0g==" spinCount="100000" sqref="A3:B4 D4:D42 F4:H4 F3:G3 C3 A45:B46 C45 F45:H71 A74:B75 C74 D75:D100 F74:H100 D46:D71 B5:B42 B47:B71 B76:B100 F10:H11 G5:H9 F13:H42 G12:H12" name="Range1"/>
    <protectedRange sqref="A5:A42 A47:A71 A76:A100 A105:A129" name="Outgoing_1"/>
    <protectedRange algorithmName="SHA-512" hashValue="Tj3zTfml9/jS30OCW1nNre+vQ1RTXRBYsWMZN7QOux5qMH2Gsq9fT2XOTDa4wlhDKAiFZViUa6prDiHQALjCjg==" saltValue="7o5BLjz9ygRdZTNMBU/n0g==" spinCount="100000" sqref="F9 F5:F6" name="Range1_1"/>
    <protectedRange algorithmName="SHA-512" hashValue="Tj3zTfml9/jS30OCW1nNre+vQ1RTXRBYsWMZN7QOux5qMH2Gsq9fT2XOTDa4wlhDKAiFZViUa6prDiHQALjCjg==" saltValue="7o5BLjz9ygRdZTNMBU/n0g==" spinCount="100000" sqref="F7:F8 F12" name="Range1_2"/>
  </protectedRanges>
  <dataConsolidate/>
  <mergeCells count="8">
    <mergeCell ref="A72:H72"/>
    <mergeCell ref="A73:H73"/>
    <mergeCell ref="A101:H101"/>
    <mergeCell ref="A102:H102"/>
    <mergeCell ref="A1:H1"/>
    <mergeCell ref="A2:H2"/>
    <mergeCell ref="A43:H43"/>
    <mergeCell ref="A44:H44"/>
  </mergeCells>
  <phoneticPr fontId="7" type="noConversion"/>
  <dataValidations count="2">
    <dataValidation type="list" allowBlank="1" showInputMessage="1" showErrorMessage="1" sqref="A5:A42 A47:A71 A76:A100 A105:A129" xr:uid="{00000000-0002-0000-0100-000000000000}">
      <formula1>$Y$1:$Y$17</formula1>
    </dataValidation>
    <dataValidation type="list" allowBlank="1" showInputMessage="1" showErrorMessage="1" sqref="D103 D45 D74" xr:uid="{00000000-0002-0000-0100-000001000000}">
      <formula1>$T$7:$T$13</formula1>
    </dataValidation>
  </dataValidations>
  <pageMargins left="0.31496062992125984" right="0.11811023622047245" top="0.74803149606299213" bottom="0.74803149606299213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4F42-9C1D-4D4B-87A0-471A4068DEBB}">
  <dimension ref="A1"/>
  <sheetViews>
    <sheetView topLeftCell="Q1" workbookViewId="0">
      <selection activeCell="X1" sqref="X1:AB1048576"/>
    </sheetView>
  </sheetViews>
  <sheetFormatPr defaultRowHeight="13.8" x14ac:dyDescent="0.3"/>
  <cols>
    <col min="25" max="25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INCOMING</vt:lpstr>
      <vt:lpstr>OUTGOING</vt:lpstr>
      <vt:lpstr>Sheet1</vt:lpstr>
      <vt:lpstr>INCOMING!Print_Area</vt:lpstr>
      <vt:lpstr>OUTGOING!Print_Area</vt:lpstr>
    </vt:vector>
  </TitlesOfParts>
  <Company>Logan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Eranti, Ravindranath</dc:creator>
  <cp:lastModifiedBy>Ashley Schulz</cp:lastModifiedBy>
  <cp:lastPrinted>2021-02-04T02:23:03Z</cp:lastPrinted>
  <dcterms:created xsi:type="dcterms:W3CDTF">2021-01-14T01:25:27Z</dcterms:created>
  <dcterms:modified xsi:type="dcterms:W3CDTF">2025-09-16T05:13:36Z</dcterms:modified>
</cp:coreProperties>
</file>