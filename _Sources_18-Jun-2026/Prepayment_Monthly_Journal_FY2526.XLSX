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gancity-my.sharepoint.com/personal/speroefstathiadis_logan_qld_gov_au/Documents/Downloads/"/>
    </mc:Choice>
  </mc:AlternateContent>
  <xr:revisionPtr revIDLastSave="0" documentId="8_{37A9BAC7-BAEC-4DB2-A89C-7C7F7275C665}" xr6:coauthVersionLast="47" xr6:coauthVersionMax="47" xr10:uidLastSave="{00000000-0000-0000-0000-000000000000}"/>
  <bookViews>
    <workbookView xWindow="-28920" yWindow="-120" windowWidth="29040" windowHeight="15720" xr2:uid="{F3D67ED2-F630-48CF-B2BD-01CD891ADE5A}"/>
  </bookViews>
  <sheets>
    <sheet name="May-26 Jnl" sheetId="101" r:id="rId1"/>
    <sheet name="Apr-26 Jnl" sheetId="100" r:id="rId2"/>
    <sheet name="Mar-26 Jnl " sheetId="99" r:id="rId3"/>
    <sheet name="Feb-26 Jnl" sheetId="98" r:id="rId4"/>
    <sheet name="Feb-26_under threshold" sheetId="97" r:id="rId5"/>
    <sheet name="Jan-26 Jnl" sheetId="96" r:id="rId6"/>
    <sheet name="Dec-25 Jnl" sheetId="95" r:id="rId7"/>
    <sheet name="Nov-25 jnl" sheetId="94" r:id="rId8"/>
    <sheet name="Oct-25 jnl" sheetId="92" r:id="rId9"/>
    <sheet name="Sep-25 jnl" sheetId="91" r:id="rId10"/>
    <sheet name="Aug-25 jnl" sheetId="90" r:id="rId11"/>
    <sheet name="Jul-25 jnl" sheetId="88" r:id="rId12"/>
    <sheet name=" " sheetId="89" r:id="rId13"/>
    <sheet name="Jun-25 jnl" sheetId="87" r:id="rId14"/>
    <sheet name="Prepayment Journal - May 25" sheetId="86" state="hidden" r:id="rId15"/>
    <sheet name="Prepayment Journal - April 25" sheetId="85" state="hidden" r:id="rId16"/>
    <sheet name="Prepayment Journal - March 25" sheetId="84" state="hidden" r:id="rId17"/>
    <sheet name="Prepayment Journal - Feb 25" sheetId="83" state="hidden" r:id="rId18"/>
    <sheet name="Prepayment Journal - Jan 25" sheetId="82" state="hidden" r:id="rId19"/>
    <sheet name="Prepayment Journal - Dec 24" sheetId="81" state="hidden" r:id="rId20"/>
    <sheet name="Prepayment Journal - Nov 24" sheetId="80" state="hidden" r:id="rId21"/>
    <sheet name="Prepayment Journal - Oct 24" sheetId="79" state="hidden" r:id="rId22"/>
    <sheet name="Prepayment Journal - Sep 24" sheetId="78" state="hidden" r:id="rId23"/>
    <sheet name="Prepayment Journal - Aug 24" sheetId="77" state="hidden" r:id="rId24"/>
    <sheet name="Prepayment Journal - Jul 24" sheetId="75" state="hidden" r:id="rId25"/>
  </sheets>
  <definedNames>
    <definedName name="_xlnm._FilterDatabase" localSheetId="10" hidden="1">'Aug-25 jnl'!$A$6:$O$6</definedName>
    <definedName name="_xlnm._FilterDatabase" localSheetId="11" hidden="1">'Jul-25 jnl'!$A$6:$O$6</definedName>
    <definedName name="_xlnm._FilterDatabase" localSheetId="13" hidden="1">'Jun-25 jnl'!$A$6:$O$6</definedName>
    <definedName name="_xlnm._FilterDatabase" localSheetId="8" hidden="1">'Oct-25 jnl'!$A$6:$O$41</definedName>
    <definedName name="_xlnm._FilterDatabase" localSheetId="15" hidden="1">'Prepayment Journal - April 25'!$A$6:$O$6</definedName>
    <definedName name="_xlnm._FilterDatabase" localSheetId="23" hidden="1">'Prepayment Journal - Aug 24'!$B$6:$I$28</definedName>
    <definedName name="_xlnm._FilterDatabase" localSheetId="19" hidden="1">'Prepayment Journal - Dec 24'!$B$6:$I$23</definedName>
    <definedName name="_xlnm._FilterDatabase" localSheetId="17" hidden="1">'Prepayment Journal - Feb 25'!$B$6:$I$42</definedName>
    <definedName name="_xlnm._FilterDatabase" localSheetId="18" hidden="1">'Prepayment Journal - Jan 25'!$B$6:$I$25</definedName>
    <definedName name="_xlnm._FilterDatabase" localSheetId="24" hidden="1">'Prepayment Journal - Jul 24'!$B$6:$I$28</definedName>
    <definedName name="_xlnm._FilterDatabase" localSheetId="16" hidden="1">'Prepayment Journal - March 25'!$A$6:$O$6</definedName>
    <definedName name="_xlnm._FilterDatabase" localSheetId="14" hidden="1">'Prepayment Journal - May 25'!$A$6:$O$6</definedName>
    <definedName name="_xlnm._FilterDatabase" localSheetId="20" hidden="1">'Prepayment Journal - Nov 24'!$B$6:$I$23</definedName>
    <definedName name="_xlnm._FilterDatabase" localSheetId="21" hidden="1">'Prepayment Journal - Oct 24'!$B$6:$I$21</definedName>
    <definedName name="_xlnm._FilterDatabase" localSheetId="22" hidden="1">'Prepayment Journal - Sep 24'!$B$6:$I$29</definedName>
    <definedName name="_xlnm._FilterDatabase" localSheetId="9" hidden="1">'Sep-25 jnl'!$A$6:$O$6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01" l="1"/>
  <c r="D49" i="101"/>
  <c r="I21" i="101"/>
  <c r="I22" i="101"/>
  <c r="I23" i="101"/>
  <c r="I24" i="101"/>
  <c r="I47" i="101"/>
  <c r="I48" i="101"/>
  <c r="I49" i="101"/>
  <c r="I50" i="101"/>
  <c r="I51" i="101"/>
  <c r="I52" i="101"/>
  <c r="I53" i="101"/>
  <c r="I54" i="101"/>
  <c r="D56" i="101"/>
  <c r="I46" i="101"/>
  <c r="I45" i="101"/>
  <c r="I44" i="101"/>
  <c r="I41" i="101"/>
  <c r="I40" i="101"/>
  <c r="I39" i="101"/>
  <c r="I43" i="101"/>
  <c r="I42" i="101"/>
  <c r="I38" i="101"/>
  <c r="I37" i="101"/>
  <c r="I36" i="101"/>
  <c r="I35" i="101"/>
  <c r="I34" i="101"/>
  <c r="I33" i="101"/>
  <c r="I32" i="101"/>
  <c r="I31" i="101"/>
  <c r="I30" i="101"/>
  <c r="I29" i="101"/>
  <c r="I28" i="101"/>
  <c r="I27" i="101"/>
  <c r="I26" i="101"/>
  <c r="I25" i="101"/>
  <c r="I20" i="101"/>
  <c r="I19" i="101"/>
  <c r="I18" i="101"/>
  <c r="I17" i="101"/>
  <c r="I16" i="101"/>
  <c r="I15" i="101"/>
  <c r="I14" i="101"/>
  <c r="I13" i="101"/>
  <c r="I12" i="101"/>
  <c r="I11" i="101"/>
  <c r="I10" i="101"/>
  <c r="I9" i="101"/>
  <c r="I8" i="101"/>
  <c r="I7" i="101"/>
  <c r="I6" i="101"/>
  <c r="I5" i="101"/>
  <c r="I4" i="101"/>
  <c r="D52" i="100"/>
  <c r="I48" i="100"/>
  <c r="I47" i="100"/>
  <c r="I46" i="100"/>
  <c r="I45" i="100"/>
  <c r="I44" i="100"/>
  <c r="I43" i="100"/>
  <c r="I42" i="100"/>
  <c r="I41" i="100"/>
  <c r="I40" i="100"/>
  <c r="I39" i="100"/>
  <c r="I38" i="100"/>
  <c r="I37" i="100"/>
  <c r="I36" i="100"/>
  <c r="I35" i="100"/>
  <c r="I34" i="100"/>
  <c r="I33" i="100"/>
  <c r="I32" i="100"/>
  <c r="I31" i="100"/>
  <c r="I30" i="100"/>
  <c r="I29" i="100"/>
  <c r="I28" i="100"/>
  <c r="I27" i="100"/>
  <c r="I26" i="100"/>
  <c r="I25" i="100"/>
  <c r="I21" i="100"/>
  <c r="I20" i="100"/>
  <c r="I19" i="100"/>
  <c r="I18" i="100"/>
  <c r="I17" i="100"/>
  <c r="I16" i="100"/>
  <c r="I15" i="100"/>
  <c r="I14" i="100"/>
  <c r="I13" i="100"/>
  <c r="I12" i="100"/>
  <c r="I11" i="100"/>
  <c r="I10" i="100"/>
  <c r="I9" i="100"/>
  <c r="I8" i="100"/>
  <c r="I7" i="100"/>
  <c r="I6" i="100"/>
  <c r="I5" i="100"/>
  <c r="I4" i="100"/>
  <c r="I4" i="99"/>
  <c r="D53" i="99" l="1"/>
  <c r="I51" i="99"/>
  <c r="I50" i="99"/>
  <c r="I49" i="99"/>
  <c r="I48" i="99"/>
  <c r="I47" i="99"/>
  <c r="I46" i="99"/>
  <c r="I45" i="99"/>
  <c r="I44" i="99"/>
  <c r="I43" i="99"/>
  <c r="I42" i="99"/>
  <c r="I41" i="99"/>
  <c r="I40" i="99"/>
  <c r="I39" i="99"/>
  <c r="I38" i="99"/>
  <c r="I37" i="99"/>
  <c r="I36" i="99"/>
  <c r="I35" i="99"/>
  <c r="I34" i="99"/>
  <c r="I33" i="99"/>
  <c r="I32" i="99"/>
  <c r="I31" i="99"/>
  <c r="I30" i="99"/>
  <c r="I29" i="99"/>
  <c r="I28" i="99"/>
  <c r="I27" i="99"/>
  <c r="I26" i="99"/>
  <c r="I25" i="99"/>
  <c r="I24" i="99"/>
  <c r="I23" i="99"/>
  <c r="I22" i="99"/>
  <c r="I21" i="99"/>
  <c r="I20" i="99"/>
  <c r="I19" i="99"/>
  <c r="I18" i="99"/>
  <c r="I17" i="99"/>
  <c r="I16" i="99"/>
  <c r="I15" i="99"/>
  <c r="I14" i="99"/>
  <c r="I13" i="99"/>
  <c r="I12" i="99"/>
  <c r="I11" i="99"/>
  <c r="I10" i="99"/>
  <c r="I9" i="99"/>
  <c r="I8" i="99"/>
  <c r="I7" i="99"/>
  <c r="I6" i="99"/>
  <c r="I5" i="99"/>
  <c r="J4" i="97"/>
  <c r="K4" i="97"/>
  <c r="I4" i="97"/>
  <c r="D53" i="98"/>
  <c r="D27" i="97"/>
  <c r="D25" i="97"/>
  <c r="D23" i="97"/>
  <c r="D21" i="97"/>
  <c r="D19" i="97"/>
  <c r="D17" i="97"/>
  <c r="D15" i="97"/>
  <c r="D8" i="97"/>
  <c r="I14" i="97" l="1"/>
  <c r="I51" i="98"/>
  <c r="I50" i="98"/>
  <c r="I49" i="98"/>
  <c r="I48" i="98"/>
  <c r="I47" i="98"/>
  <c r="I46" i="98"/>
  <c r="I45" i="98"/>
  <c r="I44" i="98"/>
  <c r="I43" i="98"/>
  <c r="I42" i="98"/>
  <c r="I41" i="98"/>
  <c r="I40" i="98"/>
  <c r="I39" i="98"/>
  <c r="I38" i="98"/>
  <c r="I37" i="98"/>
  <c r="I36" i="98"/>
  <c r="I35" i="98"/>
  <c r="I34" i="98"/>
  <c r="I33" i="98"/>
  <c r="I32" i="98"/>
  <c r="I31" i="98"/>
  <c r="I30" i="98"/>
  <c r="I29" i="98"/>
  <c r="I28" i="98"/>
  <c r="I27" i="98"/>
  <c r="I26" i="98"/>
  <c r="I25" i="98"/>
  <c r="I24" i="98"/>
  <c r="I23" i="98"/>
  <c r="I22" i="98"/>
  <c r="I21" i="98"/>
  <c r="I20" i="98"/>
  <c r="I19" i="98"/>
  <c r="I18" i="98"/>
  <c r="I17" i="98"/>
  <c r="I16" i="98"/>
  <c r="I15" i="98"/>
  <c r="I14" i="98"/>
  <c r="I13" i="98"/>
  <c r="I12" i="98"/>
  <c r="I11" i="98"/>
  <c r="I10" i="98"/>
  <c r="I9" i="98"/>
  <c r="I8" i="98"/>
  <c r="I7" i="98"/>
  <c r="I6" i="98"/>
  <c r="I5" i="98"/>
  <c r="I4" i="98"/>
  <c r="I25" i="97" l="1"/>
  <c r="I24" i="97"/>
  <c r="I23" i="97"/>
  <c r="I22" i="97"/>
  <c r="I21" i="97"/>
  <c r="I20" i="97"/>
  <c r="I19" i="97"/>
  <c r="I18" i="97"/>
  <c r="I17" i="97"/>
  <c r="I16" i="97"/>
  <c r="I15" i="97"/>
  <c r="I13" i="97"/>
  <c r="I12" i="97"/>
  <c r="I11" i="97"/>
  <c r="I10" i="97"/>
  <c r="I9" i="97"/>
  <c r="I8" i="97"/>
  <c r="I7" i="97"/>
  <c r="I6" i="97"/>
  <c r="I5" i="97"/>
  <c r="I65" i="96"/>
  <c r="I66" i="96"/>
  <c r="I5" i="96"/>
  <c r="I6" i="96"/>
  <c r="I7" i="96"/>
  <c r="I8" i="96"/>
  <c r="I9" i="96"/>
  <c r="I10" i="96"/>
  <c r="I11" i="96"/>
  <c r="I12" i="96"/>
  <c r="I13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6" i="96"/>
  <c r="I47" i="96"/>
  <c r="I48" i="96"/>
  <c r="I49" i="96"/>
  <c r="I50" i="96"/>
  <c r="I51" i="96"/>
  <c r="I52" i="96"/>
  <c r="I53" i="96"/>
  <c r="I54" i="96"/>
  <c r="I55" i="96"/>
  <c r="I56" i="96"/>
  <c r="I57" i="96"/>
  <c r="I58" i="96"/>
  <c r="I59" i="96"/>
  <c r="I60" i="96"/>
  <c r="I61" i="96"/>
  <c r="I62" i="96"/>
  <c r="I63" i="96"/>
  <c r="I64" i="96"/>
  <c r="I67" i="96"/>
  <c r="I68" i="96"/>
  <c r="I69" i="96"/>
  <c r="I70" i="96"/>
  <c r="I71" i="96"/>
  <c r="I72" i="96"/>
  <c r="I73" i="96"/>
  <c r="I4" i="96"/>
  <c r="F46" i="92"/>
  <c r="F83" i="92"/>
  <c r="F46" i="91" l="1"/>
  <c r="F87" i="91" l="1"/>
  <c r="F48" i="90"/>
  <c r="F88" i="90" l="1"/>
  <c r="F52" i="88" l="1"/>
  <c r="F84" i="88"/>
  <c r="F81" i="87"/>
  <c r="F37" i="87"/>
  <c r="F81" i="86"/>
  <c r="F37" i="86"/>
  <c r="F85" i="85"/>
  <c r="F41" i="85"/>
  <c r="F89" i="84"/>
  <c r="F41" i="84"/>
  <c r="F106" i="83" l="1"/>
  <c r="F46" i="83"/>
  <c r="F98" i="82" l="1"/>
  <c r="F54" i="82"/>
  <c r="F87" i="81"/>
  <c r="F27" i="81"/>
  <c r="F61" i="80"/>
  <c r="F27" i="80"/>
  <c r="F71" i="79"/>
  <c r="F27" i="79"/>
  <c r="F73" i="78"/>
  <c r="F31" i="78"/>
  <c r="F64" i="77"/>
  <c r="F30" i="77"/>
  <c r="F60" i="75"/>
  <c r="F30" i="75"/>
  <c r="D30" i="97" l="1"/>
</calcChain>
</file>

<file path=xl/sharedStrings.xml><?xml version="1.0" encoding="utf-8"?>
<sst xmlns="http://schemas.openxmlformats.org/spreadsheetml/2006/main" count="7046" uniqueCount="257">
  <si>
    <t xml:space="preserve">14111 Prepayment Journal </t>
  </si>
  <si>
    <t>G</t>
  </si>
  <si>
    <t>1330-1-14111</t>
  </si>
  <si>
    <t>1-17561-73564</t>
  </si>
  <si>
    <t>1-13001-74187</t>
  </si>
  <si>
    <t>SL</t>
  </si>
  <si>
    <t>1-18621-14111</t>
  </si>
  <si>
    <t>2-LP064-72111</t>
  </si>
  <si>
    <t>Comments</t>
  </si>
  <si>
    <t>List of all Prepayments</t>
  </si>
  <si>
    <t>1-11571-73564</t>
  </si>
  <si>
    <t>1-12751-73566</t>
  </si>
  <si>
    <t>Annual Subscription</t>
  </si>
  <si>
    <t>CHECK</t>
  </si>
  <si>
    <t>18621 TOTAL</t>
  </si>
  <si>
    <t>TOTAL</t>
  </si>
  <si>
    <t>1300-1-14111</t>
  </si>
  <si>
    <t>Annual Support and Maintenance Services</t>
  </si>
  <si>
    <t xml:space="preserve">Pressreader Subscription Fee </t>
  </si>
  <si>
    <t>LCC_DOCS-#16807755-14111 - Reconciliation of Miscellaneous Prepaid Expenses 2023-2024</t>
  </si>
  <si>
    <t>1-S0825-73564</t>
  </si>
  <si>
    <t>1-S0820-73564</t>
  </si>
  <si>
    <t>1-18401-73564</t>
  </si>
  <si>
    <t>1-19991-73564</t>
  </si>
  <si>
    <t>1-17811-73564</t>
  </si>
  <si>
    <t>Invoice SR53793 Micropower Pty Ltd</t>
  </si>
  <si>
    <t>STUDIOSITY PTY LIMITED INV-4941</t>
  </si>
  <si>
    <t>James Bennett Inv# 4806541</t>
  </si>
  <si>
    <t xml:space="preserve">INV# InEAU129978 ELMO </t>
  </si>
  <si>
    <t xml:space="preserve">Annual License Fee </t>
  </si>
  <si>
    <t>EngagementHQ Unlimited Licence</t>
  </si>
  <si>
    <t>INV #160044</t>
  </si>
  <si>
    <t>INV-001211 Mango Languages</t>
  </si>
  <si>
    <t>PS-INV106898 Techstreet Enterprise</t>
  </si>
  <si>
    <t>PK</t>
  </si>
  <si>
    <t>PK000001</t>
  </si>
  <si>
    <t>JOURNAL</t>
  </si>
  <si>
    <t>73564</t>
  </si>
  <si>
    <t>Software Licenses Body2 Cameras</t>
  </si>
  <si>
    <t>1-30512-73564</t>
  </si>
  <si>
    <t>Weighbridge-INV-7501</t>
  </si>
  <si>
    <t xml:space="preserve">Freegal Music and Streaming </t>
  </si>
  <si>
    <t>Vehicle Registration &amp; CTP 2024</t>
  </si>
  <si>
    <t>Envision Ware Annual renewa</t>
  </si>
  <si>
    <t>James Bennett Inv# 4817602</t>
  </si>
  <si>
    <t>Britannica Library INV#103812</t>
  </si>
  <si>
    <t>EasyREV Licence INV2383</t>
  </si>
  <si>
    <t>James Bennnet Inv# 4817670</t>
  </si>
  <si>
    <t>NewsBank inv# RT553718</t>
  </si>
  <si>
    <t>1-30951-73212</t>
  </si>
  <si>
    <t>DTP Training Contract INV-5075</t>
  </si>
  <si>
    <t>Subscription Fee 38 months</t>
  </si>
  <si>
    <t>1-11571-14111</t>
  </si>
  <si>
    <t xml:space="preserve">1-A1057-73131 </t>
  </si>
  <si>
    <t>BJS Insurance</t>
  </si>
  <si>
    <t>JCS Online Resources Ltd</t>
  </si>
  <si>
    <t>Recognise Jul 24 Payment. DM# 17743446</t>
  </si>
  <si>
    <t>Beamafilm</t>
  </si>
  <si>
    <t>Recognise Aug 24 Payment. DM# 17743446</t>
  </si>
  <si>
    <t>World Wide Swim School INV#00035472</t>
  </si>
  <si>
    <t>1-17731-73212</t>
  </si>
  <si>
    <t>1-17871-73212</t>
  </si>
  <si>
    <t>2-LP059-72111</t>
  </si>
  <si>
    <t>Recognise Sep 24 Payment. DM# 17743446</t>
  </si>
  <si>
    <t>2024/25 Value Plan Mixed Formats</t>
  </si>
  <si>
    <t>2024/25 Standing Order Plans</t>
  </si>
  <si>
    <t>ELMO Licence Fee</t>
  </si>
  <si>
    <t>Comics INV:7000006363</t>
  </si>
  <si>
    <t>Community Campus Program INV-5240</t>
  </si>
  <si>
    <t>Recognise Oct 24 Payment. DM# 17743446</t>
  </si>
  <si>
    <t>1-31091-73566</t>
  </si>
  <si>
    <t>Recognise Nov 24 Payment. DM# 17743446</t>
  </si>
  <si>
    <t>Humanforce Licence SaaS</t>
  </si>
  <si>
    <t>3051-2-14111</t>
  </si>
  <si>
    <t>Mandalay INV-8275</t>
  </si>
  <si>
    <t>Recognise Dec 24 Payment. DM# 17743446</t>
  </si>
  <si>
    <t>new</t>
  </si>
  <si>
    <t>National Library of Australia</t>
  </si>
  <si>
    <t>Membership Fee INV#322874</t>
  </si>
  <si>
    <t>Annual Solution and Service Fee</t>
  </si>
  <si>
    <t>Bolinda Digital INV# 435315</t>
  </si>
  <si>
    <t>Digital Education INV-001540</t>
  </si>
  <si>
    <t xml:space="preserve"> Annual renewal</t>
  </si>
  <si>
    <t xml:space="preserve">1-12782-73551  </t>
  </si>
  <si>
    <t>Seek Advertising Cost INV 700708834</t>
  </si>
  <si>
    <t>Envision Ware INV-AU-0192</t>
  </si>
  <si>
    <t>Annual renewal</t>
  </si>
  <si>
    <t>Recognise Jan 25 Payment. DM# 17743446</t>
  </si>
  <si>
    <t xml:space="preserve">Freegal Music and Streaming INV 115984 </t>
  </si>
  <si>
    <t>1-17971-73566</t>
  </si>
  <si>
    <t>1-S0820-73566</t>
  </si>
  <si>
    <t>1-17811-73566</t>
  </si>
  <si>
    <t>1-19991-73566</t>
  </si>
  <si>
    <t>1-13301-14111</t>
  </si>
  <si>
    <t>SwiftPOS INV#SR61244</t>
  </si>
  <si>
    <t>Recognise Sep 25 Payment. DM# 17743446</t>
  </si>
  <si>
    <t>Recognise Oct 25 Payment. DM# 17743446</t>
  </si>
  <si>
    <t>Recognise Nov 25 Payment. DM# 17743446</t>
  </si>
  <si>
    <t>Recognise Dec 25 Payment. DM# 17743446</t>
  </si>
  <si>
    <t>Vehicle Registration &amp; CTP 2025</t>
  </si>
  <si>
    <t>1-L0048-77111</t>
  </si>
  <si>
    <t>GREENBANK RSL INV-0697</t>
  </si>
  <si>
    <t>RSLA (Qld Br) Springwood INV-0018</t>
  </si>
  <si>
    <t>Intelex INV#SIN048903</t>
  </si>
  <si>
    <t>Recognise Feb 25 Payment. DM# 17743446</t>
  </si>
  <si>
    <t>1-12651-73566</t>
  </si>
  <si>
    <t>1265-1-14111</t>
  </si>
  <si>
    <t xml:space="preserve"> SAI Global INV#SAIG1IS-1377681</t>
  </si>
  <si>
    <t xml:space="preserve">James Bennett Inv# 4840369 </t>
  </si>
  <si>
    <t>Recognise Mar 25 Payment. DM# 17743446</t>
  </si>
  <si>
    <t>Britannica Library Subscription</t>
  </si>
  <si>
    <t>Story Box hub Value</t>
  </si>
  <si>
    <t>Recognise Mar 25 Payment. DM+I46:I71# 17743446</t>
  </si>
  <si>
    <t>NewsBank</t>
  </si>
  <si>
    <t>James Bennett INV# 4843523</t>
  </si>
  <si>
    <t>3794-.42</t>
  </si>
  <si>
    <t>Finance Leaders Team advisor Training</t>
  </si>
  <si>
    <t>EasyREV Licence Renewa</t>
  </si>
  <si>
    <t xml:space="preserve">1-11501-73544 </t>
  </si>
  <si>
    <t>Recognise Apr 25 Payment. DM# 17743446</t>
  </si>
  <si>
    <t>Recognise Apr 25 Payment. DM+I46:I71# 17743446</t>
  </si>
  <si>
    <t>Recognise May 25 Payment. DM# 17743446</t>
  </si>
  <si>
    <t>Recognise May 25 Payment. DM+I46:I71# 17743446</t>
  </si>
  <si>
    <t>JCS Onlne resources #28001987</t>
  </si>
  <si>
    <t>Recognise Jun 25 Payment. DM# 17743446</t>
  </si>
  <si>
    <t>1-L0018-73433</t>
  </si>
  <si>
    <t>Councils Music Urban</t>
  </si>
  <si>
    <t>INV# APAU-000076469</t>
  </si>
  <si>
    <t>1-17781-73433</t>
  </si>
  <si>
    <t>1-17801-73433</t>
  </si>
  <si>
    <t>1-17891-73433</t>
  </si>
  <si>
    <t>1-17901-73433</t>
  </si>
  <si>
    <t>1-17971-73433</t>
  </si>
  <si>
    <t>1-18551-73433</t>
  </si>
  <si>
    <t>1-18581-73433</t>
  </si>
  <si>
    <t>1-19201-73433</t>
  </si>
  <si>
    <t>1-11111-73543</t>
  </si>
  <si>
    <t>2025 PriceFinder Yearly Subscription</t>
  </si>
  <si>
    <t>Invoice #: 92187 - 393000</t>
  </si>
  <si>
    <t>1-P0017-73521</t>
  </si>
  <si>
    <t>Harridan Projects INV-0160</t>
  </si>
  <si>
    <t>Rental invoice</t>
  </si>
  <si>
    <t>1-11541-14111</t>
  </si>
  <si>
    <t>Satori Australia INV-50516</t>
  </si>
  <si>
    <t>1-11541-73605</t>
  </si>
  <si>
    <t>1-12001-73543</t>
  </si>
  <si>
    <t>1-12001-14111</t>
  </si>
  <si>
    <t>Gartner membership for 2025/26</t>
  </si>
  <si>
    <t>INV-30056371</t>
  </si>
  <si>
    <t>Recognise Jul 25 Payment. DM# 18730489</t>
  </si>
  <si>
    <t xml:space="preserve">1-30512-14111 </t>
  </si>
  <si>
    <t>Mandalay SUBSCRIPTION RENEWAL</t>
  </si>
  <si>
    <t>INV-8760</t>
  </si>
  <si>
    <t>for period 01/08/2025 to 31/08/2025</t>
  </si>
  <si>
    <t>1-11091-73566</t>
  </si>
  <si>
    <t>1-11091-14111</t>
  </si>
  <si>
    <t>Open Windows Maintenance</t>
  </si>
  <si>
    <t>INV-INOWS012161</t>
  </si>
  <si>
    <t>reversing journal</t>
  </si>
  <si>
    <t>Bolinda Digital P121881 / 1160432</t>
  </si>
  <si>
    <t>Beamafilm_INV-0806</t>
  </si>
  <si>
    <t>Recognise Aug 25 Payment. DM# 18730489</t>
  </si>
  <si>
    <t>INV# INSWP3830</t>
  </si>
  <si>
    <t>SWIFTPOS GLOBAL</t>
  </si>
  <si>
    <t>Recognise Sep 25 Payment. DM# 18730489</t>
  </si>
  <si>
    <t>Harridan Projects INV-0168</t>
  </si>
  <si>
    <t>for period 01/10/2025 to 31/10/2025</t>
  </si>
  <si>
    <t>Digital Education # INV-001763</t>
  </si>
  <si>
    <t>Studiosity INV-5488</t>
  </si>
  <si>
    <t>Comics INV:7000008738</t>
  </si>
  <si>
    <t>1-11501-73544</t>
  </si>
  <si>
    <t>1-11501-14111</t>
  </si>
  <si>
    <t>Gartner for Finance Leaders 2025</t>
  </si>
  <si>
    <t>Inv # 1AU330002663</t>
  </si>
  <si>
    <t>Recognise Oct 25 Payment. DM# 18730489</t>
  </si>
  <si>
    <t>new invoice, replaced old one</t>
  </si>
  <si>
    <t>Oct 2025 to Mar 2026</t>
  </si>
  <si>
    <t>New</t>
  </si>
  <si>
    <t>Ledger</t>
  </si>
  <si>
    <t>Account Number</t>
  </si>
  <si>
    <t>Amount</t>
  </si>
  <si>
    <t>Narrtaion 1</t>
  </si>
  <si>
    <t>Narrtaion 2</t>
  </si>
  <si>
    <t>Narrtaion 3</t>
  </si>
  <si>
    <t>Recognise Nov 25 Payment. DM# 18730489</t>
  </si>
  <si>
    <t>LCC_DOCS-#18729211-14111 - Reconciliation of Miscellaneous Prepaid Expenses 2025-2026</t>
  </si>
  <si>
    <t>1-20711-14111</t>
  </si>
  <si>
    <t>1-20711-73566</t>
  </si>
  <si>
    <t>Asset management Software</t>
  </si>
  <si>
    <t>.</t>
  </si>
  <si>
    <t>Inv # M/LG0032521</t>
  </si>
  <si>
    <t>Recognise Dec 25 Payment. DM# 18730489</t>
  </si>
  <si>
    <t>1-F0121-73433</t>
  </si>
  <si>
    <t>Spectrum licence for 2025/26</t>
  </si>
  <si>
    <t>Recognise Jan 26 Payment. DM# 18730489</t>
  </si>
  <si>
    <t>PriceFinder Yearly Subscription</t>
  </si>
  <si>
    <t>Satori Australia</t>
  </si>
  <si>
    <t>STUDIOSITY PTY LIMITED</t>
  </si>
  <si>
    <t xml:space="preserve">NewsBank </t>
  </si>
  <si>
    <t xml:space="preserve">James Bennett </t>
  </si>
  <si>
    <t>INV# 4843523</t>
  </si>
  <si>
    <t>JCS Onlne resources</t>
  </si>
  <si>
    <t>Bolinda Digital</t>
  </si>
  <si>
    <t>INV# INV-0806</t>
  </si>
  <si>
    <t>INV# P121881</t>
  </si>
  <si>
    <t>INV# 28001987</t>
  </si>
  <si>
    <t>INV# RTRN1154307</t>
  </si>
  <si>
    <t>INV#  4842164</t>
  </si>
  <si>
    <t>INV# 116512</t>
  </si>
  <si>
    <t>INV# INV-4941</t>
  </si>
  <si>
    <t>INV# INV-8760</t>
  </si>
  <si>
    <t>INV# 300005712</t>
  </si>
  <si>
    <t>INV# 30056371</t>
  </si>
  <si>
    <t>INV#  2676</t>
  </si>
  <si>
    <t xml:space="preserve"> INV# INV-50516</t>
  </si>
  <si>
    <t xml:space="preserve"> INV#  1AU330002663</t>
  </si>
  <si>
    <t xml:space="preserve"> INV#  064749933</t>
  </si>
  <si>
    <t>INV# : 92187 - 393000</t>
  </si>
  <si>
    <t>INV# INOWS012161</t>
  </si>
  <si>
    <t>INV# INV-001763</t>
  </si>
  <si>
    <t>Digital Education</t>
  </si>
  <si>
    <t>Beamafilm_online subscription</t>
  </si>
  <si>
    <t>Studiosity</t>
  </si>
  <si>
    <t xml:space="preserve"> INV# INV-5488</t>
  </si>
  <si>
    <t xml:space="preserve">Envisionware solution </t>
  </si>
  <si>
    <t>INV# INV-AU-0472</t>
  </si>
  <si>
    <t xml:space="preserve">Comics </t>
  </si>
  <si>
    <t>INV# 7000008738</t>
  </si>
  <si>
    <t>INV# SAIG1IS-1417347</t>
  </si>
  <si>
    <t>Libraries and Creative</t>
  </si>
  <si>
    <t>new invoices</t>
  </si>
  <si>
    <t>INV# M/LG0032521</t>
  </si>
  <si>
    <t>Recognise Feb 26 Payment. DM# 18730489</t>
  </si>
  <si>
    <t>Doc #</t>
  </si>
  <si>
    <t>General Journal ID</t>
  </si>
  <si>
    <t>GJ078291</t>
  </si>
  <si>
    <t>1-F0259-73212</t>
  </si>
  <si>
    <t>SINV000134548</t>
  </si>
  <si>
    <t>Ann meeting room service agreemnt</t>
  </si>
  <si>
    <t>under new thrshold_balnce_payment</t>
  </si>
  <si>
    <t>GJ078360</t>
  </si>
  <si>
    <t>GJ078364</t>
  </si>
  <si>
    <t>Recognise Mar 26 Payment. DM# 18730489</t>
  </si>
  <si>
    <t xml:space="preserve"> </t>
  </si>
  <si>
    <t>GJ078683</t>
  </si>
  <si>
    <t>Narration 1</t>
  </si>
  <si>
    <t>Narration 2</t>
  </si>
  <si>
    <t>Narration 3</t>
  </si>
  <si>
    <t>Recognise Apr 26 Payment. DM# 18730489</t>
  </si>
  <si>
    <t>INV# 064749933</t>
  </si>
  <si>
    <t>Vehicle Registration &amp; CTP 2026</t>
  </si>
  <si>
    <t>Gartner for Finance Leaders 2026</t>
  </si>
  <si>
    <t xml:space="preserve"> INV#  1AU330003305</t>
  </si>
  <si>
    <t>GJ078979</t>
  </si>
  <si>
    <t>INV# RT2012570</t>
  </si>
  <si>
    <t>Recognise May 26 Payment. DM# 18730489</t>
  </si>
  <si>
    <t>GJ079455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</si>
</sst>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u/>
      <sz val="8"/>
      <color indexed="12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</cellStyleXfs>
  <cellXfs count="93">
    <xf numFmtId="0" fontId="0" fillId="0" borderId="0" xfId="0"/>
    <xf numFmtId="0" fontId="13" fillId="0" borderId="0" xfId="0" applyFont="1"/>
    <xf numFmtId="49" fontId="12" fillId="0" borderId="0" xfId="0" applyNumberFormat="1" applyFont="1"/>
    <xf numFmtId="49" fontId="14" fillId="0" borderId="0" xfId="0" applyNumberFormat="1" applyFont="1"/>
    <xf numFmtId="0" fontId="14" fillId="0" borderId="0" xfId="0" applyFont="1"/>
    <xf numFmtId="40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49" fontId="13" fillId="0" borderId="0" xfId="1" applyNumberFormat="1" applyFont="1"/>
    <xf numFmtId="0" fontId="17" fillId="0" borderId="0" xfId="0" applyFont="1" applyAlignment="1">
      <alignment horizontal="left"/>
    </xf>
    <xf numFmtId="0" fontId="21" fillId="0" borderId="0" xfId="2" applyFont="1" applyFill="1" applyBorder="1" applyAlignment="1" applyProtection="1">
      <alignment vertical="center"/>
    </xf>
    <xf numFmtId="49" fontId="22" fillId="0" borderId="0" xfId="1" applyNumberFormat="1" applyFont="1"/>
    <xf numFmtId="0" fontId="18" fillId="0" borderId="0" xfId="2" applyFont="1" applyFill="1" applyAlignment="1" applyProtection="1"/>
    <xf numFmtId="0" fontId="13" fillId="0" borderId="0" xfId="0" applyFont="1" applyAlignment="1">
      <alignment horizontal="center"/>
    </xf>
    <xf numFmtId="0" fontId="14" fillId="2" borderId="0" xfId="0" applyFont="1" applyFill="1"/>
    <xf numFmtId="49" fontId="14" fillId="2" borderId="0" xfId="0" applyNumberFormat="1" applyFont="1" applyFill="1"/>
    <xf numFmtId="49" fontId="13" fillId="2" borderId="0" xfId="1" applyNumberFormat="1" applyFont="1" applyFill="1"/>
    <xf numFmtId="0" fontId="13" fillId="2" borderId="0" xfId="0" applyFont="1" applyFill="1"/>
    <xf numFmtId="164" fontId="14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7" fillId="0" borderId="0" xfId="0" applyFont="1" applyAlignment="1">
      <alignment vertical="center"/>
    </xf>
    <xf numFmtId="0" fontId="13" fillId="3" borderId="0" xfId="0" applyFont="1" applyFill="1"/>
    <xf numFmtId="49" fontId="14" fillId="3" borderId="0" xfId="0" applyNumberFormat="1" applyFont="1" applyFill="1"/>
    <xf numFmtId="164" fontId="14" fillId="3" borderId="0" xfId="0" applyNumberFormat="1" applyFont="1" applyFill="1" applyAlignment="1">
      <alignment horizontal="center"/>
    </xf>
    <xf numFmtId="49" fontId="13" fillId="3" borderId="0" xfId="1" applyNumberFormat="1" applyFont="1" applyFill="1"/>
    <xf numFmtId="0" fontId="14" fillId="3" borderId="0" xfId="0" applyFont="1" applyFill="1"/>
    <xf numFmtId="0" fontId="13" fillId="3" borderId="0" xfId="1" applyFont="1" applyFill="1"/>
    <xf numFmtId="0" fontId="13" fillId="0" borderId="0" xfId="1" applyFont="1"/>
    <xf numFmtId="0" fontId="13" fillId="2" borderId="0" xfId="1" applyFont="1" applyFill="1"/>
    <xf numFmtId="0" fontId="13" fillId="4" borderId="0" xfId="0" applyFont="1" applyFill="1"/>
    <xf numFmtId="0" fontId="21" fillId="4" borderId="0" xfId="2" applyFont="1" applyFill="1" applyBorder="1" applyAlignment="1" applyProtection="1">
      <alignment vertical="center"/>
    </xf>
    <xf numFmtId="49" fontId="14" fillId="4" borderId="0" xfId="0" applyNumberFormat="1" applyFont="1" applyFill="1"/>
    <xf numFmtId="164" fontId="14" fillId="4" borderId="0" xfId="0" applyNumberFormat="1" applyFont="1" applyFill="1" applyAlignment="1">
      <alignment horizontal="center"/>
    </xf>
    <xf numFmtId="0" fontId="13" fillId="4" borderId="0" xfId="1" applyFont="1" applyFill="1"/>
    <xf numFmtId="0" fontId="14" fillId="4" borderId="0" xfId="0" applyFont="1" applyFill="1"/>
    <xf numFmtId="0" fontId="21" fillId="4" borderId="0" xfId="4" applyFont="1" applyFill="1" applyAlignment="1">
      <alignment horizontal="left"/>
    </xf>
    <xf numFmtId="0" fontId="12" fillId="2" borderId="0" xfId="0" applyFont="1" applyFill="1" applyAlignment="1">
      <alignment vertical="top" wrapText="1"/>
    </xf>
    <xf numFmtId="49" fontId="22" fillId="0" borderId="0" xfId="1" applyNumberFormat="1" applyFont="1" applyAlignment="1">
      <alignment horizontal="center"/>
    </xf>
    <xf numFmtId="0" fontId="12" fillId="0" borderId="0" xfId="4"/>
    <xf numFmtId="0" fontId="12" fillId="0" borderId="0" xfId="0" applyFont="1" applyAlignment="1">
      <alignment vertical="top" wrapText="1"/>
    </xf>
    <xf numFmtId="0" fontId="12" fillId="2" borderId="0" xfId="4" applyFill="1"/>
    <xf numFmtId="0" fontId="0" fillId="5" borderId="0" xfId="0" applyFill="1"/>
    <xf numFmtId="0" fontId="13" fillId="6" borderId="0" xfId="0" applyFont="1" applyFill="1"/>
    <xf numFmtId="49" fontId="14" fillId="6" borderId="0" xfId="0" applyNumberFormat="1" applyFont="1" applyFill="1"/>
    <xf numFmtId="164" fontId="14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vertical="top" wrapText="1"/>
    </xf>
    <xf numFmtId="0" fontId="14" fillId="6" borderId="0" xfId="0" applyFont="1" applyFill="1"/>
    <xf numFmtId="0" fontId="14" fillId="7" borderId="0" xfId="0" applyFont="1" applyFill="1"/>
    <xf numFmtId="49" fontId="14" fillId="7" borderId="0" xfId="0" applyNumberFormat="1" applyFont="1" applyFill="1"/>
    <xf numFmtId="164" fontId="14" fillId="7" borderId="0" xfId="0" applyNumberFormat="1" applyFont="1" applyFill="1" applyAlignment="1">
      <alignment horizontal="center"/>
    </xf>
    <xf numFmtId="49" fontId="13" fillId="7" borderId="0" xfId="1" applyNumberFormat="1" applyFont="1" applyFill="1"/>
    <xf numFmtId="0" fontId="0" fillId="7" borderId="0" xfId="0" applyFill="1"/>
    <xf numFmtId="0" fontId="10" fillId="0" borderId="0" xfId="5"/>
    <xf numFmtId="164" fontId="10" fillId="0" borderId="0" xfId="5" applyNumberFormat="1"/>
    <xf numFmtId="0" fontId="10" fillId="8" borderId="0" xfId="5" applyFill="1"/>
    <xf numFmtId="164" fontId="10" fillId="8" borderId="0" xfId="5" applyNumberFormat="1" applyFill="1"/>
    <xf numFmtId="0" fontId="15" fillId="0" borderId="0" xfId="2" applyAlignment="1" applyProtection="1"/>
    <xf numFmtId="0" fontId="24" fillId="8" borderId="0" xfId="5" applyFont="1" applyFill="1"/>
    <xf numFmtId="0" fontId="9" fillId="0" borderId="0" xfId="5" applyFont="1"/>
    <xf numFmtId="0" fontId="8" fillId="0" borderId="0" xfId="5" applyFont="1"/>
    <xf numFmtId="0" fontId="8" fillId="7" borderId="0" xfId="5" applyFont="1" applyFill="1"/>
    <xf numFmtId="0" fontId="25" fillId="7" borderId="0" xfId="5" applyFont="1" applyFill="1"/>
    <xf numFmtId="164" fontId="10" fillId="7" borderId="0" xfId="5" applyNumberFormat="1" applyFill="1"/>
    <xf numFmtId="0" fontId="9" fillId="7" borderId="0" xfId="5" applyFont="1" applyFill="1"/>
    <xf numFmtId="0" fontId="10" fillId="7" borderId="0" xfId="5" applyFill="1"/>
    <xf numFmtId="0" fontId="8" fillId="9" borderId="0" xfId="5" applyFont="1" applyFill="1" applyAlignment="1">
      <alignment horizontal="left"/>
    </xf>
    <xf numFmtId="0" fontId="24" fillId="0" borderId="0" xfId="5" applyFont="1" applyAlignment="1">
      <alignment horizontal="right"/>
    </xf>
    <xf numFmtId="0" fontId="25" fillId="0" borderId="0" xfId="5" applyFont="1"/>
    <xf numFmtId="0" fontId="7" fillId="7" borderId="0" xfId="5" applyFont="1" applyFill="1"/>
    <xf numFmtId="0" fontId="7" fillId="0" borderId="0" xfId="5" applyFont="1"/>
    <xf numFmtId="0" fontId="7" fillId="9" borderId="0" xfId="5" applyFont="1" applyFill="1" applyAlignment="1">
      <alignment horizontal="left"/>
    </xf>
    <xf numFmtId="164" fontId="6" fillId="0" borderId="0" xfId="5" applyNumberFormat="1" applyFont="1"/>
    <xf numFmtId="164" fontId="10" fillId="0" borderId="1" xfId="5" applyNumberFormat="1" applyBorder="1"/>
    <xf numFmtId="164" fontId="10" fillId="10" borderId="0" xfId="5" applyNumberFormat="1" applyFill="1"/>
    <xf numFmtId="2" fontId="10" fillId="0" borderId="0" xfId="5" applyNumberFormat="1"/>
    <xf numFmtId="0" fontId="5" fillId="0" borderId="0" xfId="5" applyFont="1"/>
    <xf numFmtId="2" fontId="10" fillId="11" borderId="0" xfId="5" applyNumberFormat="1" applyFill="1"/>
    <xf numFmtId="0" fontId="4" fillId="0" borderId="0" xfId="5" applyFont="1"/>
    <xf numFmtId="0" fontId="3" fillId="9" borderId="0" xfId="5" applyFont="1" applyFill="1" applyAlignment="1">
      <alignment horizontal="left"/>
    </xf>
    <xf numFmtId="0" fontId="2" fillId="0" borderId="0" xfId="5" applyFont="1"/>
    <xf numFmtId="0" fontId="2" fillId="9" borderId="0" xfId="5" applyFont="1" applyFill="1" applyAlignment="1">
      <alignment horizontal="left"/>
    </xf>
    <xf numFmtId="0" fontId="2" fillId="7" borderId="0" xfId="5" applyFont="1" applyFill="1"/>
    <xf numFmtId="0" fontId="2" fillId="0" borderId="0" xfId="5" applyFont="1" applyFill="1"/>
    <xf numFmtId="164" fontId="10" fillId="0" borderId="0" xfId="5" applyNumberFormat="1" applyFill="1"/>
    <xf numFmtId="0" fontId="10" fillId="0" borderId="0" xfId="5" applyFill="1"/>
    <xf numFmtId="0" fontId="9" fillId="0" borderId="0" xfId="5" applyFont="1" applyFill="1"/>
    <xf numFmtId="0" fontId="8" fillId="0" borderId="0" xfId="5" applyFont="1" applyFill="1"/>
    <xf numFmtId="0" fontId="1" fillId="0" borderId="0" xfId="5" applyFont="1"/>
    <xf numFmtId="0" fontId="1" fillId="7" borderId="0" xfId="5" applyFont="1" applyFill="1"/>
    <xf numFmtId="0" fontId="17" fillId="6" borderId="0" xfId="0" applyFont="1" applyFill="1" applyAlignment="1">
      <alignment horizontal="center" vertical="center" wrapText="1"/>
    </xf>
  </cellXfs>
  <cellStyles count="6">
    <cellStyle name="Hyperlink" xfId="2" builtinId="8"/>
    <cellStyle name="Normal" xfId="0" builtinId="0"/>
    <cellStyle name="Normal 17" xfId="4" xr:uid="{A5E189D7-D2A4-48B9-A0D3-E9E7229E21AC}"/>
    <cellStyle name="Normal 2" xfId="1" xr:uid="{00000000-0005-0000-0000-000002000000}"/>
    <cellStyle name="Normal 3" xfId="5" xr:uid="{73687038-A034-43ED-B353-BC34EFA8034F}"/>
    <cellStyle name="Normal 4" xfId="3" xr:uid="{00000000-0005-0000-0000-000003000000}"/>
  </cellStyles>
  <dxfs count="23"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FF"/>
      <color rgb="FF66FF66"/>
      <color rgb="FF0000FF"/>
      <color rgb="FF00FF00"/>
      <color rgb="FFD2CD00"/>
      <color rgb="FFE7E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851CE1-F3FE-49ED-88C9-907E37231E8A}" name="Table13456789" displayName="Table13456789" ref="B3:G54" totalsRowShown="0" headerRowDxfId="21">
  <autoFilter ref="B3:G54" xr:uid="{80AEFC70-3981-4709-8055-145B7ABEC5CB}"/>
  <tableColumns count="6">
    <tableColumn id="1" xr3:uid="{12F1B52C-2328-452E-8A66-8C31E6839990}" name="Ledger"/>
    <tableColumn id="2" xr3:uid="{88723D32-FEAB-48BA-B76C-47FF18101F09}" name="Account Number"/>
    <tableColumn id="3" xr3:uid="{EA77CCB9-2AB0-4C1F-AD32-9D0565AD84D5}" name="Amount" dataDxfId="20"/>
    <tableColumn id="4" xr3:uid="{D3CEB684-918E-4C43-A61D-323E1B304499}" name="Narration 1"/>
    <tableColumn id="5" xr3:uid="{DDC34F51-C2F7-4AC9-B0C9-368671C28D9A}" name="Narration 2"/>
    <tableColumn id="6" xr3:uid="{DB77B4D9-A972-4120-8702-2D42530B4E6B}" name="Narration 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627BA5-982C-4CA7-A4C7-2CAA32474C43}" name="Table1345678" displayName="Table1345678" ref="B3:G50" totalsRowShown="0" headerRowDxfId="18">
  <autoFilter ref="B3:G50" xr:uid="{80AEFC70-3981-4709-8055-145B7ABEC5CB}"/>
  <tableColumns count="6">
    <tableColumn id="1" xr3:uid="{E4689B6D-70E7-490D-AEC2-A9D60E4A357D}" name="Ledger"/>
    <tableColumn id="2" xr3:uid="{795D9F0C-3E0C-4965-9F62-9ECB701EE5DA}" name="Account Number"/>
    <tableColumn id="3" xr3:uid="{DA583C8D-9971-4F95-80B6-481E6833802A}" name="Amount" dataDxfId="17"/>
    <tableColumn id="4" xr3:uid="{644D9CB1-977E-4619-BFB0-6FC6CDB145D0}" name="Narration 1"/>
    <tableColumn id="5" xr3:uid="{889FA2BD-F717-4AF0-80CE-9E5575E6BF5D}" name="Narration 2"/>
    <tableColumn id="6" xr3:uid="{110CAF3F-BFE2-410D-ABA1-E5C704BB9987}" name="Narration 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8F2A9A-D625-4240-A989-5ADF88FCFE1E}" name="Table134567" displayName="Table134567" ref="B3:G51" totalsRowShown="0" headerRowDxfId="15">
  <autoFilter ref="B3:G51" xr:uid="{80AEFC70-3981-4709-8055-145B7ABEC5CB}"/>
  <tableColumns count="6">
    <tableColumn id="1" xr3:uid="{05C574BD-6550-497C-898F-0C516E83D3CD}" name="Ledger"/>
    <tableColumn id="2" xr3:uid="{3D0837AC-7789-4696-A4DE-D1889847B1A7}" name="Account Number"/>
    <tableColumn id="3" xr3:uid="{DCAF2ED1-4C30-47E6-B6A1-6C7586E26630}" name="Amount" dataDxfId="14"/>
    <tableColumn id="4" xr3:uid="{CDF0034A-6D5A-41EF-BD20-D070912BFD00}" name="Narration 1"/>
    <tableColumn id="5" xr3:uid="{9AF2D3E8-8E17-4B7D-BB13-0A874F420EAE}" name="Narration 2"/>
    <tableColumn id="6" xr3:uid="{5FD892B9-0FDE-43E0-A364-6D8BD1BBBE7A}" name="Narration 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F52E10-135D-4F73-A4C4-30F156EF79A7}" name="Table13456" displayName="Table13456" ref="B3:G51" totalsRowShown="0" headerRowDxfId="12">
  <autoFilter ref="B3:G51" xr:uid="{80AEFC70-3981-4709-8055-145B7ABEC5CB}"/>
  <tableColumns count="6">
    <tableColumn id="1" xr3:uid="{32DCAC66-8771-4BE8-A21F-56F2C428CCF7}" name="Ledger"/>
    <tableColumn id="2" xr3:uid="{5016939B-AC84-41DE-9D91-CC1B7948E902}" name="Account Number"/>
    <tableColumn id="3" xr3:uid="{AB4168F5-79D1-4991-9E5B-4E42901D5F50}" name="Amount" dataDxfId="11"/>
    <tableColumn id="4" xr3:uid="{D4876DEB-36F1-41B8-B678-5DC111FD4416}" name="Narrtaion 1"/>
    <tableColumn id="5" xr3:uid="{718957F5-7E27-4F33-BC63-E61F2A96A35D}" name="Narrtaion 2"/>
    <tableColumn id="6" xr3:uid="{48C9B19F-F46F-4479-A101-275F4561D3C3}" name="Narrtaion 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64687A-CC19-474F-9DDF-AF185F5073BC}" name="Table1345" displayName="Table1345" ref="B3:G25" totalsRowShown="0" headerRowDxfId="9">
  <autoFilter ref="B3:G25" xr:uid="{80AEFC70-3981-4709-8055-145B7ABEC5CB}"/>
  <tableColumns count="6">
    <tableColumn id="1" xr3:uid="{761BA0BA-8EDD-44C0-97FC-6900757C72CC}" name="Ledger"/>
    <tableColumn id="2" xr3:uid="{CBDFA506-712F-47CB-9685-970EC2EF4BC5}" name="Account Number"/>
    <tableColumn id="3" xr3:uid="{84DBB993-910F-41E0-8CC5-37F65ADFB446}" name="Amount" dataDxfId="8"/>
    <tableColumn id="4" xr3:uid="{508291A1-F1C6-4B70-8107-4EE71ECEA9DE}" name="Narrtaion 1"/>
    <tableColumn id="5" xr3:uid="{DD36C2CD-8C97-4008-A18D-AABC5E7F3B37}" name="Narrtaion 2"/>
    <tableColumn id="6" xr3:uid="{CB1A5ADF-35F6-4761-89DB-A02C5AB9B1A2}" name="Narrtaion 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CB622F-2220-4540-84DD-AA7F68ED10C4}" name="Table134" displayName="Table134" ref="B3:G73" totalsRowShown="0" headerRowDxfId="6">
  <autoFilter ref="B3:G73" xr:uid="{80AEFC70-3981-4709-8055-145B7ABEC5CB}"/>
  <tableColumns count="6">
    <tableColumn id="1" xr3:uid="{B2514B9B-BEB1-473C-8142-A58CE189ABF8}" name="Ledger"/>
    <tableColumn id="2" xr3:uid="{F3BEDF5E-379F-4D14-BF7C-F2EC2EA6D3B2}" name="Account Number"/>
    <tableColumn id="3" xr3:uid="{776E4F97-5675-49A0-8F61-A6225E9AA667}" name="Amount" dataDxfId="5"/>
    <tableColumn id="4" xr3:uid="{55183833-D03D-4D8F-B61A-15448760B744}" name="Narrtaion 1"/>
    <tableColumn id="5" xr3:uid="{2F228A3C-EA94-4B47-AF01-57C8F6720CD3}" name="Narrtaion 2"/>
    <tableColumn id="6" xr3:uid="{90258FC2-E653-4DDA-9152-8BBD9C59D39C}" name="Narrtaion 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A8E3B-0BBF-409F-AC81-604D0B24618A}" name="Table13" displayName="Table13" ref="B3:G74" totalsRowShown="0" headerRowDxfId="4">
  <autoFilter ref="B3:G74" xr:uid="{80AEFC70-3981-4709-8055-145B7ABEC5CB}">
    <filterColumn colId="2">
      <colorFilter dxfId="3"/>
    </filterColumn>
  </autoFilter>
  <tableColumns count="6">
    <tableColumn id="1" xr3:uid="{CB2A0BE0-516E-4D60-B67A-D431CB1EF587}" name="Ledger"/>
    <tableColumn id="2" xr3:uid="{313BDA9B-F01F-4C01-A6C2-46C1EDD1456B}" name="Account Number"/>
    <tableColumn id="3" xr3:uid="{76DBFD07-4A07-4B8D-915D-D852B975071A}" name="Amount" dataDxfId="2"/>
    <tableColumn id="4" xr3:uid="{DAC96204-7E6E-41FC-8967-5D042339A061}" name="Narrtaion 1"/>
    <tableColumn id="5" xr3:uid="{63301C5E-55DE-4D8E-BE31-B6498F5AC017}" name="Narrtaion 2"/>
    <tableColumn id="6" xr3:uid="{2EC58486-01A8-4378-A036-B85DD8BB3DA3}" name="Narrtaion 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250DA-DE65-4B8C-B7C0-09212631CF3D}" name="Table1" displayName="Table1" ref="B3:G75" totalsRowShown="0" headerRowDxfId="1">
  <autoFilter ref="B3:G75" xr:uid="{80AEFC70-3981-4709-8055-145B7ABEC5CB}">
    <filterColumn colId="0">
      <customFilters>
        <customFilter operator="notEqual" val=" "/>
      </customFilters>
    </filterColumn>
  </autoFilter>
  <tableColumns count="6">
    <tableColumn id="1" xr3:uid="{E71C8BF7-50CD-436D-B9DC-30BDA42735EF}" name="Ledger"/>
    <tableColumn id="2" xr3:uid="{4BCEA092-86C3-4E42-AE31-9D6BB0ADF16A}" name="Account Number"/>
    <tableColumn id="3" xr3:uid="{C312C091-DC1C-4E5F-B039-ED16C217E4C3}" name="Amount" dataDxfId="0"/>
    <tableColumn id="4" xr3:uid="{31149868-47BE-440A-820A-149513D8A366}" name="Narrtaion 1"/>
    <tableColumn id="5" xr3:uid="{FB569C30-7D2F-4BBD-AFE0-B6DC500E07FA}" name="Narrtaion 2"/>
    <tableColumn id="6" xr3:uid="{4FED7D27-5E51-4F59-AF62-CE2E7F64DE06}" name="Narrtaion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pcdocs://LCC_DOCS/18729211/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pcdocs://LCC_DOCS/18729211/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pcdocs://LCC_DOCS/18729211/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pcdocs://LCC_DOCS/18729211/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pcdocs://LCC_DOCS/18729211/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pcdocs://LCC_DOCS/18729211/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pcdocs://LCC_DOCS/18729211/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pcdocs://LCC_DOCS/18729211/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pcdocs://LCC_DOCS/16807755/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pcdocs://LCC_DOCS/16807755/R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pcdocs://LCC_DOCS/16807755/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pcdocs://LCC_DOCS/16807755/R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pcdocs://LCC_DOCS/16807755/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pcdocs://LCC_DOCS/16807755/R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pcdocs://LCC_DOCS/16807755/R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pcdocs://LCC_DOCS/16807755/R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pcdocs://LCC_DOCS/16807755/R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pcdocs://LCC_DOCS/16807755/R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pcdocs://LCC_DOCS/16807755/R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pcdocs://LCC_DOCS/16807755/R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pcdocs://LCC_DOCS/16807755/R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pcdocs://LCC_DOCS/16807755/R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pcdocs://LCC_DOCS/16807755/R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pcdocs://LCC_DOCS/16807755/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DC8D-518D-4409-A307-EE8338EA2A92}">
  <sheetPr>
    <tabColor theme="5" tint="0.59999389629810485"/>
  </sheetPr>
  <dimension ref="A1:L57"/>
  <sheetViews>
    <sheetView tabSelected="1" workbookViewId="0">
      <pane ySplit="3" topLeftCell="A4" activePane="bottomLeft" state="frozen"/>
      <selection pane="bottomLeft" activeCell="L14" sqref="L14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2" x14ac:dyDescent="0.25">
      <c r="B1" s="59" t="s">
        <v>185</v>
      </c>
      <c r="F1" s="69" t="s">
        <v>233</v>
      </c>
      <c r="G1" s="73">
        <v>1233474</v>
      </c>
      <c r="I1" s="67"/>
      <c r="J1" s="62" t="s">
        <v>230</v>
      </c>
      <c r="L1" s="70"/>
    </row>
    <row r="2" spans="2:12" x14ac:dyDescent="0.25">
      <c r="F2" s="69" t="s">
        <v>234</v>
      </c>
      <c r="G2" s="83" t="s">
        <v>256</v>
      </c>
    </row>
    <row r="3" spans="2:12" x14ac:dyDescent="0.25">
      <c r="B3" s="60" t="s">
        <v>178</v>
      </c>
      <c r="C3" s="60" t="s">
        <v>179</v>
      </c>
      <c r="D3" s="60" t="s">
        <v>180</v>
      </c>
      <c r="E3" s="60" t="s">
        <v>245</v>
      </c>
      <c r="F3" s="60" t="s">
        <v>246</v>
      </c>
      <c r="G3" s="60" t="s">
        <v>247</v>
      </c>
      <c r="I3" s="61"/>
    </row>
    <row r="4" spans="2:12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62" t="s">
        <v>218</v>
      </c>
      <c r="G4" s="90" t="s">
        <v>255</v>
      </c>
      <c r="I4" s="55">
        <f>LEN(Table13456789[[#This Row],[Narration 1]])</f>
        <v>24</v>
      </c>
    </row>
    <row r="5" spans="2:12" x14ac:dyDescent="0.25">
      <c r="B5" s="55" t="s">
        <v>5</v>
      </c>
      <c r="C5" s="55" t="s">
        <v>155</v>
      </c>
      <c r="D5" s="56">
        <v>-1704.63666666667</v>
      </c>
      <c r="E5" s="62" t="s">
        <v>189</v>
      </c>
      <c r="F5" s="61" t="s">
        <v>189</v>
      </c>
      <c r="G5" s="61" t="s">
        <v>189</v>
      </c>
      <c r="I5" s="55">
        <f>LEN(Table13456789[[#This Row],[Narration 1]])</f>
        <v>1</v>
      </c>
    </row>
    <row r="6" spans="2:12" x14ac:dyDescent="0.25">
      <c r="B6" s="57"/>
      <c r="C6" s="57"/>
      <c r="D6" s="58"/>
      <c r="E6" s="57"/>
      <c r="F6" s="57"/>
      <c r="G6" s="57"/>
      <c r="I6" s="55">
        <f>LEN(Table13456789[[#This Row],[Narration 1]])</f>
        <v>0</v>
      </c>
    </row>
    <row r="7" spans="2:12" x14ac:dyDescent="0.25">
      <c r="B7" s="55" t="s">
        <v>5</v>
      </c>
      <c r="C7" s="55" t="s">
        <v>125</v>
      </c>
      <c r="D7" s="56">
        <v>591.69583333333333</v>
      </c>
      <c r="E7" s="55" t="s">
        <v>126</v>
      </c>
      <c r="F7" s="55" t="s">
        <v>127</v>
      </c>
      <c r="G7" s="61" t="s">
        <v>189</v>
      </c>
      <c r="I7" s="55">
        <f>LEN(Table13456789[[#This Row],[Narration 1]])</f>
        <v>20</v>
      </c>
    </row>
    <row r="8" spans="2:12" x14ac:dyDescent="0.25">
      <c r="B8" s="55" t="s">
        <v>5</v>
      </c>
      <c r="C8" s="55" t="s">
        <v>128</v>
      </c>
      <c r="D8" s="56">
        <v>902.00666666666666</v>
      </c>
      <c r="E8" s="55" t="s">
        <v>126</v>
      </c>
      <c r="F8" s="55" t="s">
        <v>127</v>
      </c>
      <c r="G8" s="61" t="s">
        <v>189</v>
      </c>
      <c r="I8" s="55">
        <f>LEN(Table13456789[[#This Row],[Narration 1]])</f>
        <v>20</v>
      </c>
    </row>
    <row r="9" spans="2:12" x14ac:dyDescent="0.25">
      <c r="B9" s="55" t="s">
        <v>5</v>
      </c>
      <c r="C9" s="55" t="s">
        <v>129</v>
      </c>
      <c r="D9" s="56">
        <v>633.77083333333337</v>
      </c>
      <c r="E9" s="55" t="s">
        <v>126</v>
      </c>
      <c r="F9" s="55" t="s">
        <v>127</v>
      </c>
      <c r="G9" s="61" t="s">
        <v>189</v>
      </c>
      <c r="I9" s="55">
        <f>LEN(Table13456789[[#This Row],[Narration 1]])</f>
        <v>20</v>
      </c>
    </row>
    <row r="10" spans="2:12" x14ac:dyDescent="0.25">
      <c r="B10" s="55" t="s">
        <v>5</v>
      </c>
      <c r="C10" s="55" t="s">
        <v>130</v>
      </c>
      <c r="D10" s="56">
        <v>633.77083333333337</v>
      </c>
      <c r="E10" s="55" t="s">
        <v>126</v>
      </c>
      <c r="F10" s="55" t="s">
        <v>127</v>
      </c>
      <c r="G10" s="61" t="s">
        <v>189</v>
      </c>
      <c r="I10" s="55">
        <f>LEN(Table13456789[[#This Row],[Narration 1]])</f>
        <v>20</v>
      </c>
    </row>
    <row r="11" spans="2:12" x14ac:dyDescent="0.25">
      <c r="B11" s="55" t="s">
        <v>5</v>
      </c>
      <c r="C11" s="55" t="s">
        <v>131</v>
      </c>
      <c r="D11" s="56">
        <v>284.01333333333332</v>
      </c>
      <c r="E11" s="55" t="s">
        <v>126</v>
      </c>
      <c r="F11" s="55" t="s">
        <v>127</v>
      </c>
      <c r="G11" s="61" t="s">
        <v>189</v>
      </c>
      <c r="I11" s="55">
        <f>LEN(Table13456789[[#This Row],[Narration 1]])</f>
        <v>20</v>
      </c>
    </row>
    <row r="12" spans="2:12" x14ac:dyDescent="0.25">
      <c r="B12" s="55" t="s">
        <v>5</v>
      </c>
      <c r="C12" s="55" t="s">
        <v>132</v>
      </c>
      <c r="D12" s="56">
        <v>360.27666666666664</v>
      </c>
      <c r="E12" s="55" t="s">
        <v>126</v>
      </c>
      <c r="F12" s="55" t="s">
        <v>127</v>
      </c>
      <c r="G12" s="61" t="s">
        <v>189</v>
      </c>
      <c r="I12" s="55">
        <f>LEN(Table13456789[[#This Row],[Narration 1]])</f>
        <v>20</v>
      </c>
    </row>
    <row r="13" spans="2:12" x14ac:dyDescent="0.25">
      <c r="B13" s="55" t="s">
        <v>5</v>
      </c>
      <c r="C13" s="55" t="s">
        <v>133</v>
      </c>
      <c r="D13" s="56">
        <v>281.38416666666666</v>
      </c>
      <c r="E13" s="55" t="s">
        <v>126</v>
      </c>
      <c r="F13" s="55" t="s">
        <v>127</v>
      </c>
      <c r="G13" s="61" t="s">
        <v>189</v>
      </c>
      <c r="I13" s="55">
        <f>LEN(Table13456789[[#This Row],[Narration 1]])</f>
        <v>20</v>
      </c>
    </row>
    <row r="14" spans="2:12" x14ac:dyDescent="0.25">
      <c r="B14" s="55" t="s">
        <v>5</v>
      </c>
      <c r="C14" s="55" t="s">
        <v>134</v>
      </c>
      <c r="D14" s="56">
        <v>1364.8458333333333</v>
      </c>
      <c r="E14" s="55" t="s">
        <v>126</v>
      </c>
      <c r="F14" s="55" t="s">
        <v>127</v>
      </c>
      <c r="G14" s="61" t="s">
        <v>189</v>
      </c>
      <c r="I14" s="55">
        <f>LEN(Table13456789[[#This Row],[Narration 1]])</f>
        <v>20</v>
      </c>
    </row>
    <row r="15" spans="2:12" x14ac:dyDescent="0.25">
      <c r="B15" s="55" t="s">
        <v>5</v>
      </c>
      <c r="C15" s="55" t="s">
        <v>135</v>
      </c>
      <c r="D15" s="56">
        <v>207.75083333333336</v>
      </c>
      <c r="E15" s="55" t="s">
        <v>126</v>
      </c>
      <c r="F15" s="55" t="s">
        <v>127</v>
      </c>
      <c r="G15" s="61" t="s">
        <v>189</v>
      </c>
      <c r="I15" s="55">
        <f>LEN(Table13456789[[#This Row],[Narration 1]])</f>
        <v>20</v>
      </c>
    </row>
    <row r="16" spans="2:12" x14ac:dyDescent="0.25">
      <c r="B16" s="55" t="s">
        <v>1</v>
      </c>
      <c r="C16" s="55" t="s">
        <v>2</v>
      </c>
      <c r="D16" s="56">
        <v>-5259.5150000000003</v>
      </c>
      <c r="E16" s="62" t="s">
        <v>189</v>
      </c>
      <c r="F16" s="61" t="s">
        <v>189</v>
      </c>
      <c r="G16" s="61" t="s">
        <v>189</v>
      </c>
      <c r="I16" s="55">
        <f>LEN(Table13456789[[#This Row],[Narration 1]])</f>
        <v>1</v>
      </c>
    </row>
    <row r="17" spans="2:9" x14ac:dyDescent="0.25">
      <c r="B17" s="55" t="s">
        <v>5</v>
      </c>
      <c r="C17" s="55" t="s">
        <v>89</v>
      </c>
      <c r="D17" s="56">
        <v>489.82</v>
      </c>
      <c r="E17" s="55" t="s">
        <v>163</v>
      </c>
      <c r="F17" s="55" t="s">
        <v>162</v>
      </c>
      <c r="G17" s="61" t="s">
        <v>189</v>
      </c>
      <c r="I17" s="55">
        <f>LEN(Table13456789[[#This Row],[Narration 1]])</f>
        <v>15</v>
      </c>
    </row>
    <row r="18" spans="2:9" x14ac:dyDescent="0.25">
      <c r="B18" s="55" t="s">
        <v>5</v>
      </c>
      <c r="C18" s="55" t="s">
        <v>91</v>
      </c>
      <c r="D18" s="56">
        <v>489.82</v>
      </c>
      <c r="E18" s="55" t="s">
        <v>163</v>
      </c>
      <c r="F18" s="55" t="s">
        <v>162</v>
      </c>
      <c r="G18" s="61" t="s">
        <v>189</v>
      </c>
      <c r="I18" s="55">
        <f>LEN(Table13456789[[#This Row],[Narration 1]])</f>
        <v>15</v>
      </c>
    </row>
    <row r="19" spans="2:9" x14ac:dyDescent="0.25">
      <c r="B19" s="55" t="s">
        <v>5</v>
      </c>
      <c r="C19" s="55" t="s">
        <v>92</v>
      </c>
      <c r="D19" s="56">
        <v>489.82</v>
      </c>
      <c r="E19" s="55" t="s">
        <v>163</v>
      </c>
      <c r="F19" s="55" t="s">
        <v>162</v>
      </c>
      <c r="G19" s="61" t="s">
        <v>189</v>
      </c>
      <c r="I19" s="55">
        <f>LEN(Table13456789[[#This Row],[Narration 1]])</f>
        <v>15</v>
      </c>
    </row>
    <row r="20" spans="2:9" x14ac:dyDescent="0.25">
      <c r="B20" s="55" t="s">
        <v>5</v>
      </c>
      <c r="C20" s="55" t="s">
        <v>90</v>
      </c>
      <c r="D20" s="56">
        <v>489.82</v>
      </c>
      <c r="E20" s="55" t="s">
        <v>163</v>
      </c>
      <c r="F20" s="55" t="s">
        <v>162</v>
      </c>
      <c r="G20" s="61" t="s">
        <v>189</v>
      </c>
      <c r="I20" s="55">
        <f>LEN(Table13456789[[#This Row],[Narration 1]])</f>
        <v>15</v>
      </c>
    </row>
    <row r="21" spans="2:9" x14ac:dyDescent="0.25">
      <c r="B21" s="55" t="s">
        <v>1</v>
      </c>
      <c r="C21" s="55" t="s">
        <v>2</v>
      </c>
      <c r="D21" s="56">
        <v>-1959.28</v>
      </c>
      <c r="E21" s="62" t="s">
        <v>189</v>
      </c>
      <c r="F21" s="61" t="s">
        <v>189</v>
      </c>
      <c r="G21" s="61" t="s">
        <v>189</v>
      </c>
      <c r="I21" s="55">
        <f>LEN(Table13456789[[#This Row],[Narration 1]])</f>
        <v>1</v>
      </c>
    </row>
    <row r="22" spans="2:9" x14ac:dyDescent="0.25">
      <c r="B22" s="57"/>
      <c r="C22" s="57"/>
      <c r="D22" s="58"/>
      <c r="E22" s="57"/>
      <c r="F22" s="57"/>
      <c r="G22" s="57"/>
      <c r="I22" s="55">
        <f>LEN(Table13456789[[#This Row],[Narration 1]])</f>
        <v>0</v>
      </c>
    </row>
    <row r="23" spans="2:9" x14ac:dyDescent="0.25">
      <c r="B23" s="85" t="s">
        <v>5</v>
      </c>
      <c r="C23" s="85" t="s">
        <v>4</v>
      </c>
      <c r="D23" s="86">
        <v>48413.23</v>
      </c>
      <c r="E23" s="85" t="s">
        <v>250</v>
      </c>
      <c r="F23" s="85" t="s">
        <v>249</v>
      </c>
      <c r="G23" s="85" t="s">
        <v>189</v>
      </c>
      <c r="I23" s="55">
        <f>LEN(Table13456789[[#This Row],[Narration 1]])</f>
        <v>31</v>
      </c>
    </row>
    <row r="24" spans="2:9" x14ac:dyDescent="0.25">
      <c r="B24" s="87" t="s">
        <v>1</v>
      </c>
      <c r="C24" s="87" t="s">
        <v>16</v>
      </c>
      <c r="D24" s="86">
        <v>-48413.23</v>
      </c>
      <c r="E24" s="85" t="s">
        <v>189</v>
      </c>
      <c r="F24" s="85" t="s">
        <v>189</v>
      </c>
      <c r="G24" s="85" t="s">
        <v>189</v>
      </c>
      <c r="I24" s="55">
        <f>LEN(Table13456789[[#This Row],[Narration 1]])</f>
        <v>1</v>
      </c>
    </row>
    <row r="25" spans="2:9" x14ac:dyDescent="0.25">
      <c r="B25" s="57"/>
      <c r="C25" s="57"/>
      <c r="D25" s="58"/>
      <c r="E25" s="57"/>
      <c r="F25" s="57"/>
      <c r="G25" s="57"/>
      <c r="I25" s="55">
        <f>LEN(Table13456789[[#This Row],[Narration 1]])</f>
        <v>0</v>
      </c>
    </row>
    <row r="26" spans="2:9" x14ac:dyDescent="0.25">
      <c r="B26" s="87" t="s">
        <v>5</v>
      </c>
      <c r="C26" s="87" t="s">
        <v>170</v>
      </c>
      <c r="D26" s="86">
        <v>21469.17</v>
      </c>
      <c r="E26" s="85" t="s">
        <v>251</v>
      </c>
      <c r="F26" s="85" t="s">
        <v>252</v>
      </c>
      <c r="G26" s="88" t="s">
        <v>189</v>
      </c>
      <c r="I26" s="55">
        <f>LEN(Table13456789[[#This Row],[Narration 1]])</f>
        <v>32</v>
      </c>
    </row>
    <row r="27" spans="2:9" x14ac:dyDescent="0.25">
      <c r="B27" s="87" t="s">
        <v>5</v>
      </c>
      <c r="C27" s="87" t="s">
        <v>171</v>
      </c>
      <c r="D27" s="86">
        <v>-21469.17</v>
      </c>
      <c r="E27" s="89" t="s">
        <v>189</v>
      </c>
      <c r="F27" s="88" t="s">
        <v>189</v>
      </c>
      <c r="G27" s="88" t="s">
        <v>189</v>
      </c>
      <c r="I27" s="55">
        <f>LEN(Table13456789[[#This Row],[Narration 1]])</f>
        <v>1</v>
      </c>
    </row>
    <row r="28" spans="2:9" x14ac:dyDescent="0.25">
      <c r="B28" s="57"/>
      <c r="C28" s="57"/>
      <c r="D28" s="58"/>
      <c r="E28" s="57"/>
      <c r="F28" s="57"/>
      <c r="G28" s="57"/>
      <c r="I28" s="55">
        <f>LEN(Table13456789[[#This Row],[Narration 1]])</f>
        <v>0</v>
      </c>
    </row>
    <row r="29" spans="2:9" x14ac:dyDescent="0.25">
      <c r="B29" s="55" t="s">
        <v>5</v>
      </c>
      <c r="C29" s="55" t="s">
        <v>144</v>
      </c>
      <c r="D29" s="56">
        <v>4194.75</v>
      </c>
      <c r="E29" s="62" t="s">
        <v>196</v>
      </c>
      <c r="F29" s="62" t="s">
        <v>214</v>
      </c>
      <c r="G29" s="61" t="s">
        <v>189</v>
      </c>
      <c r="I29" s="55">
        <f>LEN(Table13456789[[#This Row],[Narration 1]])</f>
        <v>16</v>
      </c>
    </row>
    <row r="30" spans="2:9" x14ac:dyDescent="0.25">
      <c r="B30" s="55" t="s">
        <v>5</v>
      </c>
      <c r="C30" s="55" t="s">
        <v>142</v>
      </c>
      <c r="D30" s="56">
        <v>-4194.75</v>
      </c>
      <c r="E30" s="62" t="s">
        <v>189</v>
      </c>
      <c r="F30" s="61" t="s">
        <v>189</v>
      </c>
      <c r="G30" s="61" t="s">
        <v>189</v>
      </c>
      <c r="I30" s="55">
        <f>LEN(Table13456789[[#This Row],[Narration 1]])</f>
        <v>1</v>
      </c>
    </row>
    <row r="31" spans="2:9" x14ac:dyDescent="0.25">
      <c r="B31" s="57"/>
      <c r="C31" s="57"/>
      <c r="D31" s="58"/>
      <c r="E31" s="57"/>
      <c r="F31" s="57"/>
      <c r="G31" s="57"/>
      <c r="I31" s="55">
        <f>LEN(Table13456789[[#This Row],[Narration 1]])</f>
        <v>0</v>
      </c>
    </row>
    <row r="32" spans="2:9" x14ac:dyDescent="0.25">
      <c r="B32" s="55" t="s">
        <v>5</v>
      </c>
      <c r="C32" s="55" t="s">
        <v>145</v>
      </c>
      <c r="D32" s="56">
        <v>9691.67</v>
      </c>
      <c r="E32" s="55" t="s">
        <v>147</v>
      </c>
      <c r="F32" s="62" t="s">
        <v>212</v>
      </c>
      <c r="G32" s="61" t="s">
        <v>189</v>
      </c>
      <c r="I32" s="55">
        <f>LEN(Table13456789[[#This Row],[Narration 1]])</f>
        <v>30</v>
      </c>
    </row>
    <row r="33" spans="1:9" x14ac:dyDescent="0.25">
      <c r="B33" s="55" t="s">
        <v>5</v>
      </c>
      <c r="C33" s="55" t="s">
        <v>146</v>
      </c>
      <c r="D33" s="56">
        <v>-9691.67</v>
      </c>
      <c r="E33" s="62" t="s">
        <v>189</v>
      </c>
      <c r="F33" s="61" t="s">
        <v>189</v>
      </c>
      <c r="G33" s="61" t="s">
        <v>189</v>
      </c>
      <c r="I33" s="55">
        <f>LEN(Table13456789[[#This Row],[Narration 1]])</f>
        <v>1</v>
      </c>
    </row>
    <row r="34" spans="1:9" x14ac:dyDescent="0.25">
      <c r="B34" s="62" t="s">
        <v>5</v>
      </c>
      <c r="C34" s="70" t="s">
        <v>192</v>
      </c>
      <c r="D34" s="56">
        <v>5051.83</v>
      </c>
      <c r="E34" s="62" t="s">
        <v>193</v>
      </c>
      <c r="F34" s="62" t="s">
        <v>211</v>
      </c>
      <c r="G34" s="72" t="s">
        <v>189</v>
      </c>
      <c r="I34" s="55">
        <f>LEN(Table13456789[[#This Row],[Narration 1]])</f>
        <v>28</v>
      </c>
    </row>
    <row r="35" spans="1:9" x14ac:dyDescent="0.25">
      <c r="B35" s="55" t="s">
        <v>5</v>
      </c>
      <c r="C35" s="55" t="s">
        <v>146</v>
      </c>
      <c r="D35" s="56">
        <v>-5051.83</v>
      </c>
      <c r="E35" s="62" t="s">
        <v>189</v>
      </c>
      <c r="F35" s="62" t="s">
        <v>189</v>
      </c>
      <c r="G35" s="72" t="s">
        <v>189</v>
      </c>
      <c r="I35" s="55">
        <f>LEN(Table13456789[[#This Row],[Narration 1]])</f>
        <v>1</v>
      </c>
    </row>
    <row r="36" spans="1:9" x14ac:dyDescent="0.25">
      <c r="B36" s="72" t="s">
        <v>5</v>
      </c>
      <c r="C36" s="55" t="s">
        <v>236</v>
      </c>
      <c r="D36" s="56">
        <v>8535</v>
      </c>
      <c r="E36" s="72" t="s">
        <v>238</v>
      </c>
      <c r="F36" s="62" t="s">
        <v>237</v>
      </c>
      <c r="G36" s="72" t="s">
        <v>189</v>
      </c>
      <c r="I36" s="55">
        <f>LEN(Table13456789[[#This Row],[Narration 1]])</f>
        <v>33</v>
      </c>
    </row>
    <row r="37" spans="1:9" x14ac:dyDescent="0.25">
      <c r="B37" s="72" t="s">
        <v>5</v>
      </c>
      <c r="C37" s="55" t="s">
        <v>146</v>
      </c>
      <c r="D37" s="56">
        <v>-8535</v>
      </c>
      <c r="E37" s="72" t="s">
        <v>189</v>
      </c>
      <c r="F37" s="72" t="s">
        <v>189</v>
      </c>
      <c r="G37" s="72" t="s">
        <v>189</v>
      </c>
      <c r="I37" s="55">
        <f>LEN(Table13456789[[#This Row],[Narration 1]])</f>
        <v>1</v>
      </c>
    </row>
    <row r="38" spans="1:9" x14ac:dyDescent="0.25">
      <c r="B38" s="57"/>
      <c r="C38" s="57"/>
      <c r="D38" s="58"/>
      <c r="E38" s="57"/>
      <c r="F38" s="57"/>
      <c r="G38" s="57"/>
      <c r="I38" s="55">
        <f>LEN(Table13456789[[#This Row],[Narration 1]])</f>
        <v>0</v>
      </c>
    </row>
    <row r="39" spans="1:9" x14ac:dyDescent="0.25">
      <c r="B39" s="55" t="s">
        <v>5</v>
      </c>
      <c r="C39" s="55" t="s">
        <v>39</v>
      </c>
      <c r="D39" s="56">
        <v>8431.4</v>
      </c>
      <c r="E39" s="55" t="s">
        <v>151</v>
      </c>
      <c r="F39" s="62" t="s">
        <v>210</v>
      </c>
      <c r="G39" s="61" t="s">
        <v>189</v>
      </c>
      <c r="I39" s="55">
        <f>LEN(Table13456789[[#This Row],[Narration 1]])</f>
        <v>29</v>
      </c>
    </row>
    <row r="40" spans="1:9" x14ac:dyDescent="0.25">
      <c r="B40" s="55" t="s">
        <v>5</v>
      </c>
      <c r="C40" s="55" t="s">
        <v>150</v>
      </c>
      <c r="D40" s="56">
        <v>-8431.4</v>
      </c>
      <c r="E40" s="62" t="s">
        <v>189</v>
      </c>
      <c r="F40" s="61" t="s">
        <v>189</v>
      </c>
      <c r="G40" s="61" t="s">
        <v>189</v>
      </c>
      <c r="I40" s="55">
        <f>LEN(Table13456789[[#This Row],[Narration 1]])</f>
        <v>1</v>
      </c>
    </row>
    <row r="41" spans="1:9" x14ac:dyDescent="0.25">
      <c r="B41" s="57"/>
      <c r="C41" s="57"/>
      <c r="D41" s="58"/>
      <c r="E41" s="57"/>
      <c r="F41" s="57"/>
      <c r="G41" s="57"/>
      <c r="I41" s="55">
        <f>LEN(Table13456789[[#This Row],[Narration 1]])</f>
        <v>0</v>
      </c>
    </row>
    <row r="42" spans="1:9" x14ac:dyDescent="0.25">
      <c r="B42" s="55" t="s">
        <v>5</v>
      </c>
      <c r="C42" s="55" t="s">
        <v>7</v>
      </c>
      <c r="D42" s="56">
        <v>7143.75</v>
      </c>
      <c r="E42" s="55" t="s">
        <v>197</v>
      </c>
      <c r="F42" s="55" t="s">
        <v>209</v>
      </c>
      <c r="G42" s="55" t="s">
        <v>189</v>
      </c>
      <c r="I42" s="55">
        <f>LEN(Table13456789[[#This Row],[Narration 1]])</f>
        <v>22</v>
      </c>
    </row>
    <row r="43" spans="1:9" x14ac:dyDescent="0.25">
      <c r="B43" s="55" t="s">
        <v>5</v>
      </c>
      <c r="C43" s="55" t="s">
        <v>6</v>
      </c>
      <c r="D43" s="56">
        <v>-7143.75</v>
      </c>
      <c r="E43" s="55" t="s">
        <v>189</v>
      </c>
      <c r="F43" s="55" t="s">
        <v>189</v>
      </c>
      <c r="G43" s="55" t="s">
        <v>189</v>
      </c>
      <c r="I43" s="55">
        <f>LEN(Table13456789[[#This Row],[Narration 1]])</f>
        <v>1</v>
      </c>
    </row>
    <row r="44" spans="1:9" x14ac:dyDescent="0.25">
      <c r="B44" s="55" t="s">
        <v>5</v>
      </c>
      <c r="C44" s="55" t="s">
        <v>62</v>
      </c>
      <c r="D44" s="56">
        <v>32945.33</v>
      </c>
      <c r="E44" s="62" t="s">
        <v>202</v>
      </c>
      <c r="F44" s="62" t="s">
        <v>204</v>
      </c>
      <c r="G44" s="61" t="s">
        <v>189</v>
      </c>
      <c r="I44" s="55">
        <f>LEN(Table13456789[[#This Row],[Narration 1]])</f>
        <v>15</v>
      </c>
    </row>
    <row r="45" spans="1:9" x14ac:dyDescent="0.25">
      <c r="A45" s="80" t="s">
        <v>243</v>
      </c>
      <c r="B45" s="55" t="s">
        <v>5</v>
      </c>
      <c r="C45" s="55" t="s">
        <v>6</v>
      </c>
      <c r="D45" s="56">
        <v>-32945.33</v>
      </c>
      <c r="E45" s="62" t="s">
        <v>189</v>
      </c>
      <c r="F45" s="61" t="s">
        <v>189</v>
      </c>
      <c r="G45" s="61" t="s">
        <v>189</v>
      </c>
      <c r="I45" s="55">
        <f>LEN(Table13456789[[#This Row],[Narration 1]])</f>
        <v>1</v>
      </c>
    </row>
    <row r="46" spans="1:9" x14ac:dyDescent="0.25">
      <c r="B46" s="62" t="s">
        <v>5</v>
      </c>
      <c r="C46" s="55" t="s">
        <v>62</v>
      </c>
      <c r="D46" s="56">
        <v>2093</v>
      </c>
      <c r="E46" s="62" t="s">
        <v>229</v>
      </c>
      <c r="F46" s="62" t="s">
        <v>228</v>
      </c>
      <c r="G46" s="72" t="s">
        <v>189</v>
      </c>
      <c r="I46" s="55">
        <f>LEN(Table13456789[[#This Row],[Narration 1]])</f>
        <v>22</v>
      </c>
    </row>
    <row r="47" spans="1:9" x14ac:dyDescent="0.25">
      <c r="B47" s="55" t="s">
        <v>5</v>
      </c>
      <c r="C47" s="55" t="s">
        <v>6</v>
      </c>
      <c r="D47" s="56">
        <v>-2093</v>
      </c>
      <c r="E47" s="62" t="s">
        <v>189</v>
      </c>
      <c r="F47" s="62" t="s">
        <v>189</v>
      </c>
      <c r="G47" s="72" t="s">
        <v>189</v>
      </c>
      <c r="I47" s="55">
        <f>LEN(Table13456789[[#This Row],[Narration 1]])</f>
        <v>1</v>
      </c>
    </row>
    <row r="48" spans="1:9" x14ac:dyDescent="0.25">
      <c r="B48" s="67" t="s">
        <v>5</v>
      </c>
      <c r="C48" s="67" t="s">
        <v>62</v>
      </c>
      <c r="D48" s="65">
        <v>2930.42</v>
      </c>
      <c r="E48" s="63" t="s">
        <v>198</v>
      </c>
      <c r="F48" s="91" t="s">
        <v>254</v>
      </c>
      <c r="G48" s="66" t="s">
        <v>189</v>
      </c>
      <c r="I48" s="55">
        <f>LEN(Table13456789[[#This Row],[Narration 1]])</f>
        <v>9</v>
      </c>
    </row>
    <row r="49" spans="2:9" x14ac:dyDescent="0.25">
      <c r="B49" s="67" t="s">
        <v>5</v>
      </c>
      <c r="C49" s="67" t="s">
        <v>6</v>
      </c>
      <c r="D49" s="65">
        <f>-D48</f>
        <v>-2930.42</v>
      </c>
      <c r="E49" s="63" t="s">
        <v>189</v>
      </c>
      <c r="F49" s="66" t="s">
        <v>189</v>
      </c>
      <c r="G49" s="66" t="s">
        <v>189</v>
      </c>
      <c r="I49" s="55">
        <f>LEN(Table13456789[[#This Row],[Narration 1]])</f>
        <v>1</v>
      </c>
    </row>
    <row r="50" spans="2:9" x14ac:dyDescent="0.25">
      <c r="B50" s="67" t="s">
        <v>5</v>
      </c>
      <c r="C50" s="67" t="s">
        <v>62</v>
      </c>
      <c r="D50" s="65">
        <v>2930.42</v>
      </c>
      <c r="E50" s="63" t="s">
        <v>198</v>
      </c>
      <c r="F50" s="91" t="s">
        <v>254</v>
      </c>
      <c r="G50" s="91" t="s">
        <v>248</v>
      </c>
      <c r="I50" s="55">
        <f>LEN(Table13456789[[#This Row],[Narration 1]])</f>
        <v>9</v>
      </c>
    </row>
    <row r="51" spans="2:9" x14ac:dyDescent="0.25">
      <c r="B51" s="67" t="s">
        <v>5</v>
      </c>
      <c r="C51" s="67" t="s">
        <v>6</v>
      </c>
      <c r="D51" s="65">
        <f>-D50</f>
        <v>-2930.42</v>
      </c>
      <c r="E51" s="63" t="s">
        <v>189</v>
      </c>
      <c r="F51" s="66" t="s">
        <v>189</v>
      </c>
      <c r="G51" s="66" t="s">
        <v>189</v>
      </c>
      <c r="I51" s="55">
        <f>LEN(Table13456789[[#This Row],[Narration 1]])</f>
        <v>1</v>
      </c>
    </row>
    <row r="52" spans="2:9" x14ac:dyDescent="0.25">
      <c r="B52" s="57"/>
      <c r="C52" s="57"/>
      <c r="D52" s="58"/>
      <c r="E52" s="57"/>
      <c r="F52" s="57"/>
      <c r="G52" s="57"/>
      <c r="I52" s="55">
        <f>LEN(Table13456789[[#This Row],[Narration 1]])</f>
        <v>0</v>
      </c>
    </row>
    <row r="53" spans="2:9" x14ac:dyDescent="0.25">
      <c r="B53" s="55" t="s">
        <v>5</v>
      </c>
      <c r="C53" s="61" t="s">
        <v>187</v>
      </c>
      <c r="D53" s="56">
        <v>4206.67</v>
      </c>
      <c r="E53" s="55" t="s">
        <v>188</v>
      </c>
      <c r="F53" s="62" t="s">
        <v>231</v>
      </c>
      <c r="G53" s="61" t="s">
        <v>189</v>
      </c>
      <c r="I53" s="55">
        <f>LEN(Table13456789[[#This Row],[Narration 1]])</f>
        <v>25</v>
      </c>
    </row>
    <row r="54" spans="2:9" x14ac:dyDescent="0.25">
      <c r="B54" s="55" t="s">
        <v>5</v>
      </c>
      <c r="C54" s="55" t="s">
        <v>186</v>
      </c>
      <c r="D54" s="56">
        <v>-4206.67</v>
      </c>
      <c r="E54" s="62" t="s">
        <v>189</v>
      </c>
      <c r="F54" s="61" t="s">
        <v>189</v>
      </c>
      <c r="G54" s="61" t="s">
        <v>189</v>
      </c>
      <c r="I54" s="55">
        <f>LEN(Table13456789[[#This Row],[Narration 1]])</f>
        <v>1</v>
      </c>
    </row>
    <row r="55" spans="2:9" x14ac:dyDescent="0.25">
      <c r="D55" s="56"/>
    </row>
    <row r="56" spans="2:9" ht="15.75" thickBot="1" x14ac:dyDescent="0.3">
      <c r="D56" s="75">
        <f>SUMIF(Table13456789[Amount],"&gt;0")</f>
        <v>166960.07166666668</v>
      </c>
    </row>
    <row r="57" spans="2:9" ht="15.75" thickTop="1" x14ac:dyDescent="0.25"/>
  </sheetData>
  <conditionalFormatting sqref="I4:I65">
    <cfRule type="cellIs" dxfId="22" priority="2" operator="greaterThan">
      <formula>33</formula>
    </cfRule>
  </conditionalFormatting>
  <hyperlinks>
    <hyperlink ref="B1" r:id="rId1" xr:uid="{B29CF43D-EB55-4FA4-9968-DC4FBF21C5FD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8AE2-4D8D-4806-87F5-2287A586D1F0}">
  <sheetPr>
    <tabColor theme="5" tint="0.59999389629810485"/>
  </sheetPr>
  <dimension ref="A1:L53"/>
  <sheetViews>
    <sheetView workbookViewId="0">
      <pane ySplit="3" topLeftCell="A16" activePane="bottomLeft" state="frozen"/>
      <selection pane="bottomLeft" activeCell="F29" sqref="F29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2" x14ac:dyDescent="0.25">
      <c r="B1" s="59" t="s">
        <v>185</v>
      </c>
      <c r="F1" s="69" t="s">
        <v>233</v>
      </c>
      <c r="G1" s="73">
        <v>1224543</v>
      </c>
      <c r="I1" s="67"/>
      <c r="J1" s="62" t="s">
        <v>230</v>
      </c>
      <c r="L1" s="70"/>
    </row>
    <row r="2" spans="2:12" x14ac:dyDescent="0.25">
      <c r="F2" s="69" t="s">
        <v>234</v>
      </c>
      <c r="G2" s="83" t="s">
        <v>253</v>
      </c>
    </row>
    <row r="3" spans="2:12" x14ac:dyDescent="0.25">
      <c r="B3" s="60" t="s">
        <v>178</v>
      </c>
      <c r="C3" s="60" t="s">
        <v>179</v>
      </c>
      <c r="D3" s="60" t="s">
        <v>180</v>
      </c>
      <c r="E3" s="60" t="s">
        <v>245</v>
      </c>
      <c r="F3" s="60" t="s">
        <v>246</v>
      </c>
      <c r="G3" s="60" t="s">
        <v>247</v>
      </c>
      <c r="I3" s="61"/>
    </row>
    <row r="4" spans="2:12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62" t="s">
        <v>218</v>
      </c>
      <c r="G4" s="82" t="s">
        <v>248</v>
      </c>
      <c r="I4" s="55">
        <f>LEN(Table1345678[[#This Row],[Narration 1]])</f>
        <v>24</v>
      </c>
    </row>
    <row r="5" spans="2:12" x14ac:dyDescent="0.25">
      <c r="B5" s="55" t="s">
        <v>5</v>
      </c>
      <c r="C5" s="55" t="s">
        <v>155</v>
      </c>
      <c r="D5" s="56">
        <v>-1704.63666666667</v>
      </c>
      <c r="E5" s="62" t="s">
        <v>189</v>
      </c>
      <c r="F5" s="61" t="s">
        <v>189</v>
      </c>
      <c r="G5" s="61" t="s">
        <v>189</v>
      </c>
      <c r="I5" s="55">
        <f>LEN(Table1345678[[#This Row],[Narration 1]])</f>
        <v>1</v>
      </c>
    </row>
    <row r="6" spans="2:12" x14ac:dyDescent="0.25">
      <c r="B6" s="57"/>
      <c r="C6" s="57"/>
      <c r="D6" s="58"/>
      <c r="E6" s="57"/>
      <c r="F6" s="57"/>
      <c r="G6" s="57"/>
      <c r="I6" s="55">
        <f>LEN(Table1345678[[#This Row],[Narration 1]])</f>
        <v>0</v>
      </c>
    </row>
    <row r="7" spans="2:12" x14ac:dyDescent="0.25">
      <c r="B7" s="55" t="s">
        <v>5</v>
      </c>
      <c r="C7" s="55" t="s">
        <v>125</v>
      </c>
      <c r="D7" s="56">
        <v>591.69583333333333</v>
      </c>
      <c r="E7" s="55" t="s">
        <v>126</v>
      </c>
      <c r="F7" s="55" t="s">
        <v>127</v>
      </c>
      <c r="G7" s="61" t="s">
        <v>189</v>
      </c>
      <c r="I7" s="55">
        <f>LEN(Table1345678[[#This Row],[Narration 1]])</f>
        <v>20</v>
      </c>
    </row>
    <row r="8" spans="2:12" x14ac:dyDescent="0.25">
      <c r="B8" s="55" t="s">
        <v>5</v>
      </c>
      <c r="C8" s="55" t="s">
        <v>128</v>
      </c>
      <c r="D8" s="56">
        <v>902.00666666666666</v>
      </c>
      <c r="E8" s="55" t="s">
        <v>126</v>
      </c>
      <c r="F8" s="55" t="s">
        <v>127</v>
      </c>
      <c r="G8" s="61" t="s">
        <v>189</v>
      </c>
      <c r="I8" s="55">
        <f>LEN(Table1345678[[#This Row],[Narration 1]])</f>
        <v>20</v>
      </c>
    </row>
    <row r="9" spans="2:12" x14ac:dyDescent="0.25">
      <c r="B9" s="55" t="s">
        <v>5</v>
      </c>
      <c r="C9" s="55" t="s">
        <v>129</v>
      </c>
      <c r="D9" s="56">
        <v>633.77083333333337</v>
      </c>
      <c r="E9" s="55" t="s">
        <v>126</v>
      </c>
      <c r="F9" s="55" t="s">
        <v>127</v>
      </c>
      <c r="G9" s="61" t="s">
        <v>189</v>
      </c>
      <c r="I9" s="55">
        <f>LEN(Table1345678[[#This Row],[Narration 1]])</f>
        <v>20</v>
      </c>
    </row>
    <row r="10" spans="2:12" x14ac:dyDescent="0.25">
      <c r="B10" s="55" t="s">
        <v>5</v>
      </c>
      <c r="C10" s="55" t="s">
        <v>130</v>
      </c>
      <c r="D10" s="56">
        <v>633.77083333333337</v>
      </c>
      <c r="E10" s="55" t="s">
        <v>126</v>
      </c>
      <c r="F10" s="55" t="s">
        <v>127</v>
      </c>
      <c r="G10" s="61" t="s">
        <v>189</v>
      </c>
      <c r="I10" s="55">
        <f>LEN(Table1345678[[#This Row],[Narration 1]])</f>
        <v>20</v>
      </c>
    </row>
    <row r="11" spans="2:12" x14ac:dyDescent="0.25">
      <c r="B11" s="55" t="s">
        <v>5</v>
      </c>
      <c r="C11" s="55" t="s">
        <v>131</v>
      </c>
      <c r="D11" s="56">
        <v>284.01333333333332</v>
      </c>
      <c r="E11" s="55" t="s">
        <v>126</v>
      </c>
      <c r="F11" s="55" t="s">
        <v>127</v>
      </c>
      <c r="G11" s="61" t="s">
        <v>189</v>
      </c>
      <c r="I11" s="55">
        <f>LEN(Table1345678[[#This Row],[Narration 1]])</f>
        <v>20</v>
      </c>
    </row>
    <row r="12" spans="2:12" x14ac:dyDescent="0.25">
      <c r="B12" s="55" t="s">
        <v>5</v>
      </c>
      <c r="C12" s="55" t="s">
        <v>132</v>
      </c>
      <c r="D12" s="56">
        <v>360.27666666666664</v>
      </c>
      <c r="E12" s="55" t="s">
        <v>126</v>
      </c>
      <c r="F12" s="55" t="s">
        <v>127</v>
      </c>
      <c r="G12" s="61" t="s">
        <v>189</v>
      </c>
      <c r="I12" s="55">
        <f>LEN(Table1345678[[#This Row],[Narration 1]])</f>
        <v>20</v>
      </c>
    </row>
    <row r="13" spans="2:12" x14ac:dyDescent="0.25">
      <c r="B13" s="55" t="s">
        <v>5</v>
      </c>
      <c r="C13" s="55" t="s">
        <v>133</v>
      </c>
      <c r="D13" s="56">
        <v>281.38416666666666</v>
      </c>
      <c r="E13" s="55" t="s">
        <v>126</v>
      </c>
      <c r="F13" s="55" t="s">
        <v>127</v>
      </c>
      <c r="G13" s="61" t="s">
        <v>189</v>
      </c>
      <c r="I13" s="55">
        <f>LEN(Table1345678[[#This Row],[Narration 1]])</f>
        <v>20</v>
      </c>
    </row>
    <row r="14" spans="2:12" x14ac:dyDescent="0.25">
      <c r="B14" s="55" t="s">
        <v>5</v>
      </c>
      <c r="C14" s="55" t="s">
        <v>134</v>
      </c>
      <c r="D14" s="56">
        <v>1364.8458333333333</v>
      </c>
      <c r="E14" s="55" t="s">
        <v>126</v>
      </c>
      <c r="F14" s="55" t="s">
        <v>127</v>
      </c>
      <c r="G14" s="61" t="s">
        <v>189</v>
      </c>
      <c r="I14" s="55">
        <f>LEN(Table1345678[[#This Row],[Narration 1]])</f>
        <v>20</v>
      </c>
    </row>
    <row r="15" spans="2:12" x14ac:dyDescent="0.25">
      <c r="B15" s="55" t="s">
        <v>5</v>
      </c>
      <c r="C15" s="55" t="s">
        <v>135</v>
      </c>
      <c r="D15" s="56">
        <v>207.75083333333336</v>
      </c>
      <c r="E15" s="55" t="s">
        <v>126</v>
      </c>
      <c r="F15" s="55" t="s">
        <v>127</v>
      </c>
      <c r="G15" s="61" t="s">
        <v>189</v>
      </c>
      <c r="I15" s="55">
        <f>LEN(Table1345678[[#This Row],[Narration 1]])</f>
        <v>20</v>
      </c>
    </row>
    <row r="16" spans="2:12" x14ac:dyDescent="0.25">
      <c r="B16" s="55" t="s">
        <v>1</v>
      </c>
      <c r="C16" s="55" t="s">
        <v>2</v>
      </c>
      <c r="D16" s="56">
        <v>-5259.5150000000003</v>
      </c>
      <c r="E16" s="62" t="s">
        <v>189</v>
      </c>
      <c r="F16" s="61" t="s">
        <v>189</v>
      </c>
      <c r="G16" s="61" t="s">
        <v>189</v>
      </c>
      <c r="I16" s="55">
        <f>LEN(Table1345678[[#This Row],[Narration 1]])</f>
        <v>1</v>
      </c>
    </row>
    <row r="17" spans="2:9" x14ac:dyDescent="0.25">
      <c r="B17" s="55" t="s">
        <v>5</v>
      </c>
      <c r="C17" s="55" t="s">
        <v>89</v>
      </c>
      <c r="D17" s="56">
        <v>489.82</v>
      </c>
      <c r="E17" s="55" t="s">
        <v>163</v>
      </c>
      <c r="F17" s="55" t="s">
        <v>162</v>
      </c>
      <c r="G17" s="61" t="s">
        <v>189</v>
      </c>
      <c r="I17" s="55">
        <f>LEN(Table1345678[[#This Row],[Narration 1]])</f>
        <v>15</v>
      </c>
    </row>
    <row r="18" spans="2:9" x14ac:dyDescent="0.25">
      <c r="B18" s="55" t="s">
        <v>5</v>
      </c>
      <c r="C18" s="55" t="s">
        <v>91</v>
      </c>
      <c r="D18" s="56">
        <v>489.82</v>
      </c>
      <c r="E18" s="55" t="s">
        <v>163</v>
      </c>
      <c r="F18" s="55" t="s">
        <v>162</v>
      </c>
      <c r="G18" s="61" t="s">
        <v>189</v>
      </c>
      <c r="I18" s="55">
        <f>LEN(Table1345678[[#This Row],[Narration 1]])</f>
        <v>15</v>
      </c>
    </row>
    <row r="19" spans="2:9" x14ac:dyDescent="0.25">
      <c r="B19" s="55" t="s">
        <v>5</v>
      </c>
      <c r="C19" s="55" t="s">
        <v>92</v>
      </c>
      <c r="D19" s="56">
        <v>489.82</v>
      </c>
      <c r="E19" s="55" t="s">
        <v>163</v>
      </c>
      <c r="F19" s="55" t="s">
        <v>162</v>
      </c>
      <c r="G19" s="61" t="s">
        <v>189</v>
      </c>
      <c r="I19" s="55">
        <f>LEN(Table1345678[[#This Row],[Narration 1]])</f>
        <v>15</v>
      </c>
    </row>
    <row r="20" spans="2:9" x14ac:dyDescent="0.25">
      <c r="B20" s="55" t="s">
        <v>5</v>
      </c>
      <c r="C20" s="55" t="s">
        <v>90</v>
      </c>
      <c r="D20" s="56">
        <v>489.82</v>
      </c>
      <c r="E20" s="55" t="s">
        <v>163</v>
      </c>
      <c r="F20" s="55" t="s">
        <v>162</v>
      </c>
      <c r="G20" s="61" t="s">
        <v>189</v>
      </c>
      <c r="I20" s="55">
        <f>LEN(Table1345678[[#This Row],[Narration 1]])</f>
        <v>15</v>
      </c>
    </row>
    <row r="21" spans="2:9" x14ac:dyDescent="0.25">
      <c r="B21" s="55" t="s">
        <v>1</v>
      </c>
      <c r="C21" s="55" t="s">
        <v>2</v>
      </c>
      <c r="D21" s="56">
        <v>-1959.28</v>
      </c>
      <c r="E21" s="62" t="s">
        <v>189</v>
      </c>
      <c r="F21" s="61" t="s">
        <v>189</v>
      </c>
      <c r="G21" s="61" t="s">
        <v>189</v>
      </c>
      <c r="I21" s="55">
        <f>LEN(Table1345678[[#This Row],[Narration 1]])</f>
        <v>1</v>
      </c>
    </row>
    <row r="22" spans="2:9" x14ac:dyDescent="0.25">
      <c r="B22" s="57"/>
      <c r="C22" s="57"/>
      <c r="D22" s="58"/>
      <c r="E22" s="57"/>
      <c r="F22" s="57"/>
      <c r="G22" s="57"/>
    </row>
    <row r="23" spans="2:9" x14ac:dyDescent="0.25">
      <c r="B23" s="84" t="s">
        <v>5</v>
      </c>
      <c r="C23" s="84" t="s">
        <v>4</v>
      </c>
      <c r="D23" s="65">
        <v>48413.23</v>
      </c>
      <c r="E23" s="84" t="s">
        <v>250</v>
      </c>
      <c r="F23" s="84" t="s">
        <v>249</v>
      </c>
      <c r="G23" s="84" t="s">
        <v>189</v>
      </c>
    </row>
    <row r="24" spans="2:9" x14ac:dyDescent="0.25">
      <c r="B24" s="67" t="s">
        <v>1</v>
      </c>
      <c r="C24" s="67" t="s">
        <v>16</v>
      </c>
      <c r="D24" s="65">
        <v>-48413.23</v>
      </c>
      <c r="E24" s="84" t="s">
        <v>189</v>
      </c>
      <c r="F24" s="84" t="s">
        <v>189</v>
      </c>
      <c r="G24" s="84" t="s">
        <v>189</v>
      </c>
    </row>
    <row r="25" spans="2:9" x14ac:dyDescent="0.25">
      <c r="B25" s="57"/>
      <c r="C25" s="57"/>
      <c r="D25" s="58"/>
      <c r="E25" s="57"/>
      <c r="F25" s="57"/>
      <c r="G25" s="57"/>
      <c r="I25" s="55">
        <f>LEN(Table1345678[[#This Row],[Narration 1]])</f>
        <v>0</v>
      </c>
    </row>
    <row r="26" spans="2:9" x14ac:dyDescent="0.25">
      <c r="B26" s="67" t="s">
        <v>5</v>
      </c>
      <c r="C26" s="67" t="s">
        <v>170</v>
      </c>
      <c r="D26" s="65">
        <v>21469.17</v>
      </c>
      <c r="E26" s="84" t="s">
        <v>251</v>
      </c>
      <c r="F26" s="84" t="s">
        <v>252</v>
      </c>
      <c r="G26" s="66" t="s">
        <v>189</v>
      </c>
      <c r="I26" s="55">
        <f>LEN(Table1345678[[#This Row],[Narration 1]])</f>
        <v>32</v>
      </c>
    </row>
    <row r="27" spans="2:9" x14ac:dyDescent="0.25">
      <c r="B27" s="67" t="s">
        <v>5</v>
      </c>
      <c r="C27" s="67" t="s">
        <v>171</v>
      </c>
      <c r="D27" s="65">
        <v>-21469.17</v>
      </c>
      <c r="E27" s="63" t="s">
        <v>189</v>
      </c>
      <c r="F27" s="66" t="s">
        <v>189</v>
      </c>
      <c r="G27" s="66" t="s">
        <v>189</v>
      </c>
      <c r="I27" s="55">
        <f>LEN(Table1345678[[#This Row],[Narration 1]])</f>
        <v>1</v>
      </c>
    </row>
    <row r="28" spans="2:9" x14ac:dyDescent="0.25">
      <c r="B28" s="57"/>
      <c r="C28" s="57"/>
      <c r="D28" s="58"/>
      <c r="E28" s="57"/>
      <c r="F28" s="57"/>
      <c r="G28" s="57"/>
      <c r="I28" s="55">
        <f>LEN(Table1345678[[#This Row],[Narration 1]])</f>
        <v>0</v>
      </c>
    </row>
    <row r="29" spans="2:9" x14ac:dyDescent="0.25">
      <c r="B29" s="55" t="s">
        <v>5</v>
      </c>
      <c r="C29" s="55" t="s">
        <v>144</v>
      </c>
      <c r="D29" s="56">
        <v>4194.75</v>
      </c>
      <c r="E29" s="62" t="s">
        <v>196</v>
      </c>
      <c r="F29" s="62" t="s">
        <v>214</v>
      </c>
      <c r="G29" s="61" t="s">
        <v>189</v>
      </c>
      <c r="I29" s="55">
        <f>LEN(Table1345678[[#This Row],[Narration 1]])</f>
        <v>16</v>
      </c>
    </row>
    <row r="30" spans="2:9" x14ac:dyDescent="0.25">
      <c r="B30" s="55" t="s">
        <v>5</v>
      </c>
      <c r="C30" s="55" t="s">
        <v>142</v>
      </c>
      <c r="D30" s="56">
        <v>-4194.75</v>
      </c>
      <c r="E30" s="62" t="s">
        <v>189</v>
      </c>
      <c r="F30" s="61" t="s">
        <v>189</v>
      </c>
      <c r="G30" s="61" t="s">
        <v>189</v>
      </c>
      <c r="I30" s="55">
        <f>LEN(Table1345678[[#This Row],[Narration 1]])</f>
        <v>1</v>
      </c>
    </row>
    <row r="31" spans="2:9" x14ac:dyDescent="0.25">
      <c r="B31" s="57"/>
      <c r="C31" s="57"/>
      <c r="D31" s="58"/>
      <c r="E31" s="57"/>
      <c r="F31" s="57"/>
      <c r="G31" s="57"/>
      <c r="I31" s="55">
        <f>LEN(Table1345678[[#This Row],[Narration 1]])</f>
        <v>0</v>
      </c>
    </row>
    <row r="32" spans="2:9" x14ac:dyDescent="0.25">
      <c r="B32" s="55" t="s">
        <v>5</v>
      </c>
      <c r="C32" s="55" t="s">
        <v>145</v>
      </c>
      <c r="D32" s="56">
        <v>9691.67</v>
      </c>
      <c r="E32" s="55" t="s">
        <v>147</v>
      </c>
      <c r="F32" s="62" t="s">
        <v>212</v>
      </c>
      <c r="G32" s="61" t="s">
        <v>189</v>
      </c>
      <c r="I32" s="55">
        <f>LEN(Table1345678[[#This Row],[Narration 1]])</f>
        <v>30</v>
      </c>
    </row>
    <row r="33" spans="1:9" x14ac:dyDescent="0.25">
      <c r="B33" s="55" t="s">
        <v>5</v>
      </c>
      <c r="C33" s="55" t="s">
        <v>146</v>
      </c>
      <c r="D33" s="56">
        <v>-9691.67</v>
      </c>
      <c r="E33" s="62" t="s">
        <v>189</v>
      </c>
      <c r="F33" s="61" t="s">
        <v>189</v>
      </c>
      <c r="G33" s="61" t="s">
        <v>189</v>
      </c>
      <c r="I33" s="55">
        <f>LEN(Table1345678[[#This Row],[Narration 1]])</f>
        <v>1</v>
      </c>
    </row>
    <row r="34" spans="1:9" x14ac:dyDescent="0.25">
      <c r="B34" s="62" t="s">
        <v>5</v>
      </c>
      <c r="C34" s="70" t="s">
        <v>192</v>
      </c>
      <c r="D34" s="56">
        <v>5051.83</v>
      </c>
      <c r="E34" s="62" t="s">
        <v>193</v>
      </c>
      <c r="F34" s="62" t="s">
        <v>211</v>
      </c>
      <c r="G34" s="72" t="s">
        <v>189</v>
      </c>
      <c r="I34" s="55">
        <f>LEN(Table1345678[[#This Row],[Narration 1]])</f>
        <v>28</v>
      </c>
    </row>
    <row r="35" spans="1:9" x14ac:dyDescent="0.25">
      <c r="B35" s="55" t="s">
        <v>5</v>
      </c>
      <c r="C35" s="55" t="s">
        <v>146</v>
      </c>
      <c r="D35" s="56">
        <v>-5051.83</v>
      </c>
      <c r="E35" s="62" t="s">
        <v>189</v>
      </c>
      <c r="F35" s="62" t="s">
        <v>189</v>
      </c>
      <c r="G35" s="72" t="s">
        <v>189</v>
      </c>
      <c r="I35" s="55">
        <f>LEN(Table1345678[[#This Row],[Narration 1]])</f>
        <v>1</v>
      </c>
    </row>
    <row r="36" spans="1:9" x14ac:dyDescent="0.25">
      <c r="B36" s="72" t="s">
        <v>5</v>
      </c>
      <c r="C36" s="55" t="s">
        <v>236</v>
      </c>
      <c r="D36" s="56">
        <v>8535</v>
      </c>
      <c r="E36" s="72" t="s">
        <v>238</v>
      </c>
      <c r="F36" s="62" t="s">
        <v>237</v>
      </c>
      <c r="G36" s="72" t="s">
        <v>189</v>
      </c>
      <c r="I36" s="55">
        <f>LEN(Table1345678[[#This Row],[Narration 1]])</f>
        <v>33</v>
      </c>
    </row>
    <row r="37" spans="1:9" x14ac:dyDescent="0.25">
      <c r="B37" s="72" t="s">
        <v>5</v>
      </c>
      <c r="C37" s="55" t="s">
        <v>146</v>
      </c>
      <c r="D37" s="56">
        <v>-8535</v>
      </c>
      <c r="E37" s="72" t="s">
        <v>189</v>
      </c>
      <c r="F37" s="72" t="s">
        <v>189</v>
      </c>
      <c r="G37" s="72" t="s">
        <v>189</v>
      </c>
      <c r="I37" s="55">
        <f>LEN(Table1345678[[#This Row],[Narration 1]])</f>
        <v>1</v>
      </c>
    </row>
    <row r="38" spans="1:9" x14ac:dyDescent="0.25">
      <c r="B38" s="57"/>
      <c r="C38" s="57"/>
      <c r="D38" s="58"/>
      <c r="E38" s="57"/>
      <c r="F38" s="57"/>
      <c r="G38" s="57"/>
      <c r="I38" s="55">
        <f>LEN(Table1345678[[#This Row],[Narration 1]])</f>
        <v>0</v>
      </c>
    </row>
    <row r="39" spans="1:9" x14ac:dyDescent="0.25">
      <c r="B39" s="55" t="s">
        <v>5</v>
      </c>
      <c r="C39" s="55" t="s">
        <v>7</v>
      </c>
      <c r="D39" s="56">
        <v>7143.75</v>
      </c>
      <c r="E39" s="55" t="s">
        <v>197</v>
      </c>
      <c r="F39" s="55" t="s">
        <v>209</v>
      </c>
      <c r="G39" s="55" t="s">
        <v>189</v>
      </c>
      <c r="I39" s="55">
        <f>LEN(Table1345678[[#This Row],[Narration 1]])</f>
        <v>22</v>
      </c>
    </row>
    <row r="40" spans="1:9" x14ac:dyDescent="0.25">
      <c r="B40" s="55" t="s">
        <v>5</v>
      </c>
      <c r="C40" s="55" t="s">
        <v>6</v>
      </c>
      <c r="D40" s="56">
        <v>-7143.75</v>
      </c>
      <c r="E40" s="55" t="s">
        <v>189</v>
      </c>
      <c r="F40" s="55" t="s">
        <v>189</v>
      </c>
      <c r="G40" s="55" t="s">
        <v>189</v>
      </c>
      <c r="I40" s="55">
        <f>LEN(Table1345678[[#This Row],[Narration 1]])</f>
        <v>1</v>
      </c>
    </row>
    <row r="41" spans="1:9" x14ac:dyDescent="0.25">
      <c r="B41" s="55" t="s">
        <v>5</v>
      </c>
      <c r="C41" s="55" t="s">
        <v>39</v>
      </c>
      <c r="D41" s="56">
        <v>8431.4</v>
      </c>
      <c r="E41" s="55" t="s">
        <v>151</v>
      </c>
      <c r="F41" s="62" t="s">
        <v>210</v>
      </c>
      <c r="G41" s="61" t="s">
        <v>189</v>
      </c>
      <c r="I41" s="55">
        <f>LEN(Table1345678[[#This Row],[Narration 1]])</f>
        <v>29</v>
      </c>
    </row>
    <row r="42" spans="1:9" x14ac:dyDescent="0.25">
      <c r="B42" s="55" t="s">
        <v>5</v>
      </c>
      <c r="C42" s="55" t="s">
        <v>150</v>
      </c>
      <c r="D42" s="56">
        <v>-8431.4</v>
      </c>
      <c r="E42" s="62" t="s">
        <v>189</v>
      </c>
      <c r="F42" s="61" t="s">
        <v>189</v>
      </c>
      <c r="G42" s="61" t="s">
        <v>189</v>
      </c>
      <c r="I42" s="55">
        <f>LEN(Table1345678[[#This Row],[Narration 1]])</f>
        <v>1</v>
      </c>
    </row>
    <row r="43" spans="1:9" x14ac:dyDescent="0.25">
      <c r="B43" s="57"/>
      <c r="C43" s="57"/>
      <c r="D43" s="58"/>
      <c r="E43" s="57"/>
      <c r="F43" s="57"/>
      <c r="G43" s="57"/>
      <c r="I43" s="55">
        <f>LEN(Table1345678[[#This Row],[Narration 1]])</f>
        <v>0</v>
      </c>
    </row>
    <row r="44" spans="1:9" x14ac:dyDescent="0.25">
      <c r="B44" s="55" t="s">
        <v>5</v>
      </c>
      <c r="C44" s="55" t="s">
        <v>62</v>
      </c>
      <c r="D44" s="56">
        <v>32945.33</v>
      </c>
      <c r="E44" s="62" t="s">
        <v>202</v>
      </c>
      <c r="F44" s="62" t="s">
        <v>204</v>
      </c>
      <c r="G44" s="61" t="s">
        <v>189</v>
      </c>
      <c r="I44" s="55">
        <f>LEN(Table1345678[[#This Row],[Narration 1]])</f>
        <v>15</v>
      </c>
    </row>
    <row r="45" spans="1:9" x14ac:dyDescent="0.25">
      <c r="A45" s="80" t="s">
        <v>243</v>
      </c>
      <c r="B45" s="55" t="s">
        <v>5</v>
      </c>
      <c r="C45" s="55" t="s">
        <v>6</v>
      </c>
      <c r="D45" s="56">
        <v>-32945.33</v>
      </c>
      <c r="E45" s="62" t="s">
        <v>189</v>
      </c>
      <c r="F45" s="61" t="s">
        <v>189</v>
      </c>
      <c r="G45" s="61" t="s">
        <v>189</v>
      </c>
      <c r="I45" s="55">
        <f>LEN(Table1345678[[#This Row],[Narration 1]])</f>
        <v>1</v>
      </c>
    </row>
    <row r="46" spans="1:9" x14ac:dyDescent="0.25">
      <c r="B46" s="62" t="s">
        <v>5</v>
      </c>
      <c r="C46" s="55" t="s">
        <v>62</v>
      </c>
      <c r="D46" s="56">
        <v>2093</v>
      </c>
      <c r="E46" s="62" t="s">
        <v>229</v>
      </c>
      <c r="F46" s="62" t="s">
        <v>228</v>
      </c>
      <c r="G46" s="72" t="s">
        <v>189</v>
      </c>
      <c r="I46" s="55">
        <f>LEN(Table1345678[[#This Row],[Narration 1]])</f>
        <v>22</v>
      </c>
    </row>
    <row r="47" spans="1:9" x14ac:dyDescent="0.25">
      <c r="B47" s="55" t="s">
        <v>5</v>
      </c>
      <c r="C47" s="55" t="s">
        <v>6</v>
      </c>
      <c r="D47" s="56">
        <v>-2093</v>
      </c>
      <c r="E47" s="62" t="s">
        <v>189</v>
      </c>
      <c r="F47" s="62" t="s">
        <v>189</v>
      </c>
      <c r="G47" s="72" t="s">
        <v>189</v>
      </c>
      <c r="I47" s="55">
        <f>LEN(Table1345678[[#This Row],[Narration 1]])</f>
        <v>1</v>
      </c>
    </row>
    <row r="48" spans="1:9" x14ac:dyDescent="0.25">
      <c r="B48" s="57"/>
      <c r="C48" s="57"/>
      <c r="D48" s="58"/>
      <c r="E48" s="57"/>
      <c r="F48" s="57"/>
      <c r="G48" s="57"/>
      <c r="I48" s="55">
        <f>LEN(Table1345678[[#This Row],[Narration 1]])</f>
        <v>0</v>
      </c>
    </row>
    <row r="49" spans="2:7" x14ac:dyDescent="0.25">
      <c r="B49" s="55" t="s">
        <v>5</v>
      </c>
      <c r="C49" s="61" t="s">
        <v>187</v>
      </c>
      <c r="D49" s="56">
        <v>4206.67</v>
      </c>
      <c r="E49" s="55" t="s">
        <v>188</v>
      </c>
      <c r="F49" s="62" t="s">
        <v>231</v>
      </c>
      <c r="G49" s="61" t="s">
        <v>189</v>
      </c>
    </row>
    <row r="50" spans="2:7" x14ac:dyDescent="0.25">
      <c r="B50" s="55" t="s">
        <v>5</v>
      </c>
      <c r="C50" s="55" t="s">
        <v>186</v>
      </c>
      <c r="D50" s="56">
        <v>-4206.67</v>
      </c>
      <c r="E50" s="62" t="s">
        <v>189</v>
      </c>
      <c r="F50" s="61" t="s">
        <v>189</v>
      </c>
      <c r="G50" s="61" t="s">
        <v>189</v>
      </c>
    </row>
    <row r="51" spans="2:7" x14ac:dyDescent="0.25">
      <c r="D51" s="56"/>
    </row>
    <row r="52" spans="2:7" ht="15.75" thickBot="1" x14ac:dyDescent="0.3">
      <c r="D52" s="75">
        <f>SUMIF(Table1345678[Amount],"&gt;0")</f>
        <v>161099.23166666666</v>
      </c>
    </row>
    <row r="53" spans="2:7" ht="15.75" thickTop="1" x14ac:dyDescent="0.25"/>
  </sheetData>
  <conditionalFormatting sqref="I4:I61">
    <cfRule type="cellIs" dxfId="19" priority="1" operator="greaterThan">
      <formula>33</formula>
    </cfRule>
  </conditionalFormatting>
  <hyperlinks>
    <hyperlink ref="B1" r:id="rId1" xr:uid="{9B42E347-220E-416E-8A44-FA19AFE012F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BAD3-A3E1-4F2A-9844-E0E37D87BD1A}">
  <sheetPr>
    <tabColor theme="5" tint="0.59999389629810485"/>
  </sheetPr>
  <dimension ref="A1:L54"/>
  <sheetViews>
    <sheetView workbookViewId="0">
      <pane ySplit="3" topLeftCell="A19" activePane="bottomLeft" state="frozen"/>
      <selection pane="bottomLeft" activeCell="E46" sqref="E46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2" x14ac:dyDescent="0.25">
      <c r="B1" s="59" t="s">
        <v>185</v>
      </c>
      <c r="F1" s="69" t="s">
        <v>233</v>
      </c>
      <c r="G1" s="73">
        <v>1219105</v>
      </c>
      <c r="I1" s="67"/>
      <c r="J1" s="62" t="s">
        <v>230</v>
      </c>
      <c r="L1" s="70"/>
    </row>
    <row r="2" spans="2:12" x14ac:dyDescent="0.25">
      <c r="F2" s="69" t="s">
        <v>234</v>
      </c>
      <c r="G2" s="81" t="s">
        <v>244</v>
      </c>
    </row>
    <row r="3" spans="2:12" x14ac:dyDescent="0.25">
      <c r="B3" s="60" t="s">
        <v>178</v>
      </c>
      <c r="C3" s="60" t="s">
        <v>179</v>
      </c>
      <c r="D3" s="60" t="s">
        <v>180</v>
      </c>
      <c r="E3" s="60" t="s">
        <v>245</v>
      </c>
      <c r="F3" s="60" t="s">
        <v>246</v>
      </c>
      <c r="G3" s="60" t="s">
        <v>247</v>
      </c>
      <c r="I3" s="61"/>
    </row>
    <row r="4" spans="2:12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62" t="s">
        <v>218</v>
      </c>
      <c r="G4" s="80" t="s">
        <v>242</v>
      </c>
      <c r="I4" s="55">
        <f>LEN(Table134567[[#This Row],[Narration 1]])</f>
        <v>24</v>
      </c>
    </row>
    <row r="5" spans="2:12" x14ac:dyDescent="0.25">
      <c r="B5" s="55" t="s">
        <v>5</v>
      </c>
      <c r="C5" s="55" t="s">
        <v>155</v>
      </c>
      <c r="D5" s="56">
        <v>-1704.63666666667</v>
      </c>
      <c r="E5" s="62" t="s">
        <v>189</v>
      </c>
      <c r="F5" s="61" t="s">
        <v>189</v>
      </c>
      <c r="G5" s="61" t="s">
        <v>189</v>
      </c>
      <c r="I5" s="55">
        <f>LEN(Table134567[[#This Row],[Narration 1]])</f>
        <v>1</v>
      </c>
    </row>
    <row r="6" spans="2:12" x14ac:dyDescent="0.25">
      <c r="B6" s="57"/>
      <c r="C6" s="57"/>
      <c r="D6" s="58"/>
      <c r="E6" s="57"/>
      <c r="F6" s="57"/>
      <c r="G6" s="57"/>
      <c r="I6" s="55">
        <f>LEN(Table134567[[#This Row],[Narration 1]])</f>
        <v>0</v>
      </c>
    </row>
    <row r="7" spans="2:12" x14ac:dyDescent="0.25">
      <c r="B7" s="55" t="s">
        <v>5</v>
      </c>
      <c r="C7" s="55" t="s">
        <v>125</v>
      </c>
      <c r="D7" s="56">
        <v>591.69583333333333</v>
      </c>
      <c r="E7" s="55" t="s">
        <v>126</v>
      </c>
      <c r="F7" s="55" t="s">
        <v>127</v>
      </c>
      <c r="G7" s="61" t="s">
        <v>189</v>
      </c>
      <c r="I7" s="55">
        <f>LEN(Table134567[[#This Row],[Narration 1]])</f>
        <v>20</v>
      </c>
    </row>
    <row r="8" spans="2:12" x14ac:dyDescent="0.25">
      <c r="B8" s="55" t="s">
        <v>5</v>
      </c>
      <c r="C8" s="55" t="s">
        <v>128</v>
      </c>
      <c r="D8" s="56">
        <v>902.00666666666666</v>
      </c>
      <c r="E8" s="55" t="s">
        <v>126</v>
      </c>
      <c r="F8" s="55" t="s">
        <v>127</v>
      </c>
      <c r="G8" s="61" t="s">
        <v>189</v>
      </c>
      <c r="I8" s="55">
        <f>LEN(Table134567[[#This Row],[Narration 1]])</f>
        <v>20</v>
      </c>
    </row>
    <row r="9" spans="2:12" x14ac:dyDescent="0.25">
      <c r="B9" s="55" t="s">
        <v>5</v>
      </c>
      <c r="C9" s="55" t="s">
        <v>129</v>
      </c>
      <c r="D9" s="56">
        <v>633.77083333333337</v>
      </c>
      <c r="E9" s="55" t="s">
        <v>126</v>
      </c>
      <c r="F9" s="55" t="s">
        <v>127</v>
      </c>
      <c r="G9" s="61" t="s">
        <v>189</v>
      </c>
      <c r="I9" s="55">
        <f>LEN(Table134567[[#This Row],[Narration 1]])</f>
        <v>20</v>
      </c>
    </row>
    <row r="10" spans="2:12" x14ac:dyDescent="0.25">
      <c r="B10" s="55" t="s">
        <v>5</v>
      </c>
      <c r="C10" s="55" t="s">
        <v>130</v>
      </c>
      <c r="D10" s="56">
        <v>633.77083333333337</v>
      </c>
      <c r="E10" s="55" t="s">
        <v>126</v>
      </c>
      <c r="F10" s="55" t="s">
        <v>127</v>
      </c>
      <c r="G10" s="61" t="s">
        <v>189</v>
      </c>
      <c r="I10" s="55">
        <f>LEN(Table134567[[#This Row],[Narration 1]])</f>
        <v>20</v>
      </c>
    </row>
    <row r="11" spans="2:12" x14ac:dyDescent="0.25">
      <c r="B11" s="55" t="s">
        <v>5</v>
      </c>
      <c r="C11" s="55" t="s">
        <v>131</v>
      </c>
      <c r="D11" s="56">
        <v>284.01333333333332</v>
      </c>
      <c r="E11" s="55" t="s">
        <v>126</v>
      </c>
      <c r="F11" s="55" t="s">
        <v>127</v>
      </c>
      <c r="G11" s="61" t="s">
        <v>189</v>
      </c>
      <c r="I11" s="55">
        <f>LEN(Table134567[[#This Row],[Narration 1]])</f>
        <v>20</v>
      </c>
    </row>
    <row r="12" spans="2:12" x14ac:dyDescent="0.25">
      <c r="B12" s="55" t="s">
        <v>5</v>
      </c>
      <c r="C12" s="55" t="s">
        <v>132</v>
      </c>
      <c r="D12" s="56">
        <v>360.27666666666664</v>
      </c>
      <c r="E12" s="55" t="s">
        <v>126</v>
      </c>
      <c r="F12" s="55" t="s">
        <v>127</v>
      </c>
      <c r="G12" s="61" t="s">
        <v>189</v>
      </c>
      <c r="I12" s="55">
        <f>LEN(Table134567[[#This Row],[Narration 1]])</f>
        <v>20</v>
      </c>
    </row>
    <row r="13" spans="2:12" x14ac:dyDescent="0.25">
      <c r="B13" s="55" t="s">
        <v>5</v>
      </c>
      <c r="C13" s="55" t="s">
        <v>133</v>
      </c>
      <c r="D13" s="56">
        <v>281.38416666666666</v>
      </c>
      <c r="E13" s="55" t="s">
        <v>126</v>
      </c>
      <c r="F13" s="55" t="s">
        <v>127</v>
      </c>
      <c r="G13" s="61" t="s">
        <v>189</v>
      </c>
      <c r="I13" s="55">
        <f>LEN(Table134567[[#This Row],[Narration 1]])</f>
        <v>20</v>
      </c>
    </row>
    <row r="14" spans="2:12" x14ac:dyDescent="0.25">
      <c r="B14" s="55" t="s">
        <v>5</v>
      </c>
      <c r="C14" s="55" t="s">
        <v>134</v>
      </c>
      <c r="D14" s="56">
        <v>1364.8458333333333</v>
      </c>
      <c r="E14" s="55" t="s">
        <v>126</v>
      </c>
      <c r="F14" s="55" t="s">
        <v>127</v>
      </c>
      <c r="G14" s="61" t="s">
        <v>189</v>
      </c>
      <c r="I14" s="55">
        <f>LEN(Table134567[[#This Row],[Narration 1]])</f>
        <v>20</v>
      </c>
    </row>
    <row r="15" spans="2:12" x14ac:dyDescent="0.25">
      <c r="B15" s="55" t="s">
        <v>5</v>
      </c>
      <c r="C15" s="55" t="s">
        <v>135</v>
      </c>
      <c r="D15" s="56">
        <v>207.75083333333336</v>
      </c>
      <c r="E15" s="55" t="s">
        <v>126</v>
      </c>
      <c r="F15" s="55" t="s">
        <v>127</v>
      </c>
      <c r="G15" s="61" t="s">
        <v>189</v>
      </c>
      <c r="I15" s="55">
        <f>LEN(Table134567[[#This Row],[Narration 1]])</f>
        <v>20</v>
      </c>
    </row>
    <row r="16" spans="2:12" x14ac:dyDescent="0.25">
      <c r="B16" s="55" t="s">
        <v>1</v>
      </c>
      <c r="C16" s="55" t="s">
        <v>2</v>
      </c>
      <c r="D16" s="56">
        <v>-5259.5150000000003</v>
      </c>
      <c r="E16" s="62" t="s">
        <v>189</v>
      </c>
      <c r="F16" s="61" t="s">
        <v>189</v>
      </c>
      <c r="G16" s="61" t="s">
        <v>189</v>
      </c>
      <c r="I16" s="55">
        <f>LEN(Table134567[[#This Row],[Narration 1]])</f>
        <v>1</v>
      </c>
    </row>
    <row r="17" spans="2:9" x14ac:dyDescent="0.25">
      <c r="B17" s="55" t="s">
        <v>5</v>
      </c>
      <c r="C17" s="55" t="s">
        <v>89</v>
      </c>
      <c r="D17" s="56">
        <v>489.82</v>
      </c>
      <c r="E17" s="55" t="s">
        <v>163</v>
      </c>
      <c r="F17" s="55" t="s">
        <v>162</v>
      </c>
      <c r="G17" s="61" t="s">
        <v>189</v>
      </c>
      <c r="I17" s="55">
        <f>LEN(Table134567[[#This Row],[Narration 1]])</f>
        <v>15</v>
      </c>
    </row>
    <row r="18" spans="2:9" x14ac:dyDescent="0.25">
      <c r="B18" s="55" t="s">
        <v>5</v>
      </c>
      <c r="C18" s="55" t="s">
        <v>91</v>
      </c>
      <c r="D18" s="56">
        <v>489.82</v>
      </c>
      <c r="E18" s="55" t="s">
        <v>163</v>
      </c>
      <c r="F18" s="55" t="s">
        <v>162</v>
      </c>
      <c r="G18" s="61" t="s">
        <v>189</v>
      </c>
      <c r="I18" s="55">
        <f>LEN(Table134567[[#This Row],[Narration 1]])</f>
        <v>15</v>
      </c>
    </row>
    <row r="19" spans="2:9" x14ac:dyDescent="0.25">
      <c r="B19" s="55" t="s">
        <v>5</v>
      </c>
      <c r="C19" s="55" t="s">
        <v>92</v>
      </c>
      <c r="D19" s="56">
        <v>489.82</v>
      </c>
      <c r="E19" s="55" t="s">
        <v>163</v>
      </c>
      <c r="F19" s="55" t="s">
        <v>162</v>
      </c>
      <c r="G19" s="61" t="s">
        <v>189</v>
      </c>
      <c r="I19" s="55">
        <f>LEN(Table134567[[#This Row],[Narration 1]])</f>
        <v>15</v>
      </c>
    </row>
    <row r="20" spans="2:9" x14ac:dyDescent="0.25">
      <c r="B20" s="55" t="s">
        <v>5</v>
      </c>
      <c r="C20" s="55" t="s">
        <v>90</v>
      </c>
      <c r="D20" s="56">
        <v>489.82</v>
      </c>
      <c r="E20" s="55" t="s">
        <v>163</v>
      </c>
      <c r="F20" s="55" t="s">
        <v>162</v>
      </c>
      <c r="G20" s="61" t="s">
        <v>189</v>
      </c>
      <c r="I20" s="55">
        <f>LEN(Table134567[[#This Row],[Narration 1]])</f>
        <v>15</v>
      </c>
    </row>
    <row r="21" spans="2:9" x14ac:dyDescent="0.25">
      <c r="B21" s="55" t="s">
        <v>1</v>
      </c>
      <c r="C21" s="55" t="s">
        <v>2</v>
      </c>
      <c r="D21" s="56">
        <v>-1959.28</v>
      </c>
      <c r="E21" s="62" t="s">
        <v>189</v>
      </c>
      <c r="F21" s="61" t="s">
        <v>189</v>
      </c>
      <c r="G21" s="61" t="s">
        <v>189</v>
      </c>
      <c r="I21" s="55">
        <f>LEN(Table134567[[#This Row],[Narration 1]])</f>
        <v>1</v>
      </c>
    </row>
    <row r="22" spans="2:9" x14ac:dyDescent="0.25">
      <c r="B22" s="57"/>
      <c r="C22" s="57"/>
      <c r="D22" s="58"/>
      <c r="E22" s="57"/>
      <c r="F22" s="57"/>
      <c r="G22" s="57"/>
      <c r="I22" s="55">
        <f>LEN(Table134567[[#This Row],[Narration 1]])</f>
        <v>0</v>
      </c>
    </row>
    <row r="23" spans="2:9" x14ac:dyDescent="0.25">
      <c r="B23" s="55" t="s">
        <v>5</v>
      </c>
      <c r="C23" s="55" t="s">
        <v>170</v>
      </c>
      <c r="D23" s="56">
        <v>20446.830000000002</v>
      </c>
      <c r="E23" s="55" t="s">
        <v>172</v>
      </c>
      <c r="F23" s="62" t="s">
        <v>215</v>
      </c>
      <c r="G23" s="61" t="s">
        <v>189</v>
      </c>
      <c r="I23" s="55">
        <f>LEN(Table134567[[#This Row],[Narration 1]])</f>
        <v>32</v>
      </c>
    </row>
    <row r="24" spans="2:9" x14ac:dyDescent="0.25">
      <c r="B24" s="55" t="s">
        <v>5</v>
      </c>
      <c r="C24" s="55" t="s">
        <v>171</v>
      </c>
      <c r="D24" s="56">
        <v>-20446.830000000002</v>
      </c>
      <c r="E24" s="62" t="s">
        <v>189</v>
      </c>
      <c r="F24" s="61" t="s">
        <v>189</v>
      </c>
      <c r="G24" s="61" t="s">
        <v>189</v>
      </c>
      <c r="I24" s="55">
        <f>LEN(Table134567[[#This Row],[Narration 1]])</f>
        <v>1</v>
      </c>
    </row>
    <row r="25" spans="2:9" x14ac:dyDescent="0.25">
      <c r="B25" s="57"/>
      <c r="C25" s="57"/>
      <c r="D25" s="58"/>
      <c r="E25" s="57"/>
      <c r="F25" s="57"/>
      <c r="G25" s="57"/>
      <c r="I25" s="55">
        <f>LEN(Table134567[[#This Row],[Narration 1]])</f>
        <v>0</v>
      </c>
    </row>
    <row r="26" spans="2:9" x14ac:dyDescent="0.25">
      <c r="B26" s="55" t="s">
        <v>5</v>
      </c>
      <c r="C26" s="55" t="s">
        <v>144</v>
      </c>
      <c r="D26" s="56">
        <v>4194.75</v>
      </c>
      <c r="E26" s="62" t="s">
        <v>196</v>
      </c>
      <c r="F26" s="62" t="s">
        <v>214</v>
      </c>
      <c r="G26" s="61" t="s">
        <v>189</v>
      </c>
      <c r="I26" s="55">
        <f>LEN(Table134567[[#This Row],[Narration 1]])</f>
        <v>16</v>
      </c>
    </row>
    <row r="27" spans="2:9" x14ac:dyDescent="0.25">
      <c r="B27" s="55" t="s">
        <v>5</v>
      </c>
      <c r="C27" s="55" t="s">
        <v>142</v>
      </c>
      <c r="D27" s="56">
        <v>-4194.75</v>
      </c>
      <c r="E27" s="62" t="s">
        <v>189</v>
      </c>
      <c r="F27" s="61" t="s">
        <v>189</v>
      </c>
      <c r="G27" s="61" t="s">
        <v>189</v>
      </c>
      <c r="I27" s="55">
        <f>LEN(Table134567[[#This Row],[Narration 1]])</f>
        <v>1</v>
      </c>
    </row>
    <row r="28" spans="2:9" x14ac:dyDescent="0.25">
      <c r="B28" s="57"/>
      <c r="C28" s="57"/>
      <c r="D28" s="58"/>
      <c r="E28" s="57"/>
      <c r="F28" s="57"/>
      <c r="G28" s="57"/>
      <c r="I28" s="55">
        <f>LEN(Table134567[[#This Row],[Narration 1]])</f>
        <v>0</v>
      </c>
    </row>
    <row r="29" spans="2:9" x14ac:dyDescent="0.25">
      <c r="B29" s="55" t="s">
        <v>5</v>
      </c>
      <c r="C29" s="55" t="s">
        <v>145</v>
      </c>
      <c r="D29" s="56">
        <v>9691.67</v>
      </c>
      <c r="E29" s="55" t="s">
        <v>147</v>
      </c>
      <c r="F29" s="62" t="s">
        <v>212</v>
      </c>
      <c r="G29" s="61" t="s">
        <v>189</v>
      </c>
      <c r="I29" s="55">
        <f>LEN(Table134567[[#This Row],[Narration 1]])</f>
        <v>30</v>
      </c>
    </row>
    <row r="30" spans="2:9" x14ac:dyDescent="0.25">
      <c r="B30" s="55" t="s">
        <v>5</v>
      </c>
      <c r="C30" s="55" t="s">
        <v>146</v>
      </c>
      <c r="D30" s="56">
        <v>-9691.67</v>
      </c>
      <c r="E30" s="62" t="s">
        <v>189</v>
      </c>
      <c r="F30" s="61" t="s">
        <v>189</v>
      </c>
      <c r="G30" s="61" t="s">
        <v>189</v>
      </c>
      <c r="I30" s="55">
        <f>LEN(Table134567[[#This Row],[Narration 1]])</f>
        <v>1</v>
      </c>
    </row>
    <row r="31" spans="2:9" x14ac:dyDescent="0.25">
      <c r="B31" s="62" t="s">
        <v>5</v>
      </c>
      <c r="C31" s="70" t="s">
        <v>192</v>
      </c>
      <c r="D31" s="56">
        <v>5051.83</v>
      </c>
      <c r="E31" s="62" t="s">
        <v>193</v>
      </c>
      <c r="F31" s="62" t="s">
        <v>211</v>
      </c>
      <c r="G31" s="72" t="s">
        <v>189</v>
      </c>
      <c r="I31" s="55">
        <f>LEN(Table134567[[#This Row],[Narration 1]])</f>
        <v>28</v>
      </c>
    </row>
    <row r="32" spans="2:9" x14ac:dyDescent="0.25">
      <c r="B32" s="55" t="s">
        <v>5</v>
      </c>
      <c r="C32" s="55" t="s">
        <v>146</v>
      </c>
      <c r="D32" s="56">
        <v>-5051.83</v>
      </c>
      <c r="E32" s="62" t="s">
        <v>189</v>
      </c>
      <c r="F32" s="62" t="s">
        <v>189</v>
      </c>
      <c r="G32" s="72" t="s">
        <v>189</v>
      </c>
      <c r="I32" s="55">
        <f>LEN(Table134567[[#This Row],[Narration 1]])</f>
        <v>1</v>
      </c>
    </row>
    <row r="33" spans="1:9" x14ac:dyDescent="0.25">
      <c r="B33" s="72" t="s">
        <v>5</v>
      </c>
      <c r="C33" s="55" t="s">
        <v>236</v>
      </c>
      <c r="D33" s="56">
        <v>8535</v>
      </c>
      <c r="E33" s="72" t="s">
        <v>238</v>
      </c>
      <c r="F33" s="62" t="s">
        <v>237</v>
      </c>
      <c r="G33" s="72" t="s">
        <v>189</v>
      </c>
      <c r="I33" s="55">
        <f>LEN(Table134567[[#This Row],[Narration 1]])</f>
        <v>33</v>
      </c>
    </row>
    <row r="34" spans="1:9" x14ac:dyDescent="0.25">
      <c r="B34" s="72" t="s">
        <v>5</v>
      </c>
      <c r="C34" s="55" t="s">
        <v>146</v>
      </c>
      <c r="D34" s="56">
        <v>-8535</v>
      </c>
      <c r="E34" s="72" t="s">
        <v>189</v>
      </c>
      <c r="F34" s="72" t="s">
        <v>189</v>
      </c>
      <c r="G34" s="72" t="s">
        <v>189</v>
      </c>
      <c r="I34" s="55">
        <f>LEN(Table134567[[#This Row],[Narration 1]])</f>
        <v>1</v>
      </c>
    </row>
    <row r="35" spans="1:9" x14ac:dyDescent="0.25">
      <c r="B35" s="57"/>
      <c r="C35" s="57"/>
      <c r="D35" s="58"/>
      <c r="E35" s="57"/>
      <c r="F35" s="57"/>
      <c r="G35" s="57"/>
      <c r="I35" s="55">
        <f>LEN(Table134567[[#This Row],[Narration 1]])</f>
        <v>0</v>
      </c>
    </row>
    <row r="36" spans="1:9" x14ac:dyDescent="0.25">
      <c r="B36" s="55" t="s">
        <v>5</v>
      </c>
      <c r="C36" s="55" t="s">
        <v>39</v>
      </c>
      <c r="D36" s="56">
        <v>8431.4</v>
      </c>
      <c r="E36" s="55" t="s">
        <v>151</v>
      </c>
      <c r="F36" s="62" t="s">
        <v>210</v>
      </c>
      <c r="G36" s="61" t="s">
        <v>189</v>
      </c>
      <c r="I36" s="55">
        <f>LEN(Table134567[[#This Row],[Narration 1]])</f>
        <v>29</v>
      </c>
    </row>
    <row r="37" spans="1:9" x14ac:dyDescent="0.25">
      <c r="B37" s="55" t="s">
        <v>5</v>
      </c>
      <c r="C37" s="55" t="s">
        <v>150</v>
      </c>
      <c r="D37" s="56">
        <v>-8431.4</v>
      </c>
      <c r="E37" s="62" t="s">
        <v>189</v>
      </c>
      <c r="F37" s="61" t="s">
        <v>189</v>
      </c>
      <c r="G37" s="61" t="s">
        <v>189</v>
      </c>
      <c r="I37" s="55">
        <f>LEN(Table134567[[#This Row],[Narration 1]])</f>
        <v>1</v>
      </c>
    </row>
    <row r="38" spans="1:9" x14ac:dyDescent="0.25">
      <c r="B38" s="57"/>
      <c r="C38" s="57"/>
      <c r="D38" s="58"/>
      <c r="E38" s="57"/>
      <c r="F38" s="57"/>
      <c r="G38" s="57"/>
      <c r="I38" s="55">
        <f>LEN(Table134567[[#This Row],[Narration 1]])</f>
        <v>0</v>
      </c>
    </row>
    <row r="39" spans="1:9" x14ac:dyDescent="0.25">
      <c r="B39" s="55" t="s">
        <v>5</v>
      </c>
      <c r="C39" s="55" t="s">
        <v>7</v>
      </c>
      <c r="D39" s="56">
        <v>7143.75</v>
      </c>
      <c r="E39" s="62" t="s">
        <v>197</v>
      </c>
      <c r="F39" s="62" t="s">
        <v>209</v>
      </c>
      <c r="G39" s="61" t="s">
        <v>189</v>
      </c>
      <c r="I39" s="55">
        <f>LEN(Table134567[[#This Row],[Narration 1]])</f>
        <v>22</v>
      </c>
    </row>
    <row r="40" spans="1:9" x14ac:dyDescent="0.25">
      <c r="B40" s="55" t="s">
        <v>5</v>
      </c>
      <c r="C40" s="55" t="s">
        <v>6</v>
      </c>
      <c r="D40" s="56">
        <v>-7143.75</v>
      </c>
      <c r="E40" s="62" t="s">
        <v>189</v>
      </c>
      <c r="F40" s="61" t="s">
        <v>189</v>
      </c>
      <c r="G40" s="61" t="s">
        <v>189</v>
      </c>
      <c r="I40" s="55">
        <f>LEN(Table134567[[#This Row],[Narration 1]])</f>
        <v>1</v>
      </c>
    </row>
    <row r="41" spans="1:9" x14ac:dyDescent="0.25">
      <c r="B41" s="55" t="s">
        <v>5</v>
      </c>
      <c r="C41" s="55" t="s">
        <v>62</v>
      </c>
      <c r="D41" s="56">
        <v>2646.25</v>
      </c>
      <c r="E41" s="62" t="s">
        <v>198</v>
      </c>
      <c r="F41" s="62" t="s">
        <v>206</v>
      </c>
      <c r="G41" s="61" t="s">
        <v>189</v>
      </c>
      <c r="I41" s="55">
        <f>LEN(Table134567[[#This Row],[Narration 1]])</f>
        <v>9</v>
      </c>
    </row>
    <row r="42" spans="1:9" x14ac:dyDescent="0.25">
      <c r="B42" s="55" t="s">
        <v>5</v>
      </c>
      <c r="C42" s="55" t="s">
        <v>6</v>
      </c>
      <c r="D42" s="56">
        <v>-2646.25</v>
      </c>
      <c r="E42" s="62" t="s">
        <v>189</v>
      </c>
      <c r="F42" s="61" t="s">
        <v>189</v>
      </c>
      <c r="G42" s="61" t="s">
        <v>189</v>
      </c>
      <c r="I42" s="55">
        <f>LEN(Table134567[[#This Row],[Narration 1]])</f>
        <v>1</v>
      </c>
    </row>
    <row r="43" spans="1:9" x14ac:dyDescent="0.25">
      <c r="B43" s="55" t="s">
        <v>5</v>
      </c>
      <c r="C43" s="55" t="s">
        <v>62</v>
      </c>
      <c r="D43" s="56">
        <v>3794.42</v>
      </c>
      <c r="E43" s="62" t="s">
        <v>199</v>
      </c>
      <c r="F43" s="62" t="s">
        <v>200</v>
      </c>
      <c r="G43" s="61" t="s">
        <v>189</v>
      </c>
      <c r="I43" s="55">
        <f>LEN(Table134567[[#This Row],[Narration 1]])</f>
        <v>14</v>
      </c>
    </row>
    <row r="44" spans="1:9" x14ac:dyDescent="0.25">
      <c r="B44" s="55" t="s">
        <v>5</v>
      </c>
      <c r="C44" s="55" t="s">
        <v>6</v>
      </c>
      <c r="D44" s="56">
        <v>-3794.42</v>
      </c>
      <c r="E44" s="62" t="s">
        <v>189</v>
      </c>
      <c r="F44" s="61" t="s">
        <v>189</v>
      </c>
      <c r="G44" s="61" t="s">
        <v>189</v>
      </c>
      <c r="I44" s="55">
        <f>LEN(Table134567[[#This Row],[Narration 1]])</f>
        <v>1</v>
      </c>
    </row>
    <row r="45" spans="1:9" x14ac:dyDescent="0.25">
      <c r="B45" s="55" t="s">
        <v>5</v>
      </c>
      <c r="C45" s="55" t="s">
        <v>62</v>
      </c>
      <c r="D45" s="56">
        <v>32945.33</v>
      </c>
      <c r="E45" s="62" t="s">
        <v>202</v>
      </c>
      <c r="F45" s="62" t="s">
        <v>204</v>
      </c>
      <c r="G45" s="61" t="s">
        <v>189</v>
      </c>
      <c r="I45" s="55">
        <f>LEN(Table134567[[#This Row],[Narration 1]])</f>
        <v>15</v>
      </c>
    </row>
    <row r="46" spans="1:9" x14ac:dyDescent="0.25">
      <c r="B46" s="55" t="s">
        <v>5</v>
      </c>
      <c r="C46" s="55" t="s">
        <v>6</v>
      </c>
      <c r="D46" s="56">
        <v>-32945.33</v>
      </c>
      <c r="E46" s="62" t="s">
        <v>189</v>
      </c>
      <c r="F46" s="61" t="s">
        <v>189</v>
      </c>
      <c r="G46" s="61" t="s">
        <v>189</v>
      </c>
      <c r="I46" s="55">
        <f>LEN(Table134567[[#This Row],[Narration 1]])</f>
        <v>1</v>
      </c>
    </row>
    <row r="47" spans="1:9" x14ac:dyDescent="0.25">
      <c r="B47" s="62" t="s">
        <v>5</v>
      </c>
      <c r="C47" s="55" t="s">
        <v>62</v>
      </c>
      <c r="D47" s="56">
        <v>2093</v>
      </c>
      <c r="E47" s="62" t="s">
        <v>229</v>
      </c>
      <c r="F47" s="62" t="s">
        <v>228</v>
      </c>
      <c r="G47" s="72" t="s">
        <v>189</v>
      </c>
      <c r="I47" s="55">
        <f>LEN(Table134567[[#This Row],[Narration 1]])</f>
        <v>22</v>
      </c>
    </row>
    <row r="48" spans="1:9" x14ac:dyDescent="0.25">
      <c r="A48" s="80" t="s">
        <v>243</v>
      </c>
      <c r="B48" s="55" t="s">
        <v>5</v>
      </c>
      <c r="C48" s="55" t="s">
        <v>6</v>
      </c>
      <c r="D48" s="56">
        <v>-2093</v>
      </c>
      <c r="E48" s="62" t="s">
        <v>189</v>
      </c>
      <c r="F48" s="62" t="s">
        <v>189</v>
      </c>
      <c r="G48" s="72" t="s">
        <v>189</v>
      </c>
      <c r="I48" s="55">
        <f>LEN(Table134567[[#This Row],[Narration 1]])</f>
        <v>1</v>
      </c>
    </row>
    <row r="49" spans="2:9" x14ac:dyDescent="0.25">
      <c r="B49" s="57"/>
      <c r="C49" s="57"/>
      <c r="D49" s="58"/>
      <c r="E49" s="57"/>
      <c r="F49" s="57"/>
      <c r="G49" s="57"/>
      <c r="I49" s="55">
        <f>LEN(Table134567[[#This Row],[Narration 1]])</f>
        <v>0</v>
      </c>
    </row>
    <row r="50" spans="2:9" x14ac:dyDescent="0.25">
      <c r="B50" s="55" t="s">
        <v>5</v>
      </c>
      <c r="C50" s="61" t="s">
        <v>187</v>
      </c>
      <c r="D50" s="56">
        <v>4206.67</v>
      </c>
      <c r="E50" s="55" t="s">
        <v>188</v>
      </c>
      <c r="F50" s="62" t="s">
        <v>231</v>
      </c>
      <c r="G50" s="61" t="s">
        <v>189</v>
      </c>
      <c r="I50" s="55">
        <f>LEN(Table134567[[#This Row],[Narration 1]])</f>
        <v>25</v>
      </c>
    </row>
    <row r="51" spans="2:9" x14ac:dyDescent="0.25">
      <c r="B51" s="55" t="s">
        <v>5</v>
      </c>
      <c r="C51" s="55" t="s">
        <v>186</v>
      </c>
      <c r="D51" s="56">
        <v>-4206.67</v>
      </c>
      <c r="E51" s="62" t="s">
        <v>189</v>
      </c>
      <c r="F51" s="61" t="s">
        <v>189</v>
      </c>
      <c r="G51" s="61" t="s">
        <v>189</v>
      </c>
      <c r="I51" s="55">
        <f>LEN(Table134567[[#This Row],[Narration 1]])</f>
        <v>1</v>
      </c>
    </row>
    <row r="52" spans="2:9" x14ac:dyDescent="0.25">
      <c r="D52" s="56"/>
    </row>
    <row r="53" spans="2:9" ht="15.75" thickBot="1" x14ac:dyDescent="0.3">
      <c r="D53" s="75">
        <f>SUMIF(Table134567[Amount],"&gt;0")</f>
        <v>118104.33166666667</v>
      </c>
    </row>
    <row r="54" spans="2:9" ht="15.75" thickTop="1" x14ac:dyDescent="0.25"/>
  </sheetData>
  <conditionalFormatting sqref="I4:I64">
    <cfRule type="cellIs" dxfId="16" priority="1" operator="greaterThan">
      <formula>33</formula>
    </cfRule>
  </conditionalFormatting>
  <hyperlinks>
    <hyperlink ref="B1" r:id="rId1" xr:uid="{0F423C6C-896E-428A-8ECA-FC097F53BF2C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D671-EDBF-4394-B6DA-6E49794A1F40}">
  <sheetPr>
    <tabColor theme="5" tint="0.59999389629810485"/>
  </sheetPr>
  <dimension ref="B1:J54"/>
  <sheetViews>
    <sheetView workbookViewId="0">
      <selection activeCell="B2" sqref="B2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0" x14ac:dyDescent="0.25">
      <c r="B1" s="59" t="s">
        <v>185</v>
      </c>
      <c r="F1" s="69" t="s">
        <v>233</v>
      </c>
      <c r="G1" s="73">
        <v>1212448</v>
      </c>
      <c r="I1" s="67"/>
      <c r="J1" s="62" t="s">
        <v>230</v>
      </c>
    </row>
    <row r="2" spans="2:10" x14ac:dyDescent="0.25">
      <c r="F2" s="69" t="s">
        <v>234</v>
      </c>
      <c r="G2" s="68" t="s">
        <v>241</v>
      </c>
    </row>
    <row r="3" spans="2:10" x14ac:dyDescent="0.25">
      <c r="B3" s="60" t="s">
        <v>178</v>
      </c>
      <c r="C3" s="60" t="s">
        <v>179</v>
      </c>
      <c r="D3" s="60" t="s">
        <v>180</v>
      </c>
      <c r="E3" s="60" t="s">
        <v>181</v>
      </c>
      <c r="F3" s="60" t="s">
        <v>182</v>
      </c>
      <c r="G3" s="60" t="s">
        <v>183</v>
      </c>
      <c r="I3" s="61"/>
    </row>
    <row r="4" spans="2:10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62" t="s">
        <v>218</v>
      </c>
      <c r="G4" s="62" t="s">
        <v>232</v>
      </c>
      <c r="I4" s="55">
        <f>LEN(Table13456[[#This Row],[Narrtaion 1]])</f>
        <v>24</v>
      </c>
    </row>
    <row r="5" spans="2:10" x14ac:dyDescent="0.25">
      <c r="B5" s="55" t="s">
        <v>5</v>
      </c>
      <c r="C5" s="55" t="s">
        <v>155</v>
      </c>
      <c r="D5" s="56">
        <v>-1704.63666666667</v>
      </c>
      <c r="E5" s="62" t="s">
        <v>189</v>
      </c>
      <c r="F5" s="61" t="s">
        <v>189</v>
      </c>
      <c r="G5" s="61" t="s">
        <v>189</v>
      </c>
      <c r="I5" s="55">
        <f>LEN(Table13456[[#This Row],[Narrtaion 1]])</f>
        <v>1</v>
      </c>
    </row>
    <row r="6" spans="2:10" x14ac:dyDescent="0.25">
      <c r="B6" s="57"/>
      <c r="C6" s="57"/>
      <c r="D6" s="58"/>
      <c r="E6" s="57"/>
      <c r="F6" s="57"/>
      <c r="G6" s="57"/>
      <c r="I6" s="55">
        <f>LEN(Table13456[[#This Row],[Narrtaion 1]])</f>
        <v>0</v>
      </c>
    </row>
    <row r="7" spans="2:10" x14ac:dyDescent="0.25">
      <c r="B7" s="55" t="s">
        <v>5</v>
      </c>
      <c r="C7" s="55" t="s">
        <v>125</v>
      </c>
      <c r="D7" s="56">
        <v>591.69583333333333</v>
      </c>
      <c r="E7" s="55" t="s">
        <v>126</v>
      </c>
      <c r="F7" s="55" t="s">
        <v>127</v>
      </c>
      <c r="G7" s="61" t="s">
        <v>189</v>
      </c>
      <c r="I7" s="55">
        <f>LEN(Table13456[[#This Row],[Narrtaion 1]])</f>
        <v>20</v>
      </c>
    </row>
    <row r="8" spans="2:10" x14ac:dyDescent="0.25">
      <c r="B8" s="55" t="s">
        <v>5</v>
      </c>
      <c r="C8" s="55" t="s">
        <v>128</v>
      </c>
      <c r="D8" s="56">
        <v>902.00666666666666</v>
      </c>
      <c r="E8" s="55" t="s">
        <v>126</v>
      </c>
      <c r="F8" s="55" t="s">
        <v>127</v>
      </c>
      <c r="G8" s="61" t="s">
        <v>189</v>
      </c>
      <c r="I8" s="55">
        <f>LEN(Table13456[[#This Row],[Narrtaion 1]])</f>
        <v>20</v>
      </c>
    </row>
    <row r="9" spans="2:10" x14ac:dyDescent="0.25">
      <c r="B9" s="55" t="s">
        <v>5</v>
      </c>
      <c r="C9" s="55" t="s">
        <v>129</v>
      </c>
      <c r="D9" s="56">
        <v>633.77083333333337</v>
      </c>
      <c r="E9" s="55" t="s">
        <v>126</v>
      </c>
      <c r="F9" s="55" t="s">
        <v>127</v>
      </c>
      <c r="G9" s="61" t="s">
        <v>189</v>
      </c>
      <c r="I9" s="55">
        <f>LEN(Table13456[[#This Row],[Narrtaion 1]])</f>
        <v>20</v>
      </c>
    </row>
    <row r="10" spans="2:10" x14ac:dyDescent="0.25">
      <c r="B10" s="55" t="s">
        <v>5</v>
      </c>
      <c r="C10" s="55" t="s">
        <v>130</v>
      </c>
      <c r="D10" s="56">
        <v>633.77083333333337</v>
      </c>
      <c r="E10" s="55" t="s">
        <v>126</v>
      </c>
      <c r="F10" s="55" t="s">
        <v>127</v>
      </c>
      <c r="G10" s="61" t="s">
        <v>189</v>
      </c>
      <c r="I10" s="55">
        <f>LEN(Table13456[[#This Row],[Narrtaion 1]])</f>
        <v>20</v>
      </c>
    </row>
    <row r="11" spans="2:10" x14ac:dyDescent="0.25">
      <c r="B11" s="55" t="s">
        <v>5</v>
      </c>
      <c r="C11" s="55" t="s">
        <v>131</v>
      </c>
      <c r="D11" s="56">
        <v>284.01333333333332</v>
      </c>
      <c r="E11" s="55" t="s">
        <v>126</v>
      </c>
      <c r="F11" s="55" t="s">
        <v>127</v>
      </c>
      <c r="G11" s="61" t="s">
        <v>189</v>
      </c>
      <c r="I11" s="55">
        <f>LEN(Table13456[[#This Row],[Narrtaion 1]])</f>
        <v>20</v>
      </c>
    </row>
    <row r="12" spans="2:10" x14ac:dyDescent="0.25">
      <c r="B12" s="55" t="s">
        <v>5</v>
      </c>
      <c r="C12" s="55" t="s">
        <v>132</v>
      </c>
      <c r="D12" s="56">
        <v>360.27666666666664</v>
      </c>
      <c r="E12" s="55" t="s">
        <v>126</v>
      </c>
      <c r="F12" s="55" t="s">
        <v>127</v>
      </c>
      <c r="G12" s="61" t="s">
        <v>189</v>
      </c>
      <c r="I12" s="55">
        <f>LEN(Table13456[[#This Row],[Narrtaion 1]])</f>
        <v>20</v>
      </c>
    </row>
    <row r="13" spans="2:10" x14ac:dyDescent="0.25">
      <c r="B13" s="55" t="s">
        <v>5</v>
      </c>
      <c r="C13" s="55" t="s">
        <v>133</v>
      </c>
      <c r="D13" s="56">
        <v>281.38416666666666</v>
      </c>
      <c r="E13" s="55" t="s">
        <v>126</v>
      </c>
      <c r="F13" s="55" t="s">
        <v>127</v>
      </c>
      <c r="G13" s="61" t="s">
        <v>189</v>
      </c>
      <c r="I13" s="55">
        <f>LEN(Table13456[[#This Row],[Narrtaion 1]])</f>
        <v>20</v>
      </c>
    </row>
    <row r="14" spans="2:10" x14ac:dyDescent="0.25">
      <c r="B14" s="55" t="s">
        <v>5</v>
      </c>
      <c r="C14" s="55" t="s">
        <v>134</v>
      </c>
      <c r="D14" s="56">
        <v>1364.8458333333333</v>
      </c>
      <c r="E14" s="55" t="s">
        <v>126</v>
      </c>
      <c r="F14" s="55" t="s">
        <v>127</v>
      </c>
      <c r="G14" s="61" t="s">
        <v>189</v>
      </c>
      <c r="I14" s="55">
        <f>LEN(Table13456[[#This Row],[Narrtaion 1]])</f>
        <v>20</v>
      </c>
    </row>
    <row r="15" spans="2:10" x14ac:dyDescent="0.25">
      <c r="B15" s="55" t="s">
        <v>5</v>
      </c>
      <c r="C15" s="55" t="s">
        <v>135</v>
      </c>
      <c r="D15" s="56">
        <v>207.75083333333336</v>
      </c>
      <c r="E15" s="55" t="s">
        <v>126</v>
      </c>
      <c r="F15" s="55" t="s">
        <v>127</v>
      </c>
      <c r="G15" s="61" t="s">
        <v>189</v>
      </c>
      <c r="I15" s="55">
        <f>LEN(Table13456[[#This Row],[Narrtaion 1]])</f>
        <v>20</v>
      </c>
    </row>
    <row r="16" spans="2:10" x14ac:dyDescent="0.25">
      <c r="B16" s="55" t="s">
        <v>1</v>
      </c>
      <c r="C16" s="55" t="s">
        <v>2</v>
      </c>
      <c r="D16" s="56">
        <v>-5259.5150000000003</v>
      </c>
      <c r="E16" s="62" t="s">
        <v>189</v>
      </c>
      <c r="F16" s="61" t="s">
        <v>189</v>
      </c>
      <c r="G16" s="61" t="s">
        <v>189</v>
      </c>
      <c r="I16" s="55">
        <f>LEN(Table13456[[#This Row],[Narrtaion 1]])</f>
        <v>1</v>
      </c>
    </row>
    <row r="17" spans="2:9" x14ac:dyDescent="0.25">
      <c r="B17" s="55" t="s">
        <v>5</v>
      </c>
      <c r="C17" s="55" t="s">
        <v>89</v>
      </c>
      <c r="D17" s="56">
        <v>489.82</v>
      </c>
      <c r="E17" s="55" t="s">
        <v>163</v>
      </c>
      <c r="F17" s="55" t="s">
        <v>162</v>
      </c>
      <c r="G17" s="61" t="s">
        <v>189</v>
      </c>
      <c r="I17" s="55">
        <f>LEN(Table13456[[#This Row],[Narrtaion 1]])</f>
        <v>15</v>
      </c>
    </row>
    <row r="18" spans="2:9" x14ac:dyDescent="0.25">
      <c r="B18" s="55" t="s">
        <v>5</v>
      </c>
      <c r="C18" s="55" t="s">
        <v>91</v>
      </c>
      <c r="D18" s="56">
        <v>489.82</v>
      </c>
      <c r="E18" s="55" t="s">
        <v>163</v>
      </c>
      <c r="F18" s="55" t="s">
        <v>162</v>
      </c>
      <c r="G18" s="61" t="s">
        <v>189</v>
      </c>
      <c r="I18" s="55">
        <f>LEN(Table13456[[#This Row],[Narrtaion 1]])</f>
        <v>15</v>
      </c>
    </row>
    <row r="19" spans="2:9" x14ac:dyDescent="0.25">
      <c r="B19" s="55" t="s">
        <v>5</v>
      </c>
      <c r="C19" s="55" t="s">
        <v>92</v>
      </c>
      <c r="D19" s="56">
        <v>489.82</v>
      </c>
      <c r="E19" s="55" t="s">
        <v>163</v>
      </c>
      <c r="F19" s="55" t="s">
        <v>162</v>
      </c>
      <c r="G19" s="61" t="s">
        <v>189</v>
      </c>
      <c r="I19" s="55">
        <f>LEN(Table13456[[#This Row],[Narrtaion 1]])</f>
        <v>15</v>
      </c>
    </row>
    <row r="20" spans="2:9" x14ac:dyDescent="0.25">
      <c r="B20" s="55" t="s">
        <v>5</v>
      </c>
      <c r="C20" s="55" t="s">
        <v>90</v>
      </c>
      <c r="D20" s="56">
        <v>489.82</v>
      </c>
      <c r="E20" s="55" t="s">
        <v>163</v>
      </c>
      <c r="F20" s="55" t="s">
        <v>162</v>
      </c>
      <c r="G20" s="61" t="s">
        <v>189</v>
      </c>
      <c r="I20" s="55">
        <f>LEN(Table13456[[#This Row],[Narrtaion 1]])</f>
        <v>15</v>
      </c>
    </row>
    <row r="21" spans="2:9" x14ac:dyDescent="0.25">
      <c r="B21" s="55" t="s">
        <v>1</v>
      </c>
      <c r="C21" s="55" t="s">
        <v>2</v>
      </c>
      <c r="D21" s="56">
        <v>-1959.28</v>
      </c>
      <c r="E21" s="62" t="s">
        <v>189</v>
      </c>
      <c r="F21" s="61" t="s">
        <v>189</v>
      </c>
      <c r="G21" s="61" t="s">
        <v>189</v>
      </c>
      <c r="I21" s="55">
        <f>LEN(Table13456[[#This Row],[Narrtaion 1]])</f>
        <v>1</v>
      </c>
    </row>
    <row r="22" spans="2:9" x14ac:dyDescent="0.25">
      <c r="B22" s="57"/>
      <c r="C22" s="57"/>
      <c r="D22" s="58"/>
      <c r="E22" s="57"/>
      <c r="F22" s="57"/>
      <c r="G22" s="57"/>
      <c r="I22" s="55">
        <f>LEN(Table13456[[#This Row],[Narrtaion 1]])</f>
        <v>0</v>
      </c>
    </row>
    <row r="23" spans="2:9" x14ac:dyDescent="0.25">
      <c r="B23" s="55" t="s">
        <v>5</v>
      </c>
      <c r="C23" s="55" t="s">
        <v>170</v>
      </c>
      <c r="D23" s="56">
        <v>20446.830000000002</v>
      </c>
      <c r="E23" s="55" t="s">
        <v>172</v>
      </c>
      <c r="F23" s="62" t="s">
        <v>215</v>
      </c>
      <c r="G23" s="61" t="s">
        <v>189</v>
      </c>
      <c r="I23" s="55">
        <f>LEN(Table13456[[#This Row],[Narrtaion 1]])</f>
        <v>32</v>
      </c>
    </row>
    <row r="24" spans="2:9" x14ac:dyDescent="0.25">
      <c r="B24" s="55" t="s">
        <v>5</v>
      </c>
      <c r="C24" s="55" t="s">
        <v>171</v>
      </c>
      <c r="D24" s="56">
        <v>-20446.830000000002</v>
      </c>
      <c r="E24" s="62" t="s">
        <v>189</v>
      </c>
      <c r="F24" s="61" t="s">
        <v>189</v>
      </c>
      <c r="G24" s="61" t="s">
        <v>189</v>
      </c>
      <c r="I24" s="55">
        <f>LEN(Table13456[[#This Row],[Narrtaion 1]])</f>
        <v>1</v>
      </c>
    </row>
    <row r="25" spans="2:9" x14ac:dyDescent="0.25">
      <c r="B25" s="57"/>
      <c r="C25" s="57"/>
      <c r="D25" s="58"/>
      <c r="E25" s="57"/>
      <c r="F25" s="57"/>
      <c r="G25" s="57"/>
      <c r="I25" s="55">
        <f>LEN(Table13456[[#This Row],[Narrtaion 1]])</f>
        <v>0</v>
      </c>
    </row>
    <row r="26" spans="2:9" x14ac:dyDescent="0.25">
      <c r="B26" s="55" t="s">
        <v>5</v>
      </c>
      <c r="C26" s="55" t="s">
        <v>144</v>
      </c>
      <c r="D26" s="56">
        <v>4194.75</v>
      </c>
      <c r="E26" s="62" t="s">
        <v>196</v>
      </c>
      <c r="F26" s="62" t="s">
        <v>214</v>
      </c>
      <c r="G26" s="61" t="s">
        <v>189</v>
      </c>
      <c r="I26" s="55">
        <f>LEN(Table13456[[#This Row],[Narrtaion 1]])</f>
        <v>16</v>
      </c>
    </row>
    <row r="27" spans="2:9" x14ac:dyDescent="0.25">
      <c r="B27" s="55" t="s">
        <v>5</v>
      </c>
      <c r="C27" s="55" t="s">
        <v>142</v>
      </c>
      <c r="D27" s="56">
        <v>-4194.75</v>
      </c>
      <c r="E27" s="62" t="s">
        <v>189</v>
      </c>
      <c r="F27" s="61" t="s">
        <v>189</v>
      </c>
      <c r="G27" s="61" t="s">
        <v>189</v>
      </c>
      <c r="I27" s="55">
        <f>LEN(Table13456[[#This Row],[Narrtaion 1]])</f>
        <v>1</v>
      </c>
    </row>
    <row r="28" spans="2:9" x14ac:dyDescent="0.25">
      <c r="B28" s="57"/>
      <c r="C28" s="57"/>
      <c r="D28" s="58"/>
      <c r="E28" s="57"/>
      <c r="F28" s="57"/>
      <c r="G28" s="57"/>
      <c r="I28" s="55">
        <f>LEN(Table13456[[#This Row],[Narrtaion 1]])</f>
        <v>0</v>
      </c>
    </row>
    <row r="29" spans="2:9" x14ac:dyDescent="0.25">
      <c r="B29" s="55" t="s">
        <v>5</v>
      </c>
      <c r="C29" s="55" t="s">
        <v>145</v>
      </c>
      <c r="D29" s="56">
        <v>9691.67</v>
      </c>
      <c r="E29" s="55" t="s">
        <v>147</v>
      </c>
      <c r="F29" s="62" t="s">
        <v>212</v>
      </c>
      <c r="G29" s="61" t="s">
        <v>189</v>
      </c>
      <c r="I29" s="55">
        <f>LEN(Table13456[[#This Row],[Narrtaion 1]])</f>
        <v>30</v>
      </c>
    </row>
    <row r="30" spans="2:9" x14ac:dyDescent="0.25">
      <c r="B30" s="55" t="s">
        <v>5</v>
      </c>
      <c r="C30" s="55" t="s">
        <v>146</v>
      </c>
      <c r="D30" s="56">
        <v>-9691.67</v>
      </c>
      <c r="E30" s="62" t="s">
        <v>189</v>
      </c>
      <c r="F30" s="61" t="s">
        <v>189</v>
      </c>
      <c r="G30" s="61" t="s">
        <v>189</v>
      </c>
      <c r="I30" s="55">
        <f>LEN(Table13456[[#This Row],[Narrtaion 1]])</f>
        <v>1</v>
      </c>
    </row>
    <row r="31" spans="2:9" x14ac:dyDescent="0.25">
      <c r="B31" s="62" t="s">
        <v>5</v>
      </c>
      <c r="C31" s="70" t="s">
        <v>192</v>
      </c>
      <c r="D31" s="56">
        <v>5051.83</v>
      </c>
      <c r="E31" s="62" t="s">
        <v>193</v>
      </c>
      <c r="F31" s="62" t="s">
        <v>211</v>
      </c>
      <c r="G31" s="72" t="s">
        <v>189</v>
      </c>
      <c r="I31" s="55">
        <f>LEN(Table13456[[#This Row],[Narrtaion 1]])</f>
        <v>28</v>
      </c>
    </row>
    <row r="32" spans="2:9" x14ac:dyDescent="0.25">
      <c r="B32" s="55" t="s">
        <v>5</v>
      </c>
      <c r="C32" s="55" t="s">
        <v>146</v>
      </c>
      <c r="D32" s="56">
        <v>-5051.83</v>
      </c>
      <c r="E32" s="62" t="s">
        <v>189</v>
      </c>
      <c r="F32" s="62" t="s">
        <v>189</v>
      </c>
      <c r="G32" s="72" t="s">
        <v>189</v>
      </c>
      <c r="I32" s="55">
        <f>LEN(Table13456[[#This Row],[Narrtaion 1]])</f>
        <v>1</v>
      </c>
    </row>
    <row r="33" spans="2:9" x14ac:dyDescent="0.25">
      <c r="B33" s="71" t="s">
        <v>5</v>
      </c>
      <c r="C33" s="67" t="s">
        <v>236</v>
      </c>
      <c r="D33" s="65">
        <v>8535</v>
      </c>
      <c r="E33" s="71" t="s">
        <v>238</v>
      </c>
      <c r="F33" s="63" t="s">
        <v>237</v>
      </c>
      <c r="G33" s="71" t="s">
        <v>189</v>
      </c>
      <c r="I33" s="55">
        <f>LEN(Table13456[[#This Row],[Narrtaion 1]])</f>
        <v>33</v>
      </c>
    </row>
    <row r="34" spans="2:9" x14ac:dyDescent="0.25">
      <c r="B34" s="71" t="s">
        <v>5</v>
      </c>
      <c r="C34" s="67" t="s">
        <v>146</v>
      </c>
      <c r="D34" s="65">
        <v>-8535</v>
      </c>
      <c r="E34" s="71" t="s">
        <v>189</v>
      </c>
      <c r="F34" s="71" t="s">
        <v>189</v>
      </c>
      <c r="G34" s="71" t="s">
        <v>189</v>
      </c>
      <c r="I34" s="55">
        <f>LEN(Table13456[[#This Row],[Narrtaion 1]])</f>
        <v>1</v>
      </c>
    </row>
    <row r="35" spans="2:9" x14ac:dyDescent="0.25">
      <c r="B35" s="57"/>
      <c r="C35" s="57"/>
      <c r="D35" s="58"/>
      <c r="E35" s="57"/>
      <c r="F35" s="57"/>
      <c r="G35" s="57"/>
      <c r="I35" s="55">
        <f>LEN(Table13456[[#This Row],[Narrtaion 1]])</f>
        <v>0</v>
      </c>
    </row>
    <row r="36" spans="2:9" x14ac:dyDescent="0.25">
      <c r="B36" s="55" t="s">
        <v>5</v>
      </c>
      <c r="C36" s="55" t="s">
        <v>39</v>
      </c>
      <c r="D36" s="56">
        <v>8431.4</v>
      </c>
      <c r="E36" s="55" t="s">
        <v>151</v>
      </c>
      <c r="F36" s="62" t="s">
        <v>210</v>
      </c>
      <c r="G36" s="61" t="s">
        <v>189</v>
      </c>
      <c r="I36" s="55">
        <f>LEN(Table13456[[#This Row],[Narrtaion 1]])</f>
        <v>29</v>
      </c>
    </row>
    <row r="37" spans="2:9" x14ac:dyDescent="0.25">
      <c r="B37" s="55" t="s">
        <v>5</v>
      </c>
      <c r="C37" s="55" t="s">
        <v>150</v>
      </c>
      <c r="D37" s="56">
        <v>-8431.4</v>
      </c>
      <c r="E37" s="62" t="s">
        <v>189</v>
      </c>
      <c r="F37" s="61" t="s">
        <v>189</v>
      </c>
      <c r="G37" s="61" t="s">
        <v>189</v>
      </c>
      <c r="I37" s="55">
        <f>LEN(Table13456[[#This Row],[Narrtaion 1]])</f>
        <v>1</v>
      </c>
    </row>
    <row r="38" spans="2:9" x14ac:dyDescent="0.25">
      <c r="B38" s="57"/>
      <c r="C38" s="57"/>
      <c r="D38" s="58"/>
      <c r="E38" s="57"/>
      <c r="F38" s="57"/>
      <c r="G38" s="57"/>
      <c r="I38" s="55">
        <f>LEN(Table13456[[#This Row],[Narrtaion 1]])</f>
        <v>0</v>
      </c>
    </row>
    <row r="39" spans="2:9" x14ac:dyDescent="0.25">
      <c r="B39" s="55" t="s">
        <v>5</v>
      </c>
      <c r="C39" s="55" t="s">
        <v>7</v>
      </c>
      <c r="D39" s="56">
        <v>7143.75</v>
      </c>
      <c r="E39" s="62" t="s">
        <v>197</v>
      </c>
      <c r="F39" s="62" t="s">
        <v>209</v>
      </c>
      <c r="G39" s="61" t="s">
        <v>189</v>
      </c>
      <c r="I39" s="55">
        <f>LEN(Table13456[[#This Row],[Narrtaion 1]])</f>
        <v>22</v>
      </c>
    </row>
    <row r="40" spans="2:9" x14ac:dyDescent="0.25">
      <c r="B40" s="55" t="s">
        <v>5</v>
      </c>
      <c r="C40" s="55" t="s">
        <v>6</v>
      </c>
      <c r="D40" s="56">
        <v>-7143.75</v>
      </c>
      <c r="E40" s="62" t="s">
        <v>189</v>
      </c>
      <c r="F40" s="61" t="s">
        <v>189</v>
      </c>
      <c r="G40" s="61" t="s">
        <v>189</v>
      </c>
      <c r="I40" s="55">
        <f>LEN(Table13456[[#This Row],[Narrtaion 1]])</f>
        <v>1</v>
      </c>
    </row>
    <row r="41" spans="2:9" x14ac:dyDescent="0.25">
      <c r="B41" s="55" t="s">
        <v>5</v>
      </c>
      <c r="C41" s="55" t="s">
        <v>62</v>
      </c>
      <c r="D41" s="56">
        <v>2646.25</v>
      </c>
      <c r="E41" s="62" t="s">
        <v>198</v>
      </c>
      <c r="F41" s="62" t="s">
        <v>206</v>
      </c>
      <c r="G41" s="61" t="s">
        <v>189</v>
      </c>
      <c r="I41" s="55">
        <f>LEN(Table13456[[#This Row],[Narrtaion 1]])</f>
        <v>9</v>
      </c>
    </row>
    <row r="42" spans="2:9" x14ac:dyDescent="0.25">
      <c r="B42" s="55" t="s">
        <v>5</v>
      </c>
      <c r="C42" s="55" t="s">
        <v>6</v>
      </c>
      <c r="D42" s="56">
        <v>-2646.25</v>
      </c>
      <c r="E42" s="62" t="s">
        <v>189</v>
      </c>
      <c r="F42" s="61" t="s">
        <v>189</v>
      </c>
      <c r="G42" s="61" t="s">
        <v>189</v>
      </c>
      <c r="I42" s="55">
        <f>LEN(Table13456[[#This Row],[Narrtaion 1]])</f>
        <v>1</v>
      </c>
    </row>
    <row r="43" spans="2:9" x14ac:dyDescent="0.25">
      <c r="B43" s="55" t="s">
        <v>5</v>
      </c>
      <c r="C43" s="55" t="s">
        <v>62</v>
      </c>
      <c r="D43" s="56">
        <v>3794.42</v>
      </c>
      <c r="E43" s="62" t="s">
        <v>199</v>
      </c>
      <c r="F43" s="62" t="s">
        <v>200</v>
      </c>
      <c r="G43" s="61" t="s">
        <v>189</v>
      </c>
      <c r="I43" s="55">
        <f>LEN(Table13456[[#This Row],[Narrtaion 1]])</f>
        <v>14</v>
      </c>
    </row>
    <row r="44" spans="2:9" x14ac:dyDescent="0.25">
      <c r="B44" s="55" t="s">
        <v>5</v>
      </c>
      <c r="C44" s="55" t="s">
        <v>6</v>
      </c>
      <c r="D44" s="56">
        <v>-3794.42</v>
      </c>
      <c r="E44" s="62" t="s">
        <v>189</v>
      </c>
      <c r="F44" s="61" t="s">
        <v>189</v>
      </c>
      <c r="G44" s="61" t="s">
        <v>189</v>
      </c>
      <c r="I44" s="55">
        <f>LEN(Table13456[[#This Row],[Narrtaion 1]])</f>
        <v>1</v>
      </c>
    </row>
    <row r="45" spans="2:9" x14ac:dyDescent="0.25">
      <c r="B45" s="55" t="s">
        <v>5</v>
      </c>
      <c r="C45" s="55" t="s">
        <v>62</v>
      </c>
      <c r="D45" s="56">
        <v>32945.33</v>
      </c>
      <c r="E45" s="62" t="s">
        <v>202</v>
      </c>
      <c r="F45" s="62" t="s">
        <v>204</v>
      </c>
      <c r="G45" s="61" t="s">
        <v>189</v>
      </c>
      <c r="I45" s="55">
        <f>LEN(Table13456[[#This Row],[Narrtaion 1]])</f>
        <v>15</v>
      </c>
    </row>
    <row r="46" spans="2:9" x14ac:dyDescent="0.25">
      <c r="B46" s="55" t="s">
        <v>5</v>
      </c>
      <c r="C46" s="55" t="s">
        <v>6</v>
      </c>
      <c r="D46" s="56">
        <v>-32945.33</v>
      </c>
      <c r="E46" s="62" t="s">
        <v>189</v>
      </c>
      <c r="F46" s="61" t="s">
        <v>189</v>
      </c>
      <c r="G46" s="61" t="s">
        <v>189</v>
      </c>
      <c r="I46" s="55">
        <f>LEN(Table13456[[#This Row],[Narrtaion 1]])</f>
        <v>1</v>
      </c>
    </row>
    <row r="47" spans="2:9" x14ac:dyDescent="0.25">
      <c r="B47" s="62" t="s">
        <v>5</v>
      </c>
      <c r="C47" s="55" t="s">
        <v>62</v>
      </c>
      <c r="D47" s="56">
        <v>2093</v>
      </c>
      <c r="E47" s="62" t="s">
        <v>229</v>
      </c>
      <c r="F47" s="62" t="s">
        <v>228</v>
      </c>
      <c r="G47" s="72" t="s">
        <v>189</v>
      </c>
      <c r="I47" s="55">
        <f>LEN(Table13456[[#This Row],[Narrtaion 1]])</f>
        <v>22</v>
      </c>
    </row>
    <row r="48" spans="2:9" x14ac:dyDescent="0.25">
      <c r="B48" s="55" t="s">
        <v>5</v>
      </c>
      <c r="C48" s="55" t="s">
        <v>6</v>
      </c>
      <c r="D48" s="56">
        <v>-2093</v>
      </c>
      <c r="E48" s="62" t="s">
        <v>189</v>
      </c>
      <c r="F48" s="62" t="s">
        <v>189</v>
      </c>
      <c r="G48" s="72" t="s">
        <v>189</v>
      </c>
      <c r="I48" s="55">
        <f>LEN(Table13456[[#This Row],[Narrtaion 1]])</f>
        <v>1</v>
      </c>
    </row>
    <row r="49" spans="2:9" x14ac:dyDescent="0.25">
      <c r="B49" s="57"/>
      <c r="C49" s="57"/>
      <c r="D49" s="58"/>
      <c r="E49" s="57"/>
      <c r="F49" s="57"/>
      <c r="G49" s="57"/>
      <c r="I49" s="55">
        <f>LEN(Table13456[[#This Row],[Narrtaion 1]])</f>
        <v>0</v>
      </c>
    </row>
    <row r="50" spans="2:9" x14ac:dyDescent="0.25">
      <c r="B50" s="55" t="s">
        <v>5</v>
      </c>
      <c r="C50" s="61" t="s">
        <v>187</v>
      </c>
      <c r="D50" s="56">
        <v>4206.67</v>
      </c>
      <c r="E50" s="55" t="s">
        <v>188</v>
      </c>
      <c r="F50" s="62" t="s">
        <v>231</v>
      </c>
      <c r="G50" s="61" t="s">
        <v>189</v>
      </c>
      <c r="I50" s="55">
        <f>LEN(Table13456[[#This Row],[Narrtaion 1]])</f>
        <v>25</v>
      </c>
    </row>
    <row r="51" spans="2:9" x14ac:dyDescent="0.25">
      <c r="B51" s="55" t="s">
        <v>5</v>
      </c>
      <c r="C51" s="55" t="s">
        <v>186</v>
      </c>
      <c r="D51" s="56">
        <v>-4206.67</v>
      </c>
      <c r="E51" s="62" t="s">
        <v>189</v>
      </c>
      <c r="F51" s="61" t="s">
        <v>189</v>
      </c>
      <c r="G51" s="61" t="s">
        <v>189</v>
      </c>
      <c r="I51" s="55">
        <f>LEN(Table13456[[#This Row],[Narrtaion 1]])</f>
        <v>1</v>
      </c>
    </row>
    <row r="52" spans="2:9" x14ac:dyDescent="0.25">
      <c r="D52" s="56"/>
    </row>
    <row r="53" spans="2:9" ht="15.75" thickBot="1" x14ac:dyDescent="0.3">
      <c r="D53" s="75">
        <f>SUMIF(Table13456[Amount],"&gt;0")</f>
        <v>118104.33166666667</v>
      </c>
    </row>
    <row r="54" spans="2:9" ht="15.75" thickTop="1" x14ac:dyDescent="0.25"/>
  </sheetData>
  <conditionalFormatting sqref="I4:I64">
    <cfRule type="cellIs" dxfId="13" priority="1" operator="greaterThan">
      <formula>33</formula>
    </cfRule>
  </conditionalFormatting>
  <hyperlinks>
    <hyperlink ref="B1" r:id="rId1" xr:uid="{E98E4D7E-F4B1-4425-A9EA-F91E5A6575A1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655D-E8E7-4CC2-8F9C-8BCCDB22E60A}">
  <sheetPr>
    <tabColor theme="5" tint="0.59999389629810485"/>
  </sheetPr>
  <dimension ref="B1:K31"/>
  <sheetViews>
    <sheetView workbookViewId="0">
      <selection activeCell="B2" sqref="B2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1" x14ac:dyDescent="0.25">
      <c r="B1" s="59" t="s">
        <v>185</v>
      </c>
      <c r="F1" s="69" t="s">
        <v>233</v>
      </c>
      <c r="G1" s="73">
        <v>1212435</v>
      </c>
      <c r="J1" s="62"/>
    </row>
    <row r="2" spans="2:11" x14ac:dyDescent="0.25">
      <c r="F2" s="69" t="s">
        <v>234</v>
      </c>
      <c r="G2" s="68" t="s">
        <v>240</v>
      </c>
    </row>
    <row r="3" spans="2:11" x14ac:dyDescent="0.25">
      <c r="B3" s="60" t="s">
        <v>178</v>
      </c>
      <c r="C3" s="60" t="s">
        <v>179</v>
      </c>
      <c r="D3" s="60" t="s">
        <v>180</v>
      </c>
      <c r="E3" s="60" t="s">
        <v>181</v>
      </c>
      <c r="F3" s="60" t="s">
        <v>182</v>
      </c>
      <c r="G3" s="60" t="s">
        <v>183</v>
      </c>
      <c r="I3" s="61"/>
    </row>
    <row r="4" spans="2:11" x14ac:dyDescent="0.25">
      <c r="B4" s="55" t="s">
        <v>5</v>
      </c>
      <c r="C4" s="55" t="s">
        <v>136</v>
      </c>
      <c r="D4" s="56">
        <v>1125</v>
      </c>
      <c r="E4" s="62" t="s">
        <v>195</v>
      </c>
      <c r="F4" s="62" t="s">
        <v>217</v>
      </c>
      <c r="G4" s="78" t="s">
        <v>239</v>
      </c>
      <c r="I4" s="55">
        <f>LEN(Table1345[[#This Row],[Narrtaion 1]])</f>
        <v>31</v>
      </c>
      <c r="J4" s="55">
        <f>LEN(Table1345[[#This Row],[Narrtaion 2]])</f>
        <v>21</v>
      </c>
      <c r="K4" s="55">
        <f>LEN(Table1345[[#This Row],[Narrtaion 3]])</f>
        <v>33</v>
      </c>
    </row>
    <row r="5" spans="2:11" x14ac:dyDescent="0.25">
      <c r="B5" s="55" t="s">
        <v>1</v>
      </c>
      <c r="C5" s="55" t="s">
        <v>2</v>
      </c>
      <c r="D5" s="56">
        <v>-1125</v>
      </c>
      <c r="E5" s="62" t="s">
        <v>189</v>
      </c>
      <c r="F5" s="61" t="s">
        <v>189</v>
      </c>
      <c r="G5" s="61" t="s">
        <v>189</v>
      </c>
      <c r="I5" s="55">
        <f>LEN(Table1345[[#This Row],[Narrtaion 1]])</f>
        <v>1</v>
      </c>
    </row>
    <row r="6" spans="2:11" x14ac:dyDescent="0.25">
      <c r="B6" s="57"/>
      <c r="C6" s="57"/>
      <c r="D6" s="58"/>
      <c r="E6" s="57"/>
      <c r="F6" s="57"/>
      <c r="G6" s="57"/>
      <c r="I6" s="55">
        <f>LEN(Table1345[[#This Row],[Narrtaion 1]])</f>
        <v>0</v>
      </c>
    </row>
    <row r="7" spans="2:11" x14ac:dyDescent="0.25">
      <c r="B7" s="55" t="s">
        <v>5</v>
      </c>
      <c r="C7" s="55" t="s">
        <v>10</v>
      </c>
      <c r="D7" s="56">
        <v>1018.34</v>
      </c>
      <c r="E7" s="55" t="s">
        <v>117</v>
      </c>
      <c r="F7" s="62" t="s">
        <v>213</v>
      </c>
      <c r="G7" s="61" t="s">
        <v>189</v>
      </c>
      <c r="I7" s="55">
        <f>LEN(Table1345[[#This Row],[Narrtaion 1]])</f>
        <v>22</v>
      </c>
    </row>
    <row r="8" spans="2:11" x14ac:dyDescent="0.25">
      <c r="B8" s="55" t="s">
        <v>1</v>
      </c>
      <c r="C8" s="55" t="s">
        <v>2</v>
      </c>
      <c r="D8" s="56">
        <f>-D7</f>
        <v>-1018.34</v>
      </c>
      <c r="E8" s="62" t="s">
        <v>189</v>
      </c>
      <c r="F8" s="62" t="s">
        <v>189</v>
      </c>
      <c r="G8" s="61" t="s">
        <v>189</v>
      </c>
      <c r="I8" s="55">
        <f>LEN(Table1345[[#This Row],[Narrtaion 1]])</f>
        <v>1</v>
      </c>
    </row>
    <row r="9" spans="2:11" x14ac:dyDescent="0.25">
      <c r="B9" s="57"/>
      <c r="C9" s="57"/>
      <c r="D9" s="58"/>
      <c r="E9" s="57"/>
      <c r="F9" s="57"/>
      <c r="G9" s="57"/>
      <c r="I9" s="55">
        <f>LEN(Table1345[[#This Row],[Narrtaion 1]])</f>
        <v>0</v>
      </c>
    </row>
    <row r="10" spans="2:11" x14ac:dyDescent="0.25">
      <c r="B10" s="55" t="s">
        <v>5</v>
      </c>
      <c r="C10" s="55" t="s">
        <v>62</v>
      </c>
      <c r="D10" s="56">
        <v>1530.58</v>
      </c>
      <c r="E10" s="55" t="s">
        <v>110</v>
      </c>
      <c r="F10" s="62" t="s">
        <v>208</v>
      </c>
      <c r="G10" s="61" t="s">
        <v>189</v>
      </c>
      <c r="I10" s="55">
        <f>LEN(Table1345[[#This Row],[Narrtaion 1]])</f>
        <v>31</v>
      </c>
    </row>
    <row r="11" spans="2:11" x14ac:dyDescent="0.25">
      <c r="B11" s="55" t="s">
        <v>5</v>
      </c>
      <c r="C11" s="55" t="s">
        <v>6</v>
      </c>
      <c r="D11" s="56">
        <v>-1530.58</v>
      </c>
      <c r="E11" s="62" t="s">
        <v>189</v>
      </c>
      <c r="F11" s="61" t="s">
        <v>189</v>
      </c>
      <c r="G11" s="61" t="s">
        <v>189</v>
      </c>
      <c r="I11" s="55">
        <f>LEN(Table1345[[#This Row],[Narrtaion 1]])</f>
        <v>1</v>
      </c>
    </row>
    <row r="12" spans="2:11" x14ac:dyDescent="0.25">
      <c r="B12" s="55" t="s">
        <v>5</v>
      </c>
      <c r="C12" s="55" t="s">
        <v>62</v>
      </c>
      <c r="D12" s="56">
        <v>732</v>
      </c>
      <c r="E12" s="62" t="s">
        <v>111</v>
      </c>
      <c r="F12" s="62" t="s">
        <v>207</v>
      </c>
      <c r="G12" s="61" t="s">
        <v>189</v>
      </c>
      <c r="I12" s="55">
        <f>LEN(Table1345[[#This Row],[Narrtaion 1]])</f>
        <v>19</v>
      </c>
    </row>
    <row r="13" spans="2:11" x14ac:dyDescent="0.25">
      <c r="B13" s="55" t="s">
        <v>5</v>
      </c>
      <c r="C13" s="55" t="s">
        <v>6</v>
      </c>
      <c r="D13" s="56">
        <v>-732</v>
      </c>
      <c r="E13" s="62" t="s">
        <v>189</v>
      </c>
      <c r="F13" s="61" t="s">
        <v>189</v>
      </c>
      <c r="G13" s="61" t="s">
        <v>189</v>
      </c>
      <c r="I13" s="55">
        <f>LEN(Table1345[[#This Row],[Narrtaion 1]])</f>
        <v>1</v>
      </c>
    </row>
    <row r="14" spans="2:11" x14ac:dyDescent="0.25">
      <c r="B14" s="55" t="s">
        <v>5</v>
      </c>
      <c r="C14" s="55" t="s">
        <v>62</v>
      </c>
      <c r="D14" s="56">
        <v>3372.56</v>
      </c>
      <c r="E14" s="62" t="s">
        <v>201</v>
      </c>
      <c r="F14" s="62" t="s">
        <v>205</v>
      </c>
      <c r="G14" s="61" t="s">
        <v>189</v>
      </c>
      <c r="I14" s="55">
        <f>LEN(Table1345[[#This Row],[Narrtaion 1]])</f>
        <v>19</v>
      </c>
    </row>
    <row r="15" spans="2:11" x14ac:dyDescent="0.25">
      <c r="B15" s="55" t="s">
        <v>5</v>
      </c>
      <c r="C15" s="55" t="s">
        <v>6</v>
      </c>
      <c r="D15" s="56">
        <f>-D14</f>
        <v>-3372.56</v>
      </c>
      <c r="E15" s="62" t="s">
        <v>189</v>
      </c>
      <c r="F15" s="61" t="s">
        <v>189</v>
      </c>
      <c r="G15" s="61" t="s">
        <v>189</v>
      </c>
      <c r="I15" s="55">
        <f>LEN(Table1345[[#This Row],[Narrtaion 1]])</f>
        <v>1</v>
      </c>
    </row>
    <row r="16" spans="2:11" x14ac:dyDescent="0.25">
      <c r="B16" s="55" t="s">
        <v>5</v>
      </c>
      <c r="C16" s="55" t="s">
        <v>62</v>
      </c>
      <c r="D16" s="56">
        <v>4867.75</v>
      </c>
      <c r="E16" s="62" t="s">
        <v>221</v>
      </c>
      <c r="F16" s="62" t="s">
        <v>203</v>
      </c>
      <c r="G16" s="61" t="s">
        <v>189</v>
      </c>
      <c r="I16" s="55">
        <f>LEN(Table1345[[#This Row],[Narrtaion 1]])</f>
        <v>29</v>
      </c>
    </row>
    <row r="17" spans="2:9" x14ac:dyDescent="0.25">
      <c r="B17" s="55" t="s">
        <v>5</v>
      </c>
      <c r="C17" s="55" t="s">
        <v>6</v>
      </c>
      <c r="D17" s="56">
        <f>-D16</f>
        <v>-4867.75</v>
      </c>
      <c r="E17" s="62" t="s">
        <v>189</v>
      </c>
      <c r="F17" s="61" t="s">
        <v>189</v>
      </c>
      <c r="G17" s="61" t="s">
        <v>189</v>
      </c>
      <c r="I17" s="55">
        <f>LEN(Table1345[[#This Row],[Narrtaion 1]])</f>
        <v>1</v>
      </c>
    </row>
    <row r="18" spans="2:9" x14ac:dyDescent="0.25">
      <c r="B18" s="55" t="s">
        <v>5</v>
      </c>
      <c r="C18" s="55" t="s">
        <v>62</v>
      </c>
      <c r="D18" s="56">
        <v>3881.5</v>
      </c>
      <c r="E18" s="62" t="s">
        <v>220</v>
      </c>
      <c r="F18" s="62" t="s">
        <v>219</v>
      </c>
      <c r="G18" s="61" t="s">
        <v>189</v>
      </c>
      <c r="I18" s="55">
        <f>LEN(Table1345[[#This Row],[Narrtaion 1]])</f>
        <v>17</v>
      </c>
    </row>
    <row r="19" spans="2:9" x14ac:dyDescent="0.25">
      <c r="B19" s="55" t="s">
        <v>5</v>
      </c>
      <c r="C19" s="55" t="s">
        <v>6</v>
      </c>
      <c r="D19" s="56">
        <f>-D18</f>
        <v>-3881.5</v>
      </c>
      <c r="E19" s="62" t="s">
        <v>189</v>
      </c>
      <c r="F19" s="61" t="s">
        <v>189</v>
      </c>
      <c r="G19" s="61" t="s">
        <v>189</v>
      </c>
      <c r="I19" s="55">
        <f>LEN(Table1345[[#This Row],[Narrtaion 1]])</f>
        <v>1</v>
      </c>
    </row>
    <row r="20" spans="2:9" x14ac:dyDescent="0.25">
      <c r="B20" s="55" t="s">
        <v>5</v>
      </c>
      <c r="C20" s="55" t="s">
        <v>62</v>
      </c>
      <c r="D20" s="56">
        <v>3999.15</v>
      </c>
      <c r="E20" s="62" t="s">
        <v>222</v>
      </c>
      <c r="F20" s="62" t="s">
        <v>223</v>
      </c>
      <c r="G20" s="61" t="s">
        <v>189</v>
      </c>
      <c r="I20" s="55">
        <f>LEN(Table1345[[#This Row],[Narrtaion 1]])</f>
        <v>10</v>
      </c>
    </row>
    <row r="21" spans="2:9" x14ac:dyDescent="0.25">
      <c r="B21" s="55" t="s">
        <v>5</v>
      </c>
      <c r="C21" s="55" t="s">
        <v>6</v>
      </c>
      <c r="D21" s="56">
        <f>-D20</f>
        <v>-3999.15</v>
      </c>
      <c r="E21" s="62" t="s">
        <v>189</v>
      </c>
      <c r="F21" s="61" t="s">
        <v>189</v>
      </c>
      <c r="G21" s="61" t="s">
        <v>189</v>
      </c>
      <c r="I21" s="55">
        <f>LEN(Table1345[[#This Row],[Narrtaion 1]])</f>
        <v>1</v>
      </c>
    </row>
    <row r="22" spans="2:9" x14ac:dyDescent="0.25">
      <c r="B22" s="55" t="s">
        <v>5</v>
      </c>
      <c r="C22" s="55" t="s">
        <v>62</v>
      </c>
      <c r="D22" s="56">
        <v>5568.53</v>
      </c>
      <c r="E22" s="62" t="s">
        <v>224</v>
      </c>
      <c r="F22" s="62" t="s">
        <v>225</v>
      </c>
      <c r="G22" s="72" t="s">
        <v>189</v>
      </c>
      <c r="I22" s="55">
        <f>LEN(Table1345[[#This Row],[Narrtaion 1]])</f>
        <v>22</v>
      </c>
    </row>
    <row r="23" spans="2:9" x14ac:dyDescent="0.25">
      <c r="B23" s="62" t="s">
        <v>5</v>
      </c>
      <c r="C23" s="55" t="s">
        <v>6</v>
      </c>
      <c r="D23" s="56">
        <f>-D22</f>
        <v>-5568.53</v>
      </c>
      <c r="E23" s="62" t="s">
        <v>189</v>
      </c>
      <c r="F23" s="62" t="s">
        <v>189</v>
      </c>
      <c r="G23" s="72" t="s">
        <v>189</v>
      </c>
      <c r="I23" s="55">
        <f>LEN(Table1345[[#This Row],[Narrtaion 1]])</f>
        <v>1</v>
      </c>
    </row>
    <row r="24" spans="2:9" x14ac:dyDescent="0.25">
      <c r="B24" s="55" t="s">
        <v>5</v>
      </c>
      <c r="C24" s="55" t="s">
        <v>62</v>
      </c>
      <c r="D24" s="56">
        <v>7593.36</v>
      </c>
      <c r="E24" s="62" t="s">
        <v>226</v>
      </c>
      <c r="F24" s="62" t="s">
        <v>227</v>
      </c>
      <c r="G24" s="61" t="s">
        <v>189</v>
      </c>
      <c r="I24" s="55">
        <f>LEN(Table1345[[#This Row],[Narrtaion 1]])</f>
        <v>7</v>
      </c>
    </row>
    <row r="25" spans="2:9" x14ac:dyDescent="0.25">
      <c r="B25" s="55" t="s">
        <v>5</v>
      </c>
      <c r="C25" s="55" t="s">
        <v>6</v>
      </c>
      <c r="D25" s="74">
        <f>-D24</f>
        <v>-7593.36</v>
      </c>
      <c r="E25" s="62" t="s">
        <v>189</v>
      </c>
      <c r="F25" s="61" t="s">
        <v>189</v>
      </c>
      <c r="G25" s="61" t="s">
        <v>189</v>
      </c>
      <c r="I25" s="55">
        <f>LEN(Table1345[[#This Row],[Narrtaion 1]])</f>
        <v>1</v>
      </c>
    </row>
    <row r="26" spans="2:9" x14ac:dyDescent="0.25">
      <c r="D26" s="56"/>
    </row>
    <row r="27" spans="2:9" ht="15.75" thickBot="1" x14ac:dyDescent="0.3">
      <c r="D27" s="75">
        <f>SUMIF(Table1345[Amount],"&gt;0")</f>
        <v>33688.769999999997</v>
      </c>
    </row>
    <row r="28" spans="2:9" ht="15.75" thickTop="1" x14ac:dyDescent="0.25"/>
    <row r="29" spans="2:9" x14ac:dyDescent="0.25">
      <c r="D29" s="79">
        <v>118104.331666667</v>
      </c>
    </row>
    <row r="30" spans="2:9" x14ac:dyDescent="0.25">
      <c r="D30" s="76">
        <f ca="1">SUM(D27:D30)</f>
        <v>151793.10166666665</v>
      </c>
    </row>
    <row r="31" spans="2:9" x14ac:dyDescent="0.25">
      <c r="D31" s="77"/>
    </row>
  </sheetData>
  <conditionalFormatting sqref="J4:K4 I4:I38">
    <cfRule type="cellIs" dxfId="10" priority="1" operator="greaterThan">
      <formula>33</formula>
    </cfRule>
  </conditionalFormatting>
  <hyperlinks>
    <hyperlink ref="B1" r:id="rId1" xr:uid="{56F73DB7-63D9-442E-84FB-C5A0E65FF73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90ED-FF9F-4FDD-803F-221BB756A2F9}">
  <sheetPr>
    <tabColor theme="5" tint="0.59999389629810485"/>
  </sheetPr>
  <dimension ref="A1:J75"/>
  <sheetViews>
    <sheetView workbookViewId="0">
      <selection activeCell="C3" sqref="C3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16" style="55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10" x14ac:dyDescent="0.25">
      <c r="B1" s="59" t="s">
        <v>185</v>
      </c>
      <c r="F1" s="69" t="s">
        <v>233</v>
      </c>
      <c r="G1" s="68">
        <v>1211004</v>
      </c>
      <c r="I1" s="67"/>
      <c r="J1" s="62" t="s">
        <v>230</v>
      </c>
    </row>
    <row r="2" spans="2:10" x14ac:dyDescent="0.25">
      <c r="F2" s="69" t="s">
        <v>234</v>
      </c>
      <c r="G2" s="68" t="s">
        <v>235</v>
      </c>
    </row>
    <row r="3" spans="2:10" x14ac:dyDescent="0.25">
      <c r="B3" s="60" t="s">
        <v>178</v>
      </c>
      <c r="C3" s="60" t="s">
        <v>179</v>
      </c>
      <c r="D3" s="60" t="s">
        <v>180</v>
      </c>
      <c r="E3" s="60" t="s">
        <v>181</v>
      </c>
      <c r="F3" s="60" t="s">
        <v>182</v>
      </c>
      <c r="G3" s="60" t="s">
        <v>183</v>
      </c>
      <c r="I3" s="61"/>
    </row>
    <row r="4" spans="2:10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62" t="s">
        <v>218</v>
      </c>
      <c r="G4" s="78" t="s">
        <v>194</v>
      </c>
      <c r="I4" s="55">
        <f>LEN(Table134[[#This Row],[Narrtaion 1]])</f>
        <v>24</v>
      </c>
    </row>
    <row r="5" spans="2:10" x14ac:dyDescent="0.25">
      <c r="B5" s="55" t="s">
        <v>5</v>
      </c>
      <c r="C5" s="55" t="s">
        <v>155</v>
      </c>
      <c r="D5" s="56">
        <v>-1704.63666666667</v>
      </c>
      <c r="E5" s="62" t="s">
        <v>189</v>
      </c>
      <c r="F5" s="61" t="s">
        <v>189</v>
      </c>
      <c r="G5" s="61" t="s">
        <v>189</v>
      </c>
      <c r="I5" s="55">
        <f>LEN(Table134[[#This Row],[Narrtaion 1]])</f>
        <v>1</v>
      </c>
    </row>
    <row r="6" spans="2:10" x14ac:dyDescent="0.25">
      <c r="B6" s="57"/>
      <c r="C6" s="57"/>
      <c r="D6" s="58"/>
      <c r="E6" s="57"/>
      <c r="F6" s="57"/>
      <c r="G6" s="57"/>
      <c r="I6" s="55">
        <f>LEN(Table134[[#This Row],[Narrtaion 1]])</f>
        <v>0</v>
      </c>
    </row>
    <row r="7" spans="2:10" x14ac:dyDescent="0.25">
      <c r="B7" s="55" t="s">
        <v>5</v>
      </c>
      <c r="C7" s="55" t="s">
        <v>136</v>
      </c>
      <c r="D7" s="56">
        <v>225</v>
      </c>
      <c r="E7" s="62" t="s">
        <v>195</v>
      </c>
      <c r="F7" s="62" t="s">
        <v>217</v>
      </c>
      <c r="G7" s="61" t="s">
        <v>189</v>
      </c>
      <c r="I7" s="55">
        <f>LEN(Table134[[#This Row],[Narrtaion 1]])</f>
        <v>31</v>
      </c>
    </row>
    <row r="8" spans="2:10" x14ac:dyDescent="0.25">
      <c r="B8" s="55" t="s">
        <v>1</v>
      </c>
      <c r="C8" s="55" t="s">
        <v>2</v>
      </c>
      <c r="D8" s="56">
        <v>-225</v>
      </c>
      <c r="E8" s="62" t="s">
        <v>189</v>
      </c>
      <c r="F8" s="61" t="s">
        <v>189</v>
      </c>
      <c r="G8" s="61" t="s">
        <v>189</v>
      </c>
      <c r="I8" s="55">
        <f>LEN(Table134[[#This Row],[Narrtaion 1]])</f>
        <v>1</v>
      </c>
    </row>
    <row r="9" spans="2:10" x14ac:dyDescent="0.25">
      <c r="B9" s="55" t="s">
        <v>5</v>
      </c>
      <c r="C9" s="55" t="s">
        <v>125</v>
      </c>
      <c r="D9" s="56">
        <v>591.69583333333333</v>
      </c>
      <c r="E9" s="55" t="s">
        <v>126</v>
      </c>
      <c r="F9" s="55" t="s">
        <v>127</v>
      </c>
      <c r="G9" s="61" t="s">
        <v>189</v>
      </c>
      <c r="I9" s="55">
        <f>LEN(Table134[[#This Row],[Narrtaion 1]])</f>
        <v>20</v>
      </c>
    </row>
    <row r="10" spans="2:10" x14ac:dyDescent="0.25">
      <c r="B10" s="55" t="s">
        <v>5</v>
      </c>
      <c r="C10" s="55" t="s">
        <v>128</v>
      </c>
      <c r="D10" s="56">
        <v>902.00666666666666</v>
      </c>
      <c r="E10" s="55" t="s">
        <v>126</v>
      </c>
      <c r="F10" s="55" t="s">
        <v>127</v>
      </c>
      <c r="G10" s="61" t="s">
        <v>189</v>
      </c>
      <c r="I10" s="55">
        <f>LEN(Table134[[#This Row],[Narrtaion 1]])</f>
        <v>20</v>
      </c>
    </row>
    <row r="11" spans="2:10" x14ac:dyDescent="0.25">
      <c r="B11" s="55" t="s">
        <v>5</v>
      </c>
      <c r="C11" s="55" t="s">
        <v>129</v>
      </c>
      <c r="D11" s="56">
        <v>633.77083333333337</v>
      </c>
      <c r="E11" s="55" t="s">
        <v>126</v>
      </c>
      <c r="F11" s="55" t="s">
        <v>127</v>
      </c>
      <c r="G11" s="61" t="s">
        <v>189</v>
      </c>
      <c r="I11" s="55">
        <f>LEN(Table134[[#This Row],[Narrtaion 1]])</f>
        <v>20</v>
      </c>
    </row>
    <row r="12" spans="2:10" x14ac:dyDescent="0.25">
      <c r="B12" s="55" t="s">
        <v>5</v>
      </c>
      <c r="C12" s="55" t="s">
        <v>130</v>
      </c>
      <c r="D12" s="56">
        <v>633.77083333333337</v>
      </c>
      <c r="E12" s="55" t="s">
        <v>126</v>
      </c>
      <c r="F12" s="55" t="s">
        <v>127</v>
      </c>
      <c r="G12" s="61" t="s">
        <v>189</v>
      </c>
      <c r="I12" s="55">
        <f>LEN(Table134[[#This Row],[Narrtaion 1]])</f>
        <v>20</v>
      </c>
    </row>
    <row r="13" spans="2:10" x14ac:dyDescent="0.25">
      <c r="B13" s="55" t="s">
        <v>5</v>
      </c>
      <c r="C13" s="55" t="s">
        <v>131</v>
      </c>
      <c r="D13" s="56">
        <v>284.01333333333332</v>
      </c>
      <c r="E13" s="55" t="s">
        <v>126</v>
      </c>
      <c r="F13" s="55" t="s">
        <v>127</v>
      </c>
      <c r="G13" s="61" t="s">
        <v>189</v>
      </c>
      <c r="I13" s="55">
        <f>LEN(Table134[[#This Row],[Narrtaion 1]])</f>
        <v>20</v>
      </c>
    </row>
    <row r="14" spans="2:10" x14ac:dyDescent="0.25">
      <c r="B14" s="55" t="s">
        <v>5</v>
      </c>
      <c r="C14" s="55" t="s">
        <v>132</v>
      </c>
      <c r="D14" s="56">
        <v>360.27666666666664</v>
      </c>
      <c r="E14" s="55" t="s">
        <v>126</v>
      </c>
      <c r="F14" s="55" t="s">
        <v>127</v>
      </c>
      <c r="G14" s="61" t="s">
        <v>189</v>
      </c>
      <c r="I14" s="55">
        <f>LEN(Table134[[#This Row],[Narrtaion 1]])</f>
        <v>20</v>
      </c>
    </row>
    <row r="15" spans="2:10" x14ac:dyDescent="0.25">
      <c r="B15" s="55" t="s">
        <v>5</v>
      </c>
      <c r="C15" s="55" t="s">
        <v>133</v>
      </c>
      <c r="D15" s="56">
        <v>281.38416666666666</v>
      </c>
      <c r="E15" s="55" t="s">
        <v>126</v>
      </c>
      <c r="F15" s="55" t="s">
        <v>127</v>
      </c>
      <c r="G15" s="61" t="s">
        <v>189</v>
      </c>
      <c r="I15" s="55">
        <f>LEN(Table134[[#This Row],[Narrtaion 1]])</f>
        <v>20</v>
      </c>
    </row>
    <row r="16" spans="2:10" x14ac:dyDescent="0.25">
      <c r="B16" s="55" t="s">
        <v>5</v>
      </c>
      <c r="C16" s="55" t="s">
        <v>134</v>
      </c>
      <c r="D16" s="56">
        <v>1364.8458333333333</v>
      </c>
      <c r="E16" s="55" t="s">
        <v>126</v>
      </c>
      <c r="F16" s="55" t="s">
        <v>127</v>
      </c>
      <c r="G16" s="61" t="s">
        <v>189</v>
      </c>
      <c r="I16" s="55">
        <f>LEN(Table134[[#This Row],[Narrtaion 1]])</f>
        <v>20</v>
      </c>
    </row>
    <row r="17" spans="2:9" x14ac:dyDescent="0.25">
      <c r="B17" s="55" t="s">
        <v>5</v>
      </c>
      <c r="C17" s="55" t="s">
        <v>135</v>
      </c>
      <c r="D17" s="56">
        <v>207.75083333333336</v>
      </c>
      <c r="E17" s="55" t="s">
        <v>126</v>
      </c>
      <c r="F17" s="55" t="s">
        <v>127</v>
      </c>
      <c r="G17" s="61" t="s">
        <v>189</v>
      </c>
      <c r="I17" s="55">
        <f>LEN(Table134[[#This Row],[Narrtaion 1]])</f>
        <v>20</v>
      </c>
    </row>
    <row r="18" spans="2:9" x14ac:dyDescent="0.25">
      <c r="B18" s="55" t="s">
        <v>1</v>
      </c>
      <c r="C18" s="55" t="s">
        <v>2</v>
      </c>
      <c r="D18" s="56">
        <v>-5259.5150000000003</v>
      </c>
      <c r="E18" s="62" t="s">
        <v>189</v>
      </c>
      <c r="F18" s="61" t="s">
        <v>189</v>
      </c>
      <c r="G18" s="61" t="s">
        <v>189</v>
      </c>
      <c r="I18" s="55">
        <f>LEN(Table134[[#This Row],[Narrtaion 1]])</f>
        <v>1</v>
      </c>
    </row>
    <row r="19" spans="2:9" x14ac:dyDescent="0.25">
      <c r="B19" s="55" t="s">
        <v>5</v>
      </c>
      <c r="C19" s="55" t="s">
        <v>89</v>
      </c>
      <c r="D19" s="56">
        <v>489.82</v>
      </c>
      <c r="E19" s="55" t="s">
        <v>163</v>
      </c>
      <c r="F19" s="55" t="s">
        <v>162</v>
      </c>
      <c r="G19" s="61" t="s">
        <v>189</v>
      </c>
      <c r="I19" s="55">
        <f>LEN(Table134[[#This Row],[Narrtaion 1]])</f>
        <v>15</v>
      </c>
    </row>
    <row r="20" spans="2:9" x14ac:dyDescent="0.25">
      <c r="B20" s="55" t="s">
        <v>5</v>
      </c>
      <c r="C20" s="55" t="s">
        <v>91</v>
      </c>
      <c r="D20" s="56">
        <v>489.82</v>
      </c>
      <c r="E20" s="55" t="s">
        <v>163</v>
      </c>
      <c r="F20" s="55" t="s">
        <v>162</v>
      </c>
      <c r="G20" s="61" t="s">
        <v>189</v>
      </c>
      <c r="I20" s="55">
        <f>LEN(Table134[[#This Row],[Narrtaion 1]])</f>
        <v>15</v>
      </c>
    </row>
    <row r="21" spans="2:9" x14ac:dyDescent="0.25">
      <c r="B21" s="55" t="s">
        <v>5</v>
      </c>
      <c r="C21" s="55" t="s">
        <v>92</v>
      </c>
      <c r="D21" s="56">
        <v>489.82</v>
      </c>
      <c r="E21" s="55" t="s">
        <v>163</v>
      </c>
      <c r="F21" s="55" t="s">
        <v>162</v>
      </c>
      <c r="G21" s="61" t="s">
        <v>189</v>
      </c>
      <c r="I21" s="55">
        <f>LEN(Table134[[#This Row],[Narrtaion 1]])</f>
        <v>15</v>
      </c>
    </row>
    <row r="22" spans="2:9" x14ac:dyDescent="0.25">
      <c r="B22" s="55" t="s">
        <v>5</v>
      </c>
      <c r="C22" s="55" t="s">
        <v>90</v>
      </c>
      <c r="D22" s="56">
        <v>489.82</v>
      </c>
      <c r="E22" s="55" t="s">
        <v>163</v>
      </c>
      <c r="F22" s="55" t="s">
        <v>162</v>
      </c>
      <c r="G22" s="61" t="s">
        <v>189</v>
      </c>
      <c r="I22" s="55">
        <f>LEN(Table134[[#This Row],[Narrtaion 1]])</f>
        <v>15</v>
      </c>
    </row>
    <row r="23" spans="2:9" x14ac:dyDescent="0.25">
      <c r="B23" s="55" t="s">
        <v>1</v>
      </c>
      <c r="C23" s="55" t="s">
        <v>2</v>
      </c>
      <c r="D23" s="56">
        <v>-1959.28</v>
      </c>
      <c r="E23" s="62" t="s">
        <v>189</v>
      </c>
      <c r="F23" s="61" t="s">
        <v>189</v>
      </c>
      <c r="G23" s="61" t="s">
        <v>189</v>
      </c>
      <c r="I23" s="55">
        <f>LEN(Table134[[#This Row],[Narrtaion 1]])</f>
        <v>1</v>
      </c>
    </row>
    <row r="24" spans="2:9" x14ac:dyDescent="0.25">
      <c r="B24" s="57"/>
      <c r="C24" s="57"/>
      <c r="D24" s="58"/>
      <c r="E24" s="57"/>
      <c r="F24" s="57"/>
      <c r="G24" s="57"/>
      <c r="I24" s="55">
        <f>LEN(Table134[[#This Row],[Narrtaion 1]])</f>
        <v>0</v>
      </c>
    </row>
    <row r="25" spans="2:9" x14ac:dyDescent="0.25">
      <c r="B25" s="55" t="s">
        <v>5</v>
      </c>
      <c r="C25" s="55" t="s">
        <v>4</v>
      </c>
      <c r="D25" s="56">
        <v>43749.13</v>
      </c>
      <c r="E25" s="55" t="s">
        <v>99</v>
      </c>
      <c r="F25" s="62" t="s">
        <v>216</v>
      </c>
      <c r="G25" s="61" t="s">
        <v>189</v>
      </c>
      <c r="I25" s="55">
        <f>LEN(Table134[[#This Row],[Narrtaion 1]])</f>
        <v>31</v>
      </c>
    </row>
    <row r="26" spans="2:9" x14ac:dyDescent="0.25">
      <c r="B26" s="55" t="s">
        <v>1</v>
      </c>
      <c r="C26" s="55" t="s">
        <v>16</v>
      </c>
      <c r="D26" s="56">
        <v>-43749.13</v>
      </c>
      <c r="E26" s="62" t="s">
        <v>189</v>
      </c>
      <c r="F26" s="62" t="s">
        <v>189</v>
      </c>
      <c r="G26" s="61" t="s">
        <v>189</v>
      </c>
      <c r="I26" s="55">
        <f>LEN(Table134[[#This Row],[Narrtaion 1]])</f>
        <v>1</v>
      </c>
    </row>
    <row r="27" spans="2:9" x14ac:dyDescent="0.25">
      <c r="B27" s="57"/>
      <c r="C27" s="57"/>
      <c r="D27" s="58"/>
      <c r="E27" s="57"/>
      <c r="F27" s="57"/>
      <c r="G27" s="57"/>
      <c r="I27" s="55">
        <f>LEN(Table134[[#This Row],[Narrtaion 1]])</f>
        <v>0</v>
      </c>
    </row>
    <row r="28" spans="2:9" x14ac:dyDescent="0.25">
      <c r="B28" s="55" t="s">
        <v>5</v>
      </c>
      <c r="C28" s="55" t="s">
        <v>170</v>
      </c>
      <c r="D28" s="56">
        <v>20446.830000000002</v>
      </c>
      <c r="E28" s="55" t="s">
        <v>172</v>
      </c>
      <c r="F28" s="62" t="s">
        <v>215</v>
      </c>
      <c r="G28" s="61" t="s">
        <v>189</v>
      </c>
      <c r="I28" s="55">
        <f>LEN(Table134[[#This Row],[Narrtaion 1]])</f>
        <v>32</v>
      </c>
    </row>
    <row r="29" spans="2:9" x14ac:dyDescent="0.25">
      <c r="B29" s="55" t="s">
        <v>5</v>
      </c>
      <c r="C29" s="55" t="s">
        <v>171</v>
      </c>
      <c r="D29" s="56">
        <v>-20446.830000000002</v>
      </c>
      <c r="E29" s="62" t="s">
        <v>189</v>
      </c>
      <c r="F29" s="61" t="s">
        <v>189</v>
      </c>
      <c r="G29" s="61" t="s">
        <v>189</v>
      </c>
      <c r="I29" s="55">
        <f>LEN(Table134[[#This Row],[Narrtaion 1]])</f>
        <v>1</v>
      </c>
    </row>
    <row r="30" spans="2:9" x14ac:dyDescent="0.25">
      <c r="B30" s="57"/>
      <c r="C30" s="57"/>
      <c r="D30" s="58"/>
      <c r="E30" s="57"/>
      <c r="F30" s="57"/>
      <c r="G30" s="57"/>
      <c r="I30" s="55">
        <f>LEN(Table134[[#This Row],[Narrtaion 1]])</f>
        <v>0</v>
      </c>
    </row>
    <row r="31" spans="2:9" x14ac:dyDescent="0.25">
      <c r="B31" s="55" t="s">
        <v>5</v>
      </c>
      <c r="C31" s="55" t="s">
        <v>144</v>
      </c>
      <c r="D31" s="56">
        <v>4194.75</v>
      </c>
      <c r="E31" s="62" t="s">
        <v>196</v>
      </c>
      <c r="F31" s="62" t="s">
        <v>214</v>
      </c>
      <c r="G31" s="61" t="s">
        <v>189</v>
      </c>
      <c r="I31" s="55">
        <f>LEN(Table134[[#This Row],[Narrtaion 1]])</f>
        <v>16</v>
      </c>
    </row>
    <row r="32" spans="2:9" x14ac:dyDescent="0.25">
      <c r="B32" s="55" t="s">
        <v>5</v>
      </c>
      <c r="C32" s="55" t="s">
        <v>142</v>
      </c>
      <c r="D32" s="56">
        <v>-4194.75</v>
      </c>
      <c r="E32" s="62" t="s">
        <v>189</v>
      </c>
      <c r="F32" s="61" t="s">
        <v>189</v>
      </c>
      <c r="G32" s="61" t="s">
        <v>189</v>
      </c>
      <c r="I32" s="55">
        <f>LEN(Table134[[#This Row],[Narrtaion 1]])</f>
        <v>1</v>
      </c>
    </row>
    <row r="33" spans="2:9" x14ac:dyDescent="0.25">
      <c r="B33" s="57"/>
      <c r="C33" s="57"/>
      <c r="D33" s="58"/>
      <c r="E33" s="57"/>
      <c r="F33" s="57"/>
      <c r="G33" s="57"/>
      <c r="I33" s="55">
        <f>LEN(Table134[[#This Row],[Narrtaion 1]])</f>
        <v>0</v>
      </c>
    </row>
    <row r="34" spans="2:9" x14ac:dyDescent="0.25">
      <c r="B34" s="55" t="s">
        <v>5</v>
      </c>
      <c r="C34" s="55" t="s">
        <v>10</v>
      </c>
      <c r="D34" s="56">
        <v>509.17</v>
      </c>
      <c r="E34" s="55" t="s">
        <v>117</v>
      </c>
      <c r="F34" s="62" t="s">
        <v>213</v>
      </c>
      <c r="G34" s="61" t="s">
        <v>189</v>
      </c>
      <c r="I34" s="55">
        <f>LEN(Table134[[#This Row],[Narrtaion 1]])</f>
        <v>22</v>
      </c>
    </row>
    <row r="35" spans="2:9" x14ac:dyDescent="0.25">
      <c r="B35" s="55" t="s">
        <v>1</v>
      </c>
      <c r="C35" s="55" t="s">
        <v>2</v>
      </c>
      <c r="D35" s="56">
        <v>-509.17</v>
      </c>
      <c r="E35" s="62" t="s">
        <v>189</v>
      </c>
      <c r="F35" s="62" t="s">
        <v>189</v>
      </c>
      <c r="G35" s="61" t="s">
        <v>189</v>
      </c>
      <c r="I35" s="55">
        <f>LEN(Table134[[#This Row],[Narrtaion 1]])</f>
        <v>1</v>
      </c>
    </row>
    <row r="36" spans="2:9" x14ac:dyDescent="0.25">
      <c r="B36" s="57"/>
      <c r="C36" s="57"/>
      <c r="D36" s="58"/>
      <c r="E36" s="57"/>
      <c r="F36" s="57"/>
      <c r="G36" s="57"/>
      <c r="I36" s="55">
        <f>LEN(Table134[[#This Row],[Narrtaion 1]])</f>
        <v>0</v>
      </c>
    </row>
    <row r="37" spans="2:9" x14ac:dyDescent="0.25">
      <c r="B37" s="55" t="s">
        <v>5</v>
      </c>
      <c r="C37" s="55" t="s">
        <v>145</v>
      </c>
      <c r="D37" s="56">
        <v>9691.67</v>
      </c>
      <c r="E37" s="55" t="s">
        <v>147</v>
      </c>
      <c r="F37" s="62" t="s">
        <v>212</v>
      </c>
      <c r="G37" s="61" t="s">
        <v>189</v>
      </c>
      <c r="I37" s="55">
        <f>LEN(Table134[[#This Row],[Narrtaion 1]])</f>
        <v>30</v>
      </c>
    </row>
    <row r="38" spans="2:9" x14ac:dyDescent="0.25">
      <c r="B38" s="55" t="s">
        <v>5</v>
      </c>
      <c r="C38" s="55" t="s">
        <v>146</v>
      </c>
      <c r="D38" s="56">
        <v>-9691.67</v>
      </c>
      <c r="E38" s="62" t="s">
        <v>189</v>
      </c>
      <c r="F38" s="61" t="s">
        <v>189</v>
      </c>
      <c r="G38" s="61" t="s">
        <v>189</v>
      </c>
      <c r="I38" s="55">
        <f>LEN(Table134[[#This Row],[Narrtaion 1]])</f>
        <v>1</v>
      </c>
    </row>
    <row r="39" spans="2:9" x14ac:dyDescent="0.25">
      <c r="B39" s="63" t="s">
        <v>5</v>
      </c>
      <c r="C39" s="64" t="s">
        <v>192</v>
      </c>
      <c r="D39" s="65">
        <v>5051.83</v>
      </c>
      <c r="E39" s="63" t="s">
        <v>193</v>
      </c>
      <c r="F39" s="63" t="s">
        <v>211</v>
      </c>
      <c r="G39" s="63" t="s">
        <v>189</v>
      </c>
      <c r="I39" s="55">
        <f>LEN(Table134[[#This Row],[Narrtaion 1]])</f>
        <v>28</v>
      </c>
    </row>
    <row r="40" spans="2:9" x14ac:dyDescent="0.25">
      <c r="B40" s="67" t="s">
        <v>5</v>
      </c>
      <c r="C40" s="67" t="s">
        <v>146</v>
      </c>
      <c r="D40" s="65">
        <v>-5051.83</v>
      </c>
      <c r="E40" s="63" t="s">
        <v>189</v>
      </c>
      <c r="F40" s="63" t="s">
        <v>189</v>
      </c>
      <c r="G40" s="63" t="s">
        <v>189</v>
      </c>
      <c r="I40" s="55">
        <f>LEN(Table134[[#This Row],[Narrtaion 1]])</f>
        <v>1</v>
      </c>
    </row>
    <row r="41" spans="2:9" x14ac:dyDescent="0.25">
      <c r="B41" s="57"/>
      <c r="C41" s="57"/>
      <c r="D41" s="58"/>
      <c r="E41" s="57"/>
      <c r="F41" s="57"/>
      <c r="G41" s="57"/>
      <c r="I41" s="55">
        <f>LEN(Table134[[#This Row],[Narrtaion 1]])</f>
        <v>0</v>
      </c>
    </row>
    <row r="42" spans="2:9" x14ac:dyDescent="0.25">
      <c r="B42" s="55" t="s">
        <v>5</v>
      </c>
      <c r="C42" s="55" t="s">
        <v>39</v>
      </c>
      <c r="D42" s="56">
        <v>8431.4</v>
      </c>
      <c r="E42" s="55" t="s">
        <v>151</v>
      </c>
      <c r="F42" s="62" t="s">
        <v>210</v>
      </c>
      <c r="G42" s="61" t="s">
        <v>189</v>
      </c>
      <c r="I42" s="55">
        <f>LEN(Table134[[#This Row],[Narrtaion 1]])</f>
        <v>29</v>
      </c>
    </row>
    <row r="43" spans="2:9" x14ac:dyDescent="0.25">
      <c r="B43" s="55" t="s">
        <v>5</v>
      </c>
      <c r="C43" s="55" t="s">
        <v>150</v>
      </c>
      <c r="D43" s="56">
        <v>-8431.4</v>
      </c>
      <c r="E43" s="62" t="s">
        <v>189</v>
      </c>
      <c r="F43" s="61" t="s">
        <v>189</v>
      </c>
      <c r="G43" s="61" t="s">
        <v>189</v>
      </c>
      <c r="I43" s="55">
        <f>LEN(Table134[[#This Row],[Narrtaion 1]])</f>
        <v>1</v>
      </c>
    </row>
    <row r="44" spans="2:9" x14ac:dyDescent="0.25">
      <c r="B44" s="57"/>
      <c r="C44" s="57"/>
      <c r="D44" s="58"/>
      <c r="E44" s="57"/>
      <c r="F44" s="57"/>
      <c r="G44" s="57"/>
      <c r="I44" s="55">
        <f>LEN(Table134[[#This Row],[Narrtaion 1]])</f>
        <v>0</v>
      </c>
    </row>
    <row r="45" spans="2:9" x14ac:dyDescent="0.25">
      <c r="B45" s="55" t="s">
        <v>5</v>
      </c>
      <c r="C45" s="55" t="s">
        <v>7</v>
      </c>
      <c r="D45" s="56">
        <v>7143.75</v>
      </c>
      <c r="E45" s="62" t="s">
        <v>197</v>
      </c>
      <c r="F45" s="62" t="s">
        <v>209</v>
      </c>
      <c r="G45" s="61" t="s">
        <v>189</v>
      </c>
      <c r="I45" s="55">
        <f>LEN(Table134[[#This Row],[Narrtaion 1]])</f>
        <v>22</v>
      </c>
    </row>
    <row r="46" spans="2:9" x14ac:dyDescent="0.25">
      <c r="B46" s="55" t="s">
        <v>5</v>
      </c>
      <c r="C46" s="55" t="s">
        <v>6</v>
      </c>
      <c r="D46" s="56">
        <v>-7143.75</v>
      </c>
      <c r="E46" s="62" t="s">
        <v>189</v>
      </c>
      <c r="F46" s="61" t="s">
        <v>189</v>
      </c>
      <c r="G46" s="61" t="s">
        <v>189</v>
      </c>
      <c r="I46" s="55">
        <f>LEN(Table134[[#This Row],[Narrtaion 1]])</f>
        <v>1</v>
      </c>
    </row>
    <row r="47" spans="2:9" x14ac:dyDescent="0.25">
      <c r="B47" s="55" t="s">
        <v>5</v>
      </c>
      <c r="C47" s="55" t="s">
        <v>62</v>
      </c>
      <c r="D47" s="56">
        <v>1530.58</v>
      </c>
      <c r="E47" s="55" t="s">
        <v>110</v>
      </c>
      <c r="F47" s="62" t="s">
        <v>208</v>
      </c>
      <c r="G47" s="61" t="s">
        <v>189</v>
      </c>
      <c r="I47" s="55">
        <f>LEN(Table134[[#This Row],[Narrtaion 1]])</f>
        <v>31</v>
      </c>
    </row>
    <row r="48" spans="2:9" x14ac:dyDescent="0.25">
      <c r="B48" s="55" t="s">
        <v>5</v>
      </c>
      <c r="C48" s="55" t="s">
        <v>6</v>
      </c>
      <c r="D48" s="56">
        <v>-1530.58</v>
      </c>
      <c r="E48" s="62" t="s">
        <v>189</v>
      </c>
      <c r="F48" s="61" t="s">
        <v>189</v>
      </c>
      <c r="G48" s="61" t="s">
        <v>189</v>
      </c>
      <c r="I48" s="55">
        <f>LEN(Table134[[#This Row],[Narrtaion 1]])</f>
        <v>1</v>
      </c>
    </row>
    <row r="49" spans="2:9" x14ac:dyDescent="0.25">
      <c r="B49" s="55" t="s">
        <v>5</v>
      </c>
      <c r="C49" s="55" t="s">
        <v>62</v>
      </c>
      <c r="D49" s="56">
        <v>732</v>
      </c>
      <c r="E49" s="62" t="s">
        <v>111</v>
      </c>
      <c r="F49" s="62" t="s">
        <v>207</v>
      </c>
      <c r="G49" s="61" t="s">
        <v>189</v>
      </c>
      <c r="I49" s="55">
        <f>LEN(Table134[[#This Row],[Narrtaion 1]])</f>
        <v>19</v>
      </c>
    </row>
    <row r="50" spans="2:9" x14ac:dyDescent="0.25">
      <c r="B50" s="55" t="s">
        <v>5</v>
      </c>
      <c r="C50" s="55" t="s">
        <v>6</v>
      </c>
      <c r="D50" s="56">
        <v>-732</v>
      </c>
      <c r="E50" s="62" t="s">
        <v>189</v>
      </c>
      <c r="F50" s="61" t="s">
        <v>189</v>
      </c>
      <c r="G50" s="61" t="s">
        <v>189</v>
      </c>
      <c r="I50" s="55">
        <f>LEN(Table134[[#This Row],[Narrtaion 1]])</f>
        <v>1</v>
      </c>
    </row>
    <row r="51" spans="2:9" x14ac:dyDescent="0.25">
      <c r="B51" s="55" t="s">
        <v>5</v>
      </c>
      <c r="C51" s="55" t="s">
        <v>62</v>
      </c>
      <c r="D51" s="56">
        <v>2646.25</v>
      </c>
      <c r="E51" s="62" t="s">
        <v>198</v>
      </c>
      <c r="F51" s="62" t="s">
        <v>206</v>
      </c>
      <c r="G51" s="61" t="s">
        <v>189</v>
      </c>
      <c r="I51" s="55">
        <f>LEN(Table134[[#This Row],[Narrtaion 1]])</f>
        <v>9</v>
      </c>
    </row>
    <row r="52" spans="2:9" x14ac:dyDescent="0.25">
      <c r="B52" s="55" t="s">
        <v>5</v>
      </c>
      <c r="C52" s="55" t="s">
        <v>6</v>
      </c>
      <c r="D52" s="56">
        <v>-2646.25</v>
      </c>
      <c r="E52" s="62" t="s">
        <v>189</v>
      </c>
      <c r="F52" s="61" t="s">
        <v>189</v>
      </c>
      <c r="G52" s="61" t="s">
        <v>189</v>
      </c>
      <c r="I52" s="55">
        <f>LEN(Table134[[#This Row],[Narrtaion 1]])</f>
        <v>1</v>
      </c>
    </row>
    <row r="53" spans="2:9" x14ac:dyDescent="0.25">
      <c r="B53" s="55" t="s">
        <v>5</v>
      </c>
      <c r="C53" s="55" t="s">
        <v>62</v>
      </c>
      <c r="D53" s="56">
        <v>3794.42</v>
      </c>
      <c r="E53" s="62" t="s">
        <v>199</v>
      </c>
      <c r="F53" s="62" t="s">
        <v>200</v>
      </c>
      <c r="G53" s="61" t="s">
        <v>189</v>
      </c>
      <c r="I53" s="55">
        <f>LEN(Table134[[#This Row],[Narrtaion 1]])</f>
        <v>14</v>
      </c>
    </row>
    <row r="54" spans="2:9" x14ac:dyDescent="0.25">
      <c r="B54" s="55" t="s">
        <v>5</v>
      </c>
      <c r="C54" s="55" t="s">
        <v>6</v>
      </c>
      <c r="D54" s="56">
        <v>-3794.42</v>
      </c>
      <c r="E54" s="62" t="s">
        <v>189</v>
      </c>
      <c r="F54" s="61" t="s">
        <v>189</v>
      </c>
      <c r="G54" s="61" t="s">
        <v>189</v>
      </c>
      <c r="I54" s="55">
        <f>LEN(Table134[[#This Row],[Narrtaion 1]])</f>
        <v>1</v>
      </c>
    </row>
    <row r="55" spans="2:9" x14ac:dyDescent="0.25">
      <c r="B55" s="55" t="s">
        <v>5</v>
      </c>
      <c r="C55" s="55" t="s">
        <v>62</v>
      </c>
      <c r="D55" s="56">
        <v>843.14</v>
      </c>
      <c r="E55" s="62" t="s">
        <v>201</v>
      </c>
      <c r="F55" s="62" t="s">
        <v>205</v>
      </c>
      <c r="G55" s="61" t="s">
        <v>189</v>
      </c>
      <c r="I55" s="55">
        <f>LEN(Table134[[#This Row],[Narrtaion 1]])</f>
        <v>19</v>
      </c>
    </row>
    <row r="56" spans="2:9" x14ac:dyDescent="0.25">
      <c r="B56" s="55" t="s">
        <v>5</v>
      </c>
      <c r="C56" s="55" t="s">
        <v>6</v>
      </c>
      <c r="D56" s="56">
        <v>-843.14</v>
      </c>
      <c r="E56" s="62" t="s">
        <v>189</v>
      </c>
      <c r="F56" s="61" t="s">
        <v>189</v>
      </c>
      <c r="G56" s="61" t="s">
        <v>189</v>
      </c>
      <c r="I56" s="55">
        <f>LEN(Table134[[#This Row],[Narrtaion 1]])</f>
        <v>1</v>
      </c>
    </row>
    <row r="57" spans="2:9" x14ac:dyDescent="0.25">
      <c r="B57" s="55" t="s">
        <v>5</v>
      </c>
      <c r="C57" s="55" t="s">
        <v>62</v>
      </c>
      <c r="D57" s="56">
        <v>32945.33</v>
      </c>
      <c r="E57" s="62" t="s">
        <v>202</v>
      </c>
      <c r="F57" s="62" t="s">
        <v>204</v>
      </c>
      <c r="G57" s="61" t="s">
        <v>189</v>
      </c>
      <c r="I57" s="55">
        <f>LEN(Table134[[#This Row],[Narrtaion 1]])</f>
        <v>15</v>
      </c>
    </row>
    <row r="58" spans="2:9" x14ac:dyDescent="0.25">
      <c r="B58" s="55" t="s">
        <v>5</v>
      </c>
      <c r="C58" s="55" t="s">
        <v>6</v>
      </c>
      <c r="D58" s="56">
        <v>-32945.33</v>
      </c>
      <c r="E58" s="62" t="s">
        <v>189</v>
      </c>
      <c r="F58" s="61" t="s">
        <v>189</v>
      </c>
      <c r="G58" s="61" t="s">
        <v>189</v>
      </c>
      <c r="I58" s="55">
        <f>LEN(Table134[[#This Row],[Narrtaion 1]])</f>
        <v>1</v>
      </c>
    </row>
    <row r="59" spans="2:9" x14ac:dyDescent="0.25">
      <c r="B59" s="55" t="s">
        <v>5</v>
      </c>
      <c r="C59" s="55" t="s">
        <v>62</v>
      </c>
      <c r="D59" s="56">
        <v>973.55</v>
      </c>
      <c r="E59" s="62" t="s">
        <v>221</v>
      </c>
      <c r="F59" s="62" t="s">
        <v>203</v>
      </c>
      <c r="G59" s="61" t="s">
        <v>189</v>
      </c>
      <c r="I59" s="55">
        <f>LEN(Table134[[#This Row],[Narrtaion 1]])</f>
        <v>29</v>
      </c>
    </row>
    <row r="60" spans="2:9" x14ac:dyDescent="0.25">
      <c r="B60" s="55" t="s">
        <v>5</v>
      </c>
      <c r="C60" s="55" t="s">
        <v>6</v>
      </c>
      <c r="D60" s="56">
        <v>-973.55</v>
      </c>
      <c r="E60" s="62" t="s">
        <v>189</v>
      </c>
      <c r="F60" s="61" t="s">
        <v>189</v>
      </c>
      <c r="G60" s="61" t="s">
        <v>189</v>
      </c>
      <c r="I60" s="55">
        <f>LEN(Table134[[#This Row],[Narrtaion 1]])</f>
        <v>1</v>
      </c>
    </row>
    <row r="61" spans="2:9" x14ac:dyDescent="0.25">
      <c r="B61" s="55" t="s">
        <v>5</v>
      </c>
      <c r="C61" s="55" t="s">
        <v>62</v>
      </c>
      <c r="D61" s="56">
        <v>554.5</v>
      </c>
      <c r="E61" s="62" t="s">
        <v>220</v>
      </c>
      <c r="F61" s="62" t="s">
        <v>219</v>
      </c>
      <c r="G61" s="61" t="s">
        <v>189</v>
      </c>
      <c r="I61" s="55">
        <f>LEN(Table134[[#This Row],[Narrtaion 1]])</f>
        <v>17</v>
      </c>
    </row>
    <row r="62" spans="2:9" x14ac:dyDescent="0.25">
      <c r="B62" s="55" t="s">
        <v>5</v>
      </c>
      <c r="C62" s="55" t="s">
        <v>6</v>
      </c>
      <c r="D62" s="56">
        <v>-554.5</v>
      </c>
      <c r="E62" s="62" t="s">
        <v>189</v>
      </c>
      <c r="F62" s="61" t="s">
        <v>189</v>
      </c>
      <c r="G62" s="61" t="s">
        <v>189</v>
      </c>
      <c r="I62" s="55">
        <f>LEN(Table134[[#This Row],[Narrtaion 1]])</f>
        <v>1</v>
      </c>
    </row>
    <row r="63" spans="2:9" x14ac:dyDescent="0.25">
      <c r="B63" s="55" t="s">
        <v>5</v>
      </c>
      <c r="C63" s="55" t="s">
        <v>62</v>
      </c>
      <c r="D63" s="56">
        <v>799.83</v>
      </c>
      <c r="E63" s="62" t="s">
        <v>222</v>
      </c>
      <c r="F63" s="62" t="s">
        <v>223</v>
      </c>
      <c r="G63" s="61" t="s">
        <v>189</v>
      </c>
      <c r="I63" s="55">
        <f>LEN(Table134[[#This Row],[Narrtaion 1]])</f>
        <v>10</v>
      </c>
    </row>
    <row r="64" spans="2:9" x14ac:dyDescent="0.25">
      <c r="B64" s="55" t="s">
        <v>5</v>
      </c>
      <c r="C64" s="55" t="s">
        <v>6</v>
      </c>
      <c r="D64" s="56">
        <v>-799.83</v>
      </c>
      <c r="E64" s="62" t="s">
        <v>189</v>
      </c>
      <c r="F64" s="61" t="s">
        <v>189</v>
      </c>
      <c r="G64" s="61" t="s">
        <v>189</v>
      </c>
      <c r="I64" s="55">
        <f>LEN(Table134[[#This Row],[Narrtaion 1]])</f>
        <v>1</v>
      </c>
    </row>
    <row r="65" spans="1:9" x14ac:dyDescent="0.25">
      <c r="A65" s="67"/>
      <c r="B65" s="71" t="s">
        <v>5</v>
      </c>
      <c r="C65" s="67" t="s">
        <v>62</v>
      </c>
      <c r="D65" s="65">
        <v>506.23</v>
      </c>
      <c r="E65" s="63" t="s">
        <v>224</v>
      </c>
      <c r="F65" s="63" t="s">
        <v>225</v>
      </c>
      <c r="G65" s="66"/>
      <c r="H65" s="67"/>
      <c r="I65" s="67">
        <f>LEN(Table134[[#This Row],[Narrtaion 1]])</f>
        <v>22</v>
      </c>
    </row>
    <row r="66" spans="1:9" x14ac:dyDescent="0.25">
      <c r="A66" s="67"/>
      <c r="B66" s="63" t="s">
        <v>5</v>
      </c>
      <c r="C66" s="67" t="s">
        <v>6</v>
      </c>
      <c r="D66" s="65">
        <v>-506.23</v>
      </c>
      <c r="E66" s="63" t="s">
        <v>189</v>
      </c>
      <c r="F66" s="63" t="s">
        <v>189</v>
      </c>
      <c r="G66" s="66"/>
      <c r="H66" s="67"/>
      <c r="I66" s="67">
        <f>LEN(Table134[[#This Row],[Narrtaion 1]])</f>
        <v>1</v>
      </c>
    </row>
    <row r="67" spans="1:9" x14ac:dyDescent="0.25">
      <c r="B67" s="55" t="s">
        <v>5</v>
      </c>
      <c r="C67" s="55" t="s">
        <v>62</v>
      </c>
      <c r="D67" s="56">
        <v>949.17</v>
      </c>
      <c r="E67" s="62" t="s">
        <v>226</v>
      </c>
      <c r="F67" s="62" t="s">
        <v>227</v>
      </c>
      <c r="G67" s="61" t="s">
        <v>189</v>
      </c>
      <c r="I67" s="55">
        <f>LEN(Table134[[#This Row],[Narrtaion 1]])</f>
        <v>7</v>
      </c>
    </row>
    <row r="68" spans="1:9" x14ac:dyDescent="0.25">
      <c r="B68" s="55" t="s">
        <v>5</v>
      </c>
      <c r="C68" s="55" t="s">
        <v>6</v>
      </c>
      <c r="D68" s="56">
        <v>-949.17</v>
      </c>
      <c r="E68" s="62" t="s">
        <v>189</v>
      </c>
      <c r="F68" s="61" t="s">
        <v>189</v>
      </c>
      <c r="G68" s="61" t="s">
        <v>189</v>
      </c>
      <c r="I68" s="55">
        <f>LEN(Table134[[#This Row],[Narrtaion 1]])</f>
        <v>1</v>
      </c>
    </row>
    <row r="69" spans="1:9" x14ac:dyDescent="0.25">
      <c r="A69" s="67"/>
      <c r="B69" s="63" t="s">
        <v>5</v>
      </c>
      <c r="C69" s="67" t="s">
        <v>62</v>
      </c>
      <c r="D69" s="65">
        <v>2093</v>
      </c>
      <c r="E69" s="63" t="s">
        <v>229</v>
      </c>
      <c r="F69" s="63" t="s">
        <v>228</v>
      </c>
      <c r="G69" s="66"/>
      <c r="I69" s="55">
        <f>LEN(Table134[[#This Row],[Narrtaion 1]])</f>
        <v>22</v>
      </c>
    </row>
    <row r="70" spans="1:9" x14ac:dyDescent="0.25">
      <c r="A70" s="67"/>
      <c r="B70" s="67" t="s">
        <v>5</v>
      </c>
      <c r="C70" s="67" t="s">
        <v>6</v>
      </c>
      <c r="D70" s="65">
        <v>-2093</v>
      </c>
      <c r="E70" s="63" t="s">
        <v>189</v>
      </c>
      <c r="F70" s="63" t="s">
        <v>189</v>
      </c>
      <c r="G70" s="66"/>
      <c r="I70" s="55">
        <f>LEN(Table134[[#This Row],[Narrtaion 1]])</f>
        <v>1</v>
      </c>
    </row>
    <row r="71" spans="1:9" x14ac:dyDescent="0.25">
      <c r="B71" s="57"/>
      <c r="C71" s="57"/>
      <c r="D71" s="58"/>
      <c r="E71" s="57"/>
      <c r="F71" s="57"/>
      <c r="G71" s="57"/>
      <c r="I71" s="55">
        <f>LEN(Table134[[#This Row],[Narrtaion 1]])</f>
        <v>0</v>
      </c>
    </row>
    <row r="72" spans="1:9" x14ac:dyDescent="0.25">
      <c r="B72" s="55" t="s">
        <v>5</v>
      </c>
      <c r="C72" s="61" t="s">
        <v>187</v>
      </c>
      <c r="D72" s="56">
        <v>4206.67</v>
      </c>
      <c r="E72" s="55" t="s">
        <v>188</v>
      </c>
      <c r="F72" s="62" t="s">
        <v>231</v>
      </c>
      <c r="G72" s="61" t="s">
        <v>189</v>
      </c>
      <c r="I72" s="55">
        <f>LEN(Table134[[#This Row],[Narrtaion 1]])</f>
        <v>25</v>
      </c>
    </row>
    <row r="73" spans="1:9" x14ac:dyDescent="0.25">
      <c r="B73" s="55" t="s">
        <v>5</v>
      </c>
      <c r="C73" s="55" t="s">
        <v>186</v>
      </c>
      <c r="D73" s="56">
        <v>-4206.67</v>
      </c>
      <c r="E73" s="62" t="s">
        <v>189</v>
      </c>
      <c r="F73" s="61" t="s">
        <v>189</v>
      </c>
      <c r="G73" s="61" t="s">
        <v>189</v>
      </c>
      <c r="I73" s="55">
        <f>LEN(Table134[[#This Row],[Narrtaion 1]])</f>
        <v>1</v>
      </c>
    </row>
    <row r="74" spans="1:9" x14ac:dyDescent="0.25">
      <c r="D74" s="56"/>
    </row>
    <row r="75" spans="1:9" x14ac:dyDescent="0.25">
      <c r="D75" s="56"/>
    </row>
  </sheetData>
  <conditionalFormatting sqref="I4:I86">
    <cfRule type="cellIs" dxfId="7" priority="1" operator="greaterThan">
      <formula>33</formula>
    </cfRule>
  </conditionalFormatting>
  <hyperlinks>
    <hyperlink ref="B1" r:id="rId1" xr:uid="{68AFB652-C44D-4783-9199-6B1478F65394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C4D7-D2DE-428C-BCFC-E853584271CE}">
  <sheetPr>
    <tabColor theme="5" tint="0.59999389629810485"/>
  </sheetPr>
  <dimension ref="B1:I76"/>
  <sheetViews>
    <sheetView workbookViewId="0">
      <selection activeCell="B25" sqref="B25:C26"/>
    </sheetView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9" style="55" bestFit="1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9" x14ac:dyDescent="0.25">
      <c r="B1" s="59" t="s">
        <v>185</v>
      </c>
      <c r="F1" s="69" t="s">
        <v>233</v>
      </c>
      <c r="G1" s="68">
        <v>1198104</v>
      </c>
    </row>
    <row r="3" spans="2:9" x14ac:dyDescent="0.25">
      <c r="B3" s="60" t="s">
        <v>178</v>
      </c>
      <c r="C3" s="60" t="s">
        <v>179</v>
      </c>
      <c r="D3" s="60" t="s">
        <v>180</v>
      </c>
      <c r="E3" s="60" t="s">
        <v>181</v>
      </c>
      <c r="F3" s="60" t="s">
        <v>182</v>
      </c>
      <c r="G3" s="60" t="s">
        <v>183</v>
      </c>
      <c r="I3" s="61"/>
    </row>
    <row r="4" spans="2:9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55" t="s">
        <v>157</v>
      </c>
      <c r="G4" s="61" t="s">
        <v>191</v>
      </c>
    </row>
    <row r="5" spans="2:9" x14ac:dyDescent="0.25">
      <c r="B5" s="55" t="s">
        <v>5</v>
      </c>
      <c r="C5" s="55" t="s">
        <v>155</v>
      </c>
      <c r="D5" s="56">
        <v>-1704.63666666667</v>
      </c>
      <c r="E5" s="55" t="s">
        <v>156</v>
      </c>
      <c r="F5" s="61" t="s">
        <v>189</v>
      </c>
      <c r="G5" s="61" t="s">
        <v>189</v>
      </c>
    </row>
    <row r="6" spans="2:9" hidden="1" x14ac:dyDescent="0.25">
      <c r="B6" s="57"/>
      <c r="C6" s="57"/>
      <c r="D6" s="58"/>
      <c r="E6" s="57"/>
      <c r="F6" s="57"/>
      <c r="G6" s="57"/>
    </row>
    <row r="7" spans="2:9" x14ac:dyDescent="0.25">
      <c r="B7" s="55" t="s">
        <v>5</v>
      </c>
      <c r="C7" s="55" t="s">
        <v>136</v>
      </c>
      <c r="D7" s="56">
        <v>225</v>
      </c>
      <c r="E7" s="55" t="s">
        <v>137</v>
      </c>
      <c r="F7" s="55" t="s">
        <v>138</v>
      </c>
      <c r="G7" s="61" t="s">
        <v>189</v>
      </c>
    </row>
    <row r="8" spans="2:9" x14ac:dyDescent="0.25">
      <c r="B8" s="55" t="s">
        <v>1</v>
      </c>
      <c r="C8" s="55" t="s">
        <v>2</v>
      </c>
      <c r="D8" s="56">
        <v>-225</v>
      </c>
      <c r="E8" s="55" t="s">
        <v>137</v>
      </c>
      <c r="F8" s="61" t="s">
        <v>189</v>
      </c>
      <c r="G8" s="61" t="s">
        <v>189</v>
      </c>
    </row>
    <row r="9" spans="2:9" x14ac:dyDescent="0.25">
      <c r="B9" s="55" t="s">
        <v>5</v>
      </c>
      <c r="C9" s="55" t="s">
        <v>125</v>
      </c>
      <c r="D9" s="56">
        <v>591.69583333333333</v>
      </c>
      <c r="E9" s="55" t="s">
        <v>126</v>
      </c>
      <c r="F9" s="55" t="s">
        <v>127</v>
      </c>
      <c r="G9" s="61" t="s">
        <v>189</v>
      </c>
    </row>
    <row r="10" spans="2:9" x14ac:dyDescent="0.25">
      <c r="B10" s="55" t="s">
        <v>5</v>
      </c>
      <c r="C10" s="55" t="s">
        <v>128</v>
      </c>
      <c r="D10" s="56">
        <v>902.00666666666666</v>
      </c>
      <c r="E10" s="55" t="s">
        <v>126</v>
      </c>
      <c r="F10" s="55" t="s">
        <v>127</v>
      </c>
      <c r="G10" s="61" t="s">
        <v>189</v>
      </c>
    </row>
    <row r="11" spans="2:9" x14ac:dyDescent="0.25">
      <c r="B11" s="55" t="s">
        <v>5</v>
      </c>
      <c r="C11" s="55" t="s">
        <v>129</v>
      </c>
      <c r="D11" s="56">
        <v>633.77083333333337</v>
      </c>
      <c r="E11" s="55" t="s">
        <v>126</v>
      </c>
      <c r="F11" s="55" t="s">
        <v>127</v>
      </c>
      <c r="G11" s="61" t="s">
        <v>189</v>
      </c>
    </row>
    <row r="12" spans="2:9" x14ac:dyDescent="0.25">
      <c r="B12" s="55" t="s">
        <v>5</v>
      </c>
      <c r="C12" s="55" t="s">
        <v>130</v>
      </c>
      <c r="D12" s="56">
        <v>633.77083333333337</v>
      </c>
      <c r="E12" s="55" t="s">
        <v>126</v>
      </c>
      <c r="F12" s="55" t="s">
        <v>127</v>
      </c>
      <c r="G12" s="61" t="s">
        <v>189</v>
      </c>
    </row>
    <row r="13" spans="2:9" x14ac:dyDescent="0.25">
      <c r="B13" s="55" t="s">
        <v>5</v>
      </c>
      <c r="C13" s="55" t="s">
        <v>131</v>
      </c>
      <c r="D13" s="56">
        <v>284.01333333333332</v>
      </c>
      <c r="E13" s="55" t="s">
        <v>126</v>
      </c>
      <c r="F13" s="55" t="s">
        <v>127</v>
      </c>
      <c r="G13" s="61" t="s">
        <v>189</v>
      </c>
    </row>
    <row r="14" spans="2:9" x14ac:dyDescent="0.25">
      <c r="B14" s="55" t="s">
        <v>5</v>
      </c>
      <c r="C14" s="55" t="s">
        <v>132</v>
      </c>
      <c r="D14" s="56">
        <v>360.27666666666664</v>
      </c>
      <c r="E14" s="55" t="s">
        <v>126</v>
      </c>
      <c r="F14" s="55" t="s">
        <v>127</v>
      </c>
      <c r="G14" s="61" t="s">
        <v>189</v>
      </c>
    </row>
    <row r="15" spans="2:9" x14ac:dyDescent="0.25">
      <c r="B15" s="55" t="s">
        <v>5</v>
      </c>
      <c r="C15" s="55" t="s">
        <v>133</v>
      </c>
      <c r="D15" s="56">
        <v>281.38416666666666</v>
      </c>
      <c r="E15" s="55" t="s">
        <v>126</v>
      </c>
      <c r="F15" s="55" t="s">
        <v>127</v>
      </c>
      <c r="G15" s="61" t="s">
        <v>189</v>
      </c>
    </row>
    <row r="16" spans="2:9" x14ac:dyDescent="0.25">
      <c r="B16" s="55" t="s">
        <v>5</v>
      </c>
      <c r="C16" s="55" t="s">
        <v>134</v>
      </c>
      <c r="D16" s="56">
        <v>1364.8458333333333</v>
      </c>
      <c r="E16" s="55" t="s">
        <v>126</v>
      </c>
      <c r="F16" s="55" t="s">
        <v>127</v>
      </c>
      <c r="G16" s="61" t="s">
        <v>189</v>
      </c>
    </row>
    <row r="17" spans="2:7" x14ac:dyDescent="0.25">
      <c r="B17" s="55" t="s">
        <v>5</v>
      </c>
      <c r="C17" s="55" t="s">
        <v>135</v>
      </c>
      <c r="D17" s="56">
        <v>207.75083333333336</v>
      </c>
      <c r="E17" s="55" t="s">
        <v>126</v>
      </c>
      <c r="F17" s="55" t="s">
        <v>127</v>
      </c>
      <c r="G17" s="61" t="s">
        <v>189</v>
      </c>
    </row>
    <row r="18" spans="2:7" x14ac:dyDescent="0.25">
      <c r="B18" s="55" t="s">
        <v>1</v>
      </c>
      <c r="C18" s="55" t="s">
        <v>2</v>
      </c>
      <c r="D18" s="56">
        <v>-5259.5150000000003</v>
      </c>
      <c r="E18" s="55" t="s">
        <v>126</v>
      </c>
      <c r="F18" s="61" t="s">
        <v>189</v>
      </c>
      <c r="G18" s="61" t="s">
        <v>189</v>
      </c>
    </row>
    <row r="19" spans="2:7" x14ac:dyDescent="0.25">
      <c r="B19" s="55" t="s">
        <v>5</v>
      </c>
      <c r="C19" s="55" t="s">
        <v>89</v>
      </c>
      <c r="D19" s="56">
        <v>489.82</v>
      </c>
      <c r="E19" s="55" t="s">
        <v>163</v>
      </c>
      <c r="F19" s="55" t="s">
        <v>162</v>
      </c>
      <c r="G19" s="61" t="s">
        <v>189</v>
      </c>
    </row>
    <row r="20" spans="2:7" x14ac:dyDescent="0.25">
      <c r="B20" s="55" t="s">
        <v>5</v>
      </c>
      <c r="C20" s="55" t="s">
        <v>91</v>
      </c>
      <c r="D20" s="56">
        <v>489.82</v>
      </c>
      <c r="E20" s="55" t="s">
        <v>163</v>
      </c>
      <c r="F20" s="55" t="s">
        <v>162</v>
      </c>
      <c r="G20" s="61" t="s">
        <v>189</v>
      </c>
    </row>
    <row r="21" spans="2:7" x14ac:dyDescent="0.25">
      <c r="B21" s="55" t="s">
        <v>5</v>
      </c>
      <c r="C21" s="55" t="s">
        <v>92</v>
      </c>
      <c r="D21" s="56">
        <v>489.82</v>
      </c>
      <c r="E21" s="55" t="s">
        <v>163</v>
      </c>
      <c r="F21" s="55" t="s">
        <v>162</v>
      </c>
      <c r="G21" s="61" t="s">
        <v>189</v>
      </c>
    </row>
    <row r="22" spans="2:7" x14ac:dyDescent="0.25">
      <c r="B22" s="55" t="s">
        <v>5</v>
      </c>
      <c r="C22" s="55" t="s">
        <v>90</v>
      </c>
      <c r="D22" s="56">
        <v>489.82</v>
      </c>
      <c r="E22" s="55" t="s">
        <v>163</v>
      </c>
      <c r="F22" s="55" t="s">
        <v>162</v>
      </c>
      <c r="G22" s="61" t="s">
        <v>189</v>
      </c>
    </row>
    <row r="23" spans="2:7" x14ac:dyDescent="0.25">
      <c r="B23" s="55" t="s">
        <v>1</v>
      </c>
      <c r="C23" s="55" t="s">
        <v>2</v>
      </c>
      <c r="D23" s="56">
        <v>-1959.28</v>
      </c>
      <c r="E23" s="55" t="s">
        <v>163</v>
      </c>
      <c r="F23" s="61" t="s">
        <v>189</v>
      </c>
      <c r="G23" s="61" t="s">
        <v>189</v>
      </c>
    </row>
    <row r="24" spans="2:7" hidden="1" x14ac:dyDescent="0.25">
      <c r="B24" s="57"/>
      <c r="C24" s="57"/>
      <c r="D24" s="58"/>
      <c r="E24" s="57"/>
      <c r="F24" s="57"/>
      <c r="G24" s="57"/>
    </row>
    <row r="25" spans="2:7" x14ac:dyDescent="0.25">
      <c r="B25" s="55" t="s">
        <v>5</v>
      </c>
      <c r="C25" s="55" t="s">
        <v>4</v>
      </c>
      <c r="D25" s="56">
        <v>43749.13</v>
      </c>
      <c r="E25" s="55" t="s">
        <v>99</v>
      </c>
      <c r="G25" s="61" t="s">
        <v>189</v>
      </c>
    </row>
    <row r="26" spans="2:7" x14ac:dyDescent="0.25">
      <c r="B26" s="55" t="s">
        <v>1</v>
      </c>
      <c r="C26" s="55" t="s">
        <v>16</v>
      </c>
      <c r="D26" s="56">
        <v>-43749.13</v>
      </c>
      <c r="E26" s="55" t="s">
        <v>99</v>
      </c>
      <c r="G26" s="61" t="s">
        <v>189</v>
      </c>
    </row>
    <row r="27" spans="2:7" hidden="1" x14ac:dyDescent="0.25">
      <c r="B27" s="57"/>
      <c r="C27" s="57"/>
      <c r="D27" s="58"/>
      <c r="E27" s="57"/>
      <c r="F27" s="57"/>
      <c r="G27" s="57"/>
    </row>
    <row r="28" spans="2:7" x14ac:dyDescent="0.25">
      <c r="B28" s="55" t="s">
        <v>5</v>
      </c>
      <c r="C28" s="55" t="s">
        <v>170</v>
      </c>
      <c r="D28" s="56">
        <v>20446.830000000002</v>
      </c>
      <c r="E28" s="55" t="s">
        <v>172</v>
      </c>
      <c r="F28" s="55" t="s">
        <v>173</v>
      </c>
      <c r="G28" s="61" t="s">
        <v>189</v>
      </c>
    </row>
    <row r="29" spans="2:7" x14ac:dyDescent="0.25">
      <c r="B29" s="55" t="s">
        <v>5</v>
      </c>
      <c r="C29" s="55" t="s">
        <v>171</v>
      </c>
      <c r="D29" s="56">
        <v>-20446.830000000002</v>
      </c>
      <c r="E29" s="55" t="s">
        <v>172</v>
      </c>
      <c r="F29" s="61" t="s">
        <v>189</v>
      </c>
      <c r="G29" s="61" t="s">
        <v>189</v>
      </c>
    </row>
    <row r="30" spans="2:7" hidden="1" x14ac:dyDescent="0.25">
      <c r="B30" s="57"/>
      <c r="C30" s="57"/>
      <c r="D30" s="58"/>
      <c r="E30" s="57"/>
      <c r="F30" s="57"/>
      <c r="G30" s="57"/>
    </row>
    <row r="31" spans="2:7" x14ac:dyDescent="0.25">
      <c r="B31" s="55" t="s">
        <v>5</v>
      </c>
      <c r="C31" s="55" t="s">
        <v>144</v>
      </c>
      <c r="D31" s="56">
        <v>4194.75</v>
      </c>
      <c r="E31" s="55" t="s">
        <v>143</v>
      </c>
      <c r="F31" s="55" t="s">
        <v>12</v>
      </c>
      <c r="G31" s="61" t="s">
        <v>189</v>
      </c>
    </row>
    <row r="32" spans="2:7" x14ac:dyDescent="0.25">
      <c r="B32" s="55" t="s">
        <v>5</v>
      </c>
      <c r="C32" s="55" t="s">
        <v>142</v>
      </c>
      <c r="D32" s="56">
        <v>-4194.75</v>
      </c>
      <c r="E32" s="55" t="s">
        <v>143</v>
      </c>
      <c r="F32" s="61" t="s">
        <v>189</v>
      </c>
      <c r="G32" s="61" t="s">
        <v>189</v>
      </c>
    </row>
    <row r="33" spans="2:7" hidden="1" x14ac:dyDescent="0.25">
      <c r="B33" s="57"/>
      <c r="C33" s="57"/>
      <c r="D33" s="58"/>
      <c r="E33" s="57"/>
      <c r="F33" s="57"/>
      <c r="G33" s="57"/>
    </row>
    <row r="34" spans="2:7" x14ac:dyDescent="0.25">
      <c r="B34" s="55" t="s">
        <v>5</v>
      </c>
      <c r="C34" s="55" t="s">
        <v>10</v>
      </c>
      <c r="D34" s="56">
        <v>509.17</v>
      </c>
      <c r="E34" s="55" t="s">
        <v>117</v>
      </c>
      <c r="G34" s="61" t="s">
        <v>189</v>
      </c>
    </row>
    <row r="35" spans="2:7" x14ac:dyDescent="0.25">
      <c r="B35" s="55" t="s">
        <v>1</v>
      </c>
      <c r="C35" s="55" t="s">
        <v>2</v>
      </c>
      <c r="D35" s="56">
        <v>-509.17</v>
      </c>
      <c r="E35" s="55" t="s">
        <v>117</v>
      </c>
      <c r="G35" s="61" t="s">
        <v>189</v>
      </c>
    </row>
    <row r="36" spans="2:7" hidden="1" x14ac:dyDescent="0.25">
      <c r="B36" s="57"/>
      <c r="C36" s="57"/>
      <c r="D36" s="58"/>
      <c r="E36" s="57"/>
      <c r="F36" s="57"/>
      <c r="G36" s="57"/>
    </row>
    <row r="37" spans="2:7" x14ac:dyDescent="0.25">
      <c r="B37" s="55" t="s">
        <v>5</v>
      </c>
      <c r="C37" s="55" t="s">
        <v>145</v>
      </c>
      <c r="D37" s="56">
        <v>9691.67</v>
      </c>
      <c r="E37" s="55" t="s">
        <v>147</v>
      </c>
      <c r="F37" s="55" t="s">
        <v>148</v>
      </c>
      <c r="G37" s="61" t="s">
        <v>189</v>
      </c>
    </row>
    <row r="38" spans="2:7" x14ac:dyDescent="0.25">
      <c r="B38" s="55" t="s">
        <v>5</v>
      </c>
      <c r="C38" s="55" t="s">
        <v>146</v>
      </c>
      <c r="D38" s="56">
        <v>-9691.67</v>
      </c>
      <c r="E38" s="55" t="s">
        <v>147</v>
      </c>
      <c r="F38" s="61" t="s">
        <v>189</v>
      </c>
      <c r="G38" s="61" t="s">
        <v>189</v>
      </c>
    </row>
    <row r="39" spans="2:7" hidden="1" x14ac:dyDescent="0.25">
      <c r="B39" s="57"/>
      <c r="C39" s="57"/>
      <c r="D39" s="58"/>
      <c r="E39" s="57"/>
      <c r="F39" s="57"/>
      <c r="G39" s="57"/>
    </row>
    <row r="40" spans="2:7" x14ac:dyDescent="0.25">
      <c r="B40" s="55" t="s">
        <v>5</v>
      </c>
      <c r="C40" s="55" t="s">
        <v>105</v>
      </c>
      <c r="D40" s="56">
        <v>8609.01</v>
      </c>
      <c r="E40" s="55" t="s">
        <v>103</v>
      </c>
      <c r="F40" s="55" t="s">
        <v>12</v>
      </c>
      <c r="G40" s="61" t="s">
        <v>189</v>
      </c>
    </row>
    <row r="41" spans="2:7" x14ac:dyDescent="0.25">
      <c r="B41" s="55" t="s">
        <v>1</v>
      </c>
      <c r="C41" s="55" t="s">
        <v>106</v>
      </c>
      <c r="D41" s="56">
        <v>-8609.01</v>
      </c>
      <c r="E41" s="55" t="s">
        <v>103</v>
      </c>
      <c r="F41" s="61" t="s">
        <v>189</v>
      </c>
      <c r="G41" s="61" t="s">
        <v>189</v>
      </c>
    </row>
    <row r="42" spans="2:7" hidden="1" x14ac:dyDescent="0.25">
      <c r="B42" s="57"/>
      <c r="C42" s="57"/>
      <c r="D42" s="58"/>
      <c r="E42" s="57"/>
      <c r="F42" s="57"/>
      <c r="G42" s="57"/>
    </row>
    <row r="43" spans="2:7" x14ac:dyDescent="0.25">
      <c r="B43" s="55" t="s">
        <v>5</v>
      </c>
      <c r="C43" s="55" t="s">
        <v>39</v>
      </c>
      <c r="D43" s="56">
        <v>8431.4</v>
      </c>
      <c r="E43" s="55" t="s">
        <v>151</v>
      </c>
      <c r="F43" s="55" t="s">
        <v>152</v>
      </c>
      <c r="G43" s="61" t="s">
        <v>189</v>
      </c>
    </row>
    <row r="44" spans="2:7" x14ac:dyDescent="0.25">
      <c r="B44" s="55" t="s">
        <v>5</v>
      </c>
      <c r="C44" s="55" t="s">
        <v>150</v>
      </c>
      <c r="D44" s="56">
        <v>-8431.4</v>
      </c>
      <c r="E44" s="55" t="s">
        <v>151</v>
      </c>
      <c r="F44" s="61" t="s">
        <v>189</v>
      </c>
      <c r="G44" s="61" t="s">
        <v>189</v>
      </c>
    </row>
    <row r="45" spans="2:7" hidden="1" x14ac:dyDescent="0.25">
      <c r="B45" s="57"/>
      <c r="C45" s="57"/>
      <c r="D45" s="58"/>
      <c r="E45" s="57"/>
      <c r="F45" s="57"/>
      <c r="G45" s="57"/>
    </row>
    <row r="46" spans="2:7" x14ac:dyDescent="0.25">
      <c r="B46" s="55" t="s">
        <v>5</v>
      </c>
      <c r="C46" s="55" t="s">
        <v>7</v>
      </c>
      <c r="D46" s="56">
        <v>7143.75</v>
      </c>
      <c r="E46" s="55" t="s">
        <v>26</v>
      </c>
      <c r="F46" s="55" t="s">
        <v>17</v>
      </c>
      <c r="G46" s="61" t="s">
        <v>189</v>
      </c>
    </row>
    <row r="47" spans="2:7" x14ac:dyDescent="0.25">
      <c r="B47" s="55" t="s">
        <v>5</v>
      </c>
      <c r="C47" s="55" t="s">
        <v>6</v>
      </c>
      <c r="D47" s="56">
        <v>-7143.75</v>
      </c>
      <c r="E47" s="55" t="s">
        <v>26</v>
      </c>
      <c r="F47" s="61" t="s">
        <v>189</v>
      </c>
      <c r="G47" s="61" t="s">
        <v>189</v>
      </c>
    </row>
    <row r="48" spans="2:7" x14ac:dyDescent="0.25">
      <c r="B48" s="55" t="s">
        <v>5</v>
      </c>
      <c r="C48" s="55" t="s">
        <v>62</v>
      </c>
      <c r="D48" s="56">
        <v>473.11</v>
      </c>
      <c r="E48" s="55" t="s">
        <v>85</v>
      </c>
      <c r="F48" s="55" t="s">
        <v>86</v>
      </c>
      <c r="G48" s="61" t="s">
        <v>189</v>
      </c>
    </row>
    <row r="49" spans="2:7" x14ac:dyDescent="0.25">
      <c r="B49" s="55" t="s">
        <v>5</v>
      </c>
      <c r="C49" s="55" t="s">
        <v>6</v>
      </c>
      <c r="D49" s="56">
        <v>-473.11</v>
      </c>
      <c r="E49" s="55" t="s">
        <v>85</v>
      </c>
      <c r="F49" s="61" t="s">
        <v>189</v>
      </c>
      <c r="G49" s="61" t="s">
        <v>189</v>
      </c>
    </row>
    <row r="50" spans="2:7" x14ac:dyDescent="0.25">
      <c r="B50" s="55" t="s">
        <v>5</v>
      </c>
      <c r="C50" s="55" t="s">
        <v>62</v>
      </c>
      <c r="D50" s="56">
        <v>2112.02</v>
      </c>
      <c r="E50" s="55" t="s">
        <v>107</v>
      </c>
      <c r="F50" s="55" t="s">
        <v>12</v>
      </c>
      <c r="G50" s="61" t="s">
        <v>189</v>
      </c>
    </row>
    <row r="51" spans="2:7" x14ac:dyDescent="0.25">
      <c r="B51" s="55" t="s">
        <v>5</v>
      </c>
      <c r="C51" s="55" t="s">
        <v>6</v>
      </c>
      <c r="D51" s="56">
        <v>-2112.02</v>
      </c>
      <c r="E51" s="55" t="s">
        <v>107</v>
      </c>
      <c r="F51" s="61" t="s">
        <v>189</v>
      </c>
      <c r="G51" s="61" t="s">
        <v>189</v>
      </c>
    </row>
    <row r="52" spans="2:7" x14ac:dyDescent="0.25">
      <c r="B52" s="55" t="s">
        <v>5</v>
      </c>
      <c r="C52" s="55" t="s">
        <v>62</v>
      </c>
      <c r="D52" s="56">
        <v>1530.58</v>
      </c>
      <c r="E52" s="55" t="s">
        <v>110</v>
      </c>
      <c r="F52" s="55" t="s">
        <v>12</v>
      </c>
      <c r="G52" s="61" t="s">
        <v>189</v>
      </c>
    </row>
    <row r="53" spans="2:7" x14ac:dyDescent="0.25">
      <c r="B53" s="55" t="s">
        <v>5</v>
      </c>
      <c r="C53" s="55" t="s">
        <v>6</v>
      </c>
      <c r="D53" s="56">
        <v>-1530.58</v>
      </c>
      <c r="E53" s="55" t="s">
        <v>110</v>
      </c>
      <c r="F53" s="61" t="s">
        <v>189</v>
      </c>
      <c r="G53" s="61" t="s">
        <v>189</v>
      </c>
    </row>
    <row r="54" spans="2:7" x14ac:dyDescent="0.25">
      <c r="B54" s="55" t="s">
        <v>5</v>
      </c>
      <c r="C54" s="55" t="s">
        <v>62</v>
      </c>
      <c r="D54" s="56">
        <v>732</v>
      </c>
      <c r="E54" s="55" t="s">
        <v>111</v>
      </c>
      <c r="F54" s="55" t="s">
        <v>12</v>
      </c>
      <c r="G54" s="61" t="s">
        <v>189</v>
      </c>
    </row>
    <row r="55" spans="2:7" x14ac:dyDescent="0.25">
      <c r="B55" s="55" t="s">
        <v>5</v>
      </c>
      <c r="C55" s="55" t="s">
        <v>6</v>
      </c>
      <c r="D55" s="56">
        <v>-732</v>
      </c>
      <c r="E55" s="55" t="s">
        <v>111</v>
      </c>
      <c r="F55" s="61" t="s">
        <v>189</v>
      </c>
      <c r="G55" s="61" t="s">
        <v>189</v>
      </c>
    </row>
    <row r="56" spans="2:7" x14ac:dyDescent="0.25">
      <c r="B56" s="55" t="s">
        <v>5</v>
      </c>
      <c r="C56" s="55" t="s">
        <v>62</v>
      </c>
      <c r="D56" s="56">
        <v>2646.25</v>
      </c>
      <c r="E56" s="55" t="s">
        <v>113</v>
      </c>
      <c r="F56" s="55" t="s">
        <v>12</v>
      </c>
      <c r="G56" s="61" t="s">
        <v>189</v>
      </c>
    </row>
    <row r="57" spans="2:7" x14ac:dyDescent="0.25">
      <c r="B57" s="55" t="s">
        <v>5</v>
      </c>
      <c r="C57" s="55" t="s">
        <v>6</v>
      </c>
      <c r="D57" s="56">
        <v>-2646.25</v>
      </c>
      <c r="E57" s="55" t="s">
        <v>113</v>
      </c>
      <c r="F57" s="61" t="s">
        <v>189</v>
      </c>
      <c r="G57" s="61" t="s">
        <v>189</v>
      </c>
    </row>
    <row r="58" spans="2:7" x14ac:dyDescent="0.25">
      <c r="B58" s="55" t="s">
        <v>5</v>
      </c>
      <c r="C58" s="55" t="s">
        <v>62</v>
      </c>
      <c r="D58" s="56">
        <v>3794.42</v>
      </c>
      <c r="E58" s="55" t="s">
        <v>114</v>
      </c>
      <c r="F58" s="55" t="s">
        <v>12</v>
      </c>
      <c r="G58" s="61" t="s">
        <v>189</v>
      </c>
    </row>
    <row r="59" spans="2:7" x14ac:dyDescent="0.25">
      <c r="B59" s="55" t="s">
        <v>5</v>
      </c>
      <c r="C59" s="55" t="s">
        <v>6</v>
      </c>
      <c r="D59" s="56">
        <v>-3794.42</v>
      </c>
      <c r="E59" s="55" t="s">
        <v>114</v>
      </c>
      <c r="F59" s="61" t="s">
        <v>189</v>
      </c>
      <c r="G59" s="61" t="s">
        <v>189</v>
      </c>
    </row>
    <row r="60" spans="2:7" x14ac:dyDescent="0.25">
      <c r="B60" s="55" t="s">
        <v>5</v>
      </c>
      <c r="C60" s="55" t="s">
        <v>62</v>
      </c>
      <c r="D60" s="56">
        <v>843.14</v>
      </c>
      <c r="E60" s="55" t="s">
        <v>123</v>
      </c>
      <c r="F60" s="55" t="s">
        <v>12</v>
      </c>
      <c r="G60" s="61" t="s">
        <v>189</v>
      </c>
    </row>
    <row r="61" spans="2:7" x14ac:dyDescent="0.25">
      <c r="B61" s="55" t="s">
        <v>5</v>
      </c>
      <c r="C61" s="55" t="s">
        <v>6</v>
      </c>
      <c r="D61" s="56">
        <v>-843.14</v>
      </c>
      <c r="E61" s="55" t="s">
        <v>123</v>
      </c>
      <c r="F61" s="61" t="s">
        <v>189</v>
      </c>
      <c r="G61" s="61" t="s">
        <v>189</v>
      </c>
    </row>
    <row r="62" spans="2:7" x14ac:dyDescent="0.25">
      <c r="B62" s="55" t="s">
        <v>5</v>
      </c>
      <c r="C62" s="55" t="s">
        <v>62</v>
      </c>
      <c r="D62" s="56">
        <v>32945.33</v>
      </c>
      <c r="E62" s="55" t="s">
        <v>159</v>
      </c>
      <c r="F62" s="55" t="s">
        <v>12</v>
      </c>
      <c r="G62" s="61" t="s">
        <v>189</v>
      </c>
    </row>
    <row r="63" spans="2:7" x14ac:dyDescent="0.25">
      <c r="B63" s="55" t="s">
        <v>5</v>
      </c>
      <c r="C63" s="55" t="s">
        <v>6</v>
      </c>
      <c r="D63" s="56">
        <v>-32945.33</v>
      </c>
      <c r="E63" s="55" t="s">
        <v>159</v>
      </c>
      <c r="F63" s="61" t="s">
        <v>189</v>
      </c>
      <c r="G63" s="61" t="s">
        <v>189</v>
      </c>
    </row>
    <row r="64" spans="2:7" x14ac:dyDescent="0.25">
      <c r="B64" s="55" t="s">
        <v>5</v>
      </c>
      <c r="C64" s="55" t="s">
        <v>62</v>
      </c>
      <c r="D64" s="56">
        <v>973.55</v>
      </c>
      <c r="E64" s="55" t="s">
        <v>160</v>
      </c>
      <c r="F64" s="55" t="s">
        <v>12</v>
      </c>
      <c r="G64" s="61" t="s">
        <v>189</v>
      </c>
    </row>
    <row r="65" spans="2:7" x14ac:dyDescent="0.25">
      <c r="B65" s="55" t="s">
        <v>5</v>
      </c>
      <c r="C65" s="55" t="s">
        <v>6</v>
      </c>
      <c r="D65" s="56">
        <v>-973.55</v>
      </c>
      <c r="E65" s="55" t="s">
        <v>160</v>
      </c>
      <c r="F65" s="61" t="s">
        <v>189</v>
      </c>
      <c r="G65" s="61" t="s">
        <v>189</v>
      </c>
    </row>
    <row r="66" spans="2:7" x14ac:dyDescent="0.25">
      <c r="B66" s="55" t="s">
        <v>5</v>
      </c>
      <c r="C66" s="55" t="s">
        <v>62</v>
      </c>
      <c r="D66" s="56">
        <v>554.5</v>
      </c>
      <c r="E66" s="55" t="s">
        <v>167</v>
      </c>
      <c r="F66" s="55" t="s">
        <v>12</v>
      </c>
      <c r="G66" s="61" t="s">
        <v>189</v>
      </c>
    </row>
    <row r="67" spans="2:7" x14ac:dyDescent="0.25">
      <c r="B67" s="55" t="s">
        <v>5</v>
      </c>
      <c r="C67" s="55" t="s">
        <v>6</v>
      </c>
      <c r="D67" s="56">
        <v>-554.5</v>
      </c>
      <c r="E67" s="55" t="s">
        <v>167</v>
      </c>
      <c r="F67" s="61" t="s">
        <v>189</v>
      </c>
      <c r="G67" s="61" t="s">
        <v>189</v>
      </c>
    </row>
    <row r="68" spans="2:7" x14ac:dyDescent="0.25">
      <c r="B68" s="55" t="s">
        <v>5</v>
      </c>
      <c r="C68" s="55" t="s">
        <v>62</v>
      </c>
      <c r="D68" s="56">
        <v>799.83</v>
      </c>
      <c r="E68" s="55" t="s">
        <v>168</v>
      </c>
      <c r="F68" s="55" t="s">
        <v>12</v>
      </c>
      <c r="G68" s="61" t="s">
        <v>189</v>
      </c>
    </row>
    <row r="69" spans="2:7" x14ac:dyDescent="0.25">
      <c r="B69" s="55" t="s">
        <v>5</v>
      </c>
      <c r="C69" s="55" t="s">
        <v>6</v>
      </c>
      <c r="D69" s="56">
        <v>-799.83</v>
      </c>
      <c r="E69" s="55" t="s">
        <v>168</v>
      </c>
      <c r="F69" s="61" t="s">
        <v>189</v>
      </c>
      <c r="G69" s="61" t="s">
        <v>189</v>
      </c>
    </row>
    <row r="70" spans="2:7" x14ac:dyDescent="0.25">
      <c r="B70" s="55" t="s">
        <v>5</v>
      </c>
      <c r="C70" s="55" t="s">
        <v>62</v>
      </c>
      <c r="D70" s="56">
        <v>949.17</v>
      </c>
      <c r="E70" s="55" t="s">
        <v>169</v>
      </c>
      <c r="F70" s="55" t="s">
        <v>12</v>
      </c>
      <c r="G70" s="61" t="s">
        <v>189</v>
      </c>
    </row>
    <row r="71" spans="2:7" x14ac:dyDescent="0.25">
      <c r="B71" s="55" t="s">
        <v>5</v>
      </c>
      <c r="C71" s="55" t="s">
        <v>6</v>
      </c>
      <c r="D71" s="56">
        <v>-949.17</v>
      </c>
      <c r="E71" s="55" t="s">
        <v>169</v>
      </c>
      <c r="F71" s="61" t="s">
        <v>189</v>
      </c>
      <c r="G71" s="61" t="s">
        <v>189</v>
      </c>
    </row>
    <row r="72" spans="2:7" hidden="1" x14ac:dyDescent="0.25">
      <c r="B72" s="57"/>
      <c r="C72" s="57"/>
      <c r="D72" s="58"/>
      <c r="E72" s="57"/>
      <c r="F72" s="57"/>
      <c r="G72" s="57"/>
    </row>
    <row r="73" spans="2:7" x14ac:dyDescent="0.25">
      <c r="B73" s="55" t="s">
        <v>5</v>
      </c>
      <c r="C73" s="61" t="s">
        <v>187</v>
      </c>
      <c r="D73" s="56">
        <v>4206.67</v>
      </c>
      <c r="E73" s="55" t="s">
        <v>188</v>
      </c>
      <c r="F73" s="61" t="s">
        <v>190</v>
      </c>
      <c r="G73" s="61" t="s">
        <v>189</v>
      </c>
    </row>
    <row r="74" spans="2:7" x14ac:dyDescent="0.25">
      <c r="B74" s="55" t="s">
        <v>5</v>
      </c>
      <c r="C74" s="55" t="s">
        <v>186</v>
      </c>
      <c r="D74" s="56">
        <v>-4206.67</v>
      </c>
      <c r="E74" s="55" t="s">
        <v>188</v>
      </c>
      <c r="F74" s="61" t="s">
        <v>189</v>
      </c>
      <c r="G74" s="61" t="s">
        <v>189</v>
      </c>
    </row>
    <row r="75" spans="2:7" x14ac:dyDescent="0.25">
      <c r="D75" s="56"/>
    </row>
    <row r="76" spans="2:7" x14ac:dyDescent="0.25">
      <c r="D76" s="56"/>
    </row>
  </sheetData>
  <hyperlinks>
    <hyperlink ref="B1" r:id="rId1" xr:uid="{0F84F997-C47E-4A8F-9B31-E27B72BF2B6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2AFB-4B8D-4DC4-BA49-1D10D1B663EA}">
  <sheetPr>
    <tabColor theme="5" tint="0.59999389629810485"/>
  </sheetPr>
  <dimension ref="B1:G75"/>
  <sheetViews>
    <sheetView workbookViewId="0"/>
  </sheetViews>
  <sheetFormatPr defaultRowHeight="15" x14ac:dyDescent="0.25"/>
  <cols>
    <col min="1" max="1" width="2.875" style="55" customWidth="1"/>
    <col min="2" max="2" width="9" style="55"/>
    <col min="3" max="3" width="16.125" style="55" bestFit="1" customWidth="1"/>
    <col min="4" max="4" width="9" style="55" bestFit="1" customWidth="1"/>
    <col min="5" max="5" width="29.25" style="55" bestFit="1" customWidth="1"/>
    <col min="6" max="6" width="34" style="55" bestFit="1" customWidth="1"/>
    <col min="7" max="7" width="34.125" style="55" bestFit="1" customWidth="1"/>
    <col min="8" max="16384" width="9" style="55"/>
  </cols>
  <sheetData>
    <row r="1" spans="2:7" x14ac:dyDescent="0.25">
      <c r="B1" s="59" t="s">
        <v>185</v>
      </c>
    </row>
    <row r="3" spans="2:7" x14ac:dyDescent="0.25">
      <c r="B3" s="60" t="s">
        <v>178</v>
      </c>
      <c r="C3" s="60" t="s">
        <v>179</v>
      </c>
      <c r="D3" s="60" t="s">
        <v>180</v>
      </c>
      <c r="E3" s="60" t="s">
        <v>181</v>
      </c>
      <c r="F3" s="60" t="s">
        <v>182</v>
      </c>
      <c r="G3" s="60" t="s">
        <v>183</v>
      </c>
    </row>
    <row r="4" spans="2:7" x14ac:dyDescent="0.25">
      <c r="B4" s="55" t="s">
        <v>5</v>
      </c>
      <c r="C4" s="55" t="s">
        <v>154</v>
      </c>
      <c r="D4" s="56">
        <v>1704.6366666666665</v>
      </c>
      <c r="E4" s="55" t="s">
        <v>156</v>
      </c>
      <c r="F4" s="55" t="s">
        <v>157</v>
      </c>
      <c r="G4" s="55" t="s">
        <v>184</v>
      </c>
    </row>
    <row r="5" spans="2:7" x14ac:dyDescent="0.25">
      <c r="B5" s="55" t="s">
        <v>5</v>
      </c>
      <c r="C5" s="55" t="s">
        <v>155</v>
      </c>
      <c r="D5" s="56">
        <v>-1704.63666666667</v>
      </c>
      <c r="E5" s="55" t="s">
        <v>156</v>
      </c>
      <c r="F5" s="55" t="s">
        <v>157</v>
      </c>
      <c r="G5" s="55" t="s">
        <v>184</v>
      </c>
    </row>
    <row r="6" spans="2:7" hidden="1" x14ac:dyDescent="0.25">
      <c r="B6" s="57"/>
      <c r="C6" s="57"/>
      <c r="D6" s="58"/>
      <c r="E6" s="57"/>
      <c r="F6" s="57"/>
      <c r="G6" s="57"/>
    </row>
    <row r="7" spans="2:7" x14ac:dyDescent="0.25">
      <c r="B7" s="55" t="s">
        <v>5</v>
      </c>
      <c r="C7" s="55" t="s">
        <v>136</v>
      </c>
      <c r="D7" s="56">
        <v>225</v>
      </c>
      <c r="E7" s="55" t="s">
        <v>137</v>
      </c>
      <c r="F7" s="55" t="s">
        <v>138</v>
      </c>
      <c r="G7" s="55" t="s">
        <v>184</v>
      </c>
    </row>
    <row r="8" spans="2:7" x14ac:dyDescent="0.25">
      <c r="B8" s="55" t="s">
        <v>1</v>
      </c>
      <c r="C8" s="55" t="s">
        <v>2</v>
      </c>
      <c r="D8" s="56">
        <v>-225</v>
      </c>
      <c r="E8" s="55" t="s">
        <v>137</v>
      </c>
      <c r="F8" s="55" t="s">
        <v>138</v>
      </c>
      <c r="G8" s="55" t="s">
        <v>184</v>
      </c>
    </row>
    <row r="9" spans="2:7" x14ac:dyDescent="0.25">
      <c r="B9" s="55" t="s">
        <v>5</v>
      </c>
      <c r="C9" s="55" t="s">
        <v>125</v>
      </c>
      <c r="D9" s="56">
        <v>591.69583333333333</v>
      </c>
      <c r="E9" s="55" t="s">
        <v>126</v>
      </c>
      <c r="F9" s="55" t="s">
        <v>127</v>
      </c>
      <c r="G9" s="55" t="s">
        <v>184</v>
      </c>
    </row>
    <row r="10" spans="2:7" x14ac:dyDescent="0.25">
      <c r="B10" s="55" t="s">
        <v>5</v>
      </c>
      <c r="C10" s="55" t="s">
        <v>128</v>
      </c>
      <c r="D10" s="56">
        <v>902.00666666666666</v>
      </c>
      <c r="E10" s="55" t="s">
        <v>126</v>
      </c>
      <c r="F10" s="55" t="s">
        <v>127</v>
      </c>
      <c r="G10" s="55" t="s">
        <v>184</v>
      </c>
    </row>
    <row r="11" spans="2:7" x14ac:dyDescent="0.25">
      <c r="B11" s="55" t="s">
        <v>5</v>
      </c>
      <c r="C11" s="55" t="s">
        <v>129</v>
      </c>
      <c r="D11" s="56">
        <v>633.77083333333337</v>
      </c>
      <c r="E11" s="55" t="s">
        <v>126</v>
      </c>
      <c r="F11" s="55" t="s">
        <v>127</v>
      </c>
      <c r="G11" s="55" t="s">
        <v>184</v>
      </c>
    </row>
    <row r="12" spans="2:7" x14ac:dyDescent="0.25">
      <c r="B12" s="55" t="s">
        <v>5</v>
      </c>
      <c r="C12" s="55" t="s">
        <v>130</v>
      </c>
      <c r="D12" s="56">
        <v>633.77083333333337</v>
      </c>
      <c r="E12" s="55" t="s">
        <v>126</v>
      </c>
      <c r="F12" s="55" t="s">
        <v>127</v>
      </c>
      <c r="G12" s="55" t="s">
        <v>184</v>
      </c>
    </row>
    <row r="13" spans="2:7" x14ac:dyDescent="0.25">
      <c r="B13" s="55" t="s">
        <v>5</v>
      </c>
      <c r="C13" s="55" t="s">
        <v>131</v>
      </c>
      <c r="D13" s="56">
        <v>284.01333333333332</v>
      </c>
      <c r="E13" s="55" t="s">
        <v>126</v>
      </c>
      <c r="F13" s="55" t="s">
        <v>127</v>
      </c>
      <c r="G13" s="55" t="s">
        <v>184</v>
      </c>
    </row>
    <row r="14" spans="2:7" x14ac:dyDescent="0.25">
      <c r="B14" s="55" t="s">
        <v>5</v>
      </c>
      <c r="C14" s="55" t="s">
        <v>132</v>
      </c>
      <c r="D14" s="56">
        <v>360.27666666666664</v>
      </c>
      <c r="E14" s="55" t="s">
        <v>126</v>
      </c>
      <c r="F14" s="55" t="s">
        <v>127</v>
      </c>
      <c r="G14" s="55" t="s">
        <v>184</v>
      </c>
    </row>
    <row r="15" spans="2:7" x14ac:dyDescent="0.25">
      <c r="B15" s="55" t="s">
        <v>5</v>
      </c>
      <c r="C15" s="55" t="s">
        <v>133</v>
      </c>
      <c r="D15" s="56">
        <v>281.38416666666666</v>
      </c>
      <c r="E15" s="55" t="s">
        <v>126</v>
      </c>
      <c r="F15" s="55" t="s">
        <v>127</v>
      </c>
      <c r="G15" s="55" t="s">
        <v>184</v>
      </c>
    </row>
    <row r="16" spans="2:7" x14ac:dyDescent="0.25">
      <c r="B16" s="55" t="s">
        <v>5</v>
      </c>
      <c r="C16" s="55" t="s">
        <v>134</v>
      </c>
      <c r="D16" s="56">
        <v>1364.8458333333333</v>
      </c>
      <c r="E16" s="55" t="s">
        <v>126</v>
      </c>
      <c r="F16" s="55" t="s">
        <v>127</v>
      </c>
      <c r="G16" s="55" t="s">
        <v>184</v>
      </c>
    </row>
    <row r="17" spans="2:7" x14ac:dyDescent="0.25">
      <c r="B17" s="55" t="s">
        <v>5</v>
      </c>
      <c r="C17" s="55" t="s">
        <v>135</v>
      </c>
      <c r="D17" s="56">
        <v>207.75083333333336</v>
      </c>
      <c r="E17" s="55" t="s">
        <v>126</v>
      </c>
      <c r="F17" s="55" t="s">
        <v>127</v>
      </c>
      <c r="G17" s="55" t="s">
        <v>184</v>
      </c>
    </row>
    <row r="18" spans="2:7" x14ac:dyDescent="0.25">
      <c r="B18" s="55" t="s">
        <v>1</v>
      </c>
      <c r="C18" s="55" t="s">
        <v>2</v>
      </c>
      <c r="D18" s="56">
        <v>-5259.5150000000003</v>
      </c>
      <c r="E18" s="55" t="s">
        <v>126</v>
      </c>
      <c r="F18" s="55" t="s">
        <v>127</v>
      </c>
      <c r="G18" s="55" t="s">
        <v>184</v>
      </c>
    </row>
    <row r="19" spans="2:7" x14ac:dyDescent="0.25">
      <c r="B19" s="55" t="s">
        <v>5</v>
      </c>
      <c r="C19" s="55" t="s">
        <v>89</v>
      </c>
      <c r="D19" s="56">
        <v>489.82</v>
      </c>
      <c r="E19" s="55" t="s">
        <v>163</v>
      </c>
      <c r="F19" s="55" t="s">
        <v>162</v>
      </c>
      <c r="G19" s="55" t="s">
        <v>184</v>
      </c>
    </row>
    <row r="20" spans="2:7" x14ac:dyDescent="0.25">
      <c r="B20" s="55" t="s">
        <v>5</v>
      </c>
      <c r="C20" s="55" t="s">
        <v>91</v>
      </c>
      <c r="D20" s="56">
        <v>489.82</v>
      </c>
      <c r="E20" s="55" t="s">
        <v>163</v>
      </c>
      <c r="F20" s="55" t="s">
        <v>162</v>
      </c>
      <c r="G20" s="55" t="s">
        <v>184</v>
      </c>
    </row>
    <row r="21" spans="2:7" x14ac:dyDescent="0.25">
      <c r="B21" s="55" t="s">
        <v>5</v>
      </c>
      <c r="C21" s="55" t="s">
        <v>92</v>
      </c>
      <c r="D21" s="56">
        <v>489.82</v>
      </c>
      <c r="E21" s="55" t="s">
        <v>163</v>
      </c>
      <c r="F21" s="55" t="s">
        <v>162</v>
      </c>
      <c r="G21" s="55" t="s">
        <v>184</v>
      </c>
    </row>
    <row r="22" spans="2:7" x14ac:dyDescent="0.25">
      <c r="B22" s="55" t="s">
        <v>5</v>
      </c>
      <c r="C22" s="55" t="s">
        <v>90</v>
      </c>
      <c r="D22" s="56">
        <v>489.82</v>
      </c>
      <c r="E22" s="55" t="s">
        <v>163</v>
      </c>
      <c r="F22" s="55" t="s">
        <v>162</v>
      </c>
      <c r="G22" s="55" t="s">
        <v>184</v>
      </c>
    </row>
    <row r="23" spans="2:7" x14ac:dyDescent="0.25">
      <c r="B23" s="55" t="s">
        <v>1</v>
      </c>
      <c r="C23" s="55" t="s">
        <v>2</v>
      </c>
      <c r="D23" s="56">
        <v>-1959.28</v>
      </c>
      <c r="E23" s="55" t="s">
        <v>163</v>
      </c>
      <c r="F23" s="55" t="s">
        <v>162</v>
      </c>
      <c r="G23" s="55" t="s">
        <v>184</v>
      </c>
    </row>
    <row r="24" spans="2:7" hidden="1" x14ac:dyDescent="0.25">
      <c r="B24" s="57"/>
      <c r="C24" s="57"/>
      <c r="D24" s="58"/>
      <c r="E24" s="57"/>
      <c r="F24" s="57"/>
      <c r="G24" s="57"/>
    </row>
    <row r="25" spans="2:7" x14ac:dyDescent="0.25">
      <c r="B25" s="55" t="s">
        <v>5</v>
      </c>
      <c r="C25" s="55" t="s">
        <v>4</v>
      </c>
      <c r="D25" s="56">
        <v>43749.13</v>
      </c>
      <c r="E25" s="55" t="s">
        <v>99</v>
      </c>
      <c r="G25" s="55" t="s">
        <v>184</v>
      </c>
    </row>
    <row r="26" spans="2:7" x14ac:dyDescent="0.25">
      <c r="B26" s="55" t="s">
        <v>1</v>
      </c>
      <c r="C26" s="55" t="s">
        <v>16</v>
      </c>
      <c r="D26" s="56">
        <v>-43749.13</v>
      </c>
      <c r="E26" s="55" t="s">
        <v>99</v>
      </c>
      <c r="G26" s="55" t="s">
        <v>184</v>
      </c>
    </row>
    <row r="27" spans="2:7" hidden="1" x14ac:dyDescent="0.25">
      <c r="B27" s="57"/>
      <c r="C27" s="57"/>
      <c r="D27" s="58"/>
      <c r="E27" s="57"/>
      <c r="F27" s="57"/>
      <c r="G27" s="57"/>
    </row>
    <row r="28" spans="2:7" x14ac:dyDescent="0.25">
      <c r="B28" s="55" t="s">
        <v>5</v>
      </c>
      <c r="C28" s="55" t="s">
        <v>170</v>
      </c>
      <c r="D28" s="56">
        <v>20446.830000000002</v>
      </c>
      <c r="E28" s="55" t="s">
        <v>172</v>
      </c>
      <c r="F28" s="55" t="s">
        <v>173</v>
      </c>
      <c r="G28" s="55" t="s">
        <v>184</v>
      </c>
    </row>
    <row r="29" spans="2:7" x14ac:dyDescent="0.25">
      <c r="B29" s="55" t="s">
        <v>5</v>
      </c>
      <c r="C29" s="55" t="s">
        <v>171</v>
      </c>
      <c r="D29" s="56">
        <v>-20446.830000000002</v>
      </c>
      <c r="E29" s="55" t="s">
        <v>172</v>
      </c>
      <c r="F29" s="55" t="s">
        <v>173</v>
      </c>
      <c r="G29" s="55" t="s">
        <v>184</v>
      </c>
    </row>
    <row r="30" spans="2:7" hidden="1" x14ac:dyDescent="0.25">
      <c r="B30" s="57"/>
      <c r="C30" s="57"/>
      <c r="D30" s="58"/>
      <c r="E30" s="57"/>
      <c r="F30" s="57"/>
      <c r="G30" s="57"/>
    </row>
    <row r="31" spans="2:7" x14ac:dyDescent="0.25">
      <c r="B31" s="55" t="s">
        <v>5</v>
      </c>
      <c r="C31" s="55" t="s">
        <v>144</v>
      </c>
      <c r="D31" s="56">
        <v>4194.75</v>
      </c>
      <c r="E31" s="55" t="s">
        <v>143</v>
      </c>
      <c r="F31" s="55" t="s">
        <v>12</v>
      </c>
      <c r="G31" s="55" t="s">
        <v>184</v>
      </c>
    </row>
    <row r="32" spans="2:7" x14ac:dyDescent="0.25">
      <c r="B32" s="55" t="s">
        <v>5</v>
      </c>
      <c r="C32" s="55" t="s">
        <v>142</v>
      </c>
      <c r="D32" s="56">
        <v>-4194.75</v>
      </c>
      <c r="E32" s="55" t="s">
        <v>143</v>
      </c>
      <c r="F32" s="55" t="s">
        <v>12</v>
      </c>
      <c r="G32" s="55" t="s">
        <v>184</v>
      </c>
    </row>
    <row r="33" spans="2:7" hidden="1" x14ac:dyDescent="0.25">
      <c r="B33" s="57"/>
      <c r="C33" s="57"/>
      <c r="D33" s="58"/>
      <c r="E33" s="57"/>
      <c r="F33" s="57"/>
      <c r="G33" s="57"/>
    </row>
    <row r="34" spans="2:7" x14ac:dyDescent="0.25">
      <c r="B34" s="55" t="s">
        <v>5</v>
      </c>
      <c r="C34" s="55" t="s">
        <v>10</v>
      </c>
      <c r="D34" s="56">
        <v>509.17</v>
      </c>
      <c r="E34" s="55" t="s">
        <v>117</v>
      </c>
      <c r="G34" s="55" t="s">
        <v>184</v>
      </c>
    </row>
    <row r="35" spans="2:7" x14ac:dyDescent="0.25">
      <c r="B35" s="55" t="s">
        <v>1</v>
      </c>
      <c r="C35" s="55" t="s">
        <v>2</v>
      </c>
      <c r="D35" s="56">
        <v>-509.17</v>
      </c>
      <c r="E35" s="55" t="s">
        <v>117</v>
      </c>
      <c r="G35" s="55" t="s">
        <v>184</v>
      </c>
    </row>
    <row r="36" spans="2:7" hidden="1" x14ac:dyDescent="0.25">
      <c r="B36" s="57"/>
      <c r="C36" s="57"/>
      <c r="D36" s="58"/>
      <c r="E36" s="57"/>
      <c r="F36" s="57"/>
      <c r="G36" s="57"/>
    </row>
    <row r="37" spans="2:7" x14ac:dyDescent="0.25">
      <c r="B37" s="55" t="s">
        <v>5</v>
      </c>
      <c r="C37" s="55" t="s">
        <v>145</v>
      </c>
      <c r="D37" s="56">
        <v>9691.67</v>
      </c>
      <c r="E37" s="55" t="s">
        <v>147</v>
      </c>
      <c r="F37" s="55" t="s">
        <v>148</v>
      </c>
      <c r="G37" s="55" t="s">
        <v>184</v>
      </c>
    </row>
    <row r="38" spans="2:7" x14ac:dyDescent="0.25">
      <c r="B38" s="55" t="s">
        <v>5</v>
      </c>
      <c r="C38" s="55" t="s">
        <v>146</v>
      </c>
      <c r="D38" s="56">
        <v>-9691.67</v>
      </c>
      <c r="E38" s="55" t="s">
        <v>147</v>
      </c>
      <c r="F38" s="55" t="s">
        <v>148</v>
      </c>
      <c r="G38" s="55" t="s">
        <v>184</v>
      </c>
    </row>
    <row r="39" spans="2:7" hidden="1" x14ac:dyDescent="0.25">
      <c r="B39" s="57"/>
      <c r="C39" s="57"/>
      <c r="D39" s="58"/>
      <c r="E39" s="57"/>
      <c r="F39" s="57"/>
      <c r="G39" s="57"/>
    </row>
    <row r="40" spans="2:7" x14ac:dyDescent="0.25">
      <c r="B40" s="55" t="s">
        <v>5</v>
      </c>
      <c r="C40" s="55" t="s">
        <v>105</v>
      </c>
      <c r="D40" s="56">
        <v>8609.01</v>
      </c>
      <c r="E40" s="55" t="s">
        <v>103</v>
      </c>
      <c r="F40" s="55" t="s">
        <v>12</v>
      </c>
      <c r="G40" s="55" t="s">
        <v>184</v>
      </c>
    </row>
    <row r="41" spans="2:7" x14ac:dyDescent="0.25">
      <c r="B41" s="55" t="s">
        <v>1</v>
      </c>
      <c r="C41" s="55" t="s">
        <v>106</v>
      </c>
      <c r="D41" s="56">
        <v>-8609.01</v>
      </c>
      <c r="E41" s="55" t="s">
        <v>103</v>
      </c>
      <c r="F41" s="55" t="s">
        <v>12</v>
      </c>
      <c r="G41" s="55" t="s">
        <v>184</v>
      </c>
    </row>
    <row r="42" spans="2:7" hidden="1" x14ac:dyDescent="0.25">
      <c r="B42" s="57"/>
      <c r="C42" s="57"/>
      <c r="D42" s="58"/>
      <c r="E42" s="57"/>
      <c r="F42" s="57"/>
      <c r="G42" s="57"/>
    </row>
    <row r="43" spans="2:7" x14ac:dyDescent="0.25">
      <c r="B43" s="55" t="s">
        <v>5</v>
      </c>
      <c r="C43" s="55" t="s">
        <v>39</v>
      </c>
      <c r="D43" s="56">
        <v>8431.4</v>
      </c>
      <c r="E43" s="55" t="s">
        <v>151</v>
      </c>
      <c r="F43" s="55" t="s">
        <v>152</v>
      </c>
      <c r="G43" s="55" t="s">
        <v>184</v>
      </c>
    </row>
    <row r="44" spans="2:7" x14ac:dyDescent="0.25">
      <c r="B44" s="55" t="s">
        <v>5</v>
      </c>
      <c r="C44" s="55" t="s">
        <v>150</v>
      </c>
      <c r="D44" s="56">
        <v>-8431.4</v>
      </c>
      <c r="E44" s="55" t="s">
        <v>151</v>
      </c>
      <c r="F44" s="55" t="s">
        <v>152</v>
      </c>
      <c r="G44" s="55" t="s">
        <v>184</v>
      </c>
    </row>
    <row r="45" spans="2:7" hidden="1" x14ac:dyDescent="0.25">
      <c r="B45" s="57"/>
      <c r="C45" s="57"/>
      <c r="D45" s="58"/>
      <c r="E45" s="57"/>
      <c r="F45" s="57"/>
      <c r="G45" s="57"/>
    </row>
    <row r="46" spans="2:7" x14ac:dyDescent="0.25">
      <c r="B46" s="55" t="s">
        <v>5</v>
      </c>
      <c r="C46" s="55" t="s">
        <v>7</v>
      </c>
      <c r="D46" s="56">
        <v>7143.75</v>
      </c>
      <c r="E46" s="55" t="s">
        <v>26</v>
      </c>
      <c r="F46" s="55" t="s">
        <v>17</v>
      </c>
      <c r="G46" s="55" t="s">
        <v>184</v>
      </c>
    </row>
    <row r="47" spans="2:7" x14ac:dyDescent="0.25">
      <c r="B47" s="55" t="s">
        <v>5</v>
      </c>
      <c r="C47" s="55" t="s">
        <v>6</v>
      </c>
      <c r="D47" s="56">
        <v>-7143.75</v>
      </c>
      <c r="E47" s="55" t="s">
        <v>26</v>
      </c>
      <c r="F47" s="55" t="s">
        <v>17</v>
      </c>
      <c r="G47" s="55" t="s">
        <v>184</v>
      </c>
    </row>
    <row r="48" spans="2:7" x14ac:dyDescent="0.25">
      <c r="B48" s="55" t="s">
        <v>5</v>
      </c>
      <c r="C48" s="55" t="s">
        <v>62</v>
      </c>
      <c r="D48" s="56">
        <v>473.11</v>
      </c>
      <c r="E48" s="55" t="s">
        <v>85</v>
      </c>
      <c r="F48" s="55" t="s">
        <v>86</v>
      </c>
      <c r="G48" s="55" t="s">
        <v>184</v>
      </c>
    </row>
    <row r="49" spans="2:7" x14ac:dyDescent="0.25">
      <c r="B49" s="55" t="s">
        <v>5</v>
      </c>
      <c r="C49" s="55" t="s">
        <v>6</v>
      </c>
      <c r="D49" s="56">
        <v>-473.11</v>
      </c>
      <c r="E49" s="55" t="s">
        <v>85</v>
      </c>
      <c r="F49" s="55" t="s">
        <v>86</v>
      </c>
      <c r="G49" s="55" t="s">
        <v>184</v>
      </c>
    </row>
    <row r="50" spans="2:7" x14ac:dyDescent="0.25">
      <c r="B50" s="55" t="s">
        <v>5</v>
      </c>
      <c r="C50" s="55" t="s">
        <v>62</v>
      </c>
      <c r="D50" s="56">
        <v>2112.02</v>
      </c>
      <c r="E50" s="55" t="s">
        <v>107</v>
      </c>
      <c r="F50" s="55" t="s">
        <v>12</v>
      </c>
      <c r="G50" s="55" t="s">
        <v>184</v>
      </c>
    </row>
    <row r="51" spans="2:7" x14ac:dyDescent="0.25">
      <c r="B51" s="55" t="s">
        <v>5</v>
      </c>
      <c r="C51" s="55" t="s">
        <v>6</v>
      </c>
      <c r="D51" s="56">
        <v>-2112.02</v>
      </c>
      <c r="E51" s="55" t="s">
        <v>107</v>
      </c>
      <c r="F51" s="55" t="s">
        <v>12</v>
      </c>
      <c r="G51" s="55" t="s">
        <v>184</v>
      </c>
    </row>
    <row r="52" spans="2:7" x14ac:dyDescent="0.25">
      <c r="B52" s="55" t="s">
        <v>5</v>
      </c>
      <c r="C52" s="55" t="s">
        <v>62</v>
      </c>
      <c r="D52" s="56">
        <v>1530.58</v>
      </c>
      <c r="E52" s="55" t="s">
        <v>110</v>
      </c>
      <c r="F52" s="55" t="s">
        <v>12</v>
      </c>
      <c r="G52" s="55" t="s">
        <v>184</v>
      </c>
    </row>
    <row r="53" spans="2:7" x14ac:dyDescent="0.25">
      <c r="B53" s="55" t="s">
        <v>5</v>
      </c>
      <c r="C53" s="55" t="s">
        <v>6</v>
      </c>
      <c r="D53" s="56">
        <v>-1530.58</v>
      </c>
      <c r="E53" s="55" t="s">
        <v>110</v>
      </c>
      <c r="F53" s="55" t="s">
        <v>12</v>
      </c>
      <c r="G53" s="55" t="s">
        <v>184</v>
      </c>
    </row>
    <row r="54" spans="2:7" x14ac:dyDescent="0.25">
      <c r="B54" s="55" t="s">
        <v>5</v>
      </c>
      <c r="C54" s="55" t="s">
        <v>62</v>
      </c>
      <c r="D54" s="56">
        <v>732</v>
      </c>
      <c r="E54" s="55" t="s">
        <v>111</v>
      </c>
      <c r="F54" s="55" t="s">
        <v>12</v>
      </c>
      <c r="G54" s="55" t="s">
        <v>184</v>
      </c>
    </row>
    <row r="55" spans="2:7" x14ac:dyDescent="0.25">
      <c r="B55" s="55" t="s">
        <v>5</v>
      </c>
      <c r="C55" s="55" t="s">
        <v>6</v>
      </c>
      <c r="D55" s="56">
        <v>-732</v>
      </c>
      <c r="E55" s="55" t="s">
        <v>111</v>
      </c>
      <c r="F55" s="55" t="s">
        <v>12</v>
      </c>
      <c r="G55" s="55" t="s">
        <v>184</v>
      </c>
    </row>
    <row r="56" spans="2:7" x14ac:dyDescent="0.25">
      <c r="B56" s="55" t="s">
        <v>5</v>
      </c>
      <c r="C56" s="55" t="s">
        <v>62</v>
      </c>
      <c r="D56" s="56">
        <v>2646.25</v>
      </c>
      <c r="E56" s="55" t="s">
        <v>113</v>
      </c>
      <c r="F56" s="55" t="s">
        <v>12</v>
      </c>
      <c r="G56" s="55" t="s">
        <v>184</v>
      </c>
    </row>
    <row r="57" spans="2:7" x14ac:dyDescent="0.25">
      <c r="B57" s="55" t="s">
        <v>5</v>
      </c>
      <c r="C57" s="55" t="s">
        <v>6</v>
      </c>
      <c r="D57" s="56">
        <v>-2646.25</v>
      </c>
      <c r="E57" s="55" t="s">
        <v>113</v>
      </c>
      <c r="F57" s="55" t="s">
        <v>12</v>
      </c>
      <c r="G57" s="55" t="s">
        <v>184</v>
      </c>
    </row>
    <row r="58" spans="2:7" x14ac:dyDescent="0.25">
      <c r="B58" s="55" t="s">
        <v>5</v>
      </c>
      <c r="C58" s="55" t="s">
        <v>62</v>
      </c>
      <c r="D58" s="56">
        <v>3794.42</v>
      </c>
      <c r="E58" s="55" t="s">
        <v>114</v>
      </c>
      <c r="F58" s="55" t="s">
        <v>12</v>
      </c>
      <c r="G58" s="55" t="s">
        <v>184</v>
      </c>
    </row>
    <row r="59" spans="2:7" x14ac:dyDescent="0.25">
      <c r="B59" s="55" t="s">
        <v>5</v>
      </c>
      <c r="C59" s="55" t="s">
        <v>6</v>
      </c>
      <c r="D59" s="56">
        <v>-3794.42</v>
      </c>
      <c r="E59" s="55" t="s">
        <v>114</v>
      </c>
      <c r="F59" s="55" t="s">
        <v>12</v>
      </c>
      <c r="G59" s="55" t="s">
        <v>184</v>
      </c>
    </row>
    <row r="60" spans="2:7" x14ac:dyDescent="0.25">
      <c r="B60" s="55" t="s">
        <v>5</v>
      </c>
      <c r="C60" s="55" t="s">
        <v>62</v>
      </c>
      <c r="D60" s="56">
        <v>843.14</v>
      </c>
      <c r="E60" s="55" t="s">
        <v>123</v>
      </c>
      <c r="F60" s="55" t="s">
        <v>12</v>
      </c>
      <c r="G60" s="55" t="s">
        <v>184</v>
      </c>
    </row>
    <row r="61" spans="2:7" x14ac:dyDescent="0.25">
      <c r="B61" s="55" t="s">
        <v>5</v>
      </c>
      <c r="C61" s="55" t="s">
        <v>6</v>
      </c>
      <c r="D61" s="56">
        <v>-843.14</v>
      </c>
      <c r="E61" s="55" t="s">
        <v>123</v>
      </c>
      <c r="F61" s="55" t="s">
        <v>12</v>
      </c>
      <c r="G61" s="55" t="s">
        <v>184</v>
      </c>
    </row>
    <row r="62" spans="2:7" x14ac:dyDescent="0.25">
      <c r="B62" s="55" t="s">
        <v>5</v>
      </c>
      <c r="C62" s="55" t="s">
        <v>62</v>
      </c>
      <c r="D62" s="56">
        <v>32945.33</v>
      </c>
      <c r="E62" s="55" t="s">
        <v>159</v>
      </c>
      <c r="F62" s="55" t="s">
        <v>12</v>
      </c>
      <c r="G62" s="55" t="s">
        <v>184</v>
      </c>
    </row>
    <row r="63" spans="2:7" x14ac:dyDescent="0.25">
      <c r="B63" s="55" t="s">
        <v>5</v>
      </c>
      <c r="C63" s="55" t="s">
        <v>6</v>
      </c>
      <c r="D63" s="56">
        <v>-32945.33</v>
      </c>
      <c r="E63" s="55" t="s">
        <v>159</v>
      </c>
      <c r="F63" s="55" t="s">
        <v>12</v>
      </c>
      <c r="G63" s="55" t="s">
        <v>184</v>
      </c>
    </row>
    <row r="64" spans="2:7" x14ac:dyDescent="0.25">
      <c r="B64" s="55" t="s">
        <v>5</v>
      </c>
      <c r="C64" s="55" t="s">
        <v>62</v>
      </c>
      <c r="D64" s="56">
        <v>973.55</v>
      </c>
      <c r="E64" s="55" t="s">
        <v>160</v>
      </c>
      <c r="F64" s="55" t="s">
        <v>12</v>
      </c>
      <c r="G64" s="55" t="s">
        <v>184</v>
      </c>
    </row>
    <row r="65" spans="2:7" x14ac:dyDescent="0.25">
      <c r="B65" s="55" t="s">
        <v>5</v>
      </c>
      <c r="C65" s="55" t="s">
        <v>6</v>
      </c>
      <c r="D65" s="56">
        <v>-973.55</v>
      </c>
      <c r="E65" s="55" t="s">
        <v>160</v>
      </c>
      <c r="F65" s="55" t="s">
        <v>12</v>
      </c>
      <c r="G65" s="55" t="s">
        <v>184</v>
      </c>
    </row>
    <row r="66" spans="2:7" x14ac:dyDescent="0.25">
      <c r="B66" s="55" t="s">
        <v>5</v>
      </c>
      <c r="C66" s="55" t="s">
        <v>62</v>
      </c>
      <c r="D66" s="56">
        <v>554.5</v>
      </c>
      <c r="E66" s="55" t="s">
        <v>167</v>
      </c>
      <c r="F66" s="55" t="s">
        <v>12</v>
      </c>
      <c r="G66" s="55" t="s">
        <v>184</v>
      </c>
    </row>
    <row r="67" spans="2:7" x14ac:dyDescent="0.25">
      <c r="B67" s="55" t="s">
        <v>5</v>
      </c>
      <c r="C67" s="55" t="s">
        <v>6</v>
      </c>
      <c r="D67" s="56">
        <v>-554.5</v>
      </c>
      <c r="E67" s="55" t="s">
        <v>167</v>
      </c>
      <c r="F67" s="55" t="s">
        <v>12</v>
      </c>
      <c r="G67" s="55" t="s">
        <v>184</v>
      </c>
    </row>
    <row r="68" spans="2:7" x14ac:dyDescent="0.25">
      <c r="B68" s="55" t="s">
        <v>5</v>
      </c>
      <c r="C68" s="55" t="s">
        <v>62</v>
      </c>
      <c r="D68" s="56">
        <v>799.83</v>
      </c>
      <c r="E68" s="55" t="s">
        <v>168</v>
      </c>
      <c r="F68" s="55" t="s">
        <v>12</v>
      </c>
      <c r="G68" s="55" t="s">
        <v>184</v>
      </c>
    </row>
    <row r="69" spans="2:7" x14ac:dyDescent="0.25">
      <c r="B69" s="55" t="s">
        <v>5</v>
      </c>
      <c r="C69" s="55" t="s">
        <v>6</v>
      </c>
      <c r="D69" s="56">
        <v>-799.83</v>
      </c>
      <c r="E69" s="55" t="s">
        <v>168</v>
      </c>
      <c r="F69" s="55" t="s">
        <v>12</v>
      </c>
      <c r="G69" s="55" t="s">
        <v>184</v>
      </c>
    </row>
    <row r="70" spans="2:7" x14ac:dyDescent="0.25">
      <c r="B70" s="55" t="s">
        <v>5</v>
      </c>
      <c r="C70" s="55" t="s">
        <v>62</v>
      </c>
      <c r="D70" s="56">
        <v>949.17</v>
      </c>
      <c r="E70" s="55" t="s">
        <v>169</v>
      </c>
      <c r="F70" s="55" t="s">
        <v>12</v>
      </c>
      <c r="G70" s="55" t="s">
        <v>184</v>
      </c>
    </row>
    <row r="71" spans="2:7" x14ac:dyDescent="0.25">
      <c r="B71" s="55" t="s">
        <v>5</v>
      </c>
      <c r="C71" s="55" t="s">
        <v>6</v>
      </c>
      <c r="D71" s="56">
        <v>-949.17</v>
      </c>
      <c r="E71" s="55" t="s">
        <v>169</v>
      </c>
      <c r="F71" s="55" t="s">
        <v>12</v>
      </c>
      <c r="G71" s="55" t="s">
        <v>184</v>
      </c>
    </row>
    <row r="72" spans="2:7" hidden="1" x14ac:dyDescent="0.25">
      <c r="B72" s="57"/>
      <c r="C72" s="57"/>
      <c r="D72" s="58"/>
      <c r="E72" s="57"/>
      <c r="F72" s="57"/>
      <c r="G72" s="57"/>
    </row>
    <row r="73" spans="2:7" hidden="1" x14ac:dyDescent="0.25">
      <c r="D73" s="56"/>
    </row>
    <row r="74" spans="2:7" x14ac:dyDescent="0.25">
      <c r="B74" s="61"/>
      <c r="D74" s="56"/>
    </row>
    <row r="75" spans="2:7" x14ac:dyDescent="0.25">
      <c r="B75" s="61"/>
      <c r="D75" s="56"/>
    </row>
  </sheetData>
  <hyperlinks>
    <hyperlink ref="B1" r:id="rId1" xr:uid="{B12611FC-30D7-48BC-9954-70F3B575A99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B26D-9781-43E4-BDB5-CF681EA72F24}">
  <sheetPr>
    <tabColor theme="5" tint="0.59999389629810485"/>
  </sheetPr>
  <dimension ref="A1:O84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  <col min="10" max="11" width="20.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45" t="s">
        <v>5</v>
      </c>
      <c r="C7" s="46" t="s">
        <v>171</v>
      </c>
      <c r="D7" s="46"/>
      <c r="E7" s="46"/>
      <c r="F7" s="47">
        <v>122681</v>
      </c>
      <c r="G7" s="48" t="s">
        <v>172</v>
      </c>
      <c r="H7" s="49" t="s">
        <v>173</v>
      </c>
      <c r="I7" s="49" t="s">
        <v>176</v>
      </c>
      <c r="J7" s="92" t="s">
        <v>177</v>
      </c>
      <c r="K7" s="11"/>
      <c r="L7" s="1"/>
      <c r="M7" s="1"/>
      <c r="N7" s="1"/>
      <c r="O7" s="1"/>
    </row>
    <row r="8" spans="1:15" x14ac:dyDescent="0.2">
      <c r="A8" s="1"/>
      <c r="B8" s="45" t="s">
        <v>5</v>
      </c>
      <c r="C8" s="46" t="s">
        <v>170</v>
      </c>
      <c r="D8" s="46"/>
      <c r="E8" s="46"/>
      <c r="F8" s="47">
        <v>-122681</v>
      </c>
      <c r="G8" s="48" t="s">
        <v>172</v>
      </c>
      <c r="H8" s="49" t="s">
        <v>173</v>
      </c>
      <c r="I8" s="49" t="s">
        <v>176</v>
      </c>
      <c r="J8" s="92"/>
      <c r="K8" s="11"/>
      <c r="L8" s="1"/>
      <c r="M8" s="1"/>
      <c r="N8" s="1"/>
      <c r="O8" s="1"/>
    </row>
    <row r="9" spans="1:15" x14ac:dyDescent="0.2">
      <c r="A9" s="1"/>
      <c r="B9" s="45" t="s">
        <v>5</v>
      </c>
      <c r="C9" s="46" t="s">
        <v>170</v>
      </c>
      <c r="D9" s="46"/>
      <c r="E9" s="46"/>
      <c r="F9" s="47">
        <v>20446.830000000002</v>
      </c>
      <c r="G9" s="48" t="s">
        <v>172</v>
      </c>
      <c r="H9" s="49" t="s">
        <v>173</v>
      </c>
      <c r="I9" s="49" t="s">
        <v>174</v>
      </c>
      <c r="J9" s="92"/>
      <c r="K9" s="11"/>
      <c r="L9" s="1"/>
      <c r="M9" s="1"/>
      <c r="N9" s="1"/>
      <c r="O9" s="1"/>
    </row>
    <row r="10" spans="1:15" x14ac:dyDescent="0.2">
      <c r="A10" s="1"/>
      <c r="B10" s="45" t="s">
        <v>5</v>
      </c>
      <c r="C10" s="46" t="s">
        <v>171</v>
      </c>
      <c r="D10" s="46"/>
      <c r="E10" s="46"/>
      <c r="F10" s="47">
        <v>-20446.830000000002</v>
      </c>
      <c r="G10" s="48" t="s">
        <v>172</v>
      </c>
      <c r="H10" s="49" t="s">
        <v>173</v>
      </c>
      <c r="I10" s="49" t="s">
        <v>174</v>
      </c>
      <c r="J10" s="92"/>
      <c r="K10" s="11"/>
      <c r="L10" s="1"/>
      <c r="M10" s="1"/>
      <c r="N10" s="1"/>
      <c r="O10" s="1"/>
    </row>
    <row r="11" spans="1:15" x14ac:dyDescent="0.2">
      <c r="A11" s="1"/>
      <c r="B11" s="1" t="s">
        <v>5</v>
      </c>
      <c r="C11" s="3" t="s">
        <v>154</v>
      </c>
      <c r="D11" s="3"/>
      <c r="E11" s="3"/>
      <c r="F11" s="20">
        <v>1704.6366666666665</v>
      </c>
      <c r="G11" s="30" t="s">
        <v>156</v>
      </c>
      <c r="H11" s="4" t="s">
        <v>157</v>
      </c>
      <c r="I11" s="4" t="s">
        <v>174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5</v>
      </c>
      <c r="C12" s="3" t="s">
        <v>155</v>
      </c>
      <c r="D12" s="3"/>
      <c r="E12" s="3"/>
      <c r="F12" s="20">
        <v>-1704.63666666667</v>
      </c>
      <c r="G12" s="30" t="s">
        <v>156</v>
      </c>
      <c r="H12" s="4" t="s">
        <v>157</v>
      </c>
      <c r="I12" s="4" t="s">
        <v>174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136</v>
      </c>
      <c r="D13" s="3"/>
      <c r="E13" s="3"/>
      <c r="F13" s="20">
        <v>225</v>
      </c>
      <c r="G13" s="30" t="s">
        <v>137</v>
      </c>
      <c r="H13" s="4" t="s">
        <v>138</v>
      </c>
      <c r="I13" s="4" t="s">
        <v>174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-225</v>
      </c>
      <c r="G14" s="30" t="s">
        <v>137</v>
      </c>
      <c r="H14" s="4" t="s">
        <v>138</v>
      </c>
      <c r="I14" s="4" t="s">
        <v>174</v>
      </c>
      <c r="J14" s="23"/>
      <c r="K14" s="11"/>
      <c r="L14" s="1"/>
      <c r="M14" s="1"/>
      <c r="N14" s="1"/>
      <c r="O14" s="1"/>
    </row>
    <row r="15" spans="1:15" x14ac:dyDescent="0.2">
      <c r="A15" s="1"/>
      <c r="B15" s="1" t="s">
        <v>5</v>
      </c>
      <c r="C15" s="3" t="s">
        <v>10</v>
      </c>
      <c r="D15" s="3"/>
      <c r="E15" s="3"/>
      <c r="F15" s="20">
        <v>509.17</v>
      </c>
      <c r="G15" s="42" t="s">
        <v>117</v>
      </c>
      <c r="H15" s="4"/>
      <c r="I15" s="4" t="s">
        <v>174</v>
      </c>
      <c r="J15" s="23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-509.17</v>
      </c>
      <c r="G16" s="42" t="s">
        <v>117</v>
      </c>
      <c r="H16" s="4"/>
      <c r="I16" s="4" t="s">
        <v>174</v>
      </c>
      <c r="J16" s="23"/>
      <c r="K16" s="11"/>
      <c r="L16" s="1"/>
      <c r="M16" s="1"/>
      <c r="N16" s="1"/>
      <c r="O16" s="1"/>
    </row>
    <row r="17" spans="1:15" x14ac:dyDescent="0.2">
      <c r="A17" s="1"/>
      <c r="B17" s="24" t="s">
        <v>5</v>
      </c>
      <c r="C17" s="25" t="s">
        <v>125</v>
      </c>
      <c r="D17" s="25"/>
      <c r="E17" s="25"/>
      <c r="F17" s="26">
        <v>591.69583333333333</v>
      </c>
      <c r="G17" s="29" t="s">
        <v>126</v>
      </c>
      <c r="H17" s="28" t="s">
        <v>127</v>
      </c>
      <c r="I17" s="28" t="s">
        <v>174</v>
      </c>
      <c r="J17" s="23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128</v>
      </c>
      <c r="D18" s="25"/>
      <c r="E18" s="25"/>
      <c r="F18" s="26">
        <v>902.00666666666666</v>
      </c>
      <c r="G18" s="29" t="s">
        <v>126</v>
      </c>
      <c r="H18" s="28" t="s">
        <v>127</v>
      </c>
      <c r="I18" s="28" t="s">
        <v>174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129</v>
      </c>
      <c r="D19" s="25"/>
      <c r="E19" s="25"/>
      <c r="F19" s="26">
        <v>633.77083333333337</v>
      </c>
      <c r="G19" s="29" t="s">
        <v>126</v>
      </c>
      <c r="H19" s="28" t="s">
        <v>127</v>
      </c>
      <c r="I19" s="28" t="s">
        <v>174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130</v>
      </c>
      <c r="D20" s="25"/>
      <c r="E20" s="25"/>
      <c r="F20" s="26">
        <v>633.77083333333337</v>
      </c>
      <c r="G20" s="29" t="s">
        <v>126</v>
      </c>
      <c r="H20" s="28" t="s">
        <v>127</v>
      </c>
      <c r="I20" s="28" t="s">
        <v>174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131</v>
      </c>
      <c r="D21" s="25"/>
      <c r="E21" s="25"/>
      <c r="F21" s="26">
        <v>284.01333333333332</v>
      </c>
      <c r="G21" s="29" t="s">
        <v>126</v>
      </c>
      <c r="H21" s="28" t="s">
        <v>127</v>
      </c>
      <c r="I21" s="28" t="s">
        <v>174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5</v>
      </c>
      <c r="C22" s="25" t="s">
        <v>132</v>
      </c>
      <c r="D22" s="25"/>
      <c r="E22" s="25"/>
      <c r="F22" s="26">
        <v>360.27666666666664</v>
      </c>
      <c r="G22" s="29" t="s">
        <v>126</v>
      </c>
      <c r="H22" s="28" t="s">
        <v>127</v>
      </c>
      <c r="I22" s="28" t="s">
        <v>174</v>
      </c>
      <c r="J22" s="23"/>
      <c r="K22" s="11"/>
      <c r="L22" s="1"/>
      <c r="M22" s="1"/>
      <c r="N22" s="1"/>
      <c r="O22" s="1"/>
    </row>
    <row r="23" spans="1:15" x14ac:dyDescent="0.2">
      <c r="A23" s="1"/>
      <c r="B23" s="24" t="s">
        <v>5</v>
      </c>
      <c r="C23" s="25" t="s">
        <v>133</v>
      </c>
      <c r="D23" s="25"/>
      <c r="E23" s="25"/>
      <c r="F23" s="26">
        <v>281.38416666666666</v>
      </c>
      <c r="G23" s="29" t="s">
        <v>126</v>
      </c>
      <c r="H23" s="28" t="s">
        <v>127</v>
      </c>
      <c r="I23" s="28" t="s">
        <v>174</v>
      </c>
      <c r="J23" s="23"/>
      <c r="K23" s="11"/>
      <c r="L23" s="1"/>
      <c r="M23" s="1"/>
      <c r="N23" s="1"/>
      <c r="O23" s="1"/>
    </row>
    <row r="24" spans="1:15" x14ac:dyDescent="0.2">
      <c r="A24" s="1"/>
      <c r="B24" s="24" t="s">
        <v>5</v>
      </c>
      <c r="C24" s="25" t="s">
        <v>134</v>
      </c>
      <c r="D24" s="25"/>
      <c r="E24" s="25"/>
      <c r="F24" s="26">
        <v>1364.8458333333333</v>
      </c>
      <c r="G24" s="29" t="s">
        <v>126</v>
      </c>
      <c r="H24" s="28" t="s">
        <v>127</v>
      </c>
      <c r="I24" s="28" t="s">
        <v>174</v>
      </c>
      <c r="J24" s="23"/>
      <c r="K24" s="11"/>
      <c r="L24" s="1"/>
      <c r="M24" s="1"/>
      <c r="N24" s="1"/>
      <c r="O24" s="1"/>
    </row>
    <row r="25" spans="1:15" x14ac:dyDescent="0.2">
      <c r="A25" s="1"/>
      <c r="B25" s="24" t="s">
        <v>5</v>
      </c>
      <c r="C25" s="25" t="s">
        <v>135</v>
      </c>
      <c r="D25" s="25"/>
      <c r="E25" s="25"/>
      <c r="F25" s="26">
        <v>207.75083333333336</v>
      </c>
      <c r="G25" s="29" t="s">
        <v>126</v>
      </c>
      <c r="H25" s="28" t="s">
        <v>127</v>
      </c>
      <c r="I25" s="28" t="s">
        <v>174</v>
      </c>
      <c r="J25" s="23"/>
      <c r="K25" s="11"/>
      <c r="L25" s="1"/>
      <c r="M25" s="1"/>
      <c r="N25" s="1"/>
      <c r="O25" s="1"/>
    </row>
    <row r="26" spans="1:15" x14ac:dyDescent="0.2">
      <c r="A26" s="1"/>
      <c r="B26" s="24" t="s">
        <v>1</v>
      </c>
      <c r="C26" s="25" t="s">
        <v>2</v>
      </c>
      <c r="D26" s="25"/>
      <c r="E26" s="25"/>
      <c r="F26" s="26">
        <v>-5259.5150000000003</v>
      </c>
      <c r="G26" s="29" t="s">
        <v>126</v>
      </c>
      <c r="H26" s="28" t="s">
        <v>127</v>
      </c>
      <c r="I26" s="28" t="s">
        <v>174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5</v>
      </c>
      <c r="C27" s="3" t="s">
        <v>4</v>
      </c>
      <c r="D27" s="3"/>
      <c r="E27" s="3"/>
      <c r="F27" s="20">
        <v>43749.13</v>
      </c>
      <c r="G27" s="30" t="s">
        <v>99</v>
      </c>
      <c r="H27" s="4"/>
      <c r="I27" s="4" t="s">
        <v>174</v>
      </c>
      <c r="J27" s="23"/>
      <c r="K27" s="11"/>
      <c r="L27" s="1"/>
      <c r="M27" s="1"/>
      <c r="N27" s="1"/>
      <c r="O27" s="1"/>
    </row>
    <row r="28" spans="1:15" x14ac:dyDescent="0.2">
      <c r="A28" s="1"/>
      <c r="B28" s="1" t="s">
        <v>1</v>
      </c>
      <c r="C28" s="3" t="s">
        <v>16</v>
      </c>
      <c r="D28" s="3"/>
      <c r="E28" s="3"/>
      <c r="F28" s="20">
        <v>-43749.13</v>
      </c>
      <c r="G28" s="30" t="s">
        <v>99</v>
      </c>
      <c r="H28" s="4"/>
      <c r="I28" s="4" t="s">
        <v>174</v>
      </c>
      <c r="J28" s="23"/>
      <c r="K28" s="11"/>
      <c r="L28" s="1"/>
      <c r="M28" s="1"/>
      <c r="N28" s="1"/>
      <c r="O28" s="1"/>
    </row>
    <row r="29" spans="1:15" x14ac:dyDescent="0.2">
      <c r="A29" s="1"/>
      <c r="B29" s="1" t="s">
        <v>5</v>
      </c>
      <c r="C29" s="3" t="s">
        <v>144</v>
      </c>
      <c r="D29" s="3"/>
      <c r="E29" s="3"/>
      <c r="F29" s="20">
        <v>4194.75</v>
      </c>
      <c r="G29" s="30" t="s">
        <v>143</v>
      </c>
      <c r="H29" s="4" t="s">
        <v>12</v>
      </c>
      <c r="I29" s="4" t="s">
        <v>174</v>
      </c>
      <c r="J29" s="23"/>
      <c r="K29" s="11"/>
      <c r="L29" s="1"/>
      <c r="M29" s="1"/>
      <c r="N29" s="1"/>
      <c r="O29" s="1"/>
    </row>
    <row r="30" spans="1:15" x14ac:dyDescent="0.2">
      <c r="A30" s="1"/>
      <c r="B30" s="1" t="s">
        <v>5</v>
      </c>
      <c r="C30" s="3" t="s">
        <v>142</v>
      </c>
      <c r="D30" s="3"/>
      <c r="E30" s="3"/>
      <c r="F30" s="20">
        <v>-4194.75</v>
      </c>
      <c r="G30" s="30" t="s">
        <v>143</v>
      </c>
      <c r="H30" s="4" t="s">
        <v>12</v>
      </c>
      <c r="I30" s="4" t="s">
        <v>174</v>
      </c>
      <c r="J30" s="23"/>
      <c r="K30" s="11"/>
      <c r="L30" s="1"/>
      <c r="M30" s="1"/>
      <c r="N30" s="1"/>
      <c r="O30" s="1"/>
    </row>
    <row r="31" spans="1:15" x14ac:dyDescent="0.2">
      <c r="A31" s="1"/>
      <c r="B31" s="1" t="s">
        <v>5</v>
      </c>
      <c r="C31" s="3" t="s">
        <v>145</v>
      </c>
      <c r="D31" s="3"/>
      <c r="E31" s="3"/>
      <c r="F31" s="20">
        <v>9691.67</v>
      </c>
      <c r="G31" s="30" t="s">
        <v>147</v>
      </c>
      <c r="H31" s="4" t="s">
        <v>148</v>
      </c>
      <c r="I31" s="4" t="s">
        <v>174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5</v>
      </c>
      <c r="C32" s="3" t="s">
        <v>146</v>
      </c>
      <c r="D32" s="3"/>
      <c r="E32" s="3"/>
      <c r="F32" s="20">
        <v>-9691.67</v>
      </c>
      <c r="G32" s="30" t="s">
        <v>147</v>
      </c>
      <c r="H32" s="4" t="s">
        <v>148</v>
      </c>
      <c r="I32" s="4" t="s">
        <v>174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5</v>
      </c>
      <c r="C33" s="3" t="s">
        <v>105</v>
      </c>
      <c r="D33" s="3"/>
      <c r="E33" s="3"/>
      <c r="F33" s="20">
        <v>8609.01</v>
      </c>
      <c r="G33" s="30" t="s">
        <v>103</v>
      </c>
      <c r="H33" s="4" t="s">
        <v>12</v>
      </c>
      <c r="I33" s="4" t="s">
        <v>174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1</v>
      </c>
      <c r="C34" s="3" t="s">
        <v>106</v>
      </c>
      <c r="D34" s="3"/>
      <c r="E34" s="3"/>
      <c r="F34" s="20">
        <v>-8609.01</v>
      </c>
      <c r="G34" s="30" t="s">
        <v>103</v>
      </c>
      <c r="H34" s="4" t="s">
        <v>12</v>
      </c>
      <c r="I34" s="4" t="s">
        <v>174</v>
      </c>
      <c r="J34" s="23"/>
      <c r="K34" s="11"/>
      <c r="L34" s="1"/>
      <c r="M34" s="1"/>
      <c r="N34" s="1"/>
      <c r="O34" s="1"/>
    </row>
    <row r="35" spans="1:15" x14ac:dyDescent="0.2">
      <c r="A35" s="1"/>
      <c r="B35" s="1" t="s">
        <v>5</v>
      </c>
      <c r="C35" s="3" t="s">
        <v>39</v>
      </c>
      <c r="D35" s="3"/>
      <c r="E35" s="3"/>
      <c r="F35" s="20">
        <v>8431.4</v>
      </c>
      <c r="G35" s="30" t="s">
        <v>151</v>
      </c>
      <c r="H35" s="4" t="s">
        <v>152</v>
      </c>
      <c r="I35" s="4" t="s">
        <v>174</v>
      </c>
      <c r="J35" s="23"/>
      <c r="K35" s="11"/>
      <c r="L35" s="1"/>
      <c r="M35" s="1"/>
      <c r="N35" s="1"/>
      <c r="O35" s="1"/>
    </row>
    <row r="36" spans="1:15" x14ac:dyDescent="0.2">
      <c r="A36" s="1"/>
      <c r="B36" s="1" t="s">
        <v>5</v>
      </c>
      <c r="C36" s="3" t="s">
        <v>150</v>
      </c>
      <c r="D36" s="3"/>
      <c r="E36" s="3"/>
      <c r="F36" s="20">
        <v>-8431.4</v>
      </c>
      <c r="G36" s="30" t="s">
        <v>151</v>
      </c>
      <c r="H36" s="4" t="s">
        <v>152</v>
      </c>
      <c r="I36" s="4" t="s">
        <v>174</v>
      </c>
      <c r="J36" s="23"/>
      <c r="K36" s="11"/>
      <c r="L36" s="1"/>
      <c r="M36" s="1"/>
      <c r="N36" s="1"/>
      <c r="O36" s="1"/>
    </row>
    <row r="37" spans="1:15" x14ac:dyDescent="0.2">
      <c r="A37" s="1"/>
      <c r="B37" s="24" t="s">
        <v>5</v>
      </c>
      <c r="C37" s="25" t="s">
        <v>89</v>
      </c>
      <c r="D37" s="25"/>
      <c r="E37" s="25"/>
      <c r="F37" s="26">
        <v>489.82</v>
      </c>
      <c r="G37" s="29" t="s">
        <v>163</v>
      </c>
      <c r="H37" s="28" t="s">
        <v>162</v>
      </c>
      <c r="I37" s="28" t="s">
        <v>174</v>
      </c>
      <c r="J37" s="23"/>
      <c r="K37" s="11"/>
      <c r="L37" s="1"/>
      <c r="M37" s="1"/>
      <c r="N37" s="1"/>
      <c r="O37" s="1"/>
    </row>
    <row r="38" spans="1:15" x14ac:dyDescent="0.2">
      <c r="A38" s="1"/>
      <c r="B38" s="24" t="s">
        <v>5</v>
      </c>
      <c r="C38" s="25" t="s">
        <v>91</v>
      </c>
      <c r="D38" s="25"/>
      <c r="E38" s="25"/>
      <c r="F38" s="26">
        <v>489.82</v>
      </c>
      <c r="G38" s="29" t="s">
        <v>163</v>
      </c>
      <c r="H38" s="28" t="s">
        <v>162</v>
      </c>
      <c r="I38" s="28" t="s">
        <v>174</v>
      </c>
      <c r="J38" s="23"/>
      <c r="K38" s="11"/>
      <c r="L38" s="1"/>
      <c r="M38" s="1"/>
      <c r="N38" s="1"/>
      <c r="O38" s="1"/>
    </row>
    <row r="39" spans="1:15" x14ac:dyDescent="0.2">
      <c r="A39" s="1"/>
      <c r="B39" s="24" t="s">
        <v>5</v>
      </c>
      <c r="C39" s="25" t="s">
        <v>92</v>
      </c>
      <c r="D39" s="25"/>
      <c r="E39" s="25"/>
      <c r="F39" s="26">
        <v>489.82</v>
      </c>
      <c r="G39" s="29" t="s">
        <v>163</v>
      </c>
      <c r="H39" s="28" t="s">
        <v>162</v>
      </c>
      <c r="I39" s="28" t="s">
        <v>174</v>
      </c>
      <c r="J39" s="23"/>
      <c r="K39" s="11"/>
      <c r="L39" s="1"/>
      <c r="M39" s="1"/>
      <c r="N39" s="1"/>
      <c r="O39" s="1"/>
    </row>
    <row r="40" spans="1:15" x14ac:dyDescent="0.2">
      <c r="A40" s="1"/>
      <c r="B40" s="24" t="s">
        <v>5</v>
      </c>
      <c r="C40" s="25" t="s">
        <v>90</v>
      </c>
      <c r="D40" s="25"/>
      <c r="E40" s="25"/>
      <c r="F40" s="26">
        <v>489.82</v>
      </c>
      <c r="G40" s="29" t="s">
        <v>163</v>
      </c>
      <c r="H40" s="28" t="s">
        <v>162</v>
      </c>
      <c r="I40" s="28" t="s">
        <v>174</v>
      </c>
      <c r="J40" s="23"/>
      <c r="K40" s="11"/>
      <c r="L40" s="1"/>
      <c r="M40" s="1"/>
      <c r="N40" s="1"/>
      <c r="O40" s="1"/>
    </row>
    <row r="41" spans="1:15" x14ac:dyDescent="0.2">
      <c r="A41" s="1"/>
      <c r="B41" s="24" t="s">
        <v>1</v>
      </c>
      <c r="C41" s="25" t="s">
        <v>2</v>
      </c>
      <c r="D41" s="25"/>
      <c r="E41" s="25"/>
      <c r="F41" s="26">
        <v>-1959.28</v>
      </c>
      <c r="G41" s="29" t="s">
        <v>163</v>
      </c>
      <c r="H41" s="28" t="s">
        <v>162</v>
      </c>
      <c r="I41" s="28" t="s">
        <v>174</v>
      </c>
      <c r="J41" s="23"/>
      <c r="K41" s="11"/>
      <c r="L41" s="1"/>
      <c r="M41" s="1"/>
      <c r="N41" s="1"/>
      <c r="O41" s="1"/>
    </row>
    <row r="42" spans="1:15" x14ac:dyDescent="0.2">
      <c r="A42" s="1"/>
      <c r="B42" s="1"/>
      <c r="C42" s="3"/>
      <c r="D42" s="3"/>
      <c r="E42" s="3"/>
      <c r="F42" s="20"/>
      <c r="G42" s="30"/>
      <c r="H42" s="4"/>
      <c r="I42" s="4"/>
      <c r="J42" s="23"/>
      <c r="K42" s="11"/>
      <c r="L42" s="1"/>
      <c r="M42" s="1"/>
      <c r="N42" s="1"/>
      <c r="O42" s="1"/>
    </row>
    <row r="43" spans="1:15" x14ac:dyDescent="0.2">
      <c r="A43" s="1"/>
      <c r="B43" s="1"/>
      <c r="C43" s="3"/>
      <c r="D43" s="3"/>
      <c r="E43" s="3"/>
      <c r="F43" s="20"/>
      <c r="G43" s="30"/>
      <c r="H43" s="4"/>
      <c r="I43" s="4"/>
      <c r="J43" s="23"/>
      <c r="K43" s="11"/>
      <c r="L43" s="1"/>
      <c r="M43" s="1"/>
      <c r="N43" s="1"/>
      <c r="O43" s="1"/>
    </row>
    <row r="44" spans="1:15" x14ac:dyDescent="0.2">
      <c r="A44" s="1"/>
      <c r="B44" s="1"/>
      <c r="C44" s="3"/>
      <c r="D44" s="3"/>
      <c r="E44" s="3"/>
      <c r="F44" s="20"/>
      <c r="G44" s="30"/>
      <c r="H44" s="4"/>
      <c r="I44" s="4"/>
      <c r="J44" s="11"/>
      <c r="K44" s="11"/>
      <c r="L44" s="1"/>
      <c r="M44" s="1"/>
      <c r="N44" s="1"/>
      <c r="O44" s="1"/>
    </row>
    <row r="45" spans="1:15" x14ac:dyDescent="0.2">
      <c r="A45" s="1"/>
      <c r="B45" s="1"/>
      <c r="C45" s="12"/>
      <c r="D45" s="12"/>
      <c r="E45" s="12"/>
      <c r="F45" s="5"/>
      <c r="G45" s="13"/>
      <c r="H45" s="4"/>
      <c r="I45" s="4"/>
      <c r="J45" s="7"/>
      <c r="K45" s="11"/>
      <c r="L45" s="1"/>
      <c r="M45" s="1"/>
      <c r="N45" s="1"/>
      <c r="O45" s="1"/>
    </row>
    <row r="46" spans="1:15" ht="15" thickBot="1" x14ac:dyDescent="0.25">
      <c r="A46" s="1"/>
      <c r="B46" s="1"/>
      <c r="C46" s="3" t="s">
        <v>15</v>
      </c>
      <c r="D46" s="3"/>
      <c r="E46" s="3"/>
      <c r="F46" s="21">
        <f ca="1">SUMIF(F7:F45,"&lt;0",F11:F45)</f>
        <v>-30850.219166666669</v>
      </c>
      <c r="G46" s="13" t="s">
        <v>13</v>
      </c>
      <c r="H46" s="4"/>
      <c r="I46" s="4"/>
      <c r="J46" s="7"/>
      <c r="K46" s="11"/>
      <c r="L46" s="1"/>
      <c r="M46" s="1"/>
      <c r="N46" s="1"/>
      <c r="O46" s="1"/>
    </row>
    <row r="47" spans="1:15" ht="15" thickTop="1" x14ac:dyDescent="0.2">
      <c r="A47" s="1"/>
      <c r="B47" s="1"/>
      <c r="C47" s="3"/>
      <c r="D47" s="3"/>
      <c r="E47" s="3"/>
      <c r="F47" s="5"/>
      <c r="G47" s="10"/>
      <c r="H47" s="4"/>
      <c r="I47" s="4"/>
      <c r="J47" s="7"/>
      <c r="K47" s="11"/>
      <c r="L47" s="1"/>
      <c r="M47" s="1"/>
      <c r="N47" s="1"/>
      <c r="O47" s="1"/>
    </row>
    <row r="48" spans="1:15" x14ac:dyDescent="0.2">
      <c r="C48">
        <v>84333.57</v>
      </c>
      <c r="K48" s="11"/>
      <c r="L48" s="1"/>
      <c r="M48" s="1"/>
      <c r="N48" s="1"/>
      <c r="O48" s="1"/>
    </row>
    <row r="49" spans="2:15" x14ac:dyDescent="0.2">
      <c r="K49" s="11"/>
      <c r="L49" s="1"/>
      <c r="M49" s="1"/>
      <c r="N49" s="1"/>
      <c r="O49" s="1"/>
    </row>
    <row r="50" spans="2:15" x14ac:dyDescent="0.2">
      <c r="K50" s="11"/>
      <c r="L50" s="1"/>
      <c r="M50" s="1"/>
      <c r="N50" s="1"/>
      <c r="O50" s="1"/>
    </row>
    <row r="51" spans="2:15" x14ac:dyDescent="0.2">
      <c r="B51" s="4" t="s">
        <v>5</v>
      </c>
      <c r="C51" s="3" t="s">
        <v>7</v>
      </c>
      <c r="D51" s="3"/>
      <c r="E51" s="3"/>
      <c r="F51" s="20">
        <v>7143.75</v>
      </c>
      <c r="G51" s="10" t="s">
        <v>26</v>
      </c>
      <c r="H51" s="4" t="s">
        <v>17</v>
      </c>
      <c r="I51" s="4" t="s">
        <v>174</v>
      </c>
      <c r="K51" s="11"/>
      <c r="L51" s="1"/>
      <c r="M51" s="1"/>
      <c r="N51" s="1"/>
      <c r="O51" s="1"/>
    </row>
    <row r="52" spans="2:15" x14ac:dyDescent="0.2">
      <c r="B52" s="4" t="s">
        <v>5</v>
      </c>
      <c r="C52" s="3" t="s">
        <v>6</v>
      </c>
      <c r="D52" s="3"/>
      <c r="E52" s="3"/>
      <c r="F52" s="20">
        <v>-7143.75</v>
      </c>
      <c r="G52" s="10" t="s">
        <v>26</v>
      </c>
      <c r="H52" s="4" t="s">
        <v>17</v>
      </c>
      <c r="I52" s="4" t="s">
        <v>174</v>
      </c>
      <c r="K52" s="11"/>
      <c r="L52" s="1"/>
      <c r="M52" s="1"/>
      <c r="N52" s="1"/>
      <c r="O52" s="1"/>
    </row>
    <row r="53" spans="2:15" x14ac:dyDescent="0.2">
      <c r="B53" s="4" t="s">
        <v>5</v>
      </c>
      <c r="C53" s="3" t="s">
        <v>62</v>
      </c>
      <c r="D53" s="3"/>
      <c r="E53" s="3"/>
      <c r="F53" s="20">
        <v>1100</v>
      </c>
      <c r="G53" s="10" t="s">
        <v>81</v>
      </c>
      <c r="H53" s="4" t="s">
        <v>86</v>
      </c>
      <c r="I53" s="4" t="s">
        <v>174</v>
      </c>
    </row>
    <row r="54" spans="2:15" x14ac:dyDescent="0.2">
      <c r="B54" s="4" t="s">
        <v>5</v>
      </c>
      <c r="C54" s="3" t="s">
        <v>6</v>
      </c>
      <c r="D54" s="3"/>
      <c r="E54" s="3"/>
      <c r="F54" s="20">
        <v>-1100</v>
      </c>
      <c r="G54" s="10" t="s">
        <v>81</v>
      </c>
      <c r="H54" s="4" t="s">
        <v>86</v>
      </c>
      <c r="I54" s="4" t="s">
        <v>174</v>
      </c>
    </row>
    <row r="55" spans="2:15" x14ac:dyDescent="0.2">
      <c r="B55" s="4" t="s">
        <v>5</v>
      </c>
      <c r="C55" s="3" t="s">
        <v>62</v>
      </c>
      <c r="D55" s="3"/>
      <c r="E55" s="3"/>
      <c r="F55" s="20">
        <v>473.11</v>
      </c>
      <c r="G55" s="10" t="s">
        <v>85</v>
      </c>
      <c r="H55" s="4" t="s">
        <v>86</v>
      </c>
      <c r="I55" s="4" t="s">
        <v>174</v>
      </c>
    </row>
    <row r="56" spans="2:15" x14ac:dyDescent="0.2">
      <c r="B56" s="4" t="s">
        <v>5</v>
      </c>
      <c r="C56" s="3" t="s">
        <v>6</v>
      </c>
      <c r="D56" s="3"/>
      <c r="E56" s="3"/>
      <c r="F56" s="20">
        <v>-473.11</v>
      </c>
      <c r="G56" s="10" t="s">
        <v>85</v>
      </c>
      <c r="H56" s="4" t="s">
        <v>86</v>
      </c>
      <c r="I56" s="4" t="s">
        <v>174</v>
      </c>
    </row>
    <row r="57" spans="2:15" x14ac:dyDescent="0.2">
      <c r="B57" s="4" t="s">
        <v>5</v>
      </c>
      <c r="C57" s="3" t="s">
        <v>62</v>
      </c>
      <c r="D57" s="3"/>
      <c r="E57" s="3"/>
      <c r="F57" s="20">
        <v>3202.58</v>
      </c>
      <c r="G57" s="10" t="s">
        <v>88</v>
      </c>
      <c r="H57" s="4" t="s">
        <v>12</v>
      </c>
      <c r="I57" s="4" t="s">
        <v>174</v>
      </c>
    </row>
    <row r="58" spans="2:15" x14ac:dyDescent="0.2">
      <c r="B58" s="4" t="s">
        <v>5</v>
      </c>
      <c r="C58" s="3" t="s">
        <v>6</v>
      </c>
      <c r="D58" s="3"/>
      <c r="E58" s="3"/>
      <c r="F58" s="20">
        <v>-3202.58</v>
      </c>
      <c r="G58" s="10" t="s">
        <v>88</v>
      </c>
      <c r="H58" s="4" t="s">
        <v>12</v>
      </c>
      <c r="I58" s="4" t="s">
        <v>174</v>
      </c>
    </row>
    <row r="59" spans="2:15" x14ac:dyDescent="0.2">
      <c r="B59" s="4" t="s">
        <v>5</v>
      </c>
      <c r="C59" s="3" t="s">
        <v>62</v>
      </c>
      <c r="D59" s="3"/>
      <c r="E59" s="3"/>
      <c r="F59" s="20">
        <v>2112.02</v>
      </c>
      <c r="G59" s="10" t="s">
        <v>107</v>
      </c>
      <c r="H59" s="4" t="s">
        <v>12</v>
      </c>
      <c r="I59" s="4" t="s">
        <v>174</v>
      </c>
    </row>
    <row r="60" spans="2:15" x14ac:dyDescent="0.2">
      <c r="B60" s="4" t="s">
        <v>5</v>
      </c>
      <c r="C60" s="3" t="s">
        <v>6</v>
      </c>
      <c r="D60" s="3"/>
      <c r="E60" s="3"/>
      <c r="F60" s="20">
        <v>-2112.02</v>
      </c>
      <c r="G60" s="10" t="s">
        <v>107</v>
      </c>
      <c r="H60" s="4" t="s">
        <v>12</v>
      </c>
      <c r="I60" s="4" t="s">
        <v>174</v>
      </c>
    </row>
    <row r="61" spans="2:15" x14ac:dyDescent="0.2">
      <c r="B61" s="4" t="s">
        <v>5</v>
      </c>
      <c r="C61" s="3" t="s">
        <v>62</v>
      </c>
      <c r="D61" s="3"/>
      <c r="E61" s="3"/>
      <c r="F61" s="20">
        <v>1530.58</v>
      </c>
      <c r="G61" s="41" t="s">
        <v>110</v>
      </c>
      <c r="H61" s="4" t="s">
        <v>12</v>
      </c>
      <c r="I61" s="4" t="s">
        <v>174</v>
      </c>
    </row>
    <row r="62" spans="2:15" x14ac:dyDescent="0.2">
      <c r="B62" s="4" t="s">
        <v>5</v>
      </c>
      <c r="C62" s="3" t="s">
        <v>6</v>
      </c>
      <c r="D62" s="3"/>
      <c r="E62" s="3"/>
      <c r="F62" s="20">
        <v>-1530.58</v>
      </c>
      <c r="G62" s="41" t="s">
        <v>110</v>
      </c>
      <c r="H62" s="4" t="s">
        <v>12</v>
      </c>
      <c r="I62" s="4" t="s">
        <v>174</v>
      </c>
    </row>
    <row r="63" spans="2:15" x14ac:dyDescent="0.2">
      <c r="B63" s="4" t="s">
        <v>5</v>
      </c>
      <c r="C63" s="3" t="s">
        <v>62</v>
      </c>
      <c r="D63" s="3"/>
      <c r="E63" s="3"/>
      <c r="F63" s="20">
        <v>732</v>
      </c>
      <c r="G63" s="41" t="s">
        <v>111</v>
      </c>
      <c r="H63" s="4" t="s">
        <v>12</v>
      </c>
      <c r="I63" s="4" t="s">
        <v>174</v>
      </c>
    </row>
    <row r="64" spans="2:15" x14ac:dyDescent="0.2">
      <c r="B64" s="4" t="s">
        <v>5</v>
      </c>
      <c r="C64" s="3" t="s">
        <v>6</v>
      </c>
      <c r="D64" s="3"/>
      <c r="E64" s="3"/>
      <c r="F64" s="20">
        <v>-732</v>
      </c>
      <c r="G64" s="41" t="s">
        <v>111</v>
      </c>
      <c r="H64" s="4" t="s">
        <v>12</v>
      </c>
      <c r="I64" s="4" t="s">
        <v>174</v>
      </c>
    </row>
    <row r="65" spans="2:10" x14ac:dyDescent="0.2">
      <c r="B65" s="4" t="s">
        <v>5</v>
      </c>
      <c r="C65" s="3" t="s">
        <v>62</v>
      </c>
      <c r="D65" s="3"/>
      <c r="E65" s="3"/>
      <c r="F65" s="20">
        <v>2646.25</v>
      </c>
      <c r="G65" s="41" t="s">
        <v>113</v>
      </c>
      <c r="H65" s="4" t="s">
        <v>12</v>
      </c>
      <c r="I65" s="4" t="s">
        <v>174</v>
      </c>
    </row>
    <row r="66" spans="2:10" x14ac:dyDescent="0.2">
      <c r="B66" s="4" t="s">
        <v>5</v>
      </c>
      <c r="C66" s="3" t="s">
        <v>6</v>
      </c>
      <c r="D66" s="3"/>
      <c r="E66" s="3"/>
      <c r="F66" s="20">
        <v>-2646.25</v>
      </c>
      <c r="G66" s="41" t="s">
        <v>113</v>
      </c>
      <c r="H66" s="4" t="s">
        <v>12</v>
      </c>
      <c r="I66" s="4" t="s">
        <v>174</v>
      </c>
    </row>
    <row r="67" spans="2:10" x14ac:dyDescent="0.2">
      <c r="B67" s="4" t="s">
        <v>5</v>
      </c>
      <c r="C67" s="3" t="s">
        <v>62</v>
      </c>
      <c r="D67" s="3"/>
      <c r="E67" s="3"/>
      <c r="F67" s="20">
        <v>3794.42</v>
      </c>
      <c r="G67" s="41" t="s">
        <v>114</v>
      </c>
      <c r="H67" s="4" t="s">
        <v>12</v>
      </c>
      <c r="I67" s="4" t="s">
        <v>174</v>
      </c>
    </row>
    <row r="68" spans="2:10" x14ac:dyDescent="0.2">
      <c r="B68" s="4" t="s">
        <v>5</v>
      </c>
      <c r="C68" s="3" t="s">
        <v>6</v>
      </c>
      <c r="D68" s="3"/>
      <c r="E68" s="3"/>
      <c r="F68" s="20">
        <v>-3794.42</v>
      </c>
      <c r="G68" s="41" t="s">
        <v>114</v>
      </c>
      <c r="H68" s="4" t="s">
        <v>12</v>
      </c>
      <c r="I68" s="4" t="s">
        <v>174</v>
      </c>
    </row>
    <row r="69" spans="2:10" x14ac:dyDescent="0.2">
      <c r="B69" s="4" t="s">
        <v>5</v>
      </c>
      <c r="C69" s="3" t="s">
        <v>62</v>
      </c>
      <c r="D69" s="3"/>
      <c r="E69" s="3"/>
      <c r="F69" s="20">
        <v>843.14</v>
      </c>
      <c r="G69" s="41" t="s">
        <v>123</v>
      </c>
      <c r="H69" s="4" t="s">
        <v>12</v>
      </c>
      <c r="I69" s="4" t="s">
        <v>174</v>
      </c>
    </row>
    <row r="70" spans="2:10" x14ac:dyDescent="0.2">
      <c r="B70" s="4" t="s">
        <v>5</v>
      </c>
      <c r="C70" s="3" t="s">
        <v>6</v>
      </c>
      <c r="D70" s="3"/>
      <c r="E70" s="3"/>
      <c r="F70" s="20">
        <v>-843.14</v>
      </c>
      <c r="G70" s="41" t="s">
        <v>123</v>
      </c>
      <c r="H70" s="4" t="s">
        <v>12</v>
      </c>
      <c r="I70" s="4" t="s">
        <v>174</v>
      </c>
    </row>
    <row r="71" spans="2:10" x14ac:dyDescent="0.2">
      <c r="B71" s="4" t="s">
        <v>5</v>
      </c>
      <c r="C71" s="3" t="s">
        <v>62</v>
      </c>
      <c r="D71" s="3"/>
      <c r="E71" s="3"/>
      <c r="F71" s="20">
        <v>32945.33</v>
      </c>
      <c r="G71" s="41" t="s">
        <v>159</v>
      </c>
      <c r="H71" s="4" t="s">
        <v>12</v>
      </c>
      <c r="I71" s="4" t="s">
        <v>174</v>
      </c>
    </row>
    <row r="72" spans="2:10" x14ac:dyDescent="0.2">
      <c r="B72" s="4" t="s">
        <v>5</v>
      </c>
      <c r="C72" s="3" t="s">
        <v>6</v>
      </c>
      <c r="D72" s="3"/>
      <c r="E72" s="3"/>
      <c r="F72" s="20">
        <v>-32945.33</v>
      </c>
      <c r="G72" s="41" t="s">
        <v>159</v>
      </c>
      <c r="H72" s="4" t="s">
        <v>12</v>
      </c>
      <c r="I72" s="4" t="s">
        <v>174</v>
      </c>
    </row>
    <row r="73" spans="2:10" x14ac:dyDescent="0.2">
      <c r="B73" s="4" t="s">
        <v>5</v>
      </c>
      <c r="C73" s="3" t="s">
        <v>62</v>
      </c>
      <c r="D73" s="3"/>
      <c r="E73" s="3"/>
      <c r="F73" s="20">
        <v>973.55</v>
      </c>
      <c r="G73" s="41" t="s">
        <v>160</v>
      </c>
      <c r="H73" s="4" t="s">
        <v>12</v>
      </c>
      <c r="I73" s="4" t="s">
        <v>174</v>
      </c>
    </row>
    <row r="74" spans="2:10" x14ac:dyDescent="0.2">
      <c r="B74" s="4" t="s">
        <v>5</v>
      </c>
      <c r="C74" s="3" t="s">
        <v>6</v>
      </c>
      <c r="D74" s="3"/>
      <c r="E74" s="3"/>
      <c r="F74" s="20">
        <v>-973.55</v>
      </c>
      <c r="G74" s="41" t="s">
        <v>160</v>
      </c>
      <c r="H74" s="4" t="s">
        <v>12</v>
      </c>
      <c r="I74" s="4" t="s">
        <v>174</v>
      </c>
    </row>
    <row r="75" spans="2:10" x14ac:dyDescent="0.2">
      <c r="B75" s="16" t="s">
        <v>5</v>
      </c>
      <c r="C75" s="17" t="s">
        <v>62</v>
      </c>
      <c r="D75" s="17"/>
      <c r="E75" s="17"/>
      <c r="F75" s="22">
        <v>554.5</v>
      </c>
      <c r="G75" s="43" t="s">
        <v>167</v>
      </c>
      <c r="H75" s="16" t="s">
        <v>12</v>
      </c>
      <c r="I75" s="16" t="s">
        <v>174</v>
      </c>
    </row>
    <row r="76" spans="2:10" x14ac:dyDescent="0.2">
      <c r="B76" s="16" t="s">
        <v>5</v>
      </c>
      <c r="C76" s="17" t="s">
        <v>6</v>
      </c>
      <c r="D76" s="17"/>
      <c r="E76" s="17"/>
      <c r="F76" s="22">
        <v>-554.5</v>
      </c>
      <c r="G76" s="43" t="s">
        <v>167</v>
      </c>
      <c r="H76" s="16" t="s">
        <v>12</v>
      </c>
      <c r="I76" s="16" t="s">
        <v>174</v>
      </c>
    </row>
    <row r="77" spans="2:10" x14ac:dyDescent="0.2">
      <c r="B77" s="16" t="s">
        <v>5</v>
      </c>
      <c r="C77" s="17" t="s">
        <v>62</v>
      </c>
      <c r="D77" s="17"/>
      <c r="E77" s="17"/>
      <c r="F77" s="22">
        <v>799.83</v>
      </c>
      <c r="G77" s="43" t="s">
        <v>168</v>
      </c>
      <c r="H77" s="16" t="s">
        <v>12</v>
      </c>
      <c r="I77" s="16" t="s">
        <v>174</v>
      </c>
    </row>
    <row r="78" spans="2:10" x14ac:dyDescent="0.2">
      <c r="B78" s="16" t="s">
        <v>5</v>
      </c>
      <c r="C78" s="17" t="s">
        <v>6</v>
      </c>
      <c r="D78" s="17"/>
      <c r="E78" s="17"/>
      <c r="F78" s="22">
        <v>-799.83</v>
      </c>
      <c r="G78" s="43" t="s">
        <v>168</v>
      </c>
      <c r="H78" s="16" t="s">
        <v>12</v>
      </c>
      <c r="I78" s="16" t="s">
        <v>174</v>
      </c>
    </row>
    <row r="79" spans="2:10" x14ac:dyDescent="0.2">
      <c r="B79" s="50" t="s">
        <v>5</v>
      </c>
      <c r="C79" s="51" t="s">
        <v>62</v>
      </c>
      <c r="D79" s="51"/>
      <c r="E79" s="51"/>
      <c r="F79" s="52">
        <v>949.17</v>
      </c>
      <c r="G79" s="53" t="s">
        <v>169</v>
      </c>
      <c r="H79" s="50" t="s">
        <v>12</v>
      </c>
      <c r="I79" s="50" t="s">
        <v>174</v>
      </c>
      <c r="J79" s="54" t="s">
        <v>175</v>
      </c>
    </row>
    <row r="80" spans="2:10" x14ac:dyDescent="0.2">
      <c r="B80" s="50" t="s">
        <v>5</v>
      </c>
      <c r="C80" s="51" t="s">
        <v>6</v>
      </c>
      <c r="D80" s="51"/>
      <c r="E80" s="51"/>
      <c r="F80" s="52">
        <v>-949.17</v>
      </c>
      <c r="G80" s="53" t="s">
        <v>169</v>
      </c>
      <c r="H80" s="50" t="s">
        <v>12</v>
      </c>
      <c r="I80" s="50" t="s">
        <v>174</v>
      </c>
      <c r="J80" s="54"/>
    </row>
    <row r="83" spans="3:7" ht="15" thickBot="1" x14ac:dyDescent="0.25">
      <c r="C83" t="s">
        <v>14</v>
      </c>
      <c r="F83" s="21">
        <f>SUMIF(F51:F82,"&lt;0",F51:F82)</f>
        <v>-59800.23</v>
      </c>
      <c r="G83" t="s">
        <v>13</v>
      </c>
    </row>
    <row r="84" spans="3:7" ht="15" thickTop="1" x14ac:dyDescent="0.2"/>
  </sheetData>
  <autoFilter ref="A6:O41" xr:uid="{C72EA621-673A-4200-BC3A-FC9120173B40}"/>
  <mergeCells count="1">
    <mergeCell ref="J7:J10"/>
  </mergeCells>
  <phoneticPr fontId="23" type="noConversion"/>
  <hyperlinks>
    <hyperlink ref="F1" r:id="rId1" xr:uid="{B8FD8FC2-84F5-487F-BEA9-C747E177CD8C}"/>
  </hyperlinks>
  <pageMargins left="0.7" right="0.7" top="0.75" bottom="0.75" header="0.3" footer="0.3"/>
  <pageSetup paperSize="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8DFC-95D4-43E1-8EE0-B694EE63016E}">
  <sheetPr>
    <tabColor theme="5" tint="0.59999389629810485"/>
  </sheetPr>
  <dimension ref="A1:O88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45" t="s">
        <v>5</v>
      </c>
      <c r="C7" s="46" t="s">
        <v>139</v>
      </c>
      <c r="D7" s="46"/>
      <c r="E7" s="46"/>
      <c r="F7" s="47">
        <v>-48839.57</v>
      </c>
      <c r="G7" s="48" t="s">
        <v>165</v>
      </c>
      <c r="H7" s="49" t="s">
        <v>141</v>
      </c>
      <c r="I7" s="49" t="s">
        <v>166</v>
      </c>
      <c r="J7" s="92" t="s">
        <v>158</v>
      </c>
      <c r="K7" s="11"/>
      <c r="L7" s="1"/>
      <c r="M7" s="1"/>
      <c r="N7" s="1"/>
      <c r="O7" s="1"/>
    </row>
    <row r="8" spans="1:15" x14ac:dyDescent="0.2">
      <c r="A8" s="1"/>
      <c r="B8" s="45" t="s">
        <v>1</v>
      </c>
      <c r="C8" s="46" t="s">
        <v>2</v>
      </c>
      <c r="D8" s="46"/>
      <c r="E8" s="46"/>
      <c r="F8" s="47">
        <v>48839.57</v>
      </c>
      <c r="G8" s="48" t="s">
        <v>165</v>
      </c>
      <c r="H8" s="49" t="s">
        <v>141</v>
      </c>
      <c r="I8" s="49" t="s">
        <v>166</v>
      </c>
      <c r="J8" s="92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154</v>
      </c>
      <c r="D9" s="3"/>
      <c r="E9" s="3"/>
      <c r="F9" s="20">
        <v>1704.6366666666665</v>
      </c>
      <c r="G9" s="30" t="s">
        <v>156</v>
      </c>
      <c r="H9" s="4" t="s">
        <v>157</v>
      </c>
      <c r="I9" s="4" t="s">
        <v>164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5</v>
      </c>
      <c r="C10" s="3" t="s">
        <v>155</v>
      </c>
      <c r="D10" s="3"/>
      <c r="E10" s="3"/>
      <c r="F10" s="20">
        <v>-1704.63666666667</v>
      </c>
      <c r="G10" s="30" t="s">
        <v>156</v>
      </c>
      <c r="H10" s="4" t="s">
        <v>157</v>
      </c>
      <c r="I10" s="4" t="s">
        <v>164</v>
      </c>
      <c r="J10" s="23"/>
      <c r="K10" s="11"/>
      <c r="L10" s="1"/>
      <c r="M10" s="1"/>
      <c r="N10" s="1"/>
      <c r="O10" s="1"/>
    </row>
    <row r="11" spans="1:15" x14ac:dyDescent="0.2">
      <c r="A11" s="1"/>
      <c r="B11" s="1" t="s">
        <v>5</v>
      </c>
      <c r="C11" s="3" t="s">
        <v>136</v>
      </c>
      <c r="D11" s="3"/>
      <c r="E11" s="3"/>
      <c r="F11" s="20">
        <v>225</v>
      </c>
      <c r="G11" s="30" t="s">
        <v>137</v>
      </c>
      <c r="H11" s="4" t="s">
        <v>138</v>
      </c>
      <c r="I11" s="4" t="s">
        <v>164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1</v>
      </c>
      <c r="C12" s="3" t="s">
        <v>2</v>
      </c>
      <c r="D12" s="3"/>
      <c r="E12" s="3"/>
      <c r="F12" s="20">
        <v>-225</v>
      </c>
      <c r="G12" s="30" t="s">
        <v>137</v>
      </c>
      <c r="H12" s="4" t="s">
        <v>138</v>
      </c>
      <c r="I12" s="4" t="s">
        <v>164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118</v>
      </c>
      <c r="D13" s="3"/>
      <c r="E13" s="3"/>
      <c r="F13" s="20">
        <v>6446.83</v>
      </c>
      <c r="G13" s="42" t="s">
        <v>116</v>
      </c>
      <c r="H13" s="4"/>
      <c r="I13" s="4" t="s">
        <v>164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-6446.83</v>
      </c>
      <c r="G14" s="42" t="s">
        <v>116</v>
      </c>
      <c r="H14" s="4"/>
      <c r="I14" s="4" t="s">
        <v>164</v>
      </c>
      <c r="J14" s="23"/>
      <c r="K14" s="11"/>
      <c r="L14" s="1"/>
      <c r="M14" s="1"/>
      <c r="N14" s="1"/>
      <c r="O14" s="1"/>
    </row>
    <row r="15" spans="1:15" x14ac:dyDescent="0.2">
      <c r="A15" s="1"/>
      <c r="B15" s="1" t="s">
        <v>5</v>
      </c>
      <c r="C15" s="3" t="s">
        <v>10</v>
      </c>
      <c r="D15" s="3"/>
      <c r="E15" s="3"/>
      <c r="F15" s="20">
        <v>509.17</v>
      </c>
      <c r="G15" s="42" t="s">
        <v>117</v>
      </c>
      <c r="H15" s="4"/>
      <c r="I15" s="4" t="s">
        <v>164</v>
      </c>
      <c r="J15" s="23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-509.17</v>
      </c>
      <c r="G16" s="42" t="s">
        <v>117</v>
      </c>
      <c r="H16" s="4"/>
      <c r="I16" s="4" t="s">
        <v>164</v>
      </c>
      <c r="J16" s="23"/>
      <c r="K16" s="11"/>
      <c r="L16" s="1"/>
      <c r="M16" s="1"/>
      <c r="N16" s="1"/>
      <c r="O16" s="1"/>
    </row>
    <row r="17" spans="1:15" x14ac:dyDescent="0.2">
      <c r="A17" s="1"/>
      <c r="B17" s="24" t="s">
        <v>5</v>
      </c>
      <c r="C17" s="25" t="s">
        <v>125</v>
      </c>
      <c r="D17" s="25"/>
      <c r="E17" s="25"/>
      <c r="F17" s="26">
        <v>591.69583333333333</v>
      </c>
      <c r="G17" s="29" t="s">
        <v>126</v>
      </c>
      <c r="H17" s="28" t="s">
        <v>127</v>
      </c>
      <c r="I17" s="28" t="s">
        <v>164</v>
      </c>
      <c r="J17" s="23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128</v>
      </c>
      <c r="D18" s="25"/>
      <c r="E18" s="25"/>
      <c r="F18" s="26">
        <v>902.00666666666666</v>
      </c>
      <c r="G18" s="29" t="s">
        <v>126</v>
      </c>
      <c r="H18" s="28" t="s">
        <v>127</v>
      </c>
      <c r="I18" s="28" t="s">
        <v>164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129</v>
      </c>
      <c r="D19" s="25"/>
      <c r="E19" s="25"/>
      <c r="F19" s="26">
        <v>633.77083333333337</v>
      </c>
      <c r="G19" s="29" t="s">
        <v>126</v>
      </c>
      <c r="H19" s="28" t="s">
        <v>127</v>
      </c>
      <c r="I19" s="28" t="s">
        <v>164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130</v>
      </c>
      <c r="D20" s="25"/>
      <c r="E20" s="25"/>
      <c r="F20" s="26">
        <v>633.77083333333337</v>
      </c>
      <c r="G20" s="29" t="s">
        <v>126</v>
      </c>
      <c r="H20" s="28" t="s">
        <v>127</v>
      </c>
      <c r="I20" s="28" t="s">
        <v>164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131</v>
      </c>
      <c r="D21" s="25"/>
      <c r="E21" s="25"/>
      <c r="F21" s="26">
        <v>284.01333333333332</v>
      </c>
      <c r="G21" s="29" t="s">
        <v>126</v>
      </c>
      <c r="H21" s="28" t="s">
        <v>127</v>
      </c>
      <c r="I21" s="28" t="s">
        <v>164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5</v>
      </c>
      <c r="C22" s="25" t="s">
        <v>132</v>
      </c>
      <c r="D22" s="25"/>
      <c r="E22" s="25"/>
      <c r="F22" s="26">
        <v>360.27666666666664</v>
      </c>
      <c r="G22" s="29" t="s">
        <v>126</v>
      </c>
      <c r="H22" s="28" t="s">
        <v>127</v>
      </c>
      <c r="I22" s="28" t="s">
        <v>164</v>
      </c>
      <c r="J22" s="23"/>
      <c r="K22" s="11"/>
      <c r="L22" s="1"/>
      <c r="M22" s="1"/>
      <c r="N22" s="1"/>
      <c r="O22" s="1"/>
    </row>
    <row r="23" spans="1:15" x14ac:dyDescent="0.2">
      <c r="A23" s="1"/>
      <c r="B23" s="24" t="s">
        <v>5</v>
      </c>
      <c r="C23" s="25" t="s">
        <v>133</v>
      </c>
      <c r="D23" s="25"/>
      <c r="E23" s="25"/>
      <c r="F23" s="26">
        <v>281.38416666666666</v>
      </c>
      <c r="G23" s="29" t="s">
        <v>126</v>
      </c>
      <c r="H23" s="28" t="s">
        <v>127</v>
      </c>
      <c r="I23" s="28" t="s">
        <v>164</v>
      </c>
      <c r="J23" s="23"/>
      <c r="K23" s="11"/>
      <c r="L23" s="1"/>
      <c r="M23" s="1"/>
      <c r="N23" s="1"/>
      <c r="O23" s="1"/>
    </row>
    <row r="24" spans="1:15" x14ac:dyDescent="0.2">
      <c r="A24" s="1"/>
      <c r="B24" s="24" t="s">
        <v>5</v>
      </c>
      <c r="C24" s="25" t="s">
        <v>134</v>
      </c>
      <c r="D24" s="25"/>
      <c r="E24" s="25"/>
      <c r="F24" s="26">
        <v>1364.8458333333333</v>
      </c>
      <c r="G24" s="29" t="s">
        <v>126</v>
      </c>
      <c r="H24" s="28" t="s">
        <v>127</v>
      </c>
      <c r="I24" s="28" t="s">
        <v>164</v>
      </c>
      <c r="J24" s="23"/>
      <c r="K24" s="11"/>
      <c r="L24" s="1"/>
      <c r="M24" s="1"/>
      <c r="N24" s="1"/>
      <c r="O24" s="1"/>
    </row>
    <row r="25" spans="1:15" x14ac:dyDescent="0.2">
      <c r="A25" s="1"/>
      <c r="B25" s="24" t="s">
        <v>5</v>
      </c>
      <c r="C25" s="25" t="s">
        <v>135</v>
      </c>
      <c r="D25" s="25"/>
      <c r="E25" s="25"/>
      <c r="F25" s="26">
        <v>207.75083333333336</v>
      </c>
      <c r="G25" s="29" t="s">
        <v>126</v>
      </c>
      <c r="H25" s="28" t="s">
        <v>127</v>
      </c>
      <c r="I25" s="28" t="s">
        <v>164</v>
      </c>
      <c r="J25" s="23"/>
      <c r="K25" s="11"/>
      <c r="L25" s="1"/>
      <c r="M25" s="1"/>
      <c r="N25" s="1"/>
      <c r="O25" s="1"/>
    </row>
    <row r="26" spans="1:15" x14ac:dyDescent="0.2">
      <c r="A26" s="1"/>
      <c r="B26" s="24" t="s">
        <v>1</v>
      </c>
      <c r="C26" s="25" t="s">
        <v>2</v>
      </c>
      <c r="D26" s="25"/>
      <c r="E26" s="25"/>
      <c r="F26" s="26">
        <v>-5259.5150000000003</v>
      </c>
      <c r="G26" s="29" t="s">
        <v>126</v>
      </c>
      <c r="H26" s="28" t="s">
        <v>127</v>
      </c>
      <c r="I26" s="28" t="s">
        <v>164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5</v>
      </c>
      <c r="C27" s="3" t="s">
        <v>4</v>
      </c>
      <c r="D27" s="3"/>
      <c r="E27" s="3"/>
      <c r="F27" s="20">
        <v>43749.13</v>
      </c>
      <c r="G27" s="30" t="s">
        <v>99</v>
      </c>
      <c r="H27" s="4"/>
      <c r="I27" s="4" t="s">
        <v>164</v>
      </c>
      <c r="J27" s="23"/>
      <c r="K27" s="11"/>
      <c r="L27" s="1"/>
      <c r="M27" s="1"/>
      <c r="N27" s="1"/>
      <c r="O27" s="1"/>
    </row>
    <row r="28" spans="1:15" x14ac:dyDescent="0.2">
      <c r="A28" s="1"/>
      <c r="B28" s="1" t="s">
        <v>1</v>
      </c>
      <c r="C28" s="3" t="s">
        <v>16</v>
      </c>
      <c r="D28" s="3"/>
      <c r="E28" s="3"/>
      <c r="F28" s="20">
        <v>-43749.13</v>
      </c>
      <c r="G28" s="30" t="s">
        <v>99</v>
      </c>
      <c r="H28" s="4"/>
      <c r="I28" s="4" t="s">
        <v>164</v>
      </c>
      <c r="J28" s="23"/>
      <c r="K28" s="11"/>
      <c r="L28" s="1"/>
      <c r="M28" s="1"/>
      <c r="N28" s="1"/>
      <c r="O28" s="1"/>
    </row>
    <row r="29" spans="1:15" x14ac:dyDescent="0.2">
      <c r="A29" s="1"/>
      <c r="B29" s="1" t="s">
        <v>5</v>
      </c>
      <c r="C29" s="3" t="s">
        <v>144</v>
      </c>
      <c r="D29" s="3"/>
      <c r="E29" s="3"/>
      <c r="F29" s="20">
        <v>4194.75</v>
      </c>
      <c r="G29" s="30" t="s">
        <v>143</v>
      </c>
      <c r="H29" s="4" t="s">
        <v>12</v>
      </c>
      <c r="I29" s="4" t="s">
        <v>164</v>
      </c>
      <c r="J29" s="23"/>
      <c r="K29" s="11"/>
      <c r="L29" s="1"/>
      <c r="M29" s="1"/>
      <c r="N29" s="1"/>
      <c r="O29" s="1"/>
    </row>
    <row r="30" spans="1:15" x14ac:dyDescent="0.2">
      <c r="A30" s="1"/>
      <c r="B30" s="1" t="s">
        <v>5</v>
      </c>
      <c r="C30" s="3" t="s">
        <v>142</v>
      </c>
      <c r="D30" s="3"/>
      <c r="E30" s="3"/>
      <c r="F30" s="20">
        <v>-4194.75</v>
      </c>
      <c r="G30" s="30" t="s">
        <v>143</v>
      </c>
      <c r="H30" s="4" t="s">
        <v>12</v>
      </c>
      <c r="I30" s="4" t="s">
        <v>164</v>
      </c>
      <c r="J30" s="23"/>
      <c r="K30" s="11"/>
      <c r="L30" s="1"/>
      <c r="M30" s="1"/>
      <c r="N30" s="1"/>
      <c r="O30" s="1"/>
    </row>
    <row r="31" spans="1:15" x14ac:dyDescent="0.2">
      <c r="A31" s="1"/>
      <c r="B31" s="1" t="s">
        <v>5</v>
      </c>
      <c r="C31" s="3" t="s">
        <v>145</v>
      </c>
      <c r="D31" s="3"/>
      <c r="E31" s="3"/>
      <c r="F31" s="20">
        <v>9691.67</v>
      </c>
      <c r="G31" s="30" t="s">
        <v>147</v>
      </c>
      <c r="H31" s="4" t="s">
        <v>148</v>
      </c>
      <c r="I31" s="4" t="s">
        <v>164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5</v>
      </c>
      <c r="C32" s="3" t="s">
        <v>146</v>
      </c>
      <c r="D32" s="3"/>
      <c r="E32" s="3"/>
      <c r="F32" s="20">
        <v>-9691.67</v>
      </c>
      <c r="G32" s="30" t="s">
        <v>147</v>
      </c>
      <c r="H32" s="4" t="s">
        <v>148</v>
      </c>
      <c r="I32" s="4" t="s">
        <v>164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5</v>
      </c>
      <c r="C33" s="3" t="s">
        <v>105</v>
      </c>
      <c r="D33" s="3"/>
      <c r="E33" s="3"/>
      <c r="F33" s="20">
        <v>8609.01</v>
      </c>
      <c r="G33" s="30" t="s">
        <v>103</v>
      </c>
      <c r="H33" s="4" t="s">
        <v>12</v>
      </c>
      <c r="I33" s="4" t="s">
        <v>164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1</v>
      </c>
      <c r="C34" s="3" t="s">
        <v>106</v>
      </c>
      <c r="D34" s="3"/>
      <c r="E34" s="3"/>
      <c r="F34" s="20">
        <v>-8609.01</v>
      </c>
      <c r="G34" s="30" t="s">
        <v>103</v>
      </c>
      <c r="H34" s="4" t="s">
        <v>12</v>
      </c>
      <c r="I34" s="4" t="s">
        <v>164</v>
      </c>
      <c r="J34" s="23"/>
      <c r="K34" s="11"/>
      <c r="L34" s="1"/>
      <c r="M34" s="1"/>
      <c r="N34" s="1"/>
      <c r="O34" s="1"/>
    </row>
    <row r="35" spans="1:15" x14ac:dyDescent="0.2">
      <c r="A35" s="1"/>
      <c r="B35" s="1" t="s">
        <v>5</v>
      </c>
      <c r="C35" s="3" t="s">
        <v>39</v>
      </c>
      <c r="D35" s="3"/>
      <c r="E35" s="3"/>
      <c r="F35" s="20">
        <v>8431.4</v>
      </c>
      <c r="G35" s="30" t="s">
        <v>151</v>
      </c>
      <c r="H35" s="4" t="s">
        <v>152</v>
      </c>
      <c r="I35" s="4" t="s">
        <v>164</v>
      </c>
      <c r="J35" s="23"/>
      <c r="K35" s="11"/>
      <c r="L35" s="1"/>
      <c r="M35" s="1"/>
      <c r="N35" s="1"/>
      <c r="O35" s="1"/>
    </row>
    <row r="36" spans="1:15" x14ac:dyDescent="0.2">
      <c r="A36" s="1"/>
      <c r="B36" s="1" t="s">
        <v>5</v>
      </c>
      <c r="C36" s="3" t="s">
        <v>150</v>
      </c>
      <c r="D36" s="3"/>
      <c r="E36" s="3"/>
      <c r="F36" s="20">
        <v>-8431.4</v>
      </c>
      <c r="G36" s="30" t="s">
        <v>151</v>
      </c>
      <c r="H36" s="4" t="s">
        <v>152</v>
      </c>
      <c r="I36" s="4" t="s">
        <v>164</v>
      </c>
      <c r="J36" s="23"/>
      <c r="K36" s="11"/>
      <c r="L36" s="1"/>
      <c r="M36" s="1"/>
      <c r="N36" s="1"/>
      <c r="O36" s="1"/>
    </row>
    <row r="37" spans="1:15" x14ac:dyDescent="0.2">
      <c r="A37" s="1"/>
      <c r="B37" s="24" t="s">
        <v>5</v>
      </c>
      <c r="C37" s="25" t="s">
        <v>89</v>
      </c>
      <c r="D37" s="25"/>
      <c r="E37" s="25"/>
      <c r="F37" s="26">
        <v>489.82</v>
      </c>
      <c r="G37" s="29" t="s">
        <v>163</v>
      </c>
      <c r="H37" s="28" t="s">
        <v>162</v>
      </c>
      <c r="I37" s="28" t="s">
        <v>164</v>
      </c>
      <c r="J37" s="23"/>
      <c r="K37" s="11"/>
      <c r="L37" s="1"/>
      <c r="M37" s="1"/>
      <c r="N37" s="1"/>
      <c r="O37" s="1"/>
    </row>
    <row r="38" spans="1:15" x14ac:dyDescent="0.2">
      <c r="A38" s="1"/>
      <c r="B38" s="24" t="s">
        <v>5</v>
      </c>
      <c r="C38" s="25" t="s">
        <v>91</v>
      </c>
      <c r="D38" s="25"/>
      <c r="E38" s="25"/>
      <c r="F38" s="26">
        <v>489.82</v>
      </c>
      <c r="G38" s="29" t="s">
        <v>163</v>
      </c>
      <c r="H38" s="28" t="s">
        <v>162</v>
      </c>
      <c r="I38" s="28" t="s">
        <v>164</v>
      </c>
      <c r="J38" s="23"/>
      <c r="K38" s="11"/>
      <c r="L38" s="1"/>
      <c r="M38" s="1"/>
      <c r="N38" s="1"/>
      <c r="O38" s="1"/>
    </row>
    <row r="39" spans="1:15" x14ac:dyDescent="0.2">
      <c r="A39" s="1"/>
      <c r="B39" s="24" t="s">
        <v>5</v>
      </c>
      <c r="C39" s="25" t="s">
        <v>92</v>
      </c>
      <c r="D39" s="25"/>
      <c r="E39" s="25"/>
      <c r="F39" s="26">
        <v>489.82</v>
      </c>
      <c r="G39" s="29" t="s">
        <v>163</v>
      </c>
      <c r="H39" s="28" t="s">
        <v>162</v>
      </c>
      <c r="I39" s="28" t="s">
        <v>164</v>
      </c>
      <c r="J39" s="23"/>
      <c r="K39" s="11"/>
      <c r="L39" s="1"/>
      <c r="M39" s="1"/>
      <c r="N39" s="1"/>
      <c r="O39" s="1"/>
    </row>
    <row r="40" spans="1:15" x14ac:dyDescent="0.2">
      <c r="A40" s="1"/>
      <c r="B40" s="24" t="s">
        <v>5</v>
      </c>
      <c r="C40" s="25" t="s">
        <v>90</v>
      </c>
      <c r="D40" s="25"/>
      <c r="E40" s="25"/>
      <c r="F40" s="26">
        <v>489.82</v>
      </c>
      <c r="G40" s="29" t="s">
        <v>163</v>
      </c>
      <c r="H40" s="28" t="s">
        <v>162</v>
      </c>
      <c r="I40" s="28" t="s">
        <v>164</v>
      </c>
      <c r="J40" s="23"/>
      <c r="K40" s="11"/>
      <c r="L40" s="1"/>
      <c r="M40" s="1"/>
      <c r="N40" s="1"/>
      <c r="O40" s="1"/>
    </row>
    <row r="41" spans="1:15" x14ac:dyDescent="0.2">
      <c r="A41" s="1"/>
      <c r="B41" s="24" t="s">
        <v>1</v>
      </c>
      <c r="C41" s="25" t="s">
        <v>2</v>
      </c>
      <c r="D41" s="25"/>
      <c r="E41" s="25"/>
      <c r="F41" s="26">
        <v>-1959.28</v>
      </c>
      <c r="G41" s="29" t="s">
        <v>163</v>
      </c>
      <c r="H41" s="28" t="s">
        <v>162</v>
      </c>
      <c r="I41" s="28" t="s">
        <v>164</v>
      </c>
      <c r="J41" s="23"/>
      <c r="K41" s="11"/>
      <c r="L41" s="1"/>
      <c r="M41" s="1"/>
      <c r="N41" s="1"/>
      <c r="O41" s="1"/>
    </row>
    <row r="42" spans="1:15" x14ac:dyDescent="0.2">
      <c r="A42" s="1"/>
      <c r="B42" s="1"/>
      <c r="C42" s="3"/>
      <c r="D42" s="3"/>
      <c r="E42" s="3"/>
      <c r="F42" s="20"/>
      <c r="G42" s="30"/>
      <c r="H42" s="4"/>
      <c r="I42" s="4"/>
      <c r="J42" s="23"/>
      <c r="K42" s="11"/>
      <c r="L42" s="1"/>
      <c r="M42" s="1"/>
      <c r="N42" s="1"/>
      <c r="O42" s="1"/>
    </row>
    <row r="43" spans="1:15" x14ac:dyDescent="0.2">
      <c r="A43" s="1"/>
      <c r="B43" s="1"/>
      <c r="C43" s="3"/>
      <c r="D43" s="3"/>
      <c r="E43" s="3"/>
      <c r="F43" s="20"/>
      <c r="G43" s="30"/>
      <c r="H43" s="4"/>
      <c r="I43" s="4"/>
      <c r="J43" s="23"/>
      <c r="K43" s="11"/>
      <c r="L43" s="1"/>
      <c r="M43" s="1"/>
      <c r="N43" s="1"/>
      <c r="O43" s="1"/>
    </row>
    <row r="44" spans="1:15" x14ac:dyDescent="0.2">
      <c r="A44" s="1"/>
      <c r="B44" s="1"/>
      <c r="C44" s="3"/>
      <c r="D44" s="3"/>
      <c r="E44" s="3"/>
      <c r="F44" s="20"/>
      <c r="G44" s="30"/>
      <c r="H44" s="4"/>
      <c r="I44" s="4"/>
      <c r="J44" s="11"/>
      <c r="K44" s="11"/>
      <c r="L44" s="1"/>
      <c r="M44" s="1"/>
      <c r="N44" s="1"/>
      <c r="O44" s="1"/>
    </row>
    <row r="45" spans="1:15" x14ac:dyDescent="0.2">
      <c r="A45" s="1"/>
      <c r="B45" s="1"/>
      <c r="C45" s="12"/>
      <c r="D45" s="12"/>
      <c r="E45" s="12"/>
      <c r="F45" s="5"/>
      <c r="G45" s="13"/>
      <c r="H45" s="4"/>
      <c r="I45" s="4"/>
      <c r="J45" s="7"/>
      <c r="K45" s="11"/>
      <c r="L45" s="1"/>
      <c r="M45" s="1"/>
      <c r="N45" s="1"/>
      <c r="O45" s="1"/>
    </row>
    <row r="46" spans="1:15" ht="15" thickBot="1" x14ac:dyDescent="0.25">
      <c r="A46" s="1"/>
      <c r="B46" s="1"/>
      <c r="C46" s="3" t="s">
        <v>15</v>
      </c>
      <c r="D46" s="3"/>
      <c r="E46" s="3"/>
      <c r="F46" s="21">
        <f>SUMIF(F9:F45,"&lt;0",F9:F45)</f>
        <v>-90780.391666666663</v>
      </c>
      <c r="G46" s="13" t="s">
        <v>13</v>
      </c>
      <c r="H46" s="4"/>
      <c r="I46" s="4"/>
      <c r="J46" s="7"/>
      <c r="K46" s="11"/>
      <c r="L46" s="1"/>
      <c r="M46" s="1"/>
      <c r="N46" s="1"/>
      <c r="O46" s="1"/>
    </row>
    <row r="47" spans="1:15" ht="15" thickTop="1" x14ac:dyDescent="0.2">
      <c r="A47" s="1"/>
      <c r="B47" s="1"/>
      <c r="C47" s="3"/>
      <c r="D47" s="3"/>
      <c r="E47" s="3"/>
      <c r="F47" s="5"/>
      <c r="G47" s="10"/>
      <c r="H47" s="4"/>
      <c r="I47" s="4"/>
      <c r="J47" s="7"/>
      <c r="K47" s="11"/>
      <c r="L47" s="1"/>
      <c r="M47" s="1"/>
      <c r="N47" s="1"/>
      <c r="O47" s="1"/>
    </row>
    <row r="48" spans="1:15" x14ac:dyDescent="0.2">
      <c r="K48" s="11"/>
      <c r="L48" s="1"/>
      <c r="M48" s="1"/>
      <c r="N48" s="1"/>
      <c r="O48" s="1"/>
    </row>
    <row r="49" spans="2:15" x14ac:dyDescent="0.2">
      <c r="K49" s="11"/>
      <c r="L49" s="1"/>
      <c r="M49" s="1"/>
      <c r="N49" s="1"/>
      <c r="O49" s="1"/>
    </row>
    <row r="50" spans="2:15" x14ac:dyDescent="0.2">
      <c r="K50" s="11"/>
      <c r="L50" s="1"/>
      <c r="M50" s="1"/>
      <c r="N50" s="1"/>
      <c r="O50" s="1"/>
    </row>
    <row r="51" spans="2:15" x14ac:dyDescent="0.2">
      <c r="B51" s="4" t="s">
        <v>5</v>
      </c>
      <c r="C51" s="3" t="s">
        <v>7</v>
      </c>
      <c r="D51" s="3"/>
      <c r="E51" s="3"/>
      <c r="F51" s="20">
        <v>7143.75</v>
      </c>
      <c r="G51" s="10" t="s">
        <v>26</v>
      </c>
      <c r="H51" s="4" t="s">
        <v>17</v>
      </c>
      <c r="I51" s="4" t="s">
        <v>164</v>
      </c>
      <c r="K51" s="11"/>
      <c r="L51" s="1"/>
      <c r="M51" s="1"/>
      <c r="N51" s="1"/>
      <c r="O51" s="1"/>
    </row>
    <row r="52" spans="2:15" x14ac:dyDescent="0.2">
      <c r="B52" s="4" t="s">
        <v>5</v>
      </c>
      <c r="C52" s="3" t="s">
        <v>6</v>
      </c>
      <c r="D52" s="3"/>
      <c r="E52" s="3"/>
      <c r="F52" s="20">
        <v>-7143.75</v>
      </c>
      <c r="G52" s="10" t="s">
        <v>26</v>
      </c>
      <c r="H52" s="4" t="s">
        <v>17</v>
      </c>
      <c r="I52" s="4" t="s">
        <v>164</v>
      </c>
      <c r="K52" s="11"/>
      <c r="L52" s="1"/>
      <c r="M52" s="1"/>
      <c r="N52" s="1"/>
      <c r="O52" s="1"/>
    </row>
    <row r="53" spans="2:15" x14ac:dyDescent="0.2">
      <c r="B53" s="4" t="s">
        <v>5</v>
      </c>
      <c r="C53" s="3" t="s">
        <v>62</v>
      </c>
      <c r="D53" s="3"/>
      <c r="E53" s="3"/>
      <c r="F53" s="20">
        <v>949.17</v>
      </c>
      <c r="G53" s="10" t="s">
        <v>67</v>
      </c>
      <c r="H53" s="4" t="s">
        <v>12</v>
      </c>
      <c r="I53" s="4" t="s">
        <v>164</v>
      </c>
    </row>
    <row r="54" spans="2:15" x14ac:dyDescent="0.2">
      <c r="B54" s="4" t="s">
        <v>5</v>
      </c>
      <c r="C54" s="3" t="s">
        <v>6</v>
      </c>
      <c r="D54" s="3"/>
      <c r="E54" s="3"/>
      <c r="F54" s="20">
        <v>-949.17</v>
      </c>
      <c r="G54" s="10" t="s">
        <v>67</v>
      </c>
      <c r="H54" s="4" t="s">
        <v>12</v>
      </c>
      <c r="I54" s="4" t="s">
        <v>164</v>
      </c>
    </row>
    <row r="55" spans="2:15" x14ac:dyDescent="0.2">
      <c r="B55" s="4" t="s">
        <v>5</v>
      </c>
      <c r="C55" s="3" t="s">
        <v>62</v>
      </c>
      <c r="D55" s="3"/>
      <c r="E55" s="3"/>
      <c r="F55" s="20">
        <v>1100</v>
      </c>
      <c r="G55" s="10" t="s">
        <v>81</v>
      </c>
      <c r="H55" s="4" t="s">
        <v>86</v>
      </c>
      <c r="I55" s="4" t="s">
        <v>164</v>
      </c>
    </row>
    <row r="56" spans="2:15" x14ac:dyDescent="0.2">
      <c r="B56" s="4" t="s">
        <v>5</v>
      </c>
      <c r="C56" s="3" t="s">
        <v>6</v>
      </c>
      <c r="D56" s="3"/>
      <c r="E56" s="3"/>
      <c r="F56" s="20">
        <v>-1100</v>
      </c>
      <c r="G56" s="10" t="s">
        <v>81</v>
      </c>
      <c r="H56" s="4" t="s">
        <v>86</v>
      </c>
      <c r="I56" s="4" t="s">
        <v>164</v>
      </c>
    </row>
    <row r="57" spans="2:15" x14ac:dyDescent="0.2">
      <c r="B57" s="4" t="s">
        <v>5</v>
      </c>
      <c r="C57" s="3" t="s">
        <v>62</v>
      </c>
      <c r="D57" s="3"/>
      <c r="E57" s="3"/>
      <c r="F57" s="20">
        <v>473.11</v>
      </c>
      <c r="G57" s="10" t="s">
        <v>85</v>
      </c>
      <c r="H57" s="4" t="s">
        <v>86</v>
      </c>
      <c r="I57" s="4" t="s">
        <v>164</v>
      </c>
    </row>
    <row r="58" spans="2:15" x14ac:dyDescent="0.2">
      <c r="B58" s="4" t="s">
        <v>5</v>
      </c>
      <c r="C58" s="3" t="s">
        <v>6</v>
      </c>
      <c r="D58" s="3"/>
      <c r="E58" s="3"/>
      <c r="F58" s="20">
        <v>-473.11</v>
      </c>
      <c r="G58" s="10" t="s">
        <v>85</v>
      </c>
      <c r="H58" s="4" t="s">
        <v>86</v>
      </c>
      <c r="I58" s="4" t="s">
        <v>164</v>
      </c>
    </row>
    <row r="59" spans="2:15" x14ac:dyDescent="0.2">
      <c r="B59" s="4" t="s">
        <v>5</v>
      </c>
      <c r="C59" s="3" t="s">
        <v>62</v>
      </c>
      <c r="D59" s="3"/>
      <c r="E59" s="3"/>
      <c r="F59" s="20">
        <v>3202.58</v>
      </c>
      <c r="G59" s="10" t="s">
        <v>88</v>
      </c>
      <c r="H59" s="4" t="s">
        <v>12</v>
      </c>
      <c r="I59" s="4" t="s">
        <v>164</v>
      </c>
    </row>
    <row r="60" spans="2:15" x14ac:dyDescent="0.2">
      <c r="B60" s="4" t="s">
        <v>5</v>
      </c>
      <c r="C60" s="3" t="s">
        <v>6</v>
      </c>
      <c r="D60" s="3"/>
      <c r="E60" s="3"/>
      <c r="F60" s="20">
        <v>-3202.58</v>
      </c>
      <c r="G60" s="10" t="s">
        <v>88</v>
      </c>
      <c r="H60" s="4" t="s">
        <v>12</v>
      </c>
      <c r="I60" s="4" t="s">
        <v>164</v>
      </c>
    </row>
    <row r="61" spans="2:15" x14ac:dyDescent="0.2">
      <c r="B61" s="4" t="s">
        <v>5</v>
      </c>
      <c r="C61" s="3" t="s">
        <v>62</v>
      </c>
      <c r="D61" s="3"/>
      <c r="E61" s="3"/>
      <c r="F61" s="20">
        <v>2112.02</v>
      </c>
      <c r="G61" s="10" t="s">
        <v>107</v>
      </c>
      <c r="H61" s="4" t="s">
        <v>12</v>
      </c>
      <c r="I61" s="4" t="s">
        <v>164</v>
      </c>
    </row>
    <row r="62" spans="2:15" x14ac:dyDescent="0.2">
      <c r="B62" s="4" t="s">
        <v>5</v>
      </c>
      <c r="C62" s="3" t="s">
        <v>6</v>
      </c>
      <c r="D62" s="3"/>
      <c r="E62" s="3"/>
      <c r="F62" s="20">
        <v>-2112.02</v>
      </c>
      <c r="G62" s="10" t="s">
        <v>107</v>
      </c>
      <c r="H62" s="4" t="s">
        <v>12</v>
      </c>
      <c r="I62" s="4" t="s">
        <v>164</v>
      </c>
    </row>
    <row r="63" spans="2:15" x14ac:dyDescent="0.2">
      <c r="B63" s="4" t="s">
        <v>5</v>
      </c>
      <c r="C63" s="3" t="s">
        <v>62</v>
      </c>
      <c r="D63" s="3"/>
      <c r="E63" s="3"/>
      <c r="F63" s="20">
        <v>1530.58</v>
      </c>
      <c r="G63" s="41" t="s">
        <v>110</v>
      </c>
      <c r="H63" s="4" t="s">
        <v>12</v>
      </c>
      <c r="I63" s="4" t="s">
        <v>164</v>
      </c>
    </row>
    <row r="64" spans="2:15" x14ac:dyDescent="0.2">
      <c r="B64" s="4" t="s">
        <v>5</v>
      </c>
      <c r="C64" s="3" t="s">
        <v>6</v>
      </c>
      <c r="D64" s="3"/>
      <c r="E64" s="3"/>
      <c r="F64" s="20">
        <v>-1530.58</v>
      </c>
      <c r="G64" s="41" t="s">
        <v>110</v>
      </c>
      <c r="H64" s="4" t="s">
        <v>12</v>
      </c>
      <c r="I64" s="4" t="s">
        <v>164</v>
      </c>
    </row>
    <row r="65" spans="2:9" x14ac:dyDescent="0.2">
      <c r="B65" s="4" t="s">
        <v>5</v>
      </c>
      <c r="C65" s="3" t="s">
        <v>62</v>
      </c>
      <c r="D65" s="3"/>
      <c r="E65" s="3"/>
      <c r="F65" s="20">
        <v>732</v>
      </c>
      <c r="G65" s="41" t="s">
        <v>111</v>
      </c>
      <c r="H65" s="4" t="s">
        <v>12</v>
      </c>
      <c r="I65" s="4" t="s">
        <v>164</v>
      </c>
    </row>
    <row r="66" spans="2:9" x14ac:dyDescent="0.2">
      <c r="B66" s="4" t="s">
        <v>5</v>
      </c>
      <c r="C66" s="3" t="s">
        <v>6</v>
      </c>
      <c r="D66" s="3"/>
      <c r="E66" s="3"/>
      <c r="F66" s="20">
        <v>-732</v>
      </c>
      <c r="G66" s="41" t="s">
        <v>111</v>
      </c>
      <c r="H66" s="4" t="s">
        <v>12</v>
      </c>
      <c r="I66" s="4" t="s">
        <v>164</v>
      </c>
    </row>
    <row r="67" spans="2:9" x14ac:dyDescent="0.2">
      <c r="B67" s="4" t="s">
        <v>5</v>
      </c>
      <c r="C67" s="3" t="s">
        <v>62</v>
      </c>
      <c r="D67" s="3"/>
      <c r="E67" s="3"/>
      <c r="F67" s="20">
        <v>2646.25</v>
      </c>
      <c r="G67" s="41" t="s">
        <v>113</v>
      </c>
      <c r="H67" s="4" t="s">
        <v>12</v>
      </c>
      <c r="I67" s="4" t="s">
        <v>164</v>
      </c>
    </row>
    <row r="68" spans="2:9" x14ac:dyDescent="0.2">
      <c r="B68" s="4" t="s">
        <v>5</v>
      </c>
      <c r="C68" s="3" t="s">
        <v>6</v>
      </c>
      <c r="D68" s="3"/>
      <c r="E68" s="3"/>
      <c r="F68" s="20">
        <v>-2646.25</v>
      </c>
      <c r="G68" s="41" t="s">
        <v>113</v>
      </c>
      <c r="H68" s="4" t="s">
        <v>12</v>
      </c>
      <c r="I68" s="4" t="s">
        <v>164</v>
      </c>
    </row>
    <row r="69" spans="2:9" x14ac:dyDescent="0.2">
      <c r="B69" s="4" t="s">
        <v>5</v>
      </c>
      <c r="C69" s="3" t="s">
        <v>62</v>
      </c>
      <c r="D69" s="3"/>
      <c r="E69" s="3"/>
      <c r="F69" s="20">
        <v>3794.42</v>
      </c>
      <c r="G69" s="41" t="s">
        <v>114</v>
      </c>
      <c r="H69" s="4" t="s">
        <v>12</v>
      </c>
      <c r="I69" s="4" t="s">
        <v>164</v>
      </c>
    </row>
    <row r="70" spans="2:9" x14ac:dyDescent="0.2">
      <c r="B70" s="4" t="s">
        <v>5</v>
      </c>
      <c r="C70" s="3" t="s">
        <v>6</v>
      </c>
      <c r="D70" s="3"/>
      <c r="E70" s="3"/>
      <c r="F70" s="20">
        <v>-3794.42</v>
      </c>
      <c r="G70" s="41" t="s">
        <v>114</v>
      </c>
      <c r="H70" s="4" t="s">
        <v>12</v>
      </c>
      <c r="I70" s="4" t="s">
        <v>164</v>
      </c>
    </row>
    <row r="71" spans="2:9" x14ac:dyDescent="0.2">
      <c r="B71" s="4" t="s">
        <v>5</v>
      </c>
      <c r="C71" s="3" t="s">
        <v>62</v>
      </c>
      <c r="D71" s="3"/>
      <c r="E71" s="3"/>
      <c r="F71" s="20">
        <v>843.14</v>
      </c>
      <c r="G71" s="41" t="s">
        <v>123</v>
      </c>
      <c r="H71" s="4" t="s">
        <v>12</v>
      </c>
      <c r="I71" s="4" t="s">
        <v>164</v>
      </c>
    </row>
    <row r="72" spans="2:9" x14ac:dyDescent="0.2">
      <c r="B72" s="4" t="s">
        <v>5</v>
      </c>
      <c r="C72" s="3" t="s">
        <v>6</v>
      </c>
      <c r="D72" s="3"/>
      <c r="E72" s="3"/>
      <c r="F72" s="20">
        <v>-843.14</v>
      </c>
      <c r="G72" s="41" t="s">
        <v>123</v>
      </c>
      <c r="H72" s="4" t="s">
        <v>12</v>
      </c>
      <c r="I72" s="4" t="s">
        <v>164</v>
      </c>
    </row>
    <row r="73" spans="2:9" x14ac:dyDescent="0.2">
      <c r="B73" s="4" t="s">
        <v>5</v>
      </c>
      <c r="C73" s="3" t="s">
        <v>62</v>
      </c>
      <c r="D73" s="3"/>
      <c r="E73" s="3"/>
      <c r="F73" s="20">
        <v>32945.33</v>
      </c>
      <c r="G73" s="41" t="s">
        <v>159</v>
      </c>
      <c r="H73" s="4" t="s">
        <v>12</v>
      </c>
      <c r="I73" s="4" t="s">
        <v>164</v>
      </c>
    </row>
    <row r="74" spans="2:9" x14ac:dyDescent="0.2">
      <c r="B74" s="4" t="s">
        <v>5</v>
      </c>
      <c r="C74" s="3" t="s">
        <v>6</v>
      </c>
      <c r="D74" s="3"/>
      <c r="E74" s="3"/>
      <c r="F74" s="20">
        <v>-32945.33</v>
      </c>
      <c r="G74" s="41" t="s">
        <v>159</v>
      </c>
      <c r="H74" s="4" t="s">
        <v>12</v>
      </c>
      <c r="I74" s="4" t="s">
        <v>164</v>
      </c>
    </row>
    <row r="75" spans="2:9" x14ac:dyDescent="0.2">
      <c r="B75" s="4" t="s">
        <v>5</v>
      </c>
      <c r="C75" s="3" t="s">
        <v>62</v>
      </c>
      <c r="D75" s="3"/>
      <c r="E75" s="3"/>
      <c r="F75" s="20">
        <v>973.55</v>
      </c>
      <c r="G75" s="41" t="s">
        <v>160</v>
      </c>
      <c r="H75" s="4" t="s">
        <v>12</v>
      </c>
      <c r="I75" s="4" t="s">
        <v>164</v>
      </c>
    </row>
    <row r="76" spans="2:9" x14ac:dyDescent="0.2">
      <c r="B76" s="4" t="s">
        <v>5</v>
      </c>
      <c r="C76" s="3" t="s">
        <v>6</v>
      </c>
      <c r="D76" s="3"/>
      <c r="E76" s="3"/>
      <c r="F76" s="20">
        <v>-973.55</v>
      </c>
      <c r="G76" s="41" t="s">
        <v>160</v>
      </c>
      <c r="H76" s="4" t="s">
        <v>12</v>
      </c>
      <c r="I76" s="4" t="s">
        <v>164</v>
      </c>
    </row>
    <row r="77" spans="2:9" x14ac:dyDescent="0.2">
      <c r="B77" s="16" t="s">
        <v>5</v>
      </c>
      <c r="C77" s="17" t="s">
        <v>62</v>
      </c>
      <c r="D77" s="17"/>
      <c r="E77" s="17"/>
      <c r="F77" s="22">
        <v>554.5</v>
      </c>
      <c r="G77" s="43" t="s">
        <v>167</v>
      </c>
      <c r="H77" s="16" t="s">
        <v>12</v>
      </c>
      <c r="I77" s="16" t="s">
        <v>164</v>
      </c>
    </row>
    <row r="78" spans="2:9" x14ac:dyDescent="0.2">
      <c r="B78" s="16" t="s">
        <v>5</v>
      </c>
      <c r="C78" s="17" t="s">
        <v>6</v>
      </c>
      <c r="D78" s="17"/>
      <c r="E78" s="17"/>
      <c r="F78" s="22">
        <v>-554.5</v>
      </c>
      <c r="G78" s="43" t="s">
        <v>167</v>
      </c>
      <c r="H78" s="16" t="s">
        <v>12</v>
      </c>
      <c r="I78" s="16" t="s">
        <v>164</v>
      </c>
    </row>
    <row r="79" spans="2:9" x14ac:dyDescent="0.2">
      <c r="B79" s="16" t="s">
        <v>5</v>
      </c>
      <c r="C79" s="17" t="s">
        <v>62</v>
      </c>
      <c r="D79" s="17"/>
      <c r="E79" s="17"/>
      <c r="F79" s="22">
        <v>799.83</v>
      </c>
      <c r="G79" s="43" t="s">
        <v>168</v>
      </c>
      <c r="H79" s="16" t="s">
        <v>12</v>
      </c>
      <c r="I79" s="16" t="s">
        <v>164</v>
      </c>
    </row>
    <row r="80" spans="2:9" x14ac:dyDescent="0.2">
      <c r="B80" s="16" t="s">
        <v>5</v>
      </c>
      <c r="C80" s="17" t="s">
        <v>6</v>
      </c>
      <c r="D80" s="17"/>
      <c r="E80" s="17"/>
      <c r="F80" s="22">
        <v>-799.83</v>
      </c>
      <c r="G80" s="43" t="s">
        <v>168</v>
      </c>
      <c r="H80" s="16" t="s">
        <v>12</v>
      </c>
      <c r="I80" s="16" t="s">
        <v>164</v>
      </c>
    </row>
    <row r="81" spans="2:9" x14ac:dyDescent="0.2">
      <c r="B81" s="16" t="s">
        <v>5</v>
      </c>
      <c r="C81" s="17" t="s">
        <v>62</v>
      </c>
      <c r="D81" s="17"/>
      <c r="E81" s="17"/>
      <c r="F81" s="22">
        <v>799.83</v>
      </c>
      <c r="G81" s="43" t="s">
        <v>168</v>
      </c>
      <c r="H81" s="16" t="s">
        <v>12</v>
      </c>
      <c r="I81" s="16" t="s">
        <v>161</v>
      </c>
    </row>
    <row r="82" spans="2:9" x14ac:dyDescent="0.2">
      <c r="B82" s="16" t="s">
        <v>5</v>
      </c>
      <c r="C82" s="17" t="s">
        <v>6</v>
      </c>
      <c r="D82" s="17"/>
      <c r="E82" s="17"/>
      <c r="F82" s="22">
        <v>-799.83</v>
      </c>
      <c r="G82" s="43" t="s">
        <v>168</v>
      </c>
      <c r="H82" s="16" t="s">
        <v>12</v>
      </c>
      <c r="I82" s="16" t="s">
        <v>161</v>
      </c>
    </row>
    <row r="83" spans="2:9" x14ac:dyDescent="0.2">
      <c r="B83" s="16" t="s">
        <v>5</v>
      </c>
      <c r="C83" s="17" t="s">
        <v>62</v>
      </c>
      <c r="D83" s="17"/>
      <c r="E83" s="17"/>
      <c r="F83" s="22">
        <v>799.83</v>
      </c>
      <c r="G83" s="43" t="s">
        <v>168</v>
      </c>
      <c r="H83" s="16" t="s">
        <v>12</v>
      </c>
      <c r="I83" s="16" t="s">
        <v>149</v>
      </c>
    </row>
    <row r="84" spans="2:9" ht="13.5" customHeight="1" x14ac:dyDescent="0.2">
      <c r="B84" s="16" t="s">
        <v>5</v>
      </c>
      <c r="C84" s="17" t="s">
        <v>6</v>
      </c>
      <c r="D84" s="17"/>
      <c r="E84" s="17"/>
      <c r="F84" s="22">
        <v>-799.83</v>
      </c>
      <c r="G84" s="43" t="s">
        <v>168</v>
      </c>
      <c r="H84" s="16" t="s">
        <v>12</v>
      </c>
      <c r="I84" s="16" t="s">
        <v>149</v>
      </c>
    </row>
    <row r="87" spans="2:9" ht="15" thickBot="1" x14ac:dyDescent="0.25">
      <c r="C87" t="s">
        <v>14</v>
      </c>
      <c r="F87" s="21">
        <f>SUMIF(F51:F86,"&lt;0",F51:F86)</f>
        <v>-61399.890000000007</v>
      </c>
      <c r="G87" t="s">
        <v>13</v>
      </c>
    </row>
    <row r="88" spans="2:9" ht="15" thickTop="1" x14ac:dyDescent="0.2"/>
  </sheetData>
  <autoFilter ref="A6:O6" xr:uid="{C72EA621-673A-4200-BC3A-FC9120173B40}"/>
  <mergeCells count="1">
    <mergeCell ref="J7:J8"/>
  </mergeCells>
  <hyperlinks>
    <hyperlink ref="F1" r:id="rId1" xr:uid="{0C7EA730-44F2-4EAA-8B2F-152C542691B1}"/>
  </hyperlinks>
  <pageMargins left="0.7" right="0.7" top="0.75" bottom="0.75" header="0.3" footer="0.3"/>
  <pageSetup paperSize="9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2E87-9A56-44D5-B177-D7E8199DBF9C}">
  <sheetPr>
    <tabColor theme="5" tint="0.59999389629810485"/>
  </sheetPr>
  <dimension ref="A1:O89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45" t="s">
        <v>5</v>
      </c>
      <c r="C7" s="46" t="s">
        <v>139</v>
      </c>
      <c r="D7" s="46"/>
      <c r="E7" s="46"/>
      <c r="F7" s="47">
        <v>-48839.57</v>
      </c>
      <c r="G7" s="48" t="s">
        <v>140</v>
      </c>
      <c r="H7" s="49" t="s">
        <v>141</v>
      </c>
      <c r="I7" s="49" t="s">
        <v>153</v>
      </c>
      <c r="J7" s="92" t="s">
        <v>158</v>
      </c>
      <c r="K7" s="11"/>
      <c r="L7" s="1"/>
      <c r="M7" s="1"/>
      <c r="N7" s="1"/>
      <c r="O7" s="1"/>
    </row>
    <row r="8" spans="1:15" x14ac:dyDescent="0.2">
      <c r="A8" s="1"/>
      <c r="B8" s="45" t="s">
        <v>1</v>
      </c>
      <c r="C8" s="46" t="s">
        <v>2</v>
      </c>
      <c r="D8" s="46"/>
      <c r="E8" s="46"/>
      <c r="F8" s="47">
        <v>48839.57</v>
      </c>
      <c r="G8" s="48" t="s">
        <v>140</v>
      </c>
      <c r="H8" s="49" t="s">
        <v>141</v>
      </c>
      <c r="I8" s="49" t="s">
        <v>153</v>
      </c>
      <c r="J8" s="92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154</v>
      </c>
      <c r="D9" s="3"/>
      <c r="E9" s="3"/>
      <c r="F9" s="20">
        <v>1704.6366666666665</v>
      </c>
      <c r="G9" s="30" t="s">
        <v>156</v>
      </c>
      <c r="H9" s="4" t="s">
        <v>157</v>
      </c>
      <c r="I9" s="4" t="s">
        <v>161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5</v>
      </c>
      <c r="C10" s="3" t="s">
        <v>155</v>
      </c>
      <c r="D10" s="3"/>
      <c r="E10" s="3"/>
      <c r="F10" s="20">
        <v>-1704.63666666667</v>
      </c>
      <c r="G10" s="30" t="s">
        <v>156</v>
      </c>
      <c r="H10" s="4" t="s">
        <v>157</v>
      </c>
      <c r="I10" s="4" t="s">
        <v>161</v>
      </c>
      <c r="J10" s="23"/>
      <c r="K10" s="11"/>
      <c r="L10" s="1"/>
      <c r="M10" s="1"/>
      <c r="N10" s="1"/>
      <c r="O10" s="1"/>
    </row>
    <row r="11" spans="1:15" x14ac:dyDescent="0.2">
      <c r="A11" s="1"/>
      <c r="B11" s="1" t="s">
        <v>5</v>
      </c>
      <c r="C11" s="3" t="s">
        <v>136</v>
      </c>
      <c r="D11" s="3"/>
      <c r="E11" s="3"/>
      <c r="F11" s="20">
        <v>225</v>
      </c>
      <c r="G11" s="30" t="s">
        <v>137</v>
      </c>
      <c r="H11" s="4" t="s">
        <v>138</v>
      </c>
      <c r="I11" s="4" t="s">
        <v>161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1</v>
      </c>
      <c r="C12" s="3" t="s">
        <v>2</v>
      </c>
      <c r="D12" s="3"/>
      <c r="E12" s="3"/>
      <c r="F12" s="20">
        <v>-225</v>
      </c>
      <c r="G12" s="30" t="s">
        <v>137</v>
      </c>
      <c r="H12" s="4" t="s">
        <v>138</v>
      </c>
      <c r="I12" s="4" t="s">
        <v>161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34</v>
      </c>
      <c r="C13" s="3" t="s">
        <v>35</v>
      </c>
      <c r="D13" s="3" t="s">
        <v>36</v>
      </c>
      <c r="E13" s="3" t="s">
        <v>37</v>
      </c>
      <c r="F13" s="20">
        <v>372</v>
      </c>
      <c r="G13" s="10" t="s">
        <v>38</v>
      </c>
      <c r="H13" s="4" t="s">
        <v>12</v>
      </c>
      <c r="I13" s="4" t="s">
        <v>161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-372</v>
      </c>
      <c r="G14" s="10" t="s">
        <v>38</v>
      </c>
      <c r="H14" s="4" t="s">
        <v>12</v>
      </c>
      <c r="I14" s="4" t="s">
        <v>161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5</v>
      </c>
      <c r="C15" s="3" t="s">
        <v>11</v>
      </c>
      <c r="D15" s="3"/>
      <c r="E15" s="3"/>
      <c r="F15" s="20">
        <v>5750</v>
      </c>
      <c r="G15" s="30" t="s">
        <v>66</v>
      </c>
      <c r="H15" s="4" t="s">
        <v>12</v>
      </c>
      <c r="I15" s="4" t="s">
        <v>161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-5750</v>
      </c>
      <c r="G16" s="30" t="s">
        <v>66</v>
      </c>
      <c r="H16" s="4" t="s">
        <v>12</v>
      </c>
      <c r="I16" s="4" t="s">
        <v>161</v>
      </c>
      <c r="J16" s="11"/>
      <c r="K16" s="11"/>
      <c r="L16" s="1"/>
      <c r="M16" s="1"/>
      <c r="N16" s="1"/>
      <c r="O16" s="1"/>
    </row>
    <row r="17" spans="1:15" x14ac:dyDescent="0.2">
      <c r="A17" s="1"/>
      <c r="B17" s="24" t="s">
        <v>5</v>
      </c>
      <c r="C17" s="25" t="s">
        <v>89</v>
      </c>
      <c r="D17" s="25"/>
      <c r="E17" s="25"/>
      <c r="F17" s="26">
        <v>479.74621212121201</v>
      </c>
      <c r="G17" s="29" t="s">
        <v>94</v>
      </c>
      <c r="H17" s="28" t="s">
        <v>12</v>
      </c>
      <c r="I17" s="28" t="s">
        <v>161</v>
      </c>
      <c r="J17" s="23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90</v>
      </c>
      <c r="D18" s="25"/>
      <c r="E18" s="25"/>
      <c r="F18" s="26">
        <v>479.74318181818199</v>
      </c>
      <c r="G18" s="29" t="s">
        <v>94</v>
      </c>
      <c r="H18" s="28" t="s">
        <v>12</v>
      </c>
      <c r="I18" s="28" t="s">
        <v>161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91</v>
      </c>
      <c r="D19" s="25"/>
      <c r="E19" s="25"/>
      <c r="F19" s="26">
        <v>479.74318181818199</v>
      </c>
      <c r="G19" s="29" t="s">
        <v>94</v>
      </c>
      <c r="H19" s="28" t="s">
        <v>12</v>
      </c>
      <c r="I19" s="28" t="s">
        <v>161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92</v>
      </c>
      <c r="D20" s="25"/>
      <c r="E20" s="25"/>
      <c r="F20" s="26">
        <v>479.74318181818199</v>
      </c>
      <c r="G20" s="29" t="s">
        <v>94</v>
      </c>
      <c r="H20" s="28" t="s">
        <v>12</v>
      </c>
      <c r="I20" s="28" t="s">
        <v>161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1</v>
      </c>
      <c r="C21" s="25" t="s">
        <v>2</v>
      </c>
      <c r="D21" s="25"/>
      <c r="E21" s="25"/>
      <c r="F21" s="26">
        <v>-1918.97</v>
      </c>
      <c r="G21" s="29" t="s">
        <v>94</v>
      </c>
      <c r="H21" s="28" t="s">
        <v>12</v>
      </c>
      <c r="I21" s="28" t="s">
        <v>161</v>
      </c>
      <c r="J21" s="23"/>
      <c r="K21" s="11"/>
      <c r="L21" s="1"/>
      <c r="M21" s="1"/>
      <c r="N21" s="1"/>
      <c r="O21" s="1"/>
    </row>
    <row r="22" spans="1:15" x14ac:dyDescent="0.2">
      <c r="A22" s="1"/>
      <c r="B22" s="1" t="s">
        <v>5</v>
      </c>
      <c r="C22" s="3" t="s">
        <v>118</v>
      </c>
      <c r="D22" s="3"/>
      <c r="E22" s="3"/>
      <c r="F22" s="20">
        <v>6446.83</v>
      </c>
      <c r="G22" s="42" t="s">
        <v>116</v>
      </c>
      <c r="H22" s="4"/>
      <c r="I22" s="4" t="s">
        <v>161</v>
      </c>
      <c r="J22" s="23"/>
      <c r="K22" s="11"/>
      <c r="L22" s="1"/>
      <c r="M22" s="1"/>
      <c r="N22" s="1"/>
      <c r="O22" s="1"/>
    </row>
    <row r="23" spans="1:15" x14ac:dyDescent="0.2">
      <c r="A23" s="1"/>
      <c r="B23" s="1" t="s">
        <v>1</v>
      </c>
      <c r="C23" s="3" t="s">
        <v>2</v>
      </c>
      <c r="D23" s="3"/>
      <c r="E23" s="3"/>
      <c r="F23" s="20">
        <v>-6446.83</v>
      </c>
      <c r="G23" s="42" t="s">
        <v>116</v>
      </c>
      <c r="H23" s="4"/>
      <c r="I23" s="4" t="s">
        <v>161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5</v>
      </c>
      <c r="C24" s="3" t="s">
        <v>10</v>
      </c>
      <c r="D24" s="3"/>
      <c r="E24" s="3"/>
      <c r="F24" s="20">
        <v>509.17</v>
      </c>
      <c r="G24" s="42" t="s">
        <v>117</v>
      </c>
      <c r="H24" s="4"/>
      <c r="I24" s="4" t="s">
        <v>161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1</v>
      </c>
      <c r="C25" s="3" t="s">
        <v>2</v>
      </c>
      <c r="D25" s="3"/>
      <c r="E25" s="3"/>
      <c r="F25" s="20">
        <v>-509.17</v>
      </c>
      <c r="G25" s="42" t="s">
        <v>117</v>
      </c>
      <c r="H25" s="4"/>
      <c r="I25" s="4" t="s">
        <v>161</v>
      </c>
      <c r="J25" s="23"/>
      <c r="K25" s="11"/>
      <c r="L25" s="1"/>
      <c r="M25" s="1"/>
      <c r="N25" s="1"/>
      <c r="O25" s="1"/>
    </row>
    <row r="26" spans="1:15" x14ac:dyDescent="0.2">
      <c r="A26" s="1"/>
      <c r="B26" s="24" t="s">
        <v>5</v>
      </c>
      <c r="C26" s="25" t="s">
        <v>125</v>
      </c>
      <c r="D26" s="25"/>
      <c r="E26" s="25"/>
      <c r="F26" s="26">
        <v>591.69583333333333</v>
      </c>
      <c r="G26" s="29" t="s">
        <v>126</v>
      </c>
      <c r="H26" s="28" t="s">
        <v>127</v>
      </c>
      <c r="I26" s="28" t="s">
        <v>161</v>
      </c>
      <c r="J26" s="23"/>
      <c r="K26" s="11"/>
      <c r="L26" s="1"/>
      <c r="M26" s="1"/>
      <c r="N26" s="1"/>
      <c r="O26" s="1"/>
    </row>
    <row r="27" spans="1:15" x14ac:dyDescent="0.2">
      <c r="A27" s="1"/>
      <c r="B27" s="24" t="s">
        <v>5</v>
      </c>
      <c r="C27" s="25" t="s">
        <v>128</v>
      </c>
      <c r="D27" s="25"/>
      <c r="E27" s="25"/>
      <c r="F27" s="26">
        <v>902.00666666666666</v>
      </c>
      <c r="G27" s="29" t="s">
        <v>126</v>
      </c>
      <c r="H27" s="28" t="s">
        <v>127</v>
      </c>
      <c r="I27" s="28" t="s">
        <v>161</v>
      </c>
      <c r="J27" s="23"/>
      <c r="K27" s="11"/>
      <c r="L27" s="1"/>
      <c r="M27" s="1"/>
      <c r="N27" s="1"/>
      <c r="O27" s="1"/>
    </row>
    <row r="28" spans="1:15" x14ac:dyDescent="0.2">
      <c r="A28" s="1"/>
      <c r="B28" s="24" t="s">
        <v>5</v>
      </c>
      <c r="C28" s="25" t="s">
        <v>129</v>
      </c>
      <c r="D28" s="25"/>
      <c r="E28" s="25"/>
      <c r="F28" s="26">
        <v>633.77083333333337</v>
      </c>
      <c r="G28" s="29" t="s">
        <v>126</v>
      </c>
      <c r="H28" s="28" t="s">
        <v>127</v>
      </c>
      <c r="I28" s="28" t="s">
        <v>161</v>
      </c>
      <c r="J28" s="23"/>
      <c r="K28" s="11"/>
      <c r="L28" s="1"/>
      <c r="M28" s="1"/>
      <c r="N28" s="1"/>
      <c r="O28" s="1"/>
    </row>
    <row r="29" spans="1:15" x14ac:dyDescent="0.2">
      <c r="A29" s="1"/>
      <c r="B29" s="24" t="s">
        <v>5</v>
      </c>
      <c r="C29" s="25" t="s">
        <v>130</v>
      </c>
      <c r="D29" s="25"/>
      <c r="E29" s="25"/>
      <c r="F29" s="26">
        <v>633.77083333333337</v>
      </c>
      <c r="G29" s="29" t="s">
        <v>126</v>
      </c>
      <c r="H29" s="28" t="s">
        <v>127</v>
      </c>
      <c r="I29" s="28" t="s">
        <v>161</v>
      </c>
      <c r="J29" s="23"/>
      <c r="K29" s="11"/>
      <c r="L29" s="1"/>
      <c r="M29" s="1"/>
      <c r="N29" s="1"/>
      <c r="O29" s="1"/>
    </row>
    <row r="30" spans="1:15" x14ac:dyDescent="0.2">
      <c r="A30" s="1"/>
      <c r="B30" s="24" t="s">
        <v>5</v>
      </c>
      <c r="C30" s="25" t="s">
        <v>131</v>
      </c>
      <c r="D30" s="25"/>
      <c r="E30" s="25"/>
      <c r="F30" s="26">
        <v>284.01333333333332</v>
      </c>
      <c r="G30" s="29" t="s">
        <v>126</v>
      </c>
      <c r="H30" s="28" t="s">
        <v>127</v>
      </c>
      <c r="I30" s="28" t="s">
        <v>161</v>
      </c>
      <c r="J30" s="23"/>
      <c r="K30" s="11"/>
      <c r="L30" s="1"/>
      <c r="M30" s="1"/>
      <c r="N30" s="1"/>
      <c r="O30" s="1"/>
    </row>
    <row r="31" spans="1:15" x14ac:dyDescent="0.2">
      <c r="A31" s="1"/>
      <c r="B31" s="24" t="s">
        <v>5</v>
      </c>
      <c r="C31" s="25" t="s">
        <v>132</v>
      </c>
      <c r="D31" s="25"/>
      <c r="E31" s="25"/>
      <c r="F31" s="26">
        <v>360.27666666666664</v>
      </c>
      <c r="G31" s="29" t="s">
        <v>126</v>
      </c>
      <c r="H31" s="28" t="s">
        <v>127</v>
      </c>
      <c r="I31" s="28" t="s">
        <v>161</v>
      </c>
      <c r="J31" s="23"/>
      <c r="K31" s="11"/>
      <c r="L31" s="1"/>
      <c r="M31" s="1"/>
      <c r="N31" s="1"/>
      <c r="O31" s="1"/>
    </row>
    <row r="32" spans="1:15" x14ac:dyDescent="0.2">
      <c r="A32" s="1"/>
      <c r="B32" s="24" t="s">
        <v>5</v>
      </c>
      <c r="C32" s="25" t="s">
        <v>133</v>
      </c>
      <c r="D32" s="25"/>
      <c r="E32" s="25"/>
      <c r="F32" s="26">
        <v>281.38416666666666</v>
      </c>
      <c r="G32" s="29" t="s">
        <v>126</v>
      </c>
      <c r="H32" s="28" t="s">
        <v>127</v>
      </c>
      <c r="I32" s="28" t="s">
        <v>161</v>
      </c>
      <c r="J32" s="23"/>
      <c r="K32" s="11"/>
      <c r="L32" s="1"/>
      <c r="M32" s="1"/>
      <c r="N32" s="1"/>
      <c r="O32" s="1"/>
    </row>
    <row r="33" spans="1:15" x14ac:dyDescent="0.2">
      <c r="A33" s="1"/>
      <c r="B33" s="24" t="s">
        <v>5</v>
      </c>
      <c r="C33" s="25" t="s">
        <v>134</v>
      </c>
      <c r="D33" s="25"/>
      <c r="E33" s="25"/>
      <c r="F33" s="26">
        <v>1364.8458333333333</v>
      </c>
      <c r="G33" s="29" t="s">
        <v>126</v>
      </c>
      <c r="H33" s="28" t="s">
        <v>127</v>
      </c>
      <c r="I33" s="28" t="s">
        <v>161</v>
      </c>
      <c r="J33" s="23"/>
      <c r="K33" s="11"/>
      <c r="L33" s="1"/>
      <c r="M33" s="1"/>
      <c r="N33" s="1"/>
      <c r="O33" s="1"/>
    </row>
    <row r="34" spans="1:15" x14ac:dyDescent="0.2">
      <c r="A34" s="1"/>
      <c r="B34" s="24" t="s">
        <v>5</v>
      </c>
      <c r="C34" s="25" t="s">
        <v>135</v>
      </c>
      <c r="D34" s="25"/>
      <c r="E34" s="25"/>
      <c r="F34" s="26">
        <v>207.75083333333336</v>
      </c>
      <c r="G34" s="29" t="s">
        <v>126</v>
      </c>
      <c r="H34" s="28" t="s">
        <v>127</v>
      </c>
      <c r="I34" s="28" t="s">
        <v>161</v>
      </c>
      <c r="J34" s="23"/>
      <c r="K34" s="11"/>
      <c r="L34" s="1"/>
      <c r="M34" s="1"/>
      <c r="N34" s="1"/>
      <c r="O34" s="1"/>
    </row>
    <row r="35" spans="1:15" x14ac:dyDescent="0.2">
      <c r="A35" s="1"/>
      <c r="B35" s="24" t="s">
        <v>1</v>
      </c>
      <c r="C35" s="25" t="s">
        <v>2</v>
      </c>
      <c r="D35" s="25"/>
      <c r="E35" s="25"/>
      <c r="F35" s="26">
        <v>-5259.5150000000003</v>
      </c>
      <c r="G35" s="29" t="s">
        <v>126</v>
      </c>
      <c r="H35" s="28" t="s">
        <v>127</v>
      </c>
      <c r="I35" s="28" t="s">
        <v>161</v>
      </c>
      <c r="J35" s="23"/>
      <c r="K35" s="11"/>
      <c r="L35" s="1"/>
      <c r="M35" s="1"/>
      <c r="N35" s="1"/>
      <c r="O35" s="1"/>
    </row>
    <row r="36" spans="1:15" x14ac:dyDescent="0.2">
      <c r="A36" s="1"/>
      <c r="B36" s="1" t="s">
        <v>5</v>
      </c>
      <c r="C36" s="3" t="s">
        <v>4</v>
      </c>
      <c r="D36" s="3"/>
      <c r="E36" s="3"/>
      <c r="F36" s="20">
        <v>43749.13</v>
      </c>
      <c r="G36" s="30" t="s">
        <v>99</v>
      </c>
      <c r="H36" s="4"/>
      <c r="I36" s="4" t="s">
        <v>161</v>
      </c>
      <c r="J36" s="23"/>
      <c r="K36" s="11"/>
      <c r="L36" s="1"/>
      <c r="M36" s="1"/>
      <c r="N36" s="1"/>
      <c r="O36" s="1"/>
    </row>
    <row r="37" spans="1:15" x14ac:dyDescent="0.2">
      <c r="A37" s="1"/>
      <c r="B37" s="1" t="s">
        <v>1</v>
      </c>
      <c r="C37" s="3" t="s">
        <v>16</v>
      </c>
      <c r="D37" s="3"/>
      <c r="E37" s="3"/>
      <c r="F37" s="20">
        <v>-43749.13</v>
      </c>
      <c r="G37" s="30" t="s">
        <v>99</v>
      </c>
      <c r="H37" s="4"/>
      <c r="I37" s="4" t="s">
        <v>161</v>
      </c>
      <c r="J37" s="23"/>
      <c r="K37" s="11"/>
      <c r="L37" s="1"/>
      <c r="M37" s="1"/>
      <c r="N37" s="1"/>
      <c r="O37" s="1"/>
    </row>
    <row r="38" spans="1:15" x14ac:dyDescent="0.2">
      <c r="A38" s="1"/>
      <c r="B38" s="1" t="s">
        <v>5</v>
      </c>
      <c r="C38" s="3" t="s">
        <v>144</v>
      </c>
      <c r="D38" s="3"/>
      <c r="E38" s="3"/>
      <c r="F38" s="20">
        <v>4194.75</v>
      </c>
      <c r="G38" s="30" t="s">
        <v>143</v>
      </c>
      <c r="H38" s="4" t="s">
        <v>12</v>
      </c>
      <c r="I38" s="4" t="s">
        <v>161</v>
      </c>
      <c r="J38" s="23"/>
      <c r="K38" s="11"/>
      <c r="L38" s="1"/>
      <c r="M38" s="1"/>
      <c r="N38" s="1"/>
      <c r="O38" s="1"/>
    </row>
    <row r="39" spans="1:15" x14ac:dyDescent="0.2">
      <c r="A39" s="1"/>
      <c r="B39" s="1" t="s">
        <v>5</v>
      </c>
      <c r="C39" s="3" t="s">
        <v>142</v>
      </c>
      <c r="D39" s="3"/>
      <c r="E39" s="3"/>
      <c r="F39" s="20">
        <v>-4194.75</v>
      </c>
      <c r="G39" s="30" t="s">
        <v>143</v>
      </c>
      <c r="H39" s="4" t="s">
        <v>12</v>
      </c>
      <c r="I39" s="4" t="s">
        <v>161</v>
      </c>
      <c r="J39" s="23"/>
      <c r="K39" s="11"/>
      <c r="L39" s="1"/>
      <c r="M39" s="1"/>
      <c r="N39" s="1"/>
      <c r="O39" s="1"/>
    </row>
    <row r="40" spans="1:15" x14ac:dyDescent="0.2">
      <c r="A40" s="1"/>
      <c r="B40" s="1" t="s">
        <v>5</v>
      </c>
      <c r="C40" s="3" t="s">
        <v>145</v>
      </c>
      <c r="D40" s="3"/>
      <c r="E40" s="3"/>
      <c r="F40" s="20">
        <v>9691.67</v>
      </c>
      <c r="G40" s="30" t="s">
        <v>147</v>
      </c>
      <c r="H40" s="4" t="s">
        <v>148</v>
      </c>
      <c r="I40" s="4" t="s">
        <v>161</v>
      </c>
      <c r="J40" s="23"/>
      <c r="K40" s="11"/>
      <c r="L40" s="1"/>
      <c r="M40" s="1"/>
      <c r="N40" s="1"/>
      <c r="O40" s="1"/>
    </row>
    <row r="41" spans="1:15" x14ac:dyDescent="0.2">
      <c r="A41" s="1"/>
      <c r="B41" s="1" t="s">
        <v>5</v>
      </c>
      <c r="C41" s="3" t="s">
        <v>146</v>
      </c>
      <c r="D41" s="3"/>
      <c r="E41" s="3"/>
      <c r="F41" s="20">
        <v>-9691.67</v>
      </c>
      <c r="G41" s="30" t="s">
        <v>147</v>
      </c>
      <c r="H41" s="4" t="s">
        <v>148</v>
      </c>
      <c r="I41" s="4" t="s">
        <v>161</v>
      </c>
      <c r="J41" s="23"/>
      <c r="K41" s="11"/>
      <c r="L41" s="1"/>
      <c r="M41" s="1"/>
      <c r="N41" s="1"/>
      <c r="O41" s="1"/>
    </row>
    <row r="42" spans="1:15" x14ac:dyDescent="0.2">
      <c r="A42" s="1"/>
      <c r="B42" s="1" t="s">
        <v>5</v>
      </c>
      <c r="C42" s="3" t="s">
        <v>105</v>
      </c>
      <c r="D42" s="3"/>
      <c r="E42" s="3"/>
      <c r="F42" s="20">
        <v>8609.01</v>
      </c>
      <c r="G42" s="30" t="s">
        <v>103</v>
      </c>
      <c r="H42" s="4" t="s">
        <v>12</v>
      </c>
      <c r="I42" s="4" t="s">
        <v>161</v>
      </c>
      <c r="J42" s="23"/>
      <c r="K42" s="11"/>
      <c r="L42" s="1"/>
      <c r="M42" s="1"/>
      <c r="N42" s="1"/>
      <c r="O42" s="1"/>
    </row>
    <row r="43" spans="1:15" x14ac:dyDescent="0.2">
      <c r="A43" s="1"/>
      <c r="B43" s="1" t="s">
        <v>1</v>
      </c>
      <c r="C43" s="3" t="s">
        <v>106</v>
      </c>
      <c r="D43" s="3"/>
      <c r="E43" s="3"/>
      <c r="F43" s="20">
        <v>-8609.01</v>
      </c>
      <c r="G43" s="30" t="s">
        <v>103</v>
      </c>
      <c r="H43" s="4" t="s">
        <v>12</v>
      </c>
      <c r="I43" s="4" t="s">
        <v>161</v>
      </c>
      <c r="J43" s="23"/>
      <c r="K43" s="11"/>
      <c r="L43" s="1"/>
      <c r="M43" s="1"/>
      <c r="N43" s="1"/>
      <c r="O43" s="1"/>
    </row>
    <row r="44" spans="1:15" x14ac:dyDescent="0.2">
      <c r="A44" s="1"/>
      <c r="B44" s="1" t="s">
        <v>5</v>
      </c>
      <c r="C44" s="3" t="s">
        <v>39</v>
      </c>
      <c r="D44" s="3"/>
      <c r="E44" s="3"/>
      <c r="F44" s="20">
        <v>8431.4</v>
      </c>
      <c r="G44" s="30" t="s">
        <v>151</v>
      </c>
      <c r="H44" s="4" t="s">
        <v>152</v>
      </c>
      <c r="I44" s="4" t="s">
        <v>161</v>
      </c>
      <c r="J44" s="23"/>
      <c r="K44" s="11"/>
      <c r="L44" s="1"/>
      <c r="M44" s="1"/>
      <c r="N44" s="1"/>
      <c r="O44" s="1"/>
    </row>
    <row r="45" spans="1:15" x14ac:dyDescent="0.2">
      <c r="A45" s="1"/>
      <c r="B45" s="1" t="s">
        <v>5</v>
      </c>
      <c r="C45" s="3" t="s">
        <v>150</v>
      </c>
      <c r="D45" s="3"/>
      <c r="E45" s="3"/>
      <c r="F45" s="20">
        <v>-8431.4</v>
      </c>
      <c r="G45" s="30" t="s">
        <v>151</v>
      </c>
      <c r="H45" s="4" t="s">
        <v>152</v>
      </c>
      <c r="I45" s="4" t="s">
        <v>161</v>
      </c>
      <c r="J45" s="23"/>
      <c r="K45" s="11"/>
      <c r="L45" s="1"/>
      <c r="M45" s="1"/>
      <c r="N45" s="1"/>
      <c r="O45" s="1"/>
    </row>
    <row r="46" spans="1:15" x14ac:dyDescent="0.2">
      <c r="A46" s="1"/>
      <c r="B46" s="1"/>
      <c r="C46" s="3"/>
      <c r="D46" s="3"/>
      <c r="E46" s="3"/>
      <c r="F46" s="20"/>
      <c r="G46" s="30"/>
      <c r="H46" s="4"/>
      <c r="I46" s="4"/>
      <c r="J46" s="11"/>
      <c r="K46" s="11"/>
      <c r="L46" s="1"/>
      <c r="M46" s="1"/>
      <c r="N46" s="1"/>
      <c r="O46" s="1"/>
    </row>
    <row r="47" spans="1:15" x14ac:dyDescent="0.2">
      <c r="A47" s="1"/>
      <c r="B47" s="1"/>
      <c r="C47" s="12"/>
      <c r="D47" s="12"/>
      <c r="E47" s="12"/>
      <c r="F47" s="5"/>
      <c r="G47" s="13"/>
      <c r="H47" s="4"/>
      <c r="I47" s="4"/>
      <c r="J47" s="7"/>
      <c r="K47" s="11"/>
      <c r="L47" s="1"/>
      <c r="M47" s="1"/>
      <c r="N47" s="1"/>
      <c r="O47" s="1"/>
    </row>
    <row r="48" spans="1:15" ht="15" thickBot="1" x14ac:dyDescent="0.25">
      <c r="A48" s="1"/>
      <c r="B48" s="1"/>
      <c r="C48" s="3" t="s">
        <v>15</v>
      </c>
      <c r="D48" s="3"/>
      <c r="E48" s="3"/>
      <c r="F48" s="21">
        <f>SUMIF(F9:F47,"&lt;0",F9:F47)</f>
        <v>-96862.081666666651</v>
      </c>
      <c r="G48" s="13" t="s">
        <v>13</v>
      </c>
      <c r="H48" s="4"/>
      <c r="I48" s="4"/>
      <c r="J48" s="7"/>
      <c r="K48" s="11"/>
      <c r="L48" s="1"/>
      <c r="M48" s="1"/>
      <c r="N48" s="1"/>
      <c r="O48" s="1"/>
    </row>
    <row r="49" spans="1:15" ht="15" thickTop="1" x14ac:dyDescent="0.2">
      <c r="A49" s="1"/>
      <c r="B49" s="1"/>
      <c r="C49" s="3"/>
      <c r="D49" s="3"/>
      <c r="E49" s="3"/>
      <c r="F49" s="5"/>
      <c r="G49" s="10"/>
      <c r="H49" s="4"/>
      <c r="I49" s="4"/>
      <c r="J49" s="7"/>
      <c r="K49" s="11"/>
      <c r="L49" s="1"/>
      <c r="M49" s="1"/>
      <c r="N49" s="1"/>
      <c r="O49" s="1"/>
    </row>
    <row r="50" spans="1:15" x14ac:dyDescent="0.2">
      <c r="K50" s="11"/>
      <c r="L50" s="1"/>
      <c r="M50" s="1"/>
      <c r="N50" s="1"/>
      <c r="O50" s="1"/>
    </row>
    <row r="51" spans="1:15" x14ac:dyDescent="0.2">
      <c r="K51" s="11"/>
      <c r="L51" s="1"/>
      <c r="M51" s="1"/>
      <c r="N51" s="1"/>
      <c r="O51" s="1"/>
    </row>
    <row r="52" spans="1:15" x14ac:dyDescent="0.2">
      <c r="K52" s="11"/>
      <c r="L52" s="1"/>
      <c r="M52" s="1"/>
      <c r="N52" s="1"/>
      <c r="O52" s="1"/>
    </row>
    <row r="53" spans="1:15" x14ac:dyDescent="0.2">
      <c r="B53" s="4" t="s">
        <v>5</v>
      </c>
      <c r="C53" s="3" t="s">
        <v>7</v>
      </c>
      <c r="D53" s="3"/>
      <c r="E53" s="3"/>
      <c r="F53" s="20">
        <v>7143.75</v>
      </c>
      <c r="G53" s="10" t="s">
        <v>26</v>
      </c>
      <c r="H53" s="4" t="s">
        <v>17</v>
      </c>
      <c r="I53" s="4" t="s">
        <v>161</v>
      </c>
      <c r="K53" s="11"/>
      <c r="L53" s="1"/>
      <c r="M53" s="1"/>
      <c r="N53" s="1"/>
      <c r="O53" s="1"/>
    </row>
    <row r="54" spans="1:15" x14ac:dyDescent="0.2">
      <c r="B54" s="4" t="s">
        <v>5</v>
      </c>
      <c r="C54" s="3" t="s">
        <v>6</v>
      </c>
      <c r="D54" s="3"/>
      <c r="E54" s="3"/>
      <c r="F54" s="20">
        <v>-7143.75</v>
      </c>
      <c r="G54" s="10" t="s">
        <v>26</v>
      </c>
      <c r="H54" s="4" t="s">
        <v>17</v>
      </c>
      <c r="I54" s="4" t="s">
        <v>161</v>
      </c>
      <c r="K54" s="11"/>
      <c r="L54" s="1"/>
      <c r="M54" s="1"/>
      <c r="N54" s="1"/>
      <c r="O54" s="1"/>
    </row>
    <row r="55" spans="1:15" x14ac:dyDescent="0.2">
      <c r="B55" s="4" t="s">
        <v>5</v>
      </c>
      <c r="C55" s="3" t="s">
        <v>62</v>
      </c>
      <c r="D55" s="3"/>
      <c r="E55" s="3"/>
      <c r="F55" s="20">
        <v>949.17</v>
      </c>
      <c r="G55" s="10" t="s">
        <v>67</v>
      </c>
      <c r="H55" s="4" t="s">
        <v>12</v>
      </c>
      <c r="I55" s="4" t="s">
        <v>161</v>
      </c>
    </row>
    <row r="56" spans="1:15" x14ac:dyDescent="0.2">
      <c r="B56" s="4" t="s">
        <v>5</v>
      </c>
      <c r="C56" s="3" t="s">
        <v>6</v>
      </c>
      <c r="D56" s="3"/>
      <c r="E56" s="3"/>
      <c r="F56" s="20">
        <v>-949.17</v>
      </c>
      <c r="G56" s="10" t="s">
        <v>67</v>
      </c>
      <c r="H56" s="4" t="s">
        <v>12</v>
      </c>
      <c r="I56" s="4" t="s">
        <v>161</v>
      </c>
    </row>
    <row r="57" spans="1:15" x14ac:dyDescent="0.2">
      <c r="B57" s="4" t="s">
        <v>5</v>
      </c>
      <c r="C57" s="3" t="s">
        <v>62</v>
      </c>
      <c r="D57" s="3"/>
      <c r="E57" s="3"/>
      <c r="F57" s="20">
        <v>1100</v>
      </c>
      <c r="G57" s="10" t="s">
        <v>81</v>
      </c>
      <c r="H57" s="4" t="s">
        <v>86</v>
      </c>
      <c r="I57" s="4" t="s">
        <v>161</v>
      </c>
    </row>
    <row r="58" spans="1:15" x14ac:dyDescent="0.2">
      <c r="B58" s="4" t="s">
        <v>5</v>
      </c>
      <c r="C58" s="3" t="s">
        <v>6</v>
      </c>
      <c r="D58" s="3"/>
      <c r="E58" s="3"/>
      <c r="F58" s="20">
        <v>-1100</v>
      </c>
      <c r="G58" s="10" t="s">
        <v>81</v>
      </c>
      <c r="H58" s="4" t="s">
        <v>86</v>
      </c>
      <c r="I58" s="4" t="s">
        <v>161</v>
      </c>
    </row>
    <row r="59" spans="1:15" x14ac:dyDescent="0.2">
      <c r="B59" s="4" t="s">
        <v>5</v>
      </c>
      <c r="C59" s="3" t="s">
        <v>62</v>
      </c>
      <c r="D59" s="3"/>
      <c r="E59" s="3"/>
      <c r="F59" s="20">
        <v>473.11</v>
      </c>
      <c r="G59" s="10" t="s">
        <v>85</v>
      </c>
      <c r="H59" s="4" t="s">
        <v>86</v>
      </c>
      <c r="I59" s="4" t="s">
        <v>161</v>
      </c>
    </row>
    <row r="60" spans="1:15" x14ac:dyDescent="0.2">
      <c r="B60" s="4" t="s">
        <v>5</v>
      </c>
      <c r="C60" s="3" t="s">
        <v>6</v>
      </c>
      <c r="D60" s="3"/>
      <c r="E60" s="3"/>
      <c r="F60" s="20">
        <v>-473.11</v>
      </c>
      <c r="G60" s="10" t="s">
        <v>85</v>
      </c>
      <c r="H60" s="4" t="s">
        <v>86</v>
      </c>
      <c r="I60" s="4" t="s">
        <v>161</v>
      </c>
    </row>
    <row r="61" spans="1:15" x14ac:dyDescent="0.2">
      <c r="B61" s="4" t="s">
        <v>5</v>
      </c>
      <c r="C61" s="3" t="s">
        <v>62</v>
      </c>
      <c r="D61" s="3"/>
      <c r="E61" s="3"/>
      <c r="F61" s="20">
        <v>3202.58</v>
      </c>
      <c r="G61" s="10" t="s">
        <v>88</v>
      </c>
      <c r="H61" s="4" t="s">
        <v>12</v>
      </c>
      <c r="I61" s="4" t="s">
        <v>161</v>
      </c>
    </row>
    <row r="62" spans="1:15" x14ac:dyDescent="0.2">
      <c r="B62" s="4" t="s">
        <v>5</v>
      </c>
      <c r="C62" s="3" t="s">
        <v>6</v>
      </c>
      <c r="D62" s="3"/>
      <c r="E62" s="3"/>
      <c r="F62" s="20">
        <v>-3202.58</v>
      </c>
      <c r="G62" s="10" t="s">
        <v>88</v>
      </c>
      <c r="H62" s="4" t="s">
        <v>12</v>
      </c>
      <c r="I62" s="4" t="s">
        <v>161</v>
      </c>
    </row>
    <row r="63" spans="1:15" x14ac:dyDescent="0.2">
      <c r="B63" s="4" t="s">
        <v>5</v>
      </c>
      <c r="C63" s="3" t="s">
        <v>62</v>
      </c>
      <c r="D63" s="3"/>
      <c r="E63" s="3"/>
      <c r="F63" s="20">
        <v>2112.02</v>
      </c>
      <c r="G63" s="10" t="s">
        <v>107</v>
      </c>
      <c r="H63" s="4" t="s">
        <v>12</v>
      </c>
      <c r="I63" s="4" t="s">
        <v>161</v>
      </c>
    </row>
    <row r="64" spans="1:15" x14ac:dyDescent="0.2">
      <c r="B64" s="4" t="s">
        <v>5</v>
      </c>
      <c r="C64" s="3" t="s">
        <v>6</v>
      </c>
      <c r="D64" s="3"/>
      <c r="E64" s="3"/>
      <c r="F64" s="20">
        <v>-2112.02</v>
      </c>
      <c r="G64" s="10" t="s">
        <v>107</v>
      </c>
      <c r="H64" s="4" t="s">
        <v>12</v>
      </c>
      <c r="I64" s="4" t="s">
        <v>161</v>
      </c>
    </row>
    <row r="65" spans="2:9" x14ac:dyDescent="0.2">
      <c r="B65" s="4" t="s">
        <v>5</v>
      </c>
      <c r="C65" s="3" t="s">
        <v>62</v>
      </c>
      <c r="D65" s="3"/>
      <c r="E65" s="3"/>
      <c r="F65" s="20">
        <v>1976.42</v>
      </c>
      <c r="G65" s="10" t="s">
        <v>108</v>
      </c>
      <c r="H65" s="4" t="s">
        <v>12</v>
      </c>
      <c r="I65" s="4" t="s">
        <v>161</v>
      </c>
    </row>
    <row r="66" spans="2:9" x14ac:dyDescent="0.2">
      <c r="B66" s="4" t="s">
        <v>5</v>
      </c>
      <c r="C66" s="3" t="s">
        <v>6</v>
      </c>
      <c r="D66" s="3"/>
      <c r="E66" s="3"/>
      <c r="F66" s="20">
        <v>-1976.42</v>
      </c>
      <c r="G66" s="10" t="s">
        <v>108</v>
      </c>
      <c r="H66" s="4" t="s">
        <v>12</v>
      </c>
      <c r="I66" s="4" t="s">
        <v>161</v>
      </c>
    </row>
    <row r="67" spans="2:9" x14ac:dyDescent="0.2">
      <c r="B67" s="4" t="s">
        <v>5</v>
      </c>
      <c r="C67" s="3" t="s">
        <v>62</v>
      </c>
      <c r="D67" s="3"/>
      <c r="E67" s="3"/>
      <c r="F67" s="20">
        <v>1530.58</v>
      </c>
      <c r="G67" s="41" t="s">
        <v>110</v>
      </c>
      <c r="H67" s="4" t="s">
        <v>12</v>
      </c>
      <c r="I67" s="4" t="s">
        <v>161</v>
      </c>
    </row>
    <row r="68" spans="2:9" x14ac:dyDescent="0.2">
      <c r="B68" s="4" t="s">
        <v>5</v>
      </c>
      <c r="C68" s="3" t="s">
        <v>6</v>
      </c>
      <c r="D68" s="3"/>
      <c r="E68" s="3"/>
      <c r="F68" s="20">
        <v>-1530.58</v>
      </c>
      <c r="G68" s="41" t="s">
        <v>110</v>
      </c>
      <c r="H68" s="4" t="s">
        <v>12</v>
      </c>
      <c r="I68" s="4" t="s">
        <v>161</v>
      </c>
    </row>
    <row r="69" spans="2:9" x14ac:dyDescent="0.2">
      <c r="B69" s="4" t="s">
        <v>5</v>
      </c>
      <c r="C69" s="3" t="s">
        <v>62</v>
      </c>
      <c r="D69" s="3"/>
      <c r="E69" s="3"/>
      <c r="F69" s="20">
        <v>732</v>
      </c>
      <c r="G69" s="41" t="s">
        <v>111</v>
      </c>
      <c r="H69" s="4" t="s">
        <v>12</v>
      </c>
      <c r="I69" s="4" t="s">
        <v>161</v>
      </c>
    </row>
    <row r="70" spans="2:9" x14ac:dyDescent="0.2">
      <c r="B70" s="4" t="s">
        <v>5</v>
      </c>
      <c r="C70" s="3" t="s">
        <v>6</v>
      </c>
      <c r="D70" s="3"/>
      <c r="E70" s="3"/>
      <c r="F70" s="20">
        <v>-732</v>
      </c>
      <c r="G70" s="41" t="s">
        <v>111</v>
      </c>
      <c r="H70" s="4" t="s">
        <v>12</v>
      </c>
      <c r="I70" s="4" t="s">
        <v>161</v>
      </c>
    </row>
    <row r="71" spans="2:9" x14ac:dyDescent="0.2">
      <c r="B71" s="4" t="s">
        <v>5</v>
      </c>
      <c r="C71" s="3" t="s">
        <v>62</v>
      </c>
      <c r="D71" s="3"/>
      <c r="E71" s="3"/>
      <c r="F71" s="20">
        <v>2646.25</v>
      </c>
      <c r="G71" s="41" t="s">
        <v>113</v>
      </c>
      <c r="H71" s="4" t="s">
        <v>12</v>
      </c>
      <c r="I71" s="4" t="s">
        <v>161</v>
      </c>
    </row>
    <row r="72" spans="2:9" x14ac:dyDescent="0.2">
      <c r="B72" s="4" t="s">
        <v>5</v>
      </c>
      <c r="C72" s="3" t="s">
        <v>6</v>
      </c>
      <c r="D72" s="3"/>
      <c r="E72" s="3"/>
      <c r="F72" s="20">
        <v>-2646.25</v>
      </c>
      <c r="G72" s="41" t="s">
        <v>113</v>
      </c>
      <c r="H72" s="4" t="s">
        <v>12</v>
      </c>
      <c r="I72" s="4" t="s">
        <v>161</v>
      </c>
    </row>
    <row r="73" spans="2:9" x14ac:dyDescent="0.2">
      <c r="B73" s="4" t="s">
        <v>5</v>
      </c>
      <c r="C73" s="3" t="s">
        <v>62</v>
      </c>
      <c r="D73" s="3"/>
      <c r="E73" s="3"/>
      <c r="F73" s="20">
        <v>3794.42</v>
      </c>
      <c r="G73" s="41" t="s">
        <v>114</v>
      </c>
      <c r="H73" s="4" t="s">
        <v>12</v>
      </c>
      <c r="I73" s="4" t="s">
        <v>161</v>
      </c>
    </row>
    <row r="74" spans="2:9" x14ac:dyDescent="0.2">
      <c r="B74" s="4" t="s">
        <v>5</v>
      </c>
      <c r="C74" s="3" t="s">
        <v>6</v>
      </c>
      <c r="D74" s="3"/>
      <c r="E74" s="3"/>
      <c r="F74" s="20">
        <v>-3794.42</v>
      </c>
      <c r="G74" s="41" t="s">
        <v>114</v>
      </c>
      <c r="H74" s="4" t="s">
        <v>12</v>
      </c>
      <c r="I74" s="4" t="s">
        <v>161</v>
      </c>
    </row>
    <row r="75" spans="2:9" x14ac:dyDescent="0.2">
      <c r="B75" s="4" t="s">
        <v>5</v>
      </c>
      <c r="C75" s="3" t="s">
        <v>62</v>
      </c>
      <c r="D75" s="3"/>
      <c r="E75" s="3"/>
      <c r="F75" s="20">
        <v>843.14</v>
      </c>
      <c r="G75" s="41" t="s">
        <v>123</v>
      </c>
      <c r="H75" s="4" t="s">
        <v>12</v>
      </c>
      <c r="I75" s="4" t="s">
        <v>161</v>
      </c>
    </row>
    <row r="76" spans="2:9" x14ac:dyDescent="0.2">
      <c r="B76" s="4" t="s">
        <v>5</v>
      </c>
      <c r="C76" s="3" t="s">
        <v>6</v>
      </c>
      <c r="D76" s="3"/>
      <c r="E76" s="3"/>
      <c r="F76" s="20">
        <v>-843.14</v>
      </c>
      <c r="G76" s="41" t="s">
        <v>123</v>
      </c>
      <c r="H76" s="4" t="s">
        <v>12</v>
      </c>
      <c r="I76" s="4" t="s">
        <v>161</v>
      </c>
    </row>
    <row r="77" spans="2:9" x14ac:dyDescent="0.2">
      <c r="B77" s="16" t="s">
        <v>5</v>
      </c>
      <c r="C77" s="17" t="s">
        <v>62</v>
      </c>
      <c r="D77" s="17"/>
      <c r="E77" s="17"/>
      <c r="F77" s="22">
        <v>32945.33</v>
      </c>
      <c r="G77" s="43" t="s">
        <v>159</v>
      </c>
      <c r="H77" s="16" t="s">
        <v>12</v>
      </c>
      <c r="I77" s="16" t="s">
        <v>161</v>
      </c>
    </row>
    <row r="78" spans="2:9" x14ac:dyDescent="0.2">
      <c r="B78" s="16" t="s">
        <v>5</v>
      </c>
      <c r="C78" s="17" t="s">
        <v>6</v>
      </c>
      <c r="D78" s="17"/>
      <c r="E78" s="17"/>
      <c r="F78" s="22">
        <v>-32945.33</v>
      </c>
      <c r="G78" s="43" t="s">
        <v>159</v>
      </c>
      <c r="H78" s="16" t="s">
        <v>12</v>
      </c>
      <c r="I78" s="16" t="s">
        <v>161</v>
      </c>
    </row>
    <row r="79" spans="2:9" x14ac:dyDescent="0.2">
      <c r="B79" s="16" t="s">
        <v>5</v>
      </c>
      <c r="C79" s="17" t="s">
        <v>62</v>
      </c>
      <c r="D79" s="17"/>
      <c r="E79" s="17"/>
      <c r="F79" s="22">
        <v>973.55</v>
      </c>
      <c r="G79" s="43" t="s">
        <v>160</v>
      </c>
      <c r="H79" s="16" t="s">
        <v>12</v>
      </c>
      <c r="I79" s="16" t="s">
        <v>161</v>
      </c>
    </row>
    <row r="80" spans="2:9" x14ac:dyDescent="0.2">
      <c r="B80" s="16" t="s">
        <v>5</v>
      </c>
      <c r="C80" s="17" t="s">
        <v>6</v>
      </c>
      <c r="D80" s="17"/>
      <c r="E80" s="17"/>
      <c r="F80" s="22">
        <v>-973.55</v>
      </c>
      <c r="G80" s="43" t="s">
        <v>160</v>
      </c>
      <c r="H80" s="16" t="s">
        <v>12</v>
      </c>
      <c r="I80" s="16" t="s">
        <v>161</v>
      </c>
    </row>
    <row r="81" spans="2:9" x14ac:dyDescent="0.2">
      <c r="B81" s="16" t="s">
        <v>5</v>
      </c>
      <c r="C81" s="17" t="s">
        <v>62</v>
      </c>
      <c r="D81" s="17"/>
      <c r="E81" s="17"/>
      <c r="F81" s="22">
        <v>32945.33</v>
      </c>
      <c r="G81" s="43" t="s">
        <v>159</v>
      </c>
      <c r="H81" s="16" t="s">
        <v>12</v>
      </c>
      <c r="I81" s="16" t="s">
        <v>149</v>
      </c>
    </row>
    <row r="82" spans="2:9" x14ac:dyDescent="0.2">
      <c r="B82" s="16" t="s">
        <v>5</v>
      </c>
      <c r="C82" s="17" t="s">
        <v>6</v>
      </c>
      <c r="D82" s="17"/>
      <c r="E82" s="17"/>
      <c r="F82" s="22">
        <v>-32945.33</v>
      </c>
      <c r="G82" s="43" t="s">
        <v>159</v>
      </c>
      <c r="H82" s="16" t="s">
        <v>12</v>
      </c>
      <c r="I82" s="16" t="s">
        <v>149</v>
      </c>
    </row>
    <row r="83" spans="2:9" x14ac:dyDescent="0.2">
      <c r="B83" s="16" t="s">
        <v>5</v>
      </c>
      <c r="C83" s="17" t="s">
        <v>62</v>
      </c>
      <c r="D83" s="17"/>
      <c r="E83" s="17"/>
      <c r="F83" s="22">
        <v>973.55</v>
      </c>
      <c r="G83" s="43" t="s">
        <v>160</v>
      </c>
      <c r="H83" s="16" t="s">
        <v>12</v>
      </c>
      <c r="I83" s="16" t="s">
        <v>149</v>
      </c>
    </row>
    <row r="84" spans="2:9" x14ac:dyDescent="0.2">
      <c r="B84" s="16" t="s">
        <v>5</v>
      </c>
      <c r="C84" s="17" t="s">
        <v>6</v>
      </c>
      <c r="D84" s="17"/>
      <c r="E84" s="17"/>
      <c r="F84" s="22">
        <v>-973.55</v>
      </c>
      <c r="G84" s="43" t="s">
        <v>160</v>
      </c>
      <c r="H84" s="16" t="s">
        <v>12</v>
      </c>
      <c r="I84" s="16" t="s">
        <v>149</v>
      </c>
    </row>
    <row r="85" spans="2:9" ht="13.5" customHeight="1" x14ac:dyDescent="0.2"/>
    <row r="88" spans="2:9" ht="15" thickBot="1" x14ac:dyDescent="0.25">
      <c r="C88" t="s">
        <v>14</v>
      </c>
      <c r="F88" s="21">
        <f>SUMIF(F53:F87,"&lt;0",F53:F87)</f>
        <v>-94341.200000000012</v>
      </c>
      <c r="G88" t="s">
        <v>13</v>
      </c>
    </row>
    <row r="89" spans="2:9" ht="15" thickTop="1" x14ac:dyDescent="0.2"/>
  </sheetData>
  <autoFilter ref="A6:O6" xr:uid="{C72EA621-673A-4200-BC3A-FC9120173B40}"/>
  <mergeCells count="1">
    <mergeCell ref="J7:J8"/>
  </mergeCells>
  <hyperlinks>
    <hyperlink ref="F1" r:id="rId1" xr:uid="{7EFDDC83-A515-400B-A065-CAC3346D74F1}"/>
  </hyperlinks>
  <pageMargins left="0.7" right="0.7" top="0.75" bottom="0.75" header="0.3" footer="0.3"/>
  <pageSetup paperSize="9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D801-CD11-4CB8-9853-7B9BFE8FC3DC}">
  <sheetPr>
    <tabColor theme="5" tint="0.59999389629810485"/>
  </sheetPr>
  <dimension ref="A1:O85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45" t="s">
        <v>5</v>
      </c>
      <c r="C7" s="46" t="s">
        <v>139</v>
      </c>
      <c r="D7" s="46"/>
      <c r="E7" s="46"/>
      <c r="F7" s="47">
        <v>-48839.57</v>
      </c>
      <c r="G7" s="48" t="s">
        <v>140</v>
      </c>
      <c r="H7" s="49" t="s">
        <v>141</v>
      </c>
      <c r="I7" s="49" t="s">
        <v>153</v>
      </c>
      <c r="J7" s="92" t="s">
        <v>158</v>
      </c>
      <c r="K7" s="11"/>
      <c r="L7" s="1"/>
      <c r="M7" s="1"/>
      <c r="N7" s="1"/>
      <c r="O7" s="1"/>
    </row>
    <row r="8" spans="1:15" x14ac:dyDescent="0.2">
      <c r="A8" s="1"/>
      <c r="B8" s="45" t="s">
        <v>1</v>
      </c>
      <c r="C8" s="46" t="s">
        <v>2</v>
      </c>
      <c r="D8" s="46"/>
      <c r="E8" s="46"/>
      <c r="F8" s="47">
        <v>48839.57</v>
      </c>
      <c r="G8" s="48" t="s">
        <v>140</v>
      </c>
      <c r="H8" s="49" t="s">
        <v>141</v>
      </c>
      <c r="I8" s="49" t="s">
        <v>153</v>
      </c>
      <c r="J8" s="92"/>
      <c r="K8" s="11"/>
      <c r="L8" s="1"/>
      <c r="M8" s="1"/>
      <c r="N8" s="1"/>
      <c r="O8" s="1"/>
    </row>
    <row r="9" spans="1:15" x14ac:dyDescent="0.2">
      <c r="A9" s="1"/>
      <c r="B9" s="19" t="s">
        <v>5</v>
      </c>
      <c r="C9" s="17" t="s">
        <v>136</v>
      </c>
      <c r="D9" s="17"/>
      <c r="E9" s="17"/>
      <c r="F9" s="22">
        <v>225</v>
      </c>
      <c r="G9" s="31" t="s">
        <v>137</v>
      </c>
      <c r="H9" s="16" t="s">
        <v>138</v>
      </c>
      <c r="I9" s="16" t="s">
        <v>149</v>
      </c>
      <c r="J9" s="23"/>
      <c r="K9" s="11"/>
      <c r="L9" s="1"/>
      <c r="M9" s="1"/>
      <c r="N9" s="1"/>
      <c r="O9" s="1"/>
    </row>
    <row r="10" spans="1:15" x14ac:dyDescent="0.2">
      <c r="A10" s="1"/>
      <c r="B10" s="19" t="s">
        <v>1</v>
      </c>
      <c r="C10" s="17" t="s">
        <v>2</v>
      </c>
      <c r="D10" s="17"/>
      <c r="E10" s="17"/>
      <c r="F10" s="22">
        <v>-225</v>
      </c>
      <c r="G10" s="31" t="s">
        <v>137</v>
      </c>
      <c r="H10" s="16" t="s">
        <v>138</v>
      </c>
      <c r="I10" s="16" t="s">
        <v>149</v>
      </c>
      <c r="J10" s="23"/>
      <c r="K10" s="11"/>
      <c r="L10" s="1"/>
      <c r="M10" s="1"/>
      <c r="N10" s="1"/>
      <c r="O10" s="1"/>
    </row>
    <row r="11" spans="1:15" x14ac:dyDescent="0.2">
      <c r="A11" s="1"/>
      <c r="B11" s="1" t="s">
        <v>34</v>
      </c>
      <c r="C11" s="3" t="s">
        <v>35</v>
      </c>
      <c r="D11" s="3" t="s">
        <v>36</v>
      </c>
      <c r="E11" s="3" t="s">
        <v>37</v>
      </c>
      <c r="F11" s="20">
        <v>372</v>
      </c>
      <c r="G11" s="10" t="s">
        <v>38</v>
      </c>
      <c r="H11" s="4" t="s">
        <v>12</v>
      </c>
      <c r="I11" s="4" t="s">
        <v>149</v>
      </c>
      <c r="J11" s="11"/>
      <c r="K11" s="11"/>
      <c r="L11" s="1"/>
      <c r="M11" s="1"/>
      <c r="N11" s="1"/>
      <c r="O11" s="1"/>
    </row>
    <row r="12" spans="1:15" x14ac:dyDescent="0.2">
      <c r="A12" s="1"/>
      <c r="B12" s="1" t="s">
        <v>1</v>
      </c>
      <c r="C12" s="3" t="s">
        <v>2</v>
      </c>
      <c r="D12" s="3"/>
      <c r="E12" s="3"/>
      <c r="F12" s="20">
        <v>-372</v>
      </c>
      <c r="G12" s="10" t="s">
        <v>38</v>
      </c>
      <c r="H12" s="4" t="s">
        <v>12</v>
      </c>
      <c r="I12" s="4" t="s">
        <v>149</v>
      </c>
      <c r="J12" s="11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11</v>
      </c>
      <c r="D13" s="3"/>
      <c r="E13" s="3"/>
      <c r="F13" s="20">
        <v>5750</v>
      </c>
      <c r="G13" s="30" t="s">
        <v>66</v>
      </c>
      <c r="H13" s="4" t="s">
        <v>12</v>
      </c>
      <c r="I13" s="4" t="s">
        <v>149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-5750</v>
      </c>
      <c r="G14" s="30" t="s">
        <v>66</v>
      </c>
      <c r="H14" s="4" t="s">
        <v>12</v>
      </c>
      <c r="I14" s="4" t="s">
        <v>149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5</v>
      </c>
      <c r="C15" s="3" t="s">
        <v>70</v>
      </c>
      <c r="D15" s="3"/>
      <c r="E15" s="3"/>
      <c r="F15" s="20">
        <v>19206.060000000001</v>
      </c>
      <c r="G15" s="30" t="s">
        <v>72</v>
      </c>
      <c r="H15" s="4" t="s">
        <v>12</v>
      </c>
      <c r="I15" s="4" t="s">
        <v>149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-19206.060000000001</v>
      </c>
      <c r="G16" s="30" t="s">
        <v>72</v>
      </c>
      <c r="H16" s="4" t="s">
        <v>12</v>
      </c>
      <c r="I16" s="4" t="s">
        <v>149</v>
      </c>
      <c r="J16" s="11"/>
      <c r="K16" s="11"/>
      <c r="L16" s="1"/>
      <c r="M16" s="1"/>
      <c r="N16" s="1"/>
      <c r="O16" s="1"/>
    </row>
    <row r="17" spans="1:15" x14ac:dyDescent="0.2">
      <c r="A17" s="1"/>
      <c r="B17" s="24" t="s">
        <v>5</v>
      </c>
      <c r="C17" s="25" t="s">
        <v>89</v>
      </c>
      <c r="D17" s="25"/>
      <c r="E17" s="25"/>
      <c r="F17" s="26">
        <v>479.74621212121201</v>
      </c>
      <c r="G17" s="29" t="s">
        <v>94</v>
      </c>
      <c r="H17" s="28" t="s">
        <v>12</v>
      </c>
      <c r="I17" s="28" t="s">
        <v>149</v>
      </c>
      <c r="J17" s="23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90</v>
      </c>
      <c r="D18" s="25"/>
      <c r="E18" s="25"/>
      <c r="F18" s="26">
        <v>479.74318181818199</v>
      </c>
      <c r="G18" s="29" t="s">
        <v>94</v>
      </c>
      <c r="H18" s="28" t="s">
        <v>12</v>
      </c>
      <c r="I18" s="28" t="s">
        <v>149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91</v>
      </c>
      <c r="D19" s="25"/>
      <c r="E19" s="25"/>
      <c r="F19" s="26">
        <v>479.74318181818199</v>
      </c>
      <c r="G19" s="29" t="s">
        <v>94</v>
      </c>
      <c r="H19" s="28" t="s">
        <v>12</v>
      </c>
      <c r="I19" s="28" t="s">
        <v>149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92</v>
      </c>
      <c r="D20" s="25"/>
      <c r="E20" s="25"/>
      <c r="F20" s="26">
        <v>479.74318181818199</v>
      </c>
      <c r="G20" s="29" t="s">
        <v>94</v>
      </c>
      <c r="H20" s="28" t="s">
        <v>12</v>
      </c>
      <c r="I20" s="28" t="s">
        <v>149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1</v>
      </c>
      <c r="C21" s="25" t="s">
        <v>2</v>
      </c>
      <c r="D21" s="25"/>
      <c r="E21" s="25"/>
      <c r="F21" s="26">
        <v>-1918.97</v>
      </c>
      <c r="G21" s="29" t="s">
        <v>94</v>
      </c>
      <c r="H21" s="28" t="s">
        <v>12</v>
      </c>
      <c r="I21" s="28" t="s">
        <v>149</v>
      </c>
      <c r="J21" s="23"/>
      <c r="K21" s="11"/>
      <c r="L21" s="1"/>
      <c r="M21" s="1"/>
      <c r="N21" s="1"/>
      <c r="O21" s="1"/>
    </row>
    <row r="22" spans="1:15" x14ac:dyDescent="0.2">
      <c r="A22" s="1"/>
      <c r="B22" s="1" t="s">
        <v>5</v>
      </c>
      <c r="C22" s="3" t="s">
        <v>118</v>
      </c>
      <c r="D22" s="3"/>
      <c r="E22" s="3"/>
      <c r="F22" s="20">
        <v>6446.83</v>
      </c>
      <c r="G22" s="42" t="s">
        <v>116</v>
      </c>
      <c r="H22" s="4"/>
      <c r="I22" s="4" t="s">
        <v>149</v>
      </c>
      <c r="J22" s="23"/>
      <c r="K22" s="11"/>
      <c r="L22" s="1"/>
      <c r="M22" s="1"/>
      <c r="N22" s="1"/>
      <c r="O22" s="1"/>
    </row>
    <row r="23" spans="1:15" x14ac:dyDescent="0.2">
      <c r="A23" s="1"/>
      <c r="B23" s="1" t="s">
        <v>1</v>
      </c>
      <c r="C23" s="3" t="s">
        <v>2</v>
      </c>
      <c r="D23" s="3"/>
      <c r="E23" s="3"/>
      <c r="F23" s="20">
        <v>-6446.83</v>
      </c>
      <c r="G23" s="42" t="s">
        <v>116</v>
      </c>
      <c r="H23" s="4"/>
      <c r="I23" s="4" t="s">
        <v>149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5</v>
      </c>
      <c r="C24" s="3" t="s">
        <v>10</v>
      </c>
      <c r="D24" s="3"/>
      <c r="E24" s="3"/>
      <c r="F24" s="20">
        <v>509.17</v>
      </c>
      <c r="G24" s="42" t="s">
        <v>117</v>
      </c>
      <c r="H24" s="4"/>
      <c r="I24" s="4" t="s">
        <v>149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1</v>
      </c>
      <c r="C25" s="3" t="s">
        <v>2</v>
      </c>
      <c r="D25" s="3"/>
      <c r="E25" s="3"/>
      <c r="F25" s="20">
        <v>-509.17</v>
      </c>
      <c r="G25" s="42" t="s">
        <v>117</v>
      </c>
      <c r="H25" s="4"/>
      <c r="I25" s="4" t="s">
        <v>149</v>
      </c>
      <c r="J25" s="23"/>
      <c r="K25" s="11"/>
      <c r="L25" s="1"/>
      <c r="M25" s="1"/>
      <c r="N25" s="1"/>
      <c r="O25" s="1"/>
    </row>
    <row r="26" spans="1:15" x14ac:dyDescent="0.2">
      <c r="A26" s="1"/>
      <c r="B26" s="1" t="s">
        <v>5</v>
      </c>
      <c r="C26" s="3" t="s">
        <v>4</v>
      </c>
      <c r="D26" s="3"/>
      <c r="E26" s="3"/>
      <c r="F26" s="20">
        <v>43749.13</v>
      </c>
      <c r="G26" s="30" t="s">
        <v>99</v>
      </c>
      <c r="H26" s="4"/>
      <c r="I26" s="4" t="s">
        <v>149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1</v>
      </c>
      <c r="C27" s="3" t="s">
        <v>16</v>
      </c>
      <c r="D27" s="3"/>
      <c r="E27" s="3"/>
      <c r="F27" s="20">
        <v>-43749.13</v>
      </c>
      <c r="G27" s="30" t="s">
        <v>99</v>
      </c>
      <c r="H27" s="4"/>
      <c r="I27" s="4" t="s">
        <v>149</v>
      </c>
      <c r="J27" s="23"/>
      <c r="K27" s="11"/>
      <c r="L27" s="1"/>
      <c r="M27" s="1"/>
      <c r="N27" s="1"/>
      <c r="O27" s="1"/>
    </row>
    <row r="28" spans="1:15" x14ac:dyDescent="0.2">
      <c r="A28" s="1"/>
      <c r="B28" s="19" t="s">
        <v>5</v>
      </c>
      <c r="C28" s="17" t="s">
        <v>144</v>
      </c>
      <c r="D28" s="17"/>
      <c r="E28" s="17"/>
      <c r="F28" s="22">
        <v>4194.75</v>
      </c>
      <c r="G28" s="31" t="s">
        <v>143</v>
      </c>
      <c r="H28" s="16" t="s">
        <v>12</v>
      </c>
      <c r="I28" s="16" t="s">
        <v>149</v>
      </c>
      <c r="J28" s="23"/>
      <c r="K28" s="11"/>
      <c r="L28" s="1"/>
      <c r="M28" s="1"/>
      <c r="N28" s="1"/>
      <c r="O28" s="1"/>
    </row>
    <row r="29" spans="1:15" x14ac:dyDescent="0.2">
      <c r="A29" s="1"/>
      <c r="B29" s="19" t="s">
        <v>5</v>
      </c>
      <c r="C29" s="17" t="s">
        <v>142</v>
      </c>
      <c r="D29" s="17"/>
      <c r="E29" s="17"/>
      <c r="F29" s="22">
        <v>-4194.75</v>
      </c>
      <c r="G29" s="31" t="s">
        <v>143</v>
      </c>
      <c r="H29" s="16" t="s">
        <v>12</v>
      </c>
      <c r="I29" s="16" t="s">
        <v>149</v>
      </c>
      <c r="J29" s="23"/>
      <c r="K29" s="11"/>
      <c r="L29" s="1"/>
      <c r="M29" s="1"/>
      <c r="N29" s="1"/>
      <c r="O29" s="1"/>
    </row>
    <row r="30" spans="1:15" x14ac:dyDescent="0.2">
      <c r="A30" s="1"/>
      <c r="B30" s="19" t="s">
        <v>5</v>
      </c>
      <c r="C30" s="17" t="s">
        <v>145</v>
      </c>
      <c r="D30" s="17"/>
      <c r="E30" s="17"/>
      <c r="F30" s="22">
        <v>9691.67</v>
      </c>
      <c r="G30" s="31" t="s">
        <v>147</v>
      </c>
      <c r="H30" s="16" t="s">
        <v>148</v>
      </c>
      <c r="I30" s="16" t="s">
        <v>149</v>
      </c>
      <c r="J30" s="23"/>
      <c r="K30" s="11"/>
      <c r="L30" s="1"/>
      <c r="M30" s="1"/>
      <c r="N30" s="1"/>
      <c r="O30" s="1"/>
    </row>
    <row r="31" spans="1:15" x14ac:dyDescent="0.2">
      <c r="A31" s="1"/>
      <c r="B31" s="19" t="s">
        <v>5</v>
      </c>
      <c r="C31" s="17" t="s">
        <v>146</v>
      </c>
      <c r="D31" s="17"/>
      <c r="E31" s="17"/>
      <c r="F31" s="22">
        <v>-9691.67</v>
      </c>
      <c r="G31" s="31" t="s">
        <v>147</v>
      </c>
      <c r="H31" s="16" t="s">
        <v>148</v>
      </c>
      <c r="I31" s="16" t="s">
        <v>149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5</v>
      </c>
      <c r="C32" s="3" t="s">
        <v>105</v>
      </c>
      <c r="D32" s="3"/>
      <c r="E32" s="3"/>
      <c r="F32" s="20">
        <v>8609.01</v>
      </c>
      <c r="G32" s="30" t="s">
        <v>103</v>
      </c>
      <c r="H32" s="4" t="s">
        <v>12</v>
      </c>
      <c r="I32" s="4" t="s">
        <v>149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1</v>
      </c>
      <c r="C33" s="3" t="s">
        <v>106</v>
      </c>
      <c r="D33" s="3"/>
      <c r="E33" s="3"/>
      <c r="F33" s="20">
        <v>-8609.01</v>
      </c>
      <c r="G33" s="30" t="s">
        <v>103</v>
      </c>
      <c r="H33" s="4" t="s">
        <v>12</v>
      </c>
      <c r="I33" s="4" t="s">
        <v>149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5</v>
      </c>
      <c r="C34" s="3" t="s">
        <v>39</v>
      </c>
      <c r="D34" s="3"/>
      <c r="E34" s="3"/>
      <c r="F34" s="20">
        <v>6932.05</v>
      </c>
      <c r="G34" s="30" t="s">
        <v>74</v>
      </c>
      <c r="H34" s="4" t="s">
        <v>12</v>
      </c>
      <c r="I34" s="4" t="s">
        <v>149</v>
      </c>
      <c r="J34" s="23"/>
      <c r="K34" s="11"/>
      <c r="L34" s="1"/>
      <c r="M34" s="1"/>
      <c r="N34" s="1"/>
      <c r="O34" s="1"/>
    </row>
    <row r="35" spans="1:15" x14ac:dyDescent="0.2">
      <c r="A35" s="1"/>
      <c r="B35" s="1" t="s">
        <v>1</v>
      </c>
      <c r="C35" s="3" t="s">
        <v>73</v>
      </c>
      <c r="D35" s="3"/>
      <c r="E35" s="3"/>
      <c r="F35" s="20">
        <v>-6932.05</v>
      </c>
      <c r="G35" s="30" t="s">
        <v>74</v>
      </c>
      <c r="H35" s="4" t="s">
        <v>12</v>
      </c>
      <c r="I35" s="4" t="s">
        <v>149</v>
      </c>
      <c r="J35" s="23"/>
      <c r="K35" s="11"/>
      <c r="L35" s="1"/>
      <c r="M35" s="1"/>
      <c r="N35" s="1"/>
      <c r="O35" s="1"/>
    </row>
    <row r="36" spans="1:15" x14ac:dyDescent="0.2">
      <c r="A36" s="1"/>
      <c r="B36" s="19" t="s">
        <v>5</v>
      </c>
      <c r="C36" s="17" t="s">
        <v>125</v>
      </c>
      <c r="D36" s="17"/>
      <c r="E36" s="17"/>
      <c r="F36" s="22">
        <v>591.69583333333333</v>
      </c>
      <c r="G36" s="31" t="s">
        <v>126</v>
      </c>
      <c r="H36" s="16" t="s">
        <v>127</v>
      </c>
      <c r="I36" s="16" t="s">
        <v>149</v>
      </c>
      <c r="J36" s="23"/>
      <c r="K36" s="11"/>
      <c r="L36" s="1"/>
      <c r="M36" s="1"/>
      <c r="N36" s="1"/>
      <c r="O36" s="1"/>
    </row>
    <row r="37" spans="1:15" x14ac:dyDescent="0.2">
      <c r="A37" s="1"/>
      <c r="B37" s="19" t="s">
        <v>5</v>
      </c>
      <c r="C37" s="17" t="s">
        <v>128</v>
      </c>
      <c r="D37" s="17"/>
      <c r="E37" s="17"/>
      <c r="F37" s="22">
        <v>902.00666666666666</v>
      </c>
      <c r="G37" s="31" t="s">
        <v>126</v>
      </c>
      <c r="H37" s="16" t="s">
        <v>127</v>
      </c>
      <c r="I37" s="16" t="s">
        <v>149</v>
      </c>
      <c r="J37" s="23"/>
      <c r="K37" s="11"/>
      <c r="L37" s="1"/>
      <c r="M37" s="1"/>
      <c r="N37" s="1"/>
      <c r="O37" s="1"/>
    </row>
    <row r="38" spans="1:15" x14ac:dyDescent="0.2">
      <c r="A38" s="1"/>
      <c r="B38" s="19" t="s">
        <v>5</v>
      </c>
      <c r="C38" s="17" t="s">
        <v>129</v>
      </c>
      <c r="D38" s="17"/>
      <c r="E38" s="17"/>
      <c r="F38" s="22">
        <v>633.77083333333337</v>
      </c>
      <c r="G38" s="31" t="s">
        <v>126</v>
      </c>
      <c r="H38" s="16" t="s">
        <v>127</v>
      </c>
      <c r="I38" s="16" t="s">
        <v>149</v>
      </c>
      <c r="J38" s="23"/>
      <c r="K38" s="11"/>
      <c r="L38" s="1"/>
      <c r="M38" s="1"/>
      <c r="N38" s="1"/>
      <c r="O38" s="1"/>
    </row>
    <row r="39" spans="1:15" x14ac:dyDescent="0.2">
      <c r="A39" s="1"/>
      <c r="B39" s="19" t="s">
        <v>5</v>
      </c>
      <c r="C39" s="17" t="s">
        <v>130</v>
      </c>
      <c r="D39" s="17"/>
      <c r="E39" s="17"/>
      <c r="F39" s="22">
        <v>633.77083333333337</v>
      </c>
      <c r="G39" s="31" t="s">
        <v>126</v>
      </c>
      <c r="H39" s="16" t="s">
        <v>127</v>
      </c>
      <c r="I39" s="16" t="s">
        <v>149</v>
      </c>
      <c r="J39" s="23"/>
      <c r="K39" s="11"/>
      <c r="L39" s="1"/>
      <c r="M39" s="1"/>
      <c r="N39" s="1"/>
      <c r="O39" s="1"/>
    </row>
    <row r="40" spans="1:15" x14ac:dyDescent="0.2">
      <c r="A40" s="1"/>
      <c r="B40" s="19" t="s">
        <v>5</v>
      </c>
      <c r="C40" s="17" t="s">
        <v>131</v>
      </c>
      <c r="D40" s="17"/>
      <c r="E40" s="17"/>
      <c r="F40" s="22">
        <v>284.01333333333332</v>
      </c>
      <c r="G40" s="31" t="s">
        <v>126</v>
      </c>
      <c r="H40" s="16" t="s">
        <v>127</v>
      </c>
      <c r="I40" s="16" t="s">
        <v>149</v>
      </c>
      <c r="J40" s="23"/>
      <c r="K40" s="11"/>
      <c r="L40" s="1"/>
      <c r="M40" s="1"/>
      <c r="N40" s="1"/>
      <c r="O40" s="1"/>
    </row>
    <row r="41" spans="1:15" x14ac:dyDescent="0.2">
      <c r="A41" s="1"/>
      <c r="B41" s="19" t="s">
        <v>5</v>
      </c>
      <c r="C41" s="17" t="s">
        <v>132</v>
      </c>
      <c r="D41" s="17"/>
      <c r="E41" s="17"/>
      <c r="F41" s="22">
        <v>360.27666666666664</v>
      </c>
      <c r="G41" s="31" t="s">
        <v>126</v>
      </c>
      <c r="H41" s="16" t="s">
        <v>127</v>
      </c>
      <c r="I41" s="16" t="s">
        <v>149</v>
      </c>
      <c r="J41" s="23"/>
      <c r="K41" s="11"/>
      <c r="L41" s="1"/>
      <c r="M41" s="1"/>
      <c r="N41" s="1"/>
      <c r="O41" s="1"/>
    </row>
    <row r="42" spans="1:15" x14ac:dyDescent="0.2">
      <c r="A42" s="1"/>
      <c r="B42" s="19" t="s">
        <v>5</v>
      </c>
      <c r="C42" s="17" t="s">
        <v>133</v>
      </c>
      <c r="D42" s="17"/>
      <c r="E42" s="17"/>
      <c r="F42" s="22">
        <v>281.38416666666666</v>
      </c>
      <c r="G42" s="31" t="s">
        <v>126</v>
      </c>
      <c r="H42" s="16" t="s">
        <v>127</v>
      </c>
      <c r="I42" s="16" t="s">
        <v>149</v>
      </c>
      <c r="J42" s="23"/>
      <c r="K42" s="11"/>
      <c r="L42" s="1"/>
      <c r="M42" s="1"/>
      <c r="N42" s="1"/>
      <c r="O42" s="1"/>
    </row>
    <row r="43" spans="1:15" x14ac:dyDescent="0.2">
      <c r="A43" s="1"/>
      <c r="B43" s="19" t="s">
        <v>5</v>
      </c>
      <c r="C43" s="17" t="s">
        <v>134</v>
      </c>
      <c r="D43" s="17"/>
      <c r="E43" s="17"/>
      <c r="F43" s="22">
        <v>1364.8458333333333</v>
      </c>
      <c r="G43" s="31" t="s">
        <v>126</v>
      </c>
      <c r="H43" s="16" t="s">
        <v>127</v>
      </c>
      <c r="I43" s="16" t="s">
        <v>149</v>
      </c>
      <c r="J43" s="23"/>
      <c r="K43" s="11"/>
      <c r="L43" s="1"/>
      <c r="M43" s="1"/>
      <c r="N43" s="1"/>
      <c r="O43" s="1"/>
    </row>
    <row r="44" spans="1:15" x14ac:dyDescent="0.2">
      <c r="A44" s="1"/>
      <c r="B44" s="19" t="s">
        <v>5</v>
      </c>
      <c r="C44" s="17" t="s">
        <v>135</v>
      </c>
      <c r="D44" s="17"/>
      <c r="E44" s="17"/>
      <c r="F44" s="22">
        <v>207.75083333333336</v>
      </c>
      <c r="G44" s="31" t="s">
        <v>126</v>
      </c>
      <c r="H44" s="16" t="s">
        <v>127</v>
      </c>
      <c r="I44" s="16" t="s">
        <v>149</v>
      </c>
      <c r="J44" s="23"/>
      <c r="K44" s="11"/>
      <c r="L44" s="1"/>
      <c r="M44" s="1"/>
      <c r="N44" s="1"/>
      <c r="O44" s="1"/>
    </row>
    <row r="45" spans="1:15" x14ac:dyDescent="0.2">
      <c r="A45" s="1"/>
      <c r="B45" s="19" t="s">
        <v>1</v>
      </c>
      <c r="C45" s="17" t="s">
        <v>2</v>
      </c>
      <c r="D45" s="17"/>
      <c r="E45" s="17"/>
      <c r="F45" s="22">
        <v>-5259.5150000000003</v>
      </c>
      <c r="G45" s="31" t="s">
        <v>126</v>
      </c>
      <c r="H45" s="16" t="s">
        <v>127</v>
      </c>
      <c r="I45" s="16" t="s">
        <v>149</v>
      </c>
      <c r="J45" s="23"/>
      <c r="K45" s="11"/>
      <c r="L45" s="1"/>
      <c r="M45" s="1"/>
      <c r="N45" s="1"/>
      <c r="O45" s="1"/>
    </row>
    <row r="46" spans="1:15" x14ac:dyDescent="0.2">
      <c r="A46" s="1"/>
      <c r="B46" s="19" t="s">
        <v>5</v>
      </c>
      <c r="C46" s="17" t="s">
        <v>39</v>
      </c>
      <c r="D46" s="17"/>
      <c r="E46" s="17"/>
      <c r="F46" s="22">
        <v>8431.4</v>
      </c>
      <c r="G46" s="31" t="s">
        <v>151</v>
      </c>
      <c r="H46" s="16" t="s">
        <v>152</v>
      </c>
      <c r="I46" s="16" t="s">
        <v>149</v>
      </c>
      <c r="J46" s="23"/>
      <c r="K46" s="11"/>
      <c r="L46" s="1"/>
      <c r="M46" s="1"/>
      <c r="N46" s="1"/>
      <c r="O46" s="1"/>
    </row>
    <row r="47" spans="1:15" x14ac:dyDescent="0.2">
      <c r="A47" s="1"/>
      <c r="B47" s="19" t="s">
        <v>5</v>
      </c>
      <c r="C47" s="17" t="s">
        <v>150</v>
      </c>
      <c r="D47" s="17"/>
      <c r="E47" s="17"/>
      <c r="F47" s="22">
        <v>-8431.4</v>
      </c>
      <c r="G47" s="31" t="s">
        <v>151</v>
      </c>
      <c r="H47" s="16" t="s">
        <v>152</v>
      </c>
      <c r="I47" s="16" t="s">
        <v>149</v>
      </c>
      <c r="J47" s="23"/>
      <c r="K47" s="11"/>
      <c r="L47" s="1"/>
      <c r="M47" s="1"/>
      <c r="N47" s="1"/>
      <c r="O47" s="1"/>
    </row>
    <row r="48" spans="1:15" x14ac:dyDescent="0.2">
      <c r="A48" s="1"/>
      <c r="B48" s="19" t="s">
        <v>5</v>
      </c>
      <c r="C48" s="17" t="s">
        <v>154</v>
      </c>
      <c r="D48" s="17"/>
      <c r="E48" s="17"/>
      <c r="F48" s="22">
        <v>1704.6366666666665</v>
      </c>
      <c r="G48" s="31" t="s">
        <v>156</v>
      </c>
      <c r="H48" s="16" t="s">
        <v>157</v>
      </c>
      <c r="I48" s="16" t="s">
        <v>149</v>
      </c>
      <c r="J48" s="23"/>
      <c r="K48" s="11"/>
      <c r="L48" s="1"/>
      <c r="M48" s="1"/>
      <c r="N48" s="1"/>
      <c r="O48" s="1"/>
    </row>
    <row r="49" spans="1:15" x14ac:dyDescent="0.2">
      <c r="A49" s="1"/>
      <c r="B49" s="19" t="s">
        <v>5</v>
      </c>
      <c r="C49" s="17" t="s">
        <v>155</v>
      </c>
      <c r="D49" s="17"/>
      <c r="E49" s="17"/>
      <c r="F49" s="22">
        <v>-1704.63666666667</v>
      </c>
      <c r="G49" s="31" t="s">
        <v>156</v>
      </c>
      <c r="H49" s="16" t="s">
        <v>157</v>
      </c>
      <c r="I49" s="16" t="s">
        <v>149</v>
      </c>
      <c r="J49" s="23"/>
      <c r="K49" s="11"/>
      <c r="L49" s="1"/>
      <c r="M49" s="1"/>
      <c r="N49" s="1"/>
      <c r="O49" s="1"/>
    </row>
    <row r="50" spans="1:15" x14ac:dyDescent="0.2">
      <c r="A50" s="1"/>
      <c r="B50" s="1"/>
      <c r="C50" s="3"/>
      <c r="D50" s="3"/>
      <c r="E50" s="3"/>
      <c r="F50" s="20"/>
      <c r="G50" s="30"/>
      <c r="H50" s="4"/>
      <c r="I50" s="4"/>
      <c r="J50" s="11"/>
      <c r="K50" s="11"/>
      <c r="L50" s="1"/>
      <c r="M50" s="1"/>
      <c r="N50" s="1"/>
      <c r="O50" s="1"/>
    </row>
    <row r="51" spans="1:15" x14ac:dyDescent="0.2">
      <c r="A51" s="1"/>
      <c r="B51" s="1"/>
      <c r="C51" s="12"/>
      <c r="D51" s="12"/>
      <c r="E51" s="12"/>
      <c r="F51" s="5"/>
      <c r="G51" s="13"/>
      <c r="H51" s="4"/>
      <c r="I51" s="4"/>
      <c r="J51" s="7"/>
      <c r="K51" s="11"/>
      <c r="L51" s="1"/>
      <c r="M51" s="1"/>
      <c r="N51" s="1"/>
      <c r="O51" s="1"/>
    </row>
    <row r="52" spans="1:15" ht="15" thickBot="1" x14ac:dyDescent="0.25">
      <c r="A52" s="1"/>
      <c r="B52" s="1"/>
      <c r="C52" s="3" t="s">
        <v>15</v>
      </c>
      <c r="D52" s="3"/>
      <c r="E52" s="3"/>
      <c r="F52" s="21">
        <f>SUMIF(F9:F51,"&lt;0",F9:F51)</f>
        <v>-123000.19166666667</v>
      </c>
      <c r="G52" s="13" t="s">
        <v>13</v>
      </c>
      <c r="H52" s="4"/>
      <c r="I52" s="4"/>
      <c r="J52" s="7"/>
      <c r="K52" s="11"/>
      <c r="L52" s="1"/>
      <c r="M52" s="1"/>
      <c r="N52" s="1"/>
      <c r="O52" s="1"/>
    </row>
    <row r="53" spans="1:15" ht="15" thickTop="1" x14ac:dyDescent="0.2">
      <c r="A53" s="1"/>
      <c r="B53" s="1"/>
      <c r="C53" s="3"/>
      <c r="D53" s="3"/>
      <c r="E53" s="3"/>
      <c r="F53" s="5"/>
      <c r="G53" s="10"/>
      <c r="H53" s="4"/>
      <c r="I53" s="4"/>
      <c r="J53" s="7"/>
      <c r="K53" s="11"/>
      <c r="L53" s="1"/>
      <c r="M53" s="1"/>
      <c r="N53" s="1"/>
      <c r="O53" s="1"/>
    </row>
    <row r="54" spans="1:15" x14ac:dyDescent="0.2">
      <c r="K54" s="11"/>
      <c r="L54" s="1"/>
      <c r="M54" s="1"/>
      <c r="N54" s="1"/>
      <c r="O54" s="1"/>
    </row>
    <row r="55" spans="1:15" x14ac:dyDescent="0.2">
      <c r="K55" s="11"/>
      <c r="L55" s="1"/>
      <c r="M55" s="1"/>
      <c r="N55" s="1"/>
      <c r="O55" s="1"/>
    </row>
    <row r="56" spans="1:15" x14ac:dyDescent="0.2">
      <c r="K56" s="11"/>
      <c r="L56" s="1"/>
      <c r="M56" s="1"/>
      <c r="N56" s="1"/>
      <c r="O56" s="1"/>
    </row>
    <row r="57" spans="1:15" x14ac:dyDescent="0.2">
      <c r="B57" s="4" t="s">
        <v>5</v>
      </c>
      <c r="C57" s="3" t="s">
        <v>7</v>
      </c>
      <c r="D57" s="3"/>
      <c r="E57" s="3"/>
      <c r="F57" s="20">
        <v>7143.75</v>
      </c>
      <c r="G57" s="10" t="s">
        <v>26</v>
      </c>
      <c r="H57" s="4" t="s">
        <v>17</v>
      </c>
      <c r="I57" s="4" t="s">
        <v>149</v>
      </c>
      <c r="K57" s="11"/>
      <c r="L57" s="1"/>
      <c r="M57" s="1"/>
      <c r="N57" s="1"/>
      <c r="O57" s="1"/>
    </row>
    <row r="58" spans="1:15" x14ac:dyDescent="0.2">
      <c r="B58" s="4" t="s">
        <v>5</v>
      </c>
      <c r="C58" s="3" t="s">
        <v>6</v>
      </c>
      <c r="D58" s="3"/>
      <c r="E58" s="3"/>
      <c r="F58" s="20">
        <v>-7143.75</v>
      </c>
      <c r="G58" s="10" t="s">
        <v>26</v>
      </c>
      <c r="H58" s="4" t="s">
        <v>17</v>
      </c>
      <c r="I58" s="4" t="s">
        <v>149</v>
      </c>
      <c r="K58" s="11"/>
      <c r="L58" s="1"/>
      <c r="M58" s="1"/>
      <c r="N58" s="1"/>
      <c r="O58" s="1"/>
    </row>
    <row r="59" spans="1:15" x14ac:dyDescent="0.2">
      <c r="B59" s="4" t="s">
        <v>5</v>
      </c>
      <c r="C59" s="3" t="s">
        <v>62</v>
      </c>
      <c r="D59" s="3"/>
      <c r="E59" s="3"/>
      <c r="F59" s="20">
        <v>949.17</v>
      </c>
      <c r="G59" s="10" t="s">
        <v>67</v>
      </c>
      <c r="H59" s="4" t="s">
        <v>12</v>
      </c>
      <c r="I59" s="4" t="s">
        <v>149</v>
      </c>
    </row>
    <row r="60" spans="1:15" x14ac:dyDescent="0.2">
      <c r="B60" s="4" t="s">
        <v>5</v>
      </c>
      <c r="C60" s="3" t="s">
        <v>6</v>
      </c>
      <c r="D60" s="3"/>
      <c r="E60" s="3"/>
      <c r="F60" s="20">
        <v>-949.17</v>
      </c>
      <c r="G60" s="10" t="s">
        <v>67</v>
      </c>
      <c r="H60" s="4" t="s">
        <v>12</v>
      </c>
      <c r="I60" s="4" t="s">
        <v>149</v>
      </c>
    </row>
    <row r="61" spans="1:15" x14ac:dyDescent="0.2">
      <c r="B61" s="4" t="s">
        <v>5</v>
      </c>
      <c r="C61" s="3" t="s">
        <v>62</v>
      </c>
      <c r="D61" s="3"/>
      <c r="E61" s="3"/>
      <c r="F61" s="20">
        <v>1100</v>
      </c>
      <c r="G61" s="10" t="s">
        <v>81</v>
      </c>
      <c r="H61" s="4" t="s">
        <v>86</v>
      </c>
      <c r="I61" s="4" t="s">
        <v>149</v>
      </c>
    </row>
    <row r="62" spans="1:15" x14ac:dyDescent="0.2">
      <c r="B62" s="4" t="s">
        <v>5</v>
      </c>
      <c r="C62" s="3" t="s">
        <v>6</v>
      </c>
      <c r="D62" s="3"/>
      <c r="E62" s="3"/>
      <c r="F62" s="20">
        <v>-1100</v>
      </c>
      <c r="G62" s="10" t="s">
        <v>81</v>
      </c>
      <c r="H62" s="4" t="s">
        <v>86</v>
      </c>
      <c r="I62" s="4" t="s">
        <v>149</v>
      </c>
    </row>
    <row r="63" spans="1:15" x14ac:dyDescent="0.2">
      <c r="B63" s="4" t="s">
        <v>5</v>
      </c>
      <c r="C63" s="3" t="s">
        <v>62</v>
      </c>
      <c r="D63" s="3"/>
      <c r="E63" s="3"/>
      <c r="F63" s="20">
        <v>473.11</v>
      </c>
      <c r="G63" s="10" t="s">
        <v>85</v>
      </c>
      <c r="H63" s="4" t="s">
        <v>86</v>
      </c>
      <c r="I63" s="4" t="s">
        <v>149</v>
      </c>
    </row>
    <row r="64" spans="1:15" x14ac:dyDescent="0.2">
      <c r="B64" s="4" t="s">
        <v>5</v>
      </c>
      <c r="C64" s="3" t="s">
        <v>6</v>
      </c>
      <c r="D64" s="3"/>
      <c r="E64" s="3"/>
      <c r="F64" s="20">
        <v>-473.11</v>
      </c>
      <c r="G64" s="10" t="s">
        <v>85</v>
      </c>
      <c r="H64" s="4" t="s">
        <v>86</v>
      </c>
      <c r="I64" s="4" t="s">
        <v>149</v>
      </c>
    </row>
    <row r="65" spans="2:9" x14ac:dyDescent="0.2">
      <c r="B65" s="4" t="s">
        <v>5</v>
      </c>
      <c r="C65" s="3" t="s">
        <v>62</v>
      </c>
      <c r="D65" s="3"/>
      <c r="E65" s="3"/>
      <c r="F65" s="20">
        <v>3202.58</v>
      </c>
      <c r="G65" s="10" t="s">
        <v>88</v>
      </c>
      <c r="H65" s="4" t="s">
        <v>12</v>
      </c>
      <c r="I65" s="4" t="s">
        <v>149</v>
      </c>
    </row>
    <row r="66" spans="2:9" x14ac:dyDescent="0.2">
      <c r="B66" s="4" t="s">
        <v>5</v>
      </c>
      <c r="C66" s="3" t="s">
        <v>6</v>
      </c>
      <c r="D66" s="3"/>
      <c r="E66" s="3"/>
      <c r="F66" s="20">
        <v>-3202.58</v>
      </c>
      <c r="G66" s="10" t="s">
        <v>88</v>
      </c>
      <c r="H66" s="4" t="s">
        <v>12</v>
      </c>
      <c r="I66" s="4" t="s">
        <v>149</v>
      </c>
    </row>
    <row r="67" spans="2:9" x14ac:dyDescent="0.2">
      <c r="B67" s="4" t="s">
        <v>5</v>
      </c>
      <c r="C67" s="3" t="s">
        <v>62</v>
      </c>
      <c r="D67" s="3"/>
      <c r="E67" s="3"/>
      <c r="F67" s="20">
        <v>2112.02</v>
      </c>
      <c r="G67" s="10" t="s">
        <v>107</v>
      </c>
      <c r="H67" s="4" t="s">
        <v>12</v>
      </c>
      <c r="I67" s="4" t="s">
        <v>149</v>
      </c>
    </row>
    <row r="68" spans="2:9" x14ac:dyDescent="0.2">
      <c r="B68" s="4" t="s">
        <v>5</v>
      </c>
      <c r="C68" s="3" t="s">
        <v>6</v>
      </c>
      <c r="D68" s="3"/>
      <c r="E68" s="3"/>
      <c r="F68" s="20">
        <v>-2112.02</v>
      </c>
      <c r="G68" s="10" t="s">
        <v>107</v>
      </c>
      <c r="H68" s="4" t="s">
        <v>12</v>
      </c>
      <c r="I68" s="4" t="s">
        <v>149</v>
      </c>
    </row>
    <row r="69" spans="2:9" x14ac:dyDescent="0.2">
      <c r="B69" s="4" t="s">
        <v>5</v>
      </c>
      <c r="C69" s="3" t="s">
        <v>62</v>
      </c>
      <c r="D69" s="3"/>
      <c r="E69" s="3"/>
      <c r="F69" s="20">
        <v>1976.42</v>
      </c>
      <c r="G69" s="10" t="s">
        <v>108</v>
      </c>
      <c r="H69" s="4" t="s">
        <v>12</v>
      </c>
      <c r="I69" s="4" t="s">
        <v>149</v>
      </c>
    </row>
    <row r="70" spans="2:9" x14ac:dyDescent="0.2">
      <c r="B70" s="4" t="s">
        <v>5</v>
      </c>
      <c r="C70" s="3" t="s">
        <v>6</v>
      </c>
      <c r="D70" s="3"/>
      <c r="E70" s="3"/>
      <c r="F70" s="20">
        <v>-1976.42</v>
      </c>
      <c r="G70" s="10" t="s">
        <v>108</v>
      </c>
      <c r="H70" s="4" t="s">
        <v>12</v>
      </c>
      <c r="I70" s="4" t="s">
        <v>149</v>
      </c>
    </row>
    <row r="71" spans="2:9" x14ac:dyDescent="0.2">
      <c r="B71" s="4" t="s">
        <v>5</v>
      </c>
      <c r="C71" s="3" t="s">
        <v>62</v>
      </c>
      <c r="D71" s="3"/>
      <c r="E71" s="3"/>
      <c r="F71" s="20">
        <v>1530.58</v>
      </c>
      <c r="G71" s="41" t="s">
        <v>110</v>
      </c>
      <c r="H71" s="4" t="s">
        <v>12</v>
      </c>
      <c r="I71" s="4" t="s">
        <v>149</v>
      </c>
    </row>
    <row r="72" spans="2:9" x14ac:dyDescent="0.2">
      <c r="B72" s="4" t="s">
        <v>5</v>
      </c>
      <c r="C72" s="3" t="s">
        <v>6</v>
      </c>
      <c r="D72" s="3"/>
      <c r="E72" s="3"/>
      <c r="F72" s="20">
        <v>-1530.58</v>
      </c>
      <c r="G72" s="41" t="s">
        <v>110</v>
      </c>
      <c r="H72" s="4" t="s">
        <v>12</v>
      </c>
      <c r="I72" s="4" t="s">
        <v>149</v>
      </c>
    </row>
    <row r="73" spans="2:9" x14ac:dyDescent="0.2">
      <c r="B73" s="4" t="s">
        <v>5</v>
      </c>
      <c r="C73" s="3" t="s">
        <v>62</v>
      </c>
      <c r="D73" s="3"/>
      <c r="E73" s="3"/>
      <c r="F73" s="20">
        <v>732</v>
      </c>
      <c r="G73" s="41" t="s">
        <v>111</v>
      </c>
      <c r="H73" s="4" t="s">
        <v>12</v>
      </c>
      <c r="I73" s="4" t="s">
        <v>149</v>
      </c>
    </row>
    <row r="74" spans="2:9" x14ac:dyDescent="0.2">
      <c r="B74" s="4" t="s">
        <v>5</v>
      </c>
      <c r="C74" s="3" t="s">
        <v>6</v>
      </c>
      <c r="D74" s="3"/>
      <c r="E74" s="3"/>
      <c r="F74" s="20">
        <v>-732</v>
      </c>
      <c r="G74" s="41" t="s">
        <v>111</v>
      </c>
      <c r="H74" s="4" t="s">
        <v>12</v>
      </c>
      <c r="I74" s="4" t="s">
        <v>149</v>
      </c>
    </row>
    <row r="75" spans="2:9" x14ac:dyDescent="0.2">
      <c r="B75" s="4" t="s">
        <v>5</v>
      </c>
      <c r="C75" s="3" t="s">
        <v>62</v>
      </c>
      <c r="D75" s="3"/>
      <c r="E75" s="3"/>
      <c r="F75" s="20">
        <v>2646.25</v>
      </c>
      <c r="G75" s="41" t="s">
        <v>113</v>
      </c>
      <c r="H75" s="4" t="s">
        <v>12</v>
      </c>
      <c r="I75" s="4" t="s">
        <v>149</v>
      </c>
    </row>
    <row r="76" spans="2:9" x14ac:dyDescent="0.2">
      <c r="B76" s="4" t="s">
        <v>5</v>
      </c>
      <c r="C76" s="3" t="s">
        <v>6</v>
      </c>
      <c r="D76" s="3"/>
      <c r="E76" s="3"/>
      <c r="F76" s="20">
        <v>-2646.25</v>
      </c>
      <c r="G76" s="41" t="s">
        <v>113</v>
      </c>
      <c r="H76" s="4" t="s">
        <v>12</v>
      </c>
      <c r="I76" s="4" t="s">
        <v>149</v>
      </c>
    </row>
    <row r="77" spans="2:9" x14ac:dyDescent="0.2">
      <c r="B77" s="4" t="s">
        <v>5</v>
      </c>
      <c r="C77" s="3" t="s">
        <v>62</v>
      </c>
      <c r="D77" s="3"/>
      <c r="E77" s="3"/>
      <c r="F77" s="20">
        <v>3794.42</v>
      </c>
      <c r="G77" s="41" t="s">
        <v>114</v>
      </c>
      <c r="H77" s="4" t="s">
        <v>12</v>
      </c>
      <c r="I77" s="4" t="s">
        <v>149</v>
      </c>
    </row>
    <row r="78" spans="2:9" x14ac:dyDescent="0.2">
      <c r="B78" s="4" t="s">
        <v>5</v>
      </c>
      <c r="C78" s="3" t="s">
        <v>6</v>
      </c>
      <c r="D78" s="3"/>
      <c r="E78" s="3"/>
      <c r="F78" s="20">
        <v>-3794.42</v>
      </c>
      <c r="G78" s="41" t="s">
        <v>114</v>
      </c>
      <c r="H78" s="4" t="s">
        <v>12</v>
      </c>
      <c r="I78" s="4" t="s">
        <v>149</v>
      </c>
    </row>
    <row r="79" spans="2:9" x14ac:dyDescent="0.2">
      <c r="B79" s="4" t="s">
        <v>5</v>
      </c>
      <c r="C79" s="3" t="s">
        <v>62</v>
      </c>
      <c r="D79" s="3"/>
      <c r="E79" s="3"/>
      <c r="F79" s="20">
        <v>843.14</v>
      </c>
      <c r="G79" s="41" t="s">
        <v>123</v>
      </c>
      <c r="H79" s="4" t="s">
        <v>12</v>
      </c>
      <c r="I79" s="4" t="s">
        <v>149</v>
      </c>
    </row>
    <row r="80" spans="2:9" x14ac:dyDescent="0.2">
      <c r="B80" s="4" t="s">
        <v>5</v>
      </c>
      <c r="C80" s="3" t="s">
        <v>6</v>
      </c>
      <c r="D80" s="3"/>
      <c r="E80" s="3"/>
      <c r="F80" s="20">
        <v>-843.14</v>
      </c>
      <c r="G80" s="41" t="s">
        <v>123</v>
      </c>
      <c r="H80" s="4" t="s">
        <v>12</v>
      </c>
      <c r="I80" s="4" t="s">
        <v>149</v>
      </c>
    </row>
    <row r="81" spans="3:7" ht="13.5" customHeight="1" x14ac:dyDescent="0.2"/>
    <row r="84" spans="3:7" ht="15" thickBot="1" x14ac:dyDescent="0.25">
      <c r="C84" t="s">
        <v>14</v>
      </c>
      <c r="F84" s="21">
        <f>SUMIF(F57:F83,"&lt;0",F57:F83)</f>
        <v>-26503.440000000002</v>
      </c>
      <c r="G84" t="s">
        <v>13</v>
      </c>
    </row>
    <row r="85" spans="3:7" ht="15" thickTop="1" x14ac:dyDescent="0.2"/>
  </sheetData>
  <autoFilter ref="A6:O6" xr:uid="{C72EA621-673A-4200-BC3A-FC9120173B40}"/>
  <mergeCells count="1">
    <mergeCell ref="J7:J8"/>
  </mergeCells>
  <hyperlinks>
    <hyperlink ref="F1" r:id="rId1" xr:uid="{5793B1E2-8E80-454B-9B13-D301A4409923}"/>
  </hyperlinks>
  <pageMargins left="0.7" right="0.7" top="0.75" bottom="0.75" header="0.3" footer="0.3"/>
  <pageSetup paperSize="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BAFC-9E7C-4DF3-952D-82F06E6828C5}">
  <sheetPr>
    <tabColor theme="1"/>
  </sheetPr>
  <dimension ref="A1"/>
  <sheetViews>
    <sheetView workbookViewId="0"/>
  </sheetViews>
  <sheetFormatPr defaultRowHeight="14.25" x14ac:dyDescent="0.2"/>
  <cols>
    <col min="1" max="16384" width="9" style="44"/>
  </cols>
  <sheetData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BF1B-8AD3-48CA-A17A-DCE15572D93F}">
  <sheetPr>
    <tabColor theme="9" tint="0.59999389629810485"/>
  </sheetPr>
  <dimension ref="A1:O82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124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124</v>
      </c>
      <c r="J8" s="11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60</v>
      </c>
      <c r="D9" s="25"/>
      <c r="E9" s="25"/>
      <c r="F9" s="26">
        <v>1291.67</v>
      </c>
      <c r="G9" s="29" t="s">
        <v>59</v>
      </c>
      <c r="H9" s="28" t="s">
        <v>12</v>
      </c>
      <c r="I9" s="28" t="s">
        <v>124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61</v>
      </c>
      <c r="D10" s="25"/>
      <c r="E10" s="25"/>
      <c r="F10" s="26">
        <v>1291.67</v>
      </c>
      <c r="G10" s="29" t="s">
        <v>59</v>
      </c>
      <c r="H10" s="28" t="s">
        <v>12</v>
      </c>
      <c r="I10" s="28" t="s">
        <v>124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1</v>
      </c>
      <c r="C11" s="25" t="s">
        <v>2</v>
      </c>
      <c r="D11" s="25"/>
      <c r="E11" s="25"/>
      <c r="F11" s="26">
        <v>-2583.34</v>
      </c>
      <c r="G11" s="29" t="s">
        <v>59</v>
      </c>
      <c r="H11" s="28" t="s">
        <v>12</v>
      </c>
      <c r="I11" s="28" t="s">
        <v>124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5</v>
      </c>
      <c r="C12" s="3" t="s">
        <v>11</v>
      </c>
      <c r="D12" s="3"/>
      <c r="E12" s="3"/>
      <c r="F12" s="20">
        <v>5750</v>
      </c>
      <c r="G12" s="30" t="s">
        <v>66</v>
      </c>
      <c r="H12" s="4" t="s">
        <v>12</v>
      </c>
      <c r="I12" s="4" t="s">
        <v>124</v>
      </c>
      <c r="J12" s="11"/>
      <c r="K12" s="11"/>
      <c r="L12" s="1"/>
      <c r="M12" s="1"/>
      <c r="N12" s="1"/>
      <c r="O12" s="1"/>
    </row>
    <row r="13" spans="1:15" x14ac:dyDescent="0.2">
      <c r="A13" s="1"/>
      <c r="B13" s="1" t="s">
        <v>1</v>
      </c>
      <c r="C13" s="3" t="s">
        <v>2</v>
      </c>
      <c r="D13" s="3"/>
      <c r="E13" s="3"/>
      <c r="F13" s="20">
        <v>-5750</v>
      </c>
      <c r="G13" s="30" t="s">
        <v>66</v>
      </c>
      <c r="H13" s="4" t="s">
        <v>12</v>
      </c>
      <c r="I13" s="4" t="s">
        <v>124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70</v>
      </c>
      <c r="D14" s="3"/>
      <c r="E14" s="3"/>
      <c r="F14" s="20">
        <v>19206.060000000001</v>
      </c>
      <c r="G14" s="30" t="s">
        <v>72</v>
      </c>
      <c r="H14" s="4" t="s">
        <v>12</v>
      </c>
      <c r="I14" s="4" t="s">
        <v>124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-19206.060000000001</v>
      </c>
      <c r="G15" s="30" t="s">
        <v>72</v>
      </c>
      <c r="H15" s="4" t="s">
        <v>12</v>
      </c>
      <c r="I15" s="4" t="s">
        <v>124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83</v>
      </c>
      <c r="D16" s="3"/>
      <c r="E16" s="3"/>
      <c r="F16" s="20">
        <v>6666.67</v>
      </c>
      <c r="G16" s="30" t="s">
        <v>84</v>
      </c>
      <c r="H16" s="4" t="s">
        <v>12</v>
      </c>
      <c r="I16" s="4" t="s">
        <v>124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-6666.67</v>
      </c>
      <c r="G17" s="30" t="s">
        <v>84</v>
      </c>
      <c r="H17" s="4" t="s">
        <v>12</v>
      </c>
      <c r="I17" s="4" t="s">
        <v>124</v>
      </c>
      <c r="J17" s="11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89</v>
      </c>
      <c r="D18" s="25"/>
      <c r="E18" s="25"/>
      <c r="F18" s="26">
        <v>479.74621212121201</v>
      </c>
      <c r="G18" s="29" t="s">
        <v>94</v>
      </c>
      <c r="H18" s="28" t="s">
        <v>12</v>
      </c>
      <c r="I18" s="28" t="s">
        <v>124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90</v>
      </c>
      <c r="D19" s="25"/>
      <c r="E19" s="25"/>
      <c r="F19" s="26">
        <v>479.74318181818199</v>
      </c>
      <c r="G19" s="29" t="s">
        <v>94</v>
      </c>
      <c r="H19" s="28" t="s">
        <v>12</v>
      </c>
      <c r="I19" s="28" t="s">
        <v>124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91</v>
      </c>
      <c r="D20" s="25"/>
      <c r="E20" s="25"/>
      <c r="F20" s="26">
        <v>479.74318181818199</v>
      </c>
      <c r="G20" s="29" t="s">
        <v>94</v>
      </c>
      <c r="H20" s="28" t="s">
        <v>12</v>
      </c>
      <c r="I20" s="28" t="s">
        <v>124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92</v>
      </c>
      <c r="D21" s="25"/>
      <c r="E21" s="25"/>
      <c r="F21" s="26">
        <v>479.74318181818199</v>
      </c>
      <c r="G21" s="29" t="s">
        <v>94</v>
      </c>
      <c r="H21" s="28" t="s">
        <v>12</v>
      </c>
      <c r="I21" s="28" t="s">
        <v>124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1</v>
      </c>
      <c r="C22" s="25" t="s">
        <v>2</v>
      </c>
      <c r="D22" s="25"/>
      <c r="E22" s="25"/>
      <c r="F22" s="26">
        <v>-1918.97</v>
      </c>
      <c r="G22" s="29" t="s">
        <v>94</v>
      </c>
      <c r="H22" s="28" t="s">
        <v>12</v>
      </c>
      <c r="I22" s="28" t="s">
        <v>124</v>
      </c>
      <c r="J22" s="23"/>
      <c r="K22" s="11"/>
      <c r="L22" s="1"/>
      <c r="M22" s="1"/>
      <c r="N22" s="1"/>
      <c r="O22" s="1"/>
    </row>
    <row r="23" spans="1:15" x14ac:dyDescent="0.2">
      <c r="A23" s="1"/>
      <c r="B23" s="1" t="s">
        <v>5</v>
      </c>
      <c r="C23" s="3" t="s">
        <v>118</v>
      </c>
      <c r="D23" s="3"/>
      <c r="E23" s="3"/>
      <c r="F23" s="20">
        <v>6446.83</v>
      </c>
      <c r="G23" s="42" t="s">
        <v>116</v>
      </c>
      <c r="H23" s="4"/>
      <c r="I23" s="4" t="s">
        <v>124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1</v>
      </c>
      <c r="C24" s="3" t="s">
        <v>2</v>
      </c>
      <c r="D24" s="3"/>
      <c r="E24" s="3"/>
      <c r="F24" s="20">
        <v>-6446.83</v>
      </c>
      <c r="G24" s="42" t="s">
        <v>116</v>
      </c>
      <c r="H24" s="4"/>
      <c r="I24" s="4" t="s">
        <v>124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5</v>
      </c>
      <c r="C25" s="3" t="s">
        <v>10</v>
      </c>
      <c r="D25" s="3"/>
      <c r="E25" s="3"/>
      <c r="F25" s="20">
        <v>509.17</v>
      </c>
      <c r="G25" s="42" t="s">
        <v>117</v>
      </c>
      <c r="H25" s="4"/>
      <c r="I25" s="4" t="s">
        <v>124</v>
      </c>
      <c r="J25" s="23"/>
      <c r="K25" s="11"/>
      <c r="L25" s="1"/>
      <c r="M25" s="1"/>
      <c r="N25" s="1"/>
      <c r="O25" s="1"/>
    </row>
    <row r="26" spans="1:15" x14ac:dyDescent="0.2">
      <c r="A26" s="1"/>
      <c r="B26" s="1" t="s">
        <v>1</v>
      </c>
      <c r="C26" s="3" t="s">
        <v>2</v>
      </c>
      <c r="D26" s="3"/>
      <c r="E26" s="3"/>
      <c r="F26" s="20">
        <v>-509.17</v>
      </c>
      <c r="G26" s="42" t="s">
        <v>117</v>
      </c>
      <c r="H26" s="4"/>
      <c r="I26" s="4" t="s">
        <v>124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5</v>
      </c>
      <c r="C27" s="3" t="s">
        <v>4</v>
      </c>
      <c r="D27" s="3"/>
      <c r="E27" s="3"/>
      <c r="F27" s="20">
        <v>43749.13</v>
      </c>
      <c r="G27" s="30" t="s">
        <v>99</v>
      </c>
      <c r="H27" s="4"/>
      <c r="I27" s="4" t="s">
        <v>124</v>
      </c>
      <c r="J27" s="23"/>
      <c r="K27" s="11"/>
      <c r="L27" s="1"/>
      <c r="M27" s="1"/>
      <c r="N27" s="1"/>
      <c r="O27" s="1"/>
    </row>
    <row r="28" spans="1:15" x14ac:dyDescent="0.2">
      <c r="A28" s="1"/>
      <c r="B28" s="1" t="s">
        <v>1</v>
      </c>
      <c r="C28" s="3" t="s">
        <v>16</v>
      </c>
      <c r="D28" s="3"/>
      <c r="E28" s="3"/>
      <c r="F28" s="20">
        <v>-43749.13</v>
      </c>
      <c r="G28" s="30" t="s">
        <v>99</v>
      </c>
      <c r="H28" s="4"/>
      <c r="I28" s="4" t="s">
        <v>124</v>
      </c>
      <c r="J28" s="23"/>
      <c r="K28" s="11"/>
      <c r="L28" s="1"/>
      <c r="M28" s="1"/>
      <c r="N28" s="1"/>
      <c r="O28" s="1"/>
    </row>
    <row r="29" spans="1:15" x14ac:dyDescent="0.2">
      <c r="A29" s="1"/>
      <c r="B29" s="1" t="s">
        <v>5</v>
      </c>
      <c r="C29" s="3" t="s">
        <v>105</v>
      </c>
      <c r="D29" s="3"/>
      <c r="E29" s="3"/>
      <c r="F29" s="20">
        <v>8609.01</v>
      </c>
      <c r="G29" s="30" t="s">
        <v>103</v>
      </c>
      <c r="H29" s="4" t="s">
        <v>12</v>
      </c>
      <c r="I29" s="4" t="s">
        <v>124</v>
      </c>
      <c r="J29" s="23"/>
      <c r="K29" s="11"/>
      <c r="L29" s="1"/>
      <c r="M29" s="1"/>
      <c r="N29" s="1"/>
      <c r="O29" s="1"/>
    </row>
    <row r="30" spans="1:15" x14ac:dyDescent="0.2">
      <c r="A30" s="1"/>
      <c r="B30" s="1" t="s">
        <v>1</v>
      </c>
      <c r="C30" s="3" t="s">
        <v>106</v>
      </c>
      <c r="D30" s="3"/>
      <c r="E30" s="3"/>
      <c r="F30" s="20">
        <v>-8609.01</v>
      </c>
      <c r="G30" s="30" t="s">
        <v>103</v>
      </c>
      <c r="H30" s="4" t="s">
        <v>12</v>
      </c>
      <c r="I30" s="4" t="s">
        <v>124</v>
      </c>
      <c r="J30" s="23"/>
      <c r="K30" s="11"/>
      <c r="L30" s="1"/>
      <c r="M30" s="1"/>
      <c r="N30" s="1"/>
      <c r="O30" s="1"/>
    </row>
    <row r="31" spans="1:15" x14ac:dyDescent="0.2">
      <c r="A31" s="1"/>
      <c r="B31" s="1" t="s">
        <v>5</v>
      </c>
      <c r="C31" s="3" t="s">
        <v>39</v>
      </c>
      <c r="D31" s="3"/>
      <c r="E31" s="3"/>
      <c r="F31" s="20">
        <v>6932.05</v>
      </c>
      <c r="G31" s="30" t="s">
        <v>74</v>
      </c>
      <c r="H31" s="4" t="s">
        <v>12</v>
      </c>
      <c r="I31" s="4" t="s">
        <v>124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1</v>
      </c>
      <c r="C32" s="3" t="s">
        <v>73</v>
      </c>
      <c r="D32" s="3"/>
      <c r="E32" s="3"/>
      <c r="F32" s="20">
        <v>-6932.05</v>
      </c>
      <c r="G32" s="30" t="s">
        <v>74</v>
      </c>
      <c r="H32" s="4" t="s">
        <v>12</v>
      </c>
      <c r="I32" s="4" t="s">
        <v>124</v>
      </c>
      <c r="J32" s="23"/>
      <c r="K32" s="11"/>
      <c r="L32" s="1"/>
      <c r="M32" s="1"/>
      <c r="N32" s="1"/>
      <c r="O32" s="1"/>
    </row>
    <row r="33" spans="1:15" x14ac:dyDescent="0.2">
      <c r="A33" s="1"/>
      <c r="B33" s="1"/>
      <c r="C33" s="3"/>
      <c r="D33" s="3"/>
      <c r="E33" s="3"/>
      <c r="F33" s="20"/>
      <c r="G33" s="30"/>
      <c r="H33" s="4"/>
      <c r="I33" s="4"/>
      <c r="J33" s="23"/>
      <c r="K33" s="11"/>
      <c r="L33" s="1"/>
      <c r="M33" s="1"/>
      <c r="N33" s="1"/>
      <c r="O33" s="1"/>
    </row>
    <row r="34" spans="1:15" x14ac:dyDescent="0.2">
      <c r="A34" s="1"/>
      <c r="B34" s="1"/>
      <c r="C34" s="40"/>
      <c r="D34" s="3"/>
      <c r="E34" s="3"/>
      <c r="F34" s="20"/>
      <c r="G34" s="30"/>
      <c r="H34" s="4"/>
      <c r="I34" s="4"/>
      <c r="J34" s="11"/>
      <c r="K34" s="11"/>
      <c r="L34" s="1"/>
      <c r="M34" s="1"/>
      <c r="N34" s="1"/>
      <c r="O34" s="1"/>
    </row>
    <row r="35" spans="1:15" x14ac:dyDescent="0.2">
      <c r="A35" s="1"/>
      <c r="B35" s="1"/>
      <c r="C35" s="3"/>
      <c r="D35" s="3"/>
      <c r="E35" s="3"/>
      <c r="F35" s="20"/>
      <c r="G35" s="30"/>
      <c r="H35" s="4"/>
      <c r="I35" s="4"/>
      <c r="J35" s="11"/>
      <c r="K35" s="11"/>
      <c r="L35" s="1"/>
      <c r="M35" s="1"/>
      <c r="N35" s="1"/>
      <c r="O35" s="1"/>
    </row>
    <row r="36" spans="1:15" x14ac:dyDescent="0.2">
      <c r="A36" s="1"/>
      <c r="B36" s="1"/>
      <c r="C36" s="12"/>
      <c r="D36" s="12"/>
      <c r="E36" s="12"/>
      <c r="F36" s="5"/>
      <c r="G36" s="13"/>
      <c r="H36" s="4"/>
      <c r="I36" s="4"/>
      <c r="J36" s="7"/>
      <c r="K36" s="11"/>
      <c r="L36" s="1"/>
      <c r="M36" s="1"/>
      <c r="N36" s="1"/>
      <c r="O36" s="1"/>
    </row>
    <row r="37" spans="1:15" ht="15" thickBot="1" x14ac:dyDescent="0.25">
      <c r="A37" s="1"/>
      <c r="B37" s="1"/>
      <c r="C37" s="3" t="s">
        <v>15</v>
      </c>
      <c r="D37" s="3"/>
      <c r="E37" s="3"/>
      <c r="F37" s="21">
        <f>SUMIF(F7:F32,"&lt;0",F7:F32)</f>
        <v>-102743.23</v>
      </c>
      <c r="G37" s="13" t="s">
        <v>13</v>
      </c>
      <c r="H37" s="4"/>
      <c r="I37" s="4"/>
      <c r="J37" s="7"/>
      <c r="K37" s="11"/>
      <c r="L37" s="1"/>
      <c r="M37" s="1"/>
      <c r="N37" s="1"/>
      <c r="O37" s="1"/>
    </row>
    <row r="38" spans="1:15" ht="15" thickTop="1" x14ac:dyDescent="0.2">
      <c r="A38" s="1"/>
      <c r="B38" s="1"/>
      <c r="C38" s="3"/>
      <c r="D38" s="3"/>
      <c r="E38" s="3"/>
      <c r="F38" s="5"/>
      <c r="G38" s="10"/>
      <c r="H38" s="4"/>
      <c r="I38" s="4"/>
      <c r="J38" s="7"/>
      <c r="K38" s="11"/>
      <c r="L38" s="1"/>
      <c r="M38" s="1"/>
      <c r="N38" s="1"/>
      <c r="O38" s="1"/>
    </row>
    <row r="39" spans="1:15" x14ac:dyDescent="0.2">
      <c r="K39" s="11"/>
      <c r="L39" s="1"/>
      <c r="M39" s="1"/>
      <c r="N39" s="1"/>
      <c r="O39" s="1"/>
    </row>
    <row r="40" spans="1:15" x14ac:dyDescent="0.2">
      <c r="K40" s="11"/>
      <c r="L40" s="1"/>
      <c r="M40" s="1"/>
      <c r="N40" s="1"/>
      <c r="O40" s="1"/>
    </row>
    <row r="41" spans="1:15" x14ac:dyDescent="0.2">
      <c r="K41" s="11"/>
      <c r="L41" s="1"/>
      <c r="M41" s="1"/>
      <c r="N41" s="1"/>
      <c r="O41" s="1"/>
    </row>
    <row r="42" spans="1:15" x14ac:dyDescent="0.2">
      <c r="B42" s="4" t="s">
        <v>5</v>
      </c>
      <c r="C42" s="3" t="s">
        <v>7</v>
      </c>
      <c r="D42" s="3"/>
      <c r="E42" s="3"/>
      <c r="F42" s="20">
        <v>7143.75</v>
      </c>
      <c r="G42" s="10" t="s">
        <v>26</v>
      </c>
      <c r="H42" s="4" t="s">
        <v>17</v>
      </c>
      <c r="I42" s="4" t="s">
        <v>124</v>
      </c>
      <c r="K42" s="11"/>
      <c r="L42" s="1"/>
      <c r="M42" s="1"/>
      <c r="N42" s="1"/>
      <c r="O42" s="1"/>
    </row>
    <row r="43" spans="1:15" x14ac:dyDescent="0.2">
      <c r="B43" s="4" t="s">
        <v>5</v>
      </c>
      <c r="C43" s="3" t="s">
        <v>6</v>
      </c>
      <c r="D43" s="3"/>
      <c r="E43" s="3"/>
      <c r="F43" s="20">
        <v>-7143.75</v>
      </c>
      <c r="G43" s="10" t="s">
        <v>26</v>
      </c>
      <c r="H43" s="4" t="s">
        <v>17</v>
      </c>
      <c r="I43" s="4" t="s">
        <v>124</v>
      </c>
      <c r="K43" s="11"/>
      <c r="L43" s="1"/>
      <c r="M43" s="1"/>
      <c r="N43" s="1"/>
      <c r="O43" s="1"/>
    </row>
    <row r="44" spans="1:15" x14ac:dyDescent="0.2">
      <c r="B44" s="4" t="s">
        <v>5</v>
      </c>
      <c r="C44" s="3" t="s">
        <v>7</v>
      </c>
      <c r="D44" s="3"/>
      <c r="E44" s="3"/>
      <c r="F44" s="20">
        <v>973.55</v>
      </c>
      <c r="G44" s="10" t="s">
        <v>57</v>
      </c>
      <c r="H44" s="4" t="s">
        <v>12</v>
      </c>
      <c r="I44" s="4" t="s">
        <v>124</v>
      </c>
    </row>
    <row r="45" spans="1:15" x14ac:dyDescent="0.2">
      <c r="B45" s="4" t="s">
        <v>5</v>
      </c>
      <c r="C45" s="3" t="s">
        <v>6</v>
      </c>
      <c r="D45" s="3"/>
      <c r="E45" s="3"/>
      <c r="F45" s="20">
        <v>-973.55</v>
      </c>
      <c r="G45" s="10" t="s">
        <v>57</v>
      </c>
      <c r="H45" s="4" t="s">
        <v>12</v>
      </c>
      <c r="I45" s="4" t="s">
        <v>124</v>
      </c>
    </row>
    <row r="46" spans="1:15" x14ac:dyDescent="0.2">
      <c r="B46" s="4" t="s">
        <v>5</v>
      </c>
      <c r="C46" s="3" t="s">
        <v>62</v>
      </c>
      <c r="D46" s="3"/>
      <c r="E46" s="3"/>
      <c r="F46" s="20">
        <v>6666.67</v>
      </c>
      <c r="G46" s="10" t="s">
        <v>64</v>
      </c>
      <c r="H46" s="4" t="s">
        <v>12</v>
      </c>
      <c r="I46" s="4" t="s">
        <v>124</v>
      </c>
    </row>
    <row r="47" spans="1:15" x14ac:dyDescent="0.2">
      <c r="B47" s="4" t="s">
        <v>5</v>
      </c>
      <c r="C47" s="3" t="s">
        <v>6</v>
      </c>
      <c r="D47" s="3"/>
      <c r="E47" s="3"/>
      <c r="F47" s="20">
        <v>-6666.67</v>
      </c>
      <c r="G47" s="10" t="s">
        <v>64</v>
      </c>
      <c r="H47" s="4" t="s">
        <v>12</v>
      </c>
      <c r="I47" s="4" t="s">
        <v>124</v>
      </c>
    </row>
    <row r="48" spans="1:15" x14ac:dyDescent="0.2">
      <c r="B48" s="4" t="s">
        <v>5</v>
      </c>
      <c r="C48" s="3" t="s">
        <v>62</v>
      </c>
      <c r="D48" s="3"/>
      <c r="E48" s="3"/>
      <c r="F48" s="20">
        <v>33416.67</v>
      </c>
      <c r="G48" s="10" t="s">
        <v>65</v>
      </c>
      <c r="H48" s="4" t="s">
        <v>12</v>
      </c>
      <c r="I48" s="4" t="s">
        <v>124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-33416.67</v>
      </c>
      <c r="G49" s="10" t="s">
        <v>65</v>
      </c>
      <c r="H49" s="4" t="s">
        <v>12</v>
      </c>
      <c r="I49" s="4" t="s">
        <v>124</v>
      </c>
    </row>
    <row r="50" spans="2:9" x14ac:dyDescent="0.2">
      <c r="B50" s="4" t="s">
        <v>5</v>
      </c>
      <c r="C50" s="3" t="s">
        <v>62</v>
      </c>
      <c r="D50" s="3"/>
      <c r="E50" s="3"/>
      <c r="F50" s="20">
        <v>949.17</v>
      </c>
      <c r="G50" s="10" t="s">
        <v>67</v>
      </c>
      <c r="H50" s="4" t="s">
        <v>12</v>
      </c>
      <c r="I50" s="4" t="s">
        <v>124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-949.17</v>
      </c>
      <c r="G51" s="10" t="s">
        <v>67</v>
      </c>
      <c r="H51" s="4" t="s">
        <v>12</v>
      </c>
      <c r="I51" s="4" t="s">
        <v>124</v>
      </c>
    </row>
    <row r="52" spans="2:9" x14ac:dyDescent="0.2">
      <c r="B52" s="4" t="s">
        <v>5</v>
      </c>
      <c r="C52" s="3" t="s">
        <v>62</v>
      </c>
      <c r="D52" s="3"/>
      <c r="E52" s="3"/>
      <c r="F52" s="20">
        <v>371.48</v>
      </c>
      <c r="G52" s="10" t="s">
        <v>68</v>
      </c>
      <c r="H52" s="4" t="s">
        <v>12</v>
      </c>
      <c r="I52" s="4" t="s">
        <v>124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-371.48</v>
      </c>
      <c r="G53" s="10" t="s">
        <v>68</v>
      </c>
      <c r="H53" s="4" t="s">
        <v>12</v>
      </c>
      <c r="I53" s="4" t="s">
        <v>124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2167.41</v>
      </c>
      <c r="G54" s="10" t="s">
        <v>77</v>
      </c>
      <c r="H54" s="4" t="s">
        <v>78</v>
      </c>
      <c r="I54" s="4" t="s">
        <v>124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-2167.41</v>
      </c>
      <c r="G55" s="10" t="s">
        <v>77</v>
      </c>
      <c r="H55" s="4" t="s">
        <v>78</v>
      </c>
      <c r="I55" s="4" t="s">
        <v>124</v>
      </c>
    </row>
    <row r="56" spans="2:9" x14ac:dyDescent="0.2">
      <c r="B56" s="4" t="s">
        <v>5</v>
      </c>
      <c r="C56" s="3" t="s">
        <v>62</v>
      </c>
      <c r="D56" s="3"/>
      <c r="E56" s="3"/>
      <c r="F56" s="20">
        <v>1041.67</v>
      </c>
      <c r="G56" s="10" t="s">
        <v>80</v>
      </c>
      <c r="H56" s="4" t="s">
        <v>79</v>
      </c>
      <c r="I56" s="4" t="s">
        <v>124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-1041.67</v>
      </c>
      <c r="G57" s="10" t="s">
        <v>80</v>
      </c>
      <c r="H57" s="4" t="s">
        <v>79</v>
      </c>
      <c r="I57" s="4" t="s">
        <v>124</v>
      </c>
    </row>
    <row r="58" spans="2:9" x14ac:dyDescent="0.2">
      <c r="B58" s="4" t="s">
        <v>5</v>
      </c>
      <c r="C58" s="3" t="s">
        <v>62</v>
      </c>
      <c r="D58" s="3"/>
      <c r="E58" s="3"/>
      <c r="F58" s="20">
        <v>1100</v>
      </c>
      <c r="G58" s="10" t="s">
        <v>81</v>
      </c>
      <c r="H58" s="4" t="s">
        <v>86</v>
      </c>
      <c r="I58" s="4" t="s">
        <v>124</v>
      </c>
    </row>
    <row r="59" spans="2:9" x14ac:dyDescent="0.2">
      <c r="B59" s="4" t="s">
        <v>5</v>
      </c>
      <c r="C59" s="3" t="s">
        <v>6</v>
      </c>
      <c r="D59" s="3"/>
      <c r="E59" s="3"/>
      <c r="F59" s="20">
        <v>-1100</v>
      </c>
      <c r="G59" s="10" t="s">
        <v>81</v>
      </c>
      <c r="H59" s="4" t="s">
        <v>86</v>
      </c>
      <c r="I59" s="4" t="s">
        <v>124</v>
      </c>
    </row>
    <row r="60" spans="2:9" x14ac:dyDescent="0.2">
      <c r="B60" s="4" t="s">
        <v>5</v>
      </c>
      <c r="C60" s="3" t="s">
        <v>62</v>
      </c>
      <c r="D60" s="3"/>
      <c r="E60" s="3"/>
      <c r="F60" s="20">
        <v>473.11</v>
      </c>
      <c r="G60" s="10" t="s">
        <v>85</v>
      </c>
      <c r="H60" s="4" t="s">
        <v>86</v>
      </c>
      <c r="I60" s="4" t="s">
        <v>124</v>
      </c>
    </row>
    <row r="61" spans="2:9" x14ac:dyDescent="0.2">
      <c r="B61" s="4" t="s">
        <v>5</v>
      </c>
      <c r="C61" s="3" t="s">
        <v>6</v>
      </c>
      <c r="D61" s="3"/>
      <c r="E61" s="3"/>
      <c r="F61" s="20">
        <v>-473.11</v>
      </c>
      <c r="G61" s="10" t="s">
        <v>85</v>
      </c>
      <c r="H61" s="4" t="s">
        <v>86</v>
      </c>
      <c r="I61" s="4" t="s">
        <v>124</v>
      </c>
    </row>
    <row r="62" spans="2:9" x14ac:dyDescent="0.2">
      <c r="B62" s="4" t="s">
        <v>5</v>
      </c>
      <c r="C62" s="3" t="s">
        <v>62</v>
      </c>
      <c r="D62" s="3"/>
      <c r="E62" s="3"/>
      <c r="F62" s="20">
        <v>3202.58</v>
      </c>
      <c r="G62" s="10" t="s">
        <v>88</v>
      </c>
      <c r="H62" s="4" t="s">
        <v>12</v>
      </c>
      <c r="I62" s="4" t="s">
        <v>124</v>
      </c>
    </row>
    <row r="63" spans="2:9" x14ac:dyDescent="0.2">
      <c r="B63" s="4" t="s">
        <v>5</v>
      </c>
      <c r="C63" s="3" t="s">
        <v>6</v>
      </c>
      <c r="D63" s="3"/>
      <c r="E63" s="3"/>
      <c r="F63" s="20">
        <v>-3202.58</v>
      </c>
      <c r="G63" s="10" t="s">
        <v>88</v>
      </c>
      <c r="H63" s="4" t="s">
        <v>12</v>
      </c>
      <c r="I63" s="4" t="s">
        <v>124</v>
      </c>
    </row>
    <row r="64" spans="2:9" x14ac:dyDescent="0.2">
      <c r="B64" s="4" t="s">
        <v>5</v>
      </c>
      <c r="C64" s="3" t="s">
        <v>62</v>
      </c>
      <c r="D64" s="3"/>
      <c r="E64" s="3"/>
      <c r="F64" s="20">
        <v>2112.02</v>
      </c>
      <c r="G64" s="10" t="s">
        <v>107</v>
      </c>
      <c r="H64" s="4" t="s">
        <v>12</v>
      </c>
      <c r="I64" s="4" t="s">
        <v>124</v>
      </c>
    </row>
    <row r="65" spans="2:9" x14ac:dyDescent="0.2">
      <c r="B65" s="4" t="s">
        <v>5</v>
      </c>
      <c r="C65" s="3" t="s">
        <v>6</v>
      </c>
      <c r="D65" s="3"/>
      <c r="E65" s="3"/>
      <c r="F65" s="20">
        <v>-2112.02</v>
      </c>
      <c r="G65" s="10" t="s">
        <v>107</v>
      </c>
      <c r="H65" s="4" t="s">
        <v>12</v>
      </c>
      <c r="I65" s="4" t="s">
        <v>124</v>
      </c>
    </row>
    <row r="66" spans="2:9" x14ac:dyDescent="0.2">
      <c r="B66" s="4" t="s">
        <v>5</v>
      </c>
      <c r="C66" s="3" t="s">
        <v>62</v>
      </c>
      <c r="D66" s="3"/>
      <c r="E66" s="3"/>
      <c r="F66" s="20">
        <v>1976.42</v>
      </c>
      <c r="G66" s="10" t="s">
        <v>108</v>
      </c>
      <c r="H66" s="4" t="s">
        <v>12</v>
      </c>
      <c r="I66" s="4" t="s">
        <v>124</v>
      </c>
    </row>
    <row r="67" spans="2:9" x14ac:dyDescent="0.2">
      <c r="B67" s="4" t="s">
        <v>5</v>
      </c>
      <c r="C67" s="3" t="s">
        <v>6</v>
      </c>
      <c r="D67" s="3"/>
      <c r="E67" s="3"/>
      <c r="F67" s="20">
        <v>-1976.42</v>
      </c>
      <c r="G67" s="10" t="s">
        <v>108</v>
      </c>
      <c r="H67" s="4" t="s">
        <v>12</v>
      </c>
      <c r="I67" s="4" t="s">
        <v>124</v>
      </c>
    </row>
    <row r="68" spans="2:9" x14ac:dyDescent="0.2">
      <c r="B68" s="4" t="s">
        <v>5</v>
      </c>
      <c r="C68" s="3" t="s">
        <v>62</v>
      </c>
      <c r="D68" s="3"/>
      <c r="E68" s="3"/>
      <c r="F68" s="20">
        <v>1530.58</v>
      </c>
      <c r="G68" s="41" t="s">
        <v>110</v>
      </c>
      <c r="H68" s="4" t="s">
        <v>12</v>
      </c>
      <c r="I68" s="4" t="s">
        <v>124</v>
      </c>
    </row>
    <row r="69" spans="2:9" x14ac:dyDescent="0.2">
      <c r="B69" s="4" t="s">
        <v>5</v>
      </c>
      <c r="C69" s="3" t="s">
        <v>6</v>
      </c>
      <c r="D69" s="3"/>
      <c r="E69" s="3"/>
      <c r="F69" s="20">
        <v>-1530.58</v>
      </c>
      <c r="G69" s="41" t="s">
        <v>110</v>
      </c>
      <c r="H69" s="4" t="s">
        <v>12</v>
      </c>
      <c r="I69" s="4" t="s">
        <v>124</v>
      </c>
    </row>
    <row r="70" spans="2:9" x14ac:dyDescent="0.2">
      <c r="B70" s="4" t="s">
        <v>5</v>
      </c>
      <c r="C70" s="3" t="s">
        <v>62</v>
      </c>
      <c r="D70" s="3"/>
      <c r="E70" s="3"/>
      <c r="F70" s="20">
        <v>732</v>
      </c>
      <c r="G70" s="41" t="s">
        <v>111</v>
      </c>
      <c r="H70" s="4" t="s">
        <v>12</v>
      </c>
      <c r="I70" s="4" t="s">
        <v>124</v>
      </c>
    </row>
    <row r="71" spans="2:9" x14ac:dyDescent="0.2">
      <c r="B71" s="4" t="s">
        <v>5</v>
      </c>
      <c r="C71" s="3" t="s">
        <v>6</v>
      </c>
      <c r="D71" s="3"/>
      <c r="E71" s="3"/>
      <c r="F71" s="20">
        <v>-732</v>
      </c>
      <c r="G71" s="41" t="s">
        <v>111</v>
      </c>
      <c r="H71" s="4" t="s">
        <v>12</v>
      </c>
      <c r="I71" s="4" t="s">
        <v>124</v>
      </c>
    </row>
    <row r="72" spans="2:9" x14ac:dyDescent="0.2">
      <c r="B72" s="4" t="s">
        <v>5</v>
      </c>
      <c r="C72" s="3" t="s">
        <v>62</v>
      </c>
      <c r="D72" s="3"/>
      <c r="E72" s="3"/>
      <c r="F72" s="20">
        <v>2646.25</v>
      </c>
      <c r="G72" s="41" t="s">
        <v>113</v>
      </c>
      <c r="H72" s="4" t="s">
        <v>12</v>
      </c>
      <c r="I72" s="4" t="s">
        <v>124</v>
      </c>
    </row>
    <row r="73" spans="2:9" x14ac:dyDescent="0.2">
      <c r="B73" s="4" t="s">
        <v>5</v>
      </c>
      <c r="C73" s="3" t="s">
        <v>6</v>
      </c>
      <c r="D73" s="3"/>
      <c r="E73" s="3"/>
      <c r="F73" s="20">
        <v>-2646.25</v>
      </c>
      <c r="G73" s="41" t="s">
        <v>113</v>
      </c>
      <c r="H73" s="4" t="s">
        <v>12</v>
      </c>
      <c r="I73" s="4" t="s">
        <v>124</v>
      </c>
    </row>
    <row r="74" spans="2:9" x14ac:dyDescent="0.2">
      <c r="B74" s="4" t="s">
        <v>5</v>
      </c>
      <c r="C74" s="3" t="s">
        <v>62</v>
      </c>
      <c r="D74" s="3"/>
      <c r="E74" s="3"/>
      <c r="F74" s="20">
        <v>3794.42</v>
      </c>
      <c r="G74" s="41" t="s">
        <v>114</v>
      </c>
      <c r="H74" s="4" t="s">
        <v>12</v>
      </c>
      <c r="I74" s="4" t="s">
        <v>124</v>
      </c>
    </row>
    <row r="75" spans="2:9" x14ac:dyDescent="0.2">
      <c r="B75" s="4" t="s">
        <v>5</v>
      </c>
      <c r="C75" s="3" t="s">
        <v>6</v>
      </c>
      <c r="D75" s="3"/>
      <c r="E75" s="3"/>
      <c r="F75" s="20">
        <v>-3794.42</v>
      </c>
      <c r="G75" s="41" t="s">
        <v>114</v>
      </c>
      <c r="H75" s="4" t="s">
        <v>12</v>
      </c>
      <c r="I75" s="4" t="s">
        <v>124</v>
      </c>
    </row>
    <row r="76" spans="2:9" x14ac:dyDescent="0.2">
      <c r="B76" s="16" t="s">
        <v>5</v>
      </c>
      <c r="C76" s="17" t="s">
        <v>62</v>
      </c>
      <c r="D76" s="17"/>
      <c r="E76" s="17"/>
      <c r="F76" s="22">
        <v>843.14</v>
      </c>
      <c r="G76" s="43" t="s">
        <v>123</v>
      </c>
      <c r="H76" s="16" t="s">
        <v>12</v>
      </c>
      <c r="I76" s="16" t="s">
        <v>124</v>
      </c>
    </row>
    <row r="77" spans="2:9" x14ac:dyDescent="0.2">
      <c r="B77" s="16" t="s">
        <v>5</v>
      </c>
      <c r="C77" s="17" t="s">
        <v>6</v>
      </c>
      <c r="D77" s="17"/>
      <c r="E77" s="17"/>
      <c r="F77" s="22">
        <v>-843.14</v>
      </c>
      <c r="G77" s="43" t="s">
        <v>123</v>
      </c>
      <c r="H77" s="16" t="s">
        <v>12</v>
      </c>
      <c r="I77" s="16" t="s">
        <v>124</v>
      </c>
    </row>
    <row r="78" spans="2:9" ht="13.5" customHeight="1" x14ac:dyDescent="0.2"/>
    <row r="81" spans="3:7" ht="15" thickBot="1" x14ac:dyDescent="0.25">
      <c r="C81" t="s">
        <v>14</v>
      </c>
      <c r="F81" s="21">
        <f>SUMIF(F42:F80,"&lt;0",F42:F80)</f>
        <v>-71140.889999999985</v>
      </c>
      <c r="G81" t="s">
        <v>13</v>
      </c>
    </row>
    <row r="82" spans="3:7" ht="15" thickTop="1" x14ac:dyDescent="0.2"/>
  </sheetData>
  <autoFilter ref="A6:O6" xr:uid="{C72EA621-673A-4200-BC3A-FC9120173B40}"/>
  <hyperlinks>
    <hyperlink ref="F1" r:id="rId1" xr:uid="{DAEDD15B-AB76-4C2C-B44E-170556697262}"/>
  </hyperlinks>
  <pageMargins left="0.7" right="0.7" top="0.75" bottom="0.75" header="0.3" footer="0.3"/>
  <pageSetup paperSize="9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2169-173F-4816-9A5D-EA0D8C2AEC3F}">
  <sheetPr>
    <tabColor theme="9" tint="0.59999389629810485"/>
  </sheetPr>
  <dimension ref="A1:O82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121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121</v>
      </c>
      <c r="J8" s="11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60</v>
      </c>
      <c r="D9" s="25"/>
      <c r="E9" s="25"/>
      <c r="F9" s="26">
        <v>1291.67</v>
      </c>
      <c r="G9" s="29" t="s">
        <v>59</v>
      </c>
      <c r="H9" s="28" t="s">
        <v>12</v>
      </c>
      <c r="I9" s="28" t="s">
        <v>121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61</v>
      </c>
      <c r="D10" s="25"/>
      <c r="E10" s="25"/>
      <c r="F10" s="26">
        <v>1291.67</v>
      </c>
      <c r="G10" s="29" t="s">
        <v>59</v>
      </c>
      <c r="H10" s="28" t="s">
        <v>12</v>
      </c>
      <c r="I10" s="28" t="s">
        <v>121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1</v>
      </c>
      <c r="C11" s="25" t="s">
        <v>2</v>
      </c>
      <c r="D11" s="25"/>
      <c r="E11" s="25"/>
      <c r="F11" s="26">
        <v>-2583.34</v>
      </c>
      <c r="G11" s="29" t="s">
        <v>59</v>
      </c>
      <c r="H11" s="28" t="s">
        <v>12</v>
      </c>
      <c r="I11" s="28" t="s">
        <v>121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5</v>
      </c>
      <c r="C12" s="3" t="s">
        <v>11</v>
      </c>
      <c r="D12" s="3"/>
      <c r="E12" s="3"/>
      <c r="F12" s="20">
        <v>5750</v>
      </c>
      <c r="G12" s="30" t="s">
        <v>66</v>
      </c>
      <c r="H12" s="4" t="s">
        <v>12</v>
      </c>
      <c r="I12" s="4" t="s">
        <v>121</v>
      </c>
      <c r="J12" s="11"/>
      <c r="K12" s="11"/>
      <c r="L12" s="1"/>
      <c r="M12" s="1"/>
      <c r="N12" s="1"/>
      <c r="O12" s="1"/>
    </row>
    <row r="13" spans="1:15" x14ac:dyDescent="0.2">
      <c r="A13" s="1"/>
      <c r="B13" s="1" t="s">
        <v>1</v>
      </c>
      <c r="C13" s="3" t="s">
        <v>2</v>
      </c>
      <c r="D13" s="3"/>
      <c r="E13" s="3"/>
      <c r="F13" s="20">
        <v>-5750</v>
      </c>
      <c r="G13" s="30" t="s">
        <v>66</v>
      </c>
      <c r="H13" s="4" t="s">
        <v>12</v>
      </c>
      <c r="I13" s="4" t="s">
        <v>121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70</v>
      </c>
      <c r="D14" s="3"/>
      <c r="E14" s="3"/>
      <c r="F14" s="20">
        <v>19206.060000000001</v>
      </c>
      <c r="G14" s="30" t="s">
        <v>72</v>
      </c>
      <c r="H14" s="4" t="s">
        <v>12</v>
      </c>
      <c r="I14" s="4" t="s">
        <v>121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-19206.060000000001</v>
      </c>
      <c r="G15" s="30" t="s">
        <v>72</v>
      </c>
      <c r="H15" s="4" t="s">
        <v>12</v>
      </c>
      <c r="I15" s="4" t="s">
        <v>121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83</v>
      </c>
      <c r="D16" s="3"/>
      <c r="E16" s="3"/>
      <c r="F16" s="20">
        <v>6666.67</v>
      </c>
      <c r="G16" s="30" t="s">
        <v>84</v>
      </c>
      <c r="H16" s="4" t="s">
        <v>12</v>
      </c>
      <c r="I16" s="4" t="s">
        <v>121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-6666.67</v>
      </c>
      <c r="G17" s="30" t="s">
        <v>84</v>
      </c>
      <c r="H17" s="4" t="s">
        <v>12</v>
      </c>
      <c r="I17" s="4" t="s">
        <v>121</v>
      </c>
      <c r="J17" s="11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89</v>
      </c>
      <c r="D18" s="25"/>
      <c r="E18" s="25"/>
      <c r="F18" s="26">
        <v>479.74621212121201</v>
      </c>
      <c r="G18" s="29" t="s">
        <v>94</v>
      </c>
      <c r="H18" s="28" t="s">
        <v>12</v>
      </c>
      <c r="I18" s="28" t="s">
        <v>121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90</v>
      </c>
      <c r="D19" s="25"/>
      <c r="E19" s="25"/>
      <c r="F19" s="26">
        <v>479.74318181818199</v>
      </c>
      <c r="G19" s="29" t="s">
        <v>94</v>
      </c>
      <c r="H19" s="28" t="s">
        <v>12</v>
      </c>
      <c r="I19" s="28" t="s">
        <v>121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91</v>
      </c>
      <c r="D20" s="25"/>
      <c r="E20" s="25"/>
      <c r="F20" s="26">
        <v>479.74318181818199</v>
      </c>
      <c r="G20" s="29" t="s">
        <v>94</v>
      </c>
      <c r="H20" s="28" t="s">
        <v>12</v>
      </c>
      <c r="I20" s="28" t="s">
        <v>121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92</v>
      </c>
      <c r="D21" s="25"/>
      <c r="E21" s="25"/>
      <c r="F21" s="26">
        <v>479.74318181818199</v>
      </c>
      <c r="G21" s="29" t="s">
        <v>94</v>
      </c>
      <c r="H21" s="28" t="s">
        <v>12</v>
      </c>
      <c r="I21" s="28" t="s">
        <v>121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1</v>
      </c>
      <c r="C22" s="25" t="s">
        <v>2</v>
      </c>
      <c r="D22" s="25"/>
      <c r="E22" s="25"/>
      <c r="F22" s="26">
        <v>-1918.97</v>
      </c>
      <c r="G22" s="29" t="s">
        <v>94</v>
      </c>
      <c r="H22" s="28" t="s">
        <v>12</v>
      </c>
      <c r="I22" s="28" t="s">
        <v>121</v>
      </c>
      <c r="J22" s="23"/>
      <c r="K22" s="11"/>
      <c r="L22" s="1"/>
      <c r="M22" s="1"/>
      <c r="N22" s="1"/>
      <c r="O22" s="1"/>
    </row>
    <row r="23" spans="1:15" x14ac:dyDescent="0.2">
      <c r="A23" s="1"/>
      <c r="B23" s="1" t="s">
        <v>5</v>
      </c>
      <c r="C23" s="3" t="s">
        <v>4</v>
      </c>
      <c r="D23" s="3"/>
      <c r="E23" s="3"/>
      <c r="F23" s="20">
        <v>43749.13</v>
      </c>
      <c r="G23" s="30" t="s">
        <v>99</v>
      </c>
      <c r="H23" s="4"/>
      <c r="I23" s="4" t="s">
        <v>121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1</v>
      </c>
      <c r="C24" s="3" t="s">
        <v>16</v>
      </c>
      <c r="D24" s="3"/>
      <c r="E24" s="3"/>
      <c r="F24" s="20">
        <v>-43749.13</v>
      </c>
      <c r="G24" s="30" t="s">
        <v>99</v>
      </c>
      <c r="H24" s="4"/>
      <c r="I24" s="4" t="s">
        <v>121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5</v>
      </c>
      <c r="C25" s="3" t="s">
        <v>118</v>
      </c>
      <c r="D25" s="3"/>
      <c r="E25" s="3"/>
      <c r="F25" s="20">
        <v>6446.83</v>
      </c>
      <c r="G25" s="42" t="s">
        <v>116</v>
      </c>
      <c r="H25" s="4"/>
      <c r="I25" s="4" t="s">
        <v>121</v>
      </c>
      <c r="J25" s="23"/>
      <c r="K25" s="11"/>
      <c r="L25" s="1"/>
      <c r="M25" s="1"/>
      <c r="N25" s="1"/>
      <c r="O25" s="1"/>
    </row>
    <row r="26" spans="1:15" x14ac:dyDescent="0.2">
      <c r="A26" s="1"/>
      <c r="B26" s="1" t="s">
        <v>1</v>
      </c>
      <c r="C26" s="3" t="s">
        <v>2</v>
      </c>
      <c r="D26" s="3"/>
      <c r="E26" s="3"/>
      <c r="F26" s="20">
        <v>-6446.83</v>
      </c>
      <c r="G26" s="42" t="s">
        <v>116</v>
      </c>
      <c r="H26" s="4"/>
      <c r="I26" s="4" t="s">
        <v>121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5</v>
      </c>
      <c r="C27" s="3" t="s">
        <v>10</v>
      </c>
      <c r="D27" s="3"/>
      <c r="E27" s="3"/>
      <c r="F27" s="20">
        <v>509.17</v>
      </c>
      <c r="G27" s="42" t="s">
        <v>117</v>
      </c>
      <c r="H27" s="4"/>
      <c r="I27" s="4" t="s">
        <v>121</v>
      </c>
      <c r="J27" s="23"/>
      <c r="K27" s="11"/>
      <c r="L27" s="1"/>
      <c r="M27" s="1"/>
      <c r="N27" s="1"/>
      <c r="O27" s="1"/>
    </row>
    <row r="28" spans="1:15" x14ac:dyDescent="0.2">
      <c r="A28" s="1"/>
      <c r="B28" s="1" t="s">
        <v>1</v>
      </c>
      <c r="C28" s="3" t="s">
        <v>2</v>
      </c>
      <c r="D28" s="3"/>
      <c r="E28" s="3"/>
      <c r="F28" s="20">
        <v>-509.17</v>
      </c>
      <c r="G28" s="42" t="s">
        <v>117</v>
      </c>
      <c r="H28" s="4"/>
      <c r="I28" s="4" t="s">
        <v>121</v>
      </c>
      <c r="J28" s="23"/>
      <c r="K28" s="11"/>
      <c r="L28" s="1"/>
      <c r="M28" s="1"/>
      <c r="N28" s="1"/>
      <c r="O28" s="1"/>
    </row>
    <row r="29" spans="1:15" x14ac:dyDescent="0.2">
      <c r="A29" s="1"/>
      <c r="B29" s="1" t="s">
        <v>5</v>
      </c>
      <c r="C29" s="3" t="s">
        <v>105</v>
      </c>
      <c r="D29" s="3"/>
      <c r="E29" s="3"/>
      <c r="F29" s="20">
        <v>8609.01</v>
      </c>
      <c r="G29" s="30" t="s">
        <v>103</v>
      </c>
      <c r="H29" s="4" t="s">
        <v>12</v>
      </c>
      <c r="I29" s="4" t="s">
        <v>121</v>
      </c>
      <c r="J29" s="23"/>
      <c r="K29" s="11"/>
      <c r="L29" s="1"/>
      <c r="M29" s="1"/>
      <c r="N29" s="1"/>
      <c r="O29" s="1"/>
    </row>
    <row r="30" spans="1:15" x14ac:dyDescent="0.2">
      <c r="A30" s="1"/>
      <c r="B30" s="1" t="s">
        <v>1</v>
      </c>
      <c r="C30" s="3" t="s">
        <v>106</v>
      </c>
      <c r="D30" s="3"/>
      <c r="E30" s="3"/>
      <c r="F30" s="20">
        <v>-8609.01</v>
      </c>
      <c r="G30" s="30" t="s">
        <v>103</v>
      </c>
      <c r="H30" s="4" t="s">
        <v>12</v>
      </c>
      <c r="I30" s="4" t="s">
        <v>121</v>
      </c>
      <c r="J30" s="23"/>
      <c r="K30" s="11"/>
      <c r="L30" s="1"/>
      <c r="M30" s="1"/>
      <c r="N30" s="1"/>
      <c r="O30" s="1"/>
    </row>
    <row r="31" spans="1:15" x14ac:dyDescent="0.2">
      <c r="A31" s="1"/>
      <c r="B31" s="1" t="s">
        <v>5</v>
      </c>
      <c r="C31" s="3" t="s">
        <v>39</v>
      </c>
      <c r="D31" s="3"/>
      <c r="E31" s="3"/>
      <c r="F31" s="20">
        <v>6932.05</v>
      </c>
      <c r="G31" s="30" t="s">
        <v>74</v>
      </c>
      <c r="H31" s="4" t="s">
        <v>12</v>
      </c>
      <c r="I31" s="4" t="s">
        <v>121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1</v>
      </c>
      <c r="C32" s="3" t="s">
        <v>73</v>
      </c>
      <c r="D32" s="3"/>
      <c r="E32" s="3"/>
      <c r="F32" s="20">
        <v>-6932.05</v>
      </c>
      <c r="G32" s="30" t="s">
        <v>74</v>
      </c>
      <c r="H32" s="4" t="s">
        <v>12</v>
      </c>
      <c r="I32" s="4" t="s">
        <v>121</v>
      </c>
      <c r="J32" s="23"/>
      <c r="K32" s="11"/>
      <c r="L32" s="1"/>
      <c r="M32" s="1"/>
      <c r="N32" s="1"/>
      <c r="O32" s="1"/>
    </row>
    <row r="33" spans="1:15" x14ac:dyDescent="0.2">
      <c r="A33" s="1"/>
      <c r="B33" s="1"/>
      <c r="C33" s="3"/>
      <c r="D33" s="3"/>
      <c r="E33" s="3"/>
      <c r="F33" s="20"/>
      <c r="G33" s="30"/>
      <c r="H33" s="4"/>
      <c r="I33" s="4"/>
      <c r="J33" s="23"/>
      <c r="K33" s="11"/>
      <c r="L33" s="1"/>
      <c r="M33" s="1"/>
      <c r="N33" s="1"/>
      <c r="O33" s="1"/>
    </row>
    <row r="34" spans="1:15" x14ac:dyDescent="0.2">
      <c r="A34" s="1"/>
      <c r="B34" s="1"/>
      <c r="C34" s="40"/>
      <c r="D34" s="3"/>
      <c r="E34" s="3"/>
      <c r="F34" s="20"/>
      <c r="G34" s="30"/>
      <c r="H34" s="4"/>
      <c r="I34" s="4"/>
      <c r="J34" s="11"/>
      <c r="K34" s="11"/>
      <c r="L34" s="1"/>
      <c r="M34" s="1"/>
      <c r="N34" s="1"/>
      <c r="O34" s="1"/>
    </row>
    <row r="35" spans="1:15" x14ac:dyDescent="0.2">
      <c r="A35" s="1"/>
      <c r="B35" s="1"/>
      <c r="C35" s="3"/>
      <c r="D35" s="3"/>
      <c r="E35" s="3"/>
      <c r="F35" s="20"/>
      <c r="G35" s="30"/>
      <c r="H35" s="4"/>
      <c r="I35" s="4"/>
      <c r="J35" s="11"/>
      <c r="K35" s="11"/>
      <c r="L35" s="1"/>
      <c r="M35" s="1"/>
      <c r="N35" s="1"/>
      <c r="O35" s="1"/>
    </row>
    <row r="36" spans="1:15" x14ac:dyDescent="0.2">
      <c r="A36" s="1"/>
      <c r="B36" s="1"/>
      <c r="C36" s="12"/>
      <c r="D36" s="12"/>
      <c r="E36" s="12"/>
      <c r="F36" s="5"/>
      <c r="G36" s="13"/>
      <c r="H36" s="4"/>
      <c r="I36" s="4"/>
      <c r="J36" s="7"/>
      <c r="K36" s="11"/>
      <c r="L36" s="1"/>
      <c r="M36" s="1"/>
      <c r="N36" s="1"/>
      <c r="O36" s="1"/>
    </row>
    <row r="37" spans="1:15" ht="15" thickBot="1" x14ac:dyDescent="0.25">
      <c r="A37" s="1"/>
      <c r="B37" s="1"/>
      <c r="C37" s="3" t="s">
        <v>15</v>
      </c>
      <c r="D37" s="3"/>
      <c r="E37" s="3"/>
      <c r="F37" s="21">
        <f>SUMIF(F7:F32,"&lt;0",F7:F32)</f>
        <v>-102743.23</v>
      </c>
      <c r="G37" s="13" t="s">
        <v>13</v>
      </c>
      <c r="H37" s="4"/>
      <c r="I37" s="4"/>
      <c r="J37" s="7"/>
      <c r="K37" s="11"/>
      <c r="L37" s="1"/>
      <c r="M37" s="1"/>
      <c r="N37" s="1"/>
      <c r="O37" s="1"/>
    </row>
    <row r="38" spans="1:15" ht="15" thickTop="1" x14ac:dyDescent="0.2">
      <c r="A38" s="1"/>
      <c r="B38" s="1"/>
      <c r="C38" s="3"/>
      <c r="D38" s="3"/>
      <c r="E38" s="3"/>
      <c r="F38" s="5"/>
      <c r="G38" s="10"/>
      <c r="H38" s="4"/>
      <c r="I38" s="4"/>
      <c r="J38" s="7"/>
      <c r="K38" s="11"/>
      <c r="L38" s="1"/>
      <c r="M38" s="1"/>
      <c r="N38" s="1"/>
      <c r="O38" s="1"/>
    </row>
    <row r="39" spans="1:15" x14ac:dyDescent="0.2">
      <c r="K39" s="11"/>
      <c r="L39" s="1"/>
      <c r="M39" s="1"/>
      <c r="N39" s="1"/>
      <c r="O39" s="1"/>
    </row>
    <row r="40" spans="1:15" x14ac:dyDescent="0.2">
      <c r="K40" s="11"/>
      <c r="L40" s="1"/>
      <c r="M40" s="1"/>
      <c r="N40" s="1"/>
      <c r="O40" s="1"/>
    </row>
    <row r="41" spans="1:15" x14ac:dyDescent="0.2">
      <c r="K41" s="11"/>
      <c r="L41" s="1"/>
      <c r="M41" s="1"/>
      <c r="N41" s="1"/>
      <c r="O41" s="1"/>
    </row>
    <row r="42" spans="1:15" x14ac:dyDescent="0.2">
      <c r="B42" s="4" t="s">
        <v>5</v>
      </c>
      <c r="C42" s="3" t="s">
        <v>7</v>
      </c>
      <c r="D42" s="3"/>
      <c r="E42" s="3"/>
      <c r="F42" s="20">
        <v>7143.75</v>
      </c>
      <c r="G42" s="10" t="s">
        <v>26</v>
      </c>
      <c r="H42" s="4" t="s">
        <v>17</v>
      </c>
      <c r="I42" s="4" t="s">
        <v>122</v>
      </c>
      <c r="K42" s="11"/>
      <c r="L42" s="1"/>
      <c r="M42" s="1"/>
      <c r="N42" s="1"/>
      <c r="O42" s="1"/>
    </row>
    <row r="43" spans="1:15" x14ac:dyDescent="0.2">
      <c r="B43" s="4" t="s">
        <v>5</v>
      </c>
      <c r="C43" s="3" t="s">
        <v>6</v>
      </c>
      <c r="D43" s="3"/>
      <c r="E43" s="3"/>
      <c r="F43" s="20">
        <v>-7143.75</v>
      </c>
      <c r="G43" s="10" t="s">
        <v>26</v>
      </c>
      <c r="H43" s="4" t="s">
        <v>17</v>
      </c>
      <c r="I43" s="4" t="s">
        <v>121</v>
      </c>
      <c r="K43" s="11"/>
      <c r="L43" s="1"/>
      <c r="M43" s="1"/>
      <c r="N43" s="1"/>
      <c r="O43" s="1"/>
    </row>
    <row r="44" spans="1:15" x14ac:dyDescent="0.2">
      <c r="B44" s="4" t="s">
        <v>5</v>
      </c>
      <c r="C44" s="3" t="s">
        <v>7</v>
      </c>
      <c r="D44" s="3"/>
      <c r="E44" s="3"/>
      <c r="F44" s="20">
        <v>1101.83</v>
      </c>
      <c r="G44" s="10" t="s">
        <v>55</v>
      </c>
      <c r="H44" s="4" t="s">
        <v>12</v>
      </c>
      <c r="I44" s="4" t="s">
        <v>121</v>
      </c>
    </row>
    <row r="45" spans="1:15" x14ac:dyDescent="0.2">
      <c r="B45" s="4" t="s">
        <v>5</v>
      </c>
      <c r="C45" s="3" t="s">
        <v>6</v>
      </c>
      <c r="D45" s="3"/>
      <c r="E45" s="3"/>
      <c r="F45" s="20">
        <v>-1101.83</v>
      </c>
      <c r="G45" s="10" t="s">
        <v>55</v>
      </c>
      <c r="H45" s="4" t="s">
        <v>12</v>
      </c>
      <c r="I45" s="4" t="s">
        <v>121</v>
      </c>
    </row>
    <row r="46" spans="1:15" x14ac:dyDescent="0.2">
      <c r="B46" s="4" t="s">
        <v>5</v>
      </c>
      <c r="C46" s="3" t="s">
        <v>7</v>
      </c>
      <c r="D46" s="3"/>
      <c r="E46" s="3"/>
      <c r="F46" s="20">
        <v>973.55</v>
      </c>
      <c r="G46" s="10" t="s">
        <v>57</v>
      </c>
      <c r="H46" s="4" t="s">
        <v>12</v>
      </c>
      <c r="I46" s="4" t="s">
        <v>121</v>
      </c>
    </row>
    <row r="47" spans="1:15" x14ac:dyDescent="0.2">
      <c r="B47" s="4" t="s">
        <v>5</v>
      </c>
      <c r="C47" s="3" t="s">
        <v>6</v>
      </c>
      <c r="D47" s="3"/>
      <c r="E47" s="3"/>
      <c r="F47" s="20">
        <v>-973.55</v>
      </c>
      <c r="G47" s="10" t="s">
        <v>57</v>
      </c>
      <c r="H47" s="4" t="s">
        <v>12</v>
      </c>
      <c r="I47" s="4" t="s">
        <v>121</v>
      </c>
    </row>
    <row r="48" spans="1:15" x14ac:dyDescent="0.2">
      <c r="B48" s="4" t="s">
        <v>5</v>
      </c>
      <c r="C48" s="3" t="s">
        <v>62</v>
      </c>
      <c r="D48" s="3"/>
      <c r="E48" s="3"/>
      <c r="F48" s="20">
        <v>6666.67</v>
      </c>
      <c r="G48" s="10" t="s">
        <v>64</v>
      </c>
      <c r="H48" s="4" t="s">
        <v>12</v>
      </c>
      <c r="I48" s="4" t="s">
        <v>121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-6666.67</v>
      </c>
      <c r="G49" s="10" t="s">
        <v>64</v>
      </c>
      <c r="H49" s="4" t="s">
        <v>12</v>
      </c>
      <c r="I49" s="4" t="s">
        <v>121</v>
      </c>
    </row>
    <row r="50" spans="2:9" x14ac:dyDescent="0.2">
      <c r="B50" s="4" t="s">
        <v>5</v>
      </c>
      <c r="C50" s="3" t="s">
        <v>62</v>
      </c>
      <c r="D50" s="3"/>
      <c r="E50" s="3"/>
      <c r="F50" s="20">
        <v>33416.67</v>
      </c>
      <c r="G50" s="10" t="s">
        <v>65</v>
      </c>
      <c r="H50" s="4" t="s">
        <v>12</v>
      </c>
      <c r="I50" s="4" t="s">
        <v>121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-33416.67</v>
      </c>
      <c r="G51" s="10" t="s">
        <v>65</v>
      </c>
      <c r="H51" s="4" t="s">
        <v>12</v>
      </c>
      <c r="I51" s="4" t="s">
        <v>121</v>
      </c>
    </row>
    <row r="52" spans="2:9" x14ac:dyDescent="0.2">
      <c r="B52" s="4" t="s">
        <v>5</v>
      </c>
      <c r="C52" s="3" t="s">
        <v>62</v>
      </c>
      <c r="D52" s="3"/>
      <c r="E52" s="3"/>
      <c r="F52" s="20">
        <v>949.17</v>
      </c>
      <c r="G52" s="10" t="s">
        <v>67</v>
      </c>
      <c r="H52" s="4" t="s">
        <v>12</v>
      </c>
      <c r="I52" s="4" t="s">
        <v>121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-949.17</v>
      </c>
      <c r="G53" s="10" t="s">
        <v>67</v>
      </c>
      <c r="H53" s="4" t="s">
        <v>12</v>
      </c>
      <c r="I53" s="4" t="s">
        <v>121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371.48</v>
      </c>
      <c r="G54" s="10" t="s">
        <v>68</v>
      </c>
      <c r="H54" s="4" t="s">
        <v>12</v>
      </c>
      <c r="I54" s="4" t="s">
        <v>121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-371.48</v>
      </c>
      <c r="G55" s="10" t="s">
        <v>68</v>
      </c>
      <c r="H55" s="4" t="s">
        <v>12</v>
      </c>
      <c r="I55" s="4" t="s">
        <v>121</v>
      </c>
    </row>
    <row r="56" spans="2:9" x14ac:dyDescent="0.2">
      <c r="B56" s="4" t="s">
        <v>5</v>
      </c>
      <c r="C56" s="3" t="s">
        <v>62</v>
      </c>
      <c r="D56" s="3"/>
      <c r="E56" s="3"/>
      <c r="F56" s="20">
        <v>2167.41</v>
      </c>
      <c r="G56" s="10" t="s">
        <v>77</v>
      </c>
      <c r="H56" s="4" t="s">
        <v>78</v>
      </c>
      <c r="I56" s="4" t="s">
        <v>121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-2167.41</v>
      </c>
      <c r="G57" s="10" t="s">
        <v>77</v>
      </c>
      <c r="H57" s="4" t="s">
        <v>78</v>
      </c>
      <c r="I57" s="4" t="s">
        <v>121</v>
      </c>
    </row>
    <row r="58" spans="2:9" x14ac:dyDescent="0.2">
      <c r="B58" s="4" t="s">
        <v>5</v>
      </c>
      <c r="C58" s="3" t="s">
        <v>62</v>
      </c>
      <c r="D58" s="3"/>
      <c r="E58" s="3"/>
      <c r="F58" s="20">
        <v>1041.67</v>
      </c>
      <c r="G58" s="10" t="s">
        <v>80</v>
      </c>
      <c r="H58" s="4" t="s">
        <v>79</v>
      </c>
      <c r="I58" s="4" t="s">
        <v>121</v>
      </c>
    </row>
    <row r="59" spans="2:9" x14ac:dyDescent="0.2">
      <c r="B59" s="4" t="s">
        <v>5</v>
      </c>
      <c r="C59" s="3" t="s">
        <v>6</v>
      </c>
      <c r="D59" s="3"/>
      <c r="E59" s="3"/>
      <c r="F59" s="20">
        <v>-1041.67</v>
      </c>
      <c r="G59" s="10" t="s">
        <v>80</v>
      </c>
      <c r="H59" s="4" t="s">
        <v>79</v>
      </c>
      <c r="I59" s="4" t="s">
        <v>121</v>
      </c>
    </row>
    <row r="60" spans="2:9" x14ac:dyDescent="0.2">
      <c r="B60" s="4" t="s">
        <v>5</v>
      </c>
      <c r="C60" s="3" t="s">
        <v>62</v>
      </c>
      <c r="D60" s="3"/>
      <c r="E60" s="3"/>
      <c r="F60" s="20">
        <v>1100</v>
      </c>
      <c r="G60" s="10" t="s">
        <v>81</v>
      </c>
      <c r="H60" s="4" t="s">
        <v>86</v>
      </c>
      <c r="I60" s="4" t="s">
        <v>121</v>
      </c>
    </row>
    <row r="61" spans="2:9" x14ac:dyDescent="0.2">
      <c r="B61" s="4" t="s">
        <v>5</v>
      </c>
      <c r="C61" s="3" t="s">
        <v>6</v>
      </c>
      <c r="D61" s="3"/>
      <c r="E61" s="3"/>
      <c r="F61" s="20">
        <v>-1100</v>
      </c>
      <c r="G61" s="10" t="s">
        <v>81</v>
      </c>
      <c r="H61" s="4" t="s">
        <v>86</v>
      </c>
      <c r="I61" s="4" t="s">
        <v>121</v>
      </c>
    </row>
    <row r="62" spans="2:9" x14ac:dyDescent="0.2">
      <c r="B62" s="4" t="s">
        <v>5</v>
      </c>
      <c r="C62" s="3" t="s">
        <v>62</v>
      </c>
      <c r="D62" s="3"/>
      <c r="E62" s="3"/>
      <c r="F62" s="20">
        <v>473.11</v>
      </c>
      <c r="G62" s="10" t="s">
        <v>85</v>
      </c>
      <c r="H62" s="4" t="s">
        <v>86</v>
      </c>
      <c r="I62" s="4" t="s">
        <v>121</v>
      </c>
    </row>
    <row r="63" spans="2:9" x14ac:dyDescent="0.2">
      <c r="B63" s="4" t="s">
        <v>5</v>
      </c>
      <c r="C63" s="3" t="s">
        <v>6</v>
      </c>
      <c r="D63" s="3"/>
      <c r="E63" s="3"/>
      <c r="F63" s="20">
        <v>-473.11</v>
      </c>
      <c r="G63" s="10" t="s">
        <v>85</v>
      </c>
      <c r="H63" s="4" t="s">
        <v>86</v>
      </c>
      <c r="I63" s="4" t="s">
        <v>121</v>
      </c>
    </row>
    <row r="64" spans="2:9" x14ac:dyDescent="0.2">
      <c r="B64" s="4" t="s">
        <v>5</v>
      </c>
      <c r="C64" s="3" t="s">
        <v>62</v>
      </c>
      <c r="D64" s="3"/>
      <c r="E64" s="3"/>
      <c r="F64" s="20">
        <v>3202.58</v>
      </c>
      <c r="G64" s="10" t="s">
        <v>88</v>
      </c>
      <c r="H64" s="4" t="s">
        <v>12</v>
      </c>
      <c r="I64" s="4" t="s">
        <v>121</v>
      </c>
    </row>
    <row r="65" spans="2:9" x14ac:dyDescent="0.2">
      <c r="B65" s="4" t="s">
        <v>5</v>
      </c>
      <c r="C65" s="3" t="s">
        <v>6</v>
      </c>
      <c r="D65" s="3"/>
      <c r="E65" s="3"/>
      <c r="F65" s="20">
        <v>-3202.58</v>
      </c>
      <c r="G65" s="10" t="s">
        <v>88</v>
      </c>
      <c r="H65" s="4" t="s">
        <v>12</v>
      </c>
      <c r="I65" s="4" t="s">
        <v>121</v>
      </c>
    </row>
    <row r="66" spans="2:9" x14ac:dyDescent="0.2">
      <c r="B66" s="4" t="s">
        <v>5</v>
      </c>
      <c r="C66" s="3" t="s">
        <v>62</v>
      </c>
      <c r="D66" s="3"/>
      <c r="E66" s="3"/>
      <c r="F66" s="20">
        <v>2112.02</v>
      </c>
      <c r="G66" s="10" t="s">
        <v>107</v>
      </c>
      <c r="H66" s="4" t="s">
        <v>12</v>
      </c>
      <c r="I66" s="4" t="s">
        <v>121</v>
      </c>
    </row>
    <row r="67" spans="2:9" x14ac:dyDescent="0.2">
      <c r="B67" s="4" t="s">
        <v>5</v>
      </c>
      <c r="C67" s="3" t="s">
        <v>6</v>
      </c>
      <c r="D67" s="3"/>
      <c r="E67" s="3"/>
      <c r="F67" s="20">
        <v>-2112.02</v>
      </c>
      <c r="G67" s="10" t="s">
        <v>107</v>
      </c>
      <c r="H67" s="4" t="s">
        <v>12</v>
      </c>
      <c r="I67" s="4" t="s">
        <v>121</v>
      </c>
    </row>
    <row r="68" spans="2:9" x14ac:dyDescent="0.2">
      <c r="B68" s="4" t="s">
        <v>5</v>
      </c>
      <c r="C68" s="3" t="s">
        <v>62</v>
      </c>
      <c r="D68" s="3"/>
      <c r="E68" s="3"/>
      <c r="F68" s="20">
        <v>1976.42</v>
      </c>
      <c r="G68" s="10" t="s">
        <v>108</v>
      </c>
      <c r="H68" s="4" t="s">
        <v>12</v>
      </c>
      <c r="I68" s="4" t="s">
        <v>121</v>
      </c>
    </row>
    <row r="69" spans="2:9" x14ac:dyDescent="0.2">
      <c r="B69" s="4" t="s">
        <v>5</v>
      </c>
      <c r="C69" s="3" t="s">
        <v>6</v>
      </c>
      <c r="D69" s="3"/>
      <c r="E69" s="3"/>
      <c r="F69" s="20">
        <v>-1976.42</v>
      </c>
      <c r="G69" s="10" t="s">
        <v>108</v>
      </c>
      <c r="H69" s="4" t="s">
        <v>12</v>
      </c>
      <c r="I69" s="4" t="s">
        <v>121</v>
      </c>
    </row>
    <row r="70" spans="2:9" x14ac:dyDescent="0.2">
      <c r="B70" s="4" t="s">
        <v>5</v>
      </c>
      <c r="C70" s="3" t="s">
        <v>62</v>
      </c>
      <c r="D70" s="3"/>
      <c r="E70" s="3"/>
      <c r="F70" s="20">
        <v>1530.58</v>
      </c>
      <c r="G70" s="41" t="s">
        <v>110</v>
      </c>
      <c r="H70" s="4" t="s">
        <v>12</v>
      </c>
      <c r="I70" s="4" t="s">
        <v>121</v>
      </c>
    </row>
    <row r="71" spans="2:9" x14ac:dyDescent="0.2">
      <c r="B71" s="4" t="s">
        <v>5</v>
      </c>
      <c r="C71" s="3" t="s">
        <v>6</v>
      </c>
      <c r="D71" s="3"/>
      <c r="E71" s="3"/>
      <c r="F71" s="20">
        <v>-1530.58</v>
      </c>
      <c r="G71" s="41" t="s">
        <v>110</v>
      </c>
      <c r="H71" s="4" t="s">
        <v>12</v>
      </c>
      <c r="I71" s="4" t="s">
        <v>121</v>
      </c>
    </row>
    <row r="72" spans="2:9" x14ac:dyDescent="0.2">
      <c r="B72" s="4" t="s">
        <v>5</v>
      </c>
      <c r="C72" s="3" t="s">
        <v>62</v>
      </c>
      <c r="D72" s="3"/>
      <c r="E72" s="3"/>
      <c r="F72" s="20">
        <v>732</v>
      </c>
      <c r="G72" s="41" t="s">
        <v>111</v>
      </c>
      <c r="H72" s="4" t="s">
        <v>12</v>
      </c>
      <c r="I72" s="4" t="s">
        <v>121</v>
      </c>
    </row>
    <row r="73" spans="2:9" x14ac:dyDescent="0.2">
      <c r="B73" s="4" t="s">
        <v>5</v>
      </c>
      <c r="C73" s="3" t="s">
        <v>6</v>
      </c>
      <c r="D73" s="3"/>
      <c r="E73" s="3"/>
      <c r="F73" s="20">
        <v>-732</v>
      </c>
      <c r="G73" s="41" t="s">
        <v>111</v>
      </c>
      <c r="H73" s="4" t="s">
        <v>12</v>
      </c>
      <c r="I73" s="4" t="s">
        <v>121</v>
      </c>
    </row>
    <row r="74" spans="2:9" x14ac:dyDescent="0.2">
      <c r="B74" s="4" t="s">
        <v>5</v>
      </c>
      <c r="C74" s="3" t="s">
        <v>62</v>
      </c>
      <c r="D74" s="3"/>
      <c r="E74" s="3"/>
      <c r="F74" s="20">
        <v>2646.25</v>
      </c>
      <c r="G74" s="41" t="s">
        <v>113</v>
      </c>
      <c r="H74" s="4" t="s">
        <v>12</v>
      </c>
      <c r="I74" s="4" t="s">
        <v>121</v>
      </c>
    </row>
    <row r="75" spans="2:9" x14ac:dyDescent="0.2">
      <c r="B75" s="4" t="s">
        <v>5</v>
      </c>
      <c r="C75" s="3" t="s">
        <v>6</v>
      </c>
      <c r="D75" s="3"/>
      <c r="E75" s="3"/>
      <c r="F75" s="20">
        <v>-2646.25</v>
      </c>
      <c r="G75" s="41" t="s">
        <v>113</v>
      </c>
      <c r="H75" s="4" t="s">
        <v>12</v>
      </c>
      <c r="I75" s="4" t="s">
        <v>121</v>
      </c>
    </row>
    <row r="76" spans="2:9" x14ac:dyDescent="0.2">
      <c r="B76" s="4" t="s">
        <v>5</v>
      </c>
      <c r="C76" s="3" t="s">
        <v>62</v>
      </c>
      <c r="D76" s="3"/>
      <c r="E76" s="3"/>
      <c r="F76" s="20">
        <v>3794.42</v>
      </c>
      <c r="G76" s="41" t="s">
        <v>114</v>
      </c>
      <c r="H76" s="4" t="s">
        <v>12</v>
      </c>
      <c r="I76" s="4" t="s">
        <v>121</v>
      </c>
    </row>
    <row r="77" spans="2:9" x14ac:dyDescent="0.2">
      <c r="B77" s="4" t="s">
        <v>5</v>
      </c>
      <c r="C77" s="3" t="s">
        <v>6</v>
      </c>
      <c r="D77" s="3"/>
      <c r="E77" s="3"/>
      <c r="F77" s="20">
        <v>-3794.42</v>
      </c>
      <c r="G77" s="41" t="s">
        <v>114</v>
      </c>
      <c r="H77" s="4" t="s">
        <v>12</v>
      </c>
      <c r="I77" s="4" t="s">
        <v>121</v>
      </c>
    </row>
    <row r="78" spans="2:9" ht="13.5" customHeight="1" x14ac:dyDescent="0.2"/>
    <row r="81" spans="3:7" ht="15" thickBot="1" x14ac:dyDescent="0.25">
      <c r="C81" t="s">
        <v>14</v>
      </c>
      <c r="F81" s="21">
        <f>SUMIF(F42:F80,"&lt;0",F42:F80)</f>
        <v>-71399.58</v>
      </c>
      <c r="G81" t="s">
        <v>13</v>
      </c>
    </row>
    <row r="82" spans="3:7" ht="15" thickTop="1" x14ac:dyDescent="0.2"/>
  </sheetData>
  <autoFilter ref="A6:O6" xr:uid="{C72EA621-673A-4200-BC3A-FC9120173B40}"/>
  <hyperlinks>
    <hyperlink ref="F1" r:id="rId1" xr:uid="{8E873178-41C4-43A1-8942-74A44C3909F8}"/>
  </hyperlinks>
  <pageMargins left="0.7" right="0.7" top="0.75" bottom="0.75" header="0.3" footer="0.3"/>
  <pageSetup paperSize="9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63EE-86D4-43A7-8533-13EDB963E614}">
  <sheetPr>
    <tabColor theme="9" tint="0.59999389629810485"/>
  </sheetPr>
  <dimension ref="A1:O86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119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119</v>
      </c>
      <c r="J8" s="11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60</v>
      </c>
      <c r="D9" s="25"/>
      <c r="E9" s="25"/>
      <c r="F9" s="26">
        <v>1291.67</v>
      </c>
      <c r="G9" s="29" t="s">
        <v>59</v>
      </c>
      <c r="H9" s="28" t="s">
        <v>12</v>
      </c>
      <c r="I9" s="28" t="s">
        <v>119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61</v>
      </c>
      <c r="D10" s="25"/>
      <c r="E10" s="25"/>
      <c r="F10" s="26">
        <v>1291.67</v>
      </c>
      <c r="G10" s="29" t="s">
        <v>59</v>
      </c>
      <c r="H10" s="28" t="s">
        <v>12</v>
      </c>
      <c r="I10" s="28" t="s">
        <v>119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1</v>
      </c>
      <c r="C11" s="25" t="s">
        <v>2</v>
      </c>
      <c r="D11" s="25"/>
      <c r="E11" s="25"/>
      <c r="F11" s="26">
        <v>-2583.34</v>
      </c>
      <c r="G11" s="29" t="s">
        <v>59</v>
      </c>
      <c r="H11" s="28" t="s">
        <v>12</v>
      </c>
      <c r="I11" s="28" t="s">
        <v>119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5</v>
      </c>
      <c r="C12" s="3" t="s">
        <v>11</v>
      </c>
      <c r="D12" s="3"/>
      <c r="E12" s="3"/>
      <c r="F12" s="20">
        <v>5750</v>
      </c>
      <c r="G12" s="30" t="s">
        <v>66</v>
      </c>
      <c r="H12" s="4" t="s">
        <v>12</v>
      </c>
      <c r="I12" s="4" t="s">
        <v>119</v>
      </c>
      <c r="J12" s="11"/>
      <c r="K12" s="11"/>
      <c r="L12" s="1"/>
      <c r="M12" s="1"/>
      <c r="N12" s="1"/>
      <c r="O12" s="1"/>
    </row>
    <row r="13" spans="1:15" x14ac:dyDescent="0.2">
      <c r="A13" s="1"/>
      <c r="B13" s="1" t="s">
        <v>1</v>
      </c>
      <c r="C13" s="3" t="s">
        <v>2</v>
      </c>
      <c r="D13" s="3"/>
      <c r="E13" s="3"/>
      <c r="F13" s="20">
        <v>-5750</v>
      </c>
      <c r="G13" s="30" t="s">
        <v>66</v>
      </c>
      <c r="H13" s="4" t="s">
        <v>12</v>
      </c>
      <c r="I13" s="4" t="s">
        <v>119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70</v>
      </c>
      <c r="D14" s="3"/>
      <c r="E14" s="3"/>
      <c r="F14" s="20">
        <v>19206.060000000001</v>
      </c>
      <c r="G14" s="30" t="s">
        <v>72</v>
      </c>
      <c r="H14" s="4" t="s">
        <v>12</v>
      </c>
      <c r="I14" s="4" t="s">
        <v>119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-19206.060000000001</v>
      </c>
      <c r="G15" s="30" t="s">
        <v>72</v>
      </c>
      <c r="H15" s="4" t="s">
        <v>12</v>
      </c>
      <c r="I15" s="4" t="s">
        <v>119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83</v>
      </c>
      <c r="D16" s="3"/>
      <c r="E16" s="3"/>
      <c r="F16" s="20">
        <v>6666.67</v>
      </c>
      <c r="G16" s="30" t="s">
        <v>84</v>
      </c>
      <c r="H16" s="4" t="s">
        <v>12</v>
      </c>
      <c r="I16" s="4" t="s">
        <v>119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-6666.67</v>
      </c>
      <c r="G17" s="30" t="s">
        <v>84</v>
      </c>
      <c r="H17" s="4" t="s">
        <v>12</v>
      </c>
      <c r="I17" s="4" t="s">
        <v>119</v>
      </c>
      <c r="J17" s="11"/>
      <c r="K17" s="11"/>
      <c r="L17" s="1"/>
      <c r="M17" s="1"/>
      <c r="N17" s="1"/>
      <c r="O17" s="1"/>
    </row>
    <row r="18" spans="1:15" x14ac:dyDescent="0.2">
      <c r="A18" s="1"/>
      <c r="B18" s="24" t="s">
        <v>5</v>
      </c>
      <c r="C18" s="25" t="s">
        <v>89</v>
      </c>
      <c r="D18" s="25"/>
      <c r="E18" s="25"/>
      <c r="F18" s="26">
        <v>479.74621212121201</v>
      </c>
      <c r="G18" s="29" t="s">
        <v>94</v>
      </c>
      <c r="H18" s="28" t="s">
        <v>12</v>
      </c>
      <c r="I18" s="28" t="s">
        <v>119</v>
      </c>
      <c r="J18" s="23"/>
      <c r="K18" s="11"/>
      <c r="L18" s="1"/>
      <c r="M18" s="1"/>
      <c r="N18" s="1"/>
      <c r="O18" s="1"/>
    </row>
    <row r="19" spans="1:15" x14ac:dyDescent="0.2">
      <c r="A19" s="1"/>
      <c r="B19" s="24" t="s">
        <v>5</v>
      </c>
      <c r="C19" s="25" t="s">
        <v>90</v>
      </c>
      <c r="D19" s="25"/>
      <c r="E19" s="25"/>
      <c r="F19" s="26">
        <v>479.74318181818199</v>
      </c>
      <c r="G19" s="29" t="s">
        <v>94</v>
      </c>
      <c r="H19" s="28" t="s">
        <v>12</v>
      </c>
      <c r="I19" s="28" t="s">
        <v>119</v>
      </c>
      <c r="J19" s="23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91</v>
      </c>
      <c r="D20" s="25"/>
      <c r="E20" s="25"/>
      <c r="F20" s="26">
        <v>479.74318181818199</v>
      </c>
      <c r="G20" s="29" t="s">
        <v>94</v>
      </c>
      <c r="H20" s="28" t="s">
        <v>12</v>
      </c>
      <c r="I20" s="28" t="s">
        <v>119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92</v>
      </c>
      <c r="D21" s="25"/>
      <c r="E21" s="25"/>
      <c r="F21" s="26">
        <v>479.74318181818199</v>
      </c>
      <c r="G21" s="29" t="s">
        <v>94</v>
      </c>
      <c r="H21" s="28" t="s">
        <v>12</v>
      </c>
      <c r="I21" s="28" t="s">
        <v>119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1</v>
      </c>
      <c r="C22" s="25" t="s">
        <v>2</v>
      </c>
      <c r="D22" s="25"/>
      <c r="E22" s="25"/>
      <c r="F22" s="26">
        <v>-1918.97</v>
      </c>
      <c r="G22" s="29" t="s">
        <v>94</v>
      </c>
      <c r="H22" s="28" t="s">
        <v>12</v>
      </c>
      <c r="I22" s="28" t="s">
        <v>119</v>
      </c>
      <c r="J22" s="23"/>
      <c r="K22" s="11"/>
      <c r="L22" s="1"/>
      <c r="M22" s="1"/>
      <c r="N22" s="1"/>
      <c r="O22" s="1"/>
    </row>
    <row r="23" spans="1:15" x14ac:dyDescent="0.2">
      <c r="A23" s="1"/>
      <c r="B23" s="1" t="s">
        <v>5</v>
      </c>
      <c r="C23" s="3" t="s">
        <v>100</v>
      </c>
      <c r="D23" s="3"/>
      <c r="E23" s="3"/>
      <c r="F23" s="20">
        <v>2250</v>
      </c>
      <c r="G23" s="42" t="s">
        <v>101</v>
      </c>
      <c r="H23" s="4"/>
      <c r="I23" s="4" t="s">
        <v>119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1</v>
      </c>
      <c r="C24" s="3" t="s">
        <v>2</v>
      </c>
      <c r="D24" s="3"/>
      <c r="E24" s="3"/>
      <c r="F24" s="20">
        <v>-2250</v>
      </c>
      <c r="G24" s="42" t="s">
        <v>101</v>
      </c>
      <c r="H24" s="4"/>
      <c r="I24" s="4" t="s">
        <v>119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5</v>
      </c>
      <c r="C25" s="3" t="s">
        <v>100</v>
      </c>
      <c r="D25" s="3"/>
      <c r="E25" s="3"/>
      <c r="F25" s="20">
        <v>2250</v>
      </c>
      <c r="G25" s="42" t="s">
        <v>102</v>
      </c>
      <c r="H25" s="4"/>
      <c r="I25" s="4" t="s">
        <v>119</v>
      </c>
      <c r="J25" s="23"/>
      <c r="K25" s="11"/>
      <c r="L25" s="1"/>
      <c r="M25" s="1"/>
      <c r="N25" s="1"/>
      <c r="O25" s="1"/>
    </row>
    <row r="26" spans="1:15" x14ac:dyDescent="0.2">
      <c r="A26" s="1"/>
      <c r="B26" s="1" t="s">
        <v>1</v>
      </c>
      <c r="C26" s="3" t="s">
        <v>2</v>
      </c>
      <c r="D26" s="3"/>
      <c r="E26" s="3"/>
      <c r="F26" s="20">
        <v>-2250</v>
      </c>
      <c r="G26" s="42" t="s">
        <v>102</v>
      </c>
      <c r="H26" s="4"/>
      <c r="I26" s="4" t="s">
        <v>119</v>
      </c>
      <c r="J26" s="23"/>
      <c r="K26" s="11"/>
      <c r="L26" s="1"/>
      <c r="M26" s="1"/>
      <c r="N26" s="1"/>
      <c r="O26" s="1"/>
    </row>
    <row r="27" spans="1:15" x14ac:dyDescent="0.2">
      <c r="A27" s="1"/>
      <c r="B27" s="19" t="s">
        <v>5</v>
      </c>
      <c r="C27" s="17" t="s">
        <v>118</v>
      </c>
      <c r="D27" s="17"/>
      <c r="E27" s="17"/>
      <c r="F27" s="22">
        <v>6446.83</v>
      </c>
      <c r="G27" s="39" t="s">
        <v>116</v>
      </c>
      <c r="H27" s="16"/>
      <c r="I27" s="16" t="s">
        <v>119</v>
      </c>
      <c r="J27" s="23"/>
      <c r="K27" s="11"/>
      <c r="L27" s="1"/>
      <c r="M27" s="1"/>
      <c r="N27" s="1"/>
      <c r="O27" s="1"/>
    </row>
    <row r="28" spans="1:15" x14ac:dyDescent="0.2">
      <c r="A28" s="1"/>
      <c r="B28" s="19" t="s">
        <v>1</v>
      </c>
      <c r="C28" s="17" t="s">
        <v>2</v>
      </c>
      <c r="D28" s="17"/>
      <c r="E28" s="17"/>
      <c r="F28" s="22">
        <v>-6446.83</v>
      </c>
      <c r="G28" s="39" t="s">
        <v>116</v>
      </c>
      <c r="H28" s="16"/>
      <c r="I28" s="16" t="s">
        <v>119</v>
      </c>
      <c r="J28" s="23"/>
      <c r="K28" s="11"/>
      <c r="L28" s="1"/>
      <c r="M28" s="1"/>
      <c r="N28" s="1"/>
      <c r="O28" s="1"/>
    </row>
    <row r="29" spans="1:15" x14ac:dyDescent="0.2">
      <c r="A29" s="1"/>
      <c r="B29" s="19" t="s">
        <v>5</v>
      </c>
      <c r="C29" s="17" t="s">
        <v>10</v>
      </c>
      <c r="D29" s="17"/>
      <c r="E29" s="17"/>
      <c r="F29" s="22">
        <v>509.17</v>
      </c>
      <c r="G29" s="39" t="s">
        <v>117</v>
      </c>
      <c r="H29" s="16"/>
      <c r="I29" s="16" t="s">
        <v>119</v>
      </c>
      <c r="J29" s="23"/>
      <c r="K29" s="11"/>
      <c r="L29" s="1"/>
      <c r="M29" s="1"/>
      <c r="N29" s="1"/>
      <c r="O29" s="1"/>
    </row>
    <row r="30" spans="1:15" x14ac:dyDescent="0.2">
      <c r="A30" s="1"/>
      <c r="B30" s="19" t="s">
        <v>1</v>
      </c>
      <c r="C30" s="17" t="s">
        <v>2</v>
      </c>
      <c r="D30" s="17"/>
      <c r="E30" s="17"/>
      <c r="F30" s="22">
        <v>-509.17</v>
      </c>
      <c r="G30" s="39" t="s">
        <v>117</v>
      </c>
      <c r="H30" s="16"/>
      <c r="I30" s="16" t="s">
        <v>119</v>
      </c>
      <c r="J30" s="23"/>
      <c r="K30" s="11"/>
      <c r="L30" s="1"/>
      <c r="M30" s="1"/>
      <c r="N30" s="1"/>
      <c r="O30" s="1"/>
    </row>
    <row r="31" spans="1:15" x14ac:dyDescent="0.2">
      <c r="A31" s="1"/>
      <c r="B31" s="1" t="s">
        <v>5</v>
      </c>
      <c r="C31" s="3" t="s">
        <v>105</v>
      </c>
      <c r="D31" s="3"/>
      <c r="E31" s="3"/>
      <c r="F31" s="20">
        <v>8609.01</v>
      </c>
      <c r="G31" s="30" t="s">
        <v>103</v>
      </c>
      <c r="H31" s="4" t="s">
        <v>12</v>
      </c>
      <c r="I31" s="4" t="s">
        <v>119</v>
      </c>
      <c r="J31" s="23"/>
      <c r="K31" s="11"/>
      <c r="L31" s="1"/>
      <c r="M31" s="1"/>
      <c r="N31" s="1"/>
      <c r="O31" s="1"/>
    </row>
    <row r="32" spans="1:15" x14ac:dyDescent="0.2">
      <c r="A32" s="1"/>
      <c r="B32" s="1" t="s">
        <v>1</v>
      </c>
      <c r="C32" s="3" t="s">
        <v>106</v>
      </c>
      <c r="D32" s="3"/>
      <c r="E32" s="3"/>
      <c r="F32" s="20">
        <v>-8609.01</v>
      </c>
      <c r="G32" s="30" t="s">
        <v>103</v>
      </c>
      <c r="H32" s="4" t="s">
        <v>12</v>
      </c>
      <c r="I32" s="4" t="s">
        <v>119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5</v>
      </c>
      <c r="C33" s="3" t="s">
        <v>39</v>
      </c>
      <c r="D33" s="3"/>
      <c r="E33" s="3"/>
      <c r="F33" s="20">
        <v>6932.05</v>
      </c>
      <c r="G33" s="30" t="s">
        <v>74</v>
      </c>
      <c r="H33" s="4" t="s">
        <v>12</v>
      </c>
      <c r="I33" s="4" t="s">
        <v>119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1</v>
      </c>
      <c r="C34" s="3" t="s">
        <v>73</v>
      </c>
      <c r="D34" s="3"/>
      <c r="E34" s="3"/>
      <c r="F34" s="20">
        <v>-6932.05</v>
      </c>
      <c r="G34" s="30" t="s">
        <v>74</v>
      </c>
      <c r="H34" s="4" t="s">
        <v>12</v>
      </c>
      <c r="I34" s="4" t="s">
        <v>119</v>
      </c>
      <c r="J34" s="23"/>
      <c r="K34" s="11"/>
      <c r="L34" s="1"/>
      <c r="M34" s="1"/>
      <c r="N34" s="1"/>
      <c r="O34" s="1"/>
    </row>
    <row r="35" spans="1:15" x14ac:dyDescent="0.2">
      <c r="A35" s="1"/>
      <c r="B35" s="1" t="s">
        <v>5</v>
      </c>
      <c r="C35" s="3" t="s">
        <v>4</v>
      </c>
      <c r="D35" s="3"/>
      <c r="E35" s="3"/>
      <c r="F35" s="20">
        <v>43749.13</v>
      </c>
      <c r="G35" s="30" t="s">
        <v>99</v>
      </c>
      <c r="H35" s="4"/>
      <c r="I35" s="4" t="s">
        <v>119</v>
      </c>
      <c r="J35" s="23"/>
      <c r="K35" s="11"/>
      <c r="L35" s="1"/>
      <c r="M35" s="1"/>
      <c r="N35" s="1"/>
      <c r="O35" s="1"/>
    </row>
    <row r="36" spans="1:15" x14ac:dyDescent="0.2">
      <c r="A36" s="1"/>
      <c r="B36" s="1" t="s">
        <v>1</v>
      </c>
      <c r="C36" s="3" t="s">
        <v>16</v>
      </c>
      <c r="D36" s="3"/>
      <c r="E36" s="3"/>
      <c r="F36" s="20">
        <v>-43749.13</v>
      </c>
      <c r="G36" s="30" t="s">
        <v>99</v>
      </c>
      <c r="H36" s="4"/>
      <c r="I36" s="4" t="s">
        <v>119</v>
      </c>
      <c r="J36" s="23"/>
      <c r="K36" s="11"/>
      <c r="L36" s="1"/>
      <c r="M36" s="1"/>
      <c r="N36" s="1"/>
      <c r="O36" s="1"/>
    </row>
    <row r="37" spans="1:15" x14ac:dyDescent="0.2">
      <c r="A37" s="1"/>
      <c r="B37" s="1"/>
      <c r="C37" s="3"/>
      <c r="D37" s="3"/>
      <c r="E37" s="3"/>
      <c r="F37" s="20"/>
      <c r="G37" s="30"/>
      <c r="H37" s="4"/>
      <c r="I37" s="4"/>
      <c r="J37" s="23"/>
      <c r="K37" s="11"/>
      <c r="L37" s="1"/>
      <c r="M37" s="1"/>
      <c r="N37" s="1"/>
      <c r="O37" s="1"/>
    </row>
    <row r="38" spans="1:15" x14ac:dyDescent="0.2">
      <c r="A38" s="1"/>
      <c r="B38" s="1"/>
      <c r="C38" s="40"/>
      <c r="D38" s="3"/>
      <c r="E38" s="3"/>
      <c r="F38" s="20"/>
      <c r="G38" s="30"/>
      <c r="H38" s="4"/>
      <c r="I38" s="4"/>
      <c r="J38" s="11"/>
      <c r="K38" s="11"/>
      <c r="L38" s="1"/>
      <c r="M38" s="1"/>
      <c r="N38" s="1"/>
      <c r="O38" s="1"/>
    </row>
    <row r="39" spans="1:15" x14ac:dyDescent="0.2">
      <c r="A39" s="1"/>
      <c r="B39" s="1"/>
      <c r="C39" s="3"/>
      <c r="D39" s="3"/>
      <c r="E39" s="3"/>
      <c r="F39" s="20"/>
      <c r="G39" s="30"/>
      <c r="H39" s="4"/>
      <c r="I39" s="4"/>
      <c r="J39" s="11"/>
      <c r="K39" s="11"/>
      <c r="L39" s="1"/>
      <c r="M39" s="1"/>
      <c r="N39" s="1"/>
      <c r="O39" s="1"/>
    </row>
    <row r="40" spans="1:15" x14ac:dyDescent="0.2">
      <c r="A40" s="1"/>
      <c r="B40" s="1"/>
      <c r="C40" s="12"/>
      <c r="D40" s="12"/>
      <c r="E40" s="12"/>
      <c r="F40" s="5"/>
      <c r="G40" s="13"/>
      <c r="H40" s="4"/>
      <c r="I40" s="4"/>
      <c r="J40" s="7"/>
      <c r="K40" s="11"/>
      <c r="L40" s="1"/>
      <c r="M40" s="1"/>
      <c r="N40" s="1"/>
      <c r="O40" s="1"/>
    </row>
    <row r="41" spans="1:15" ht="15" thickBot="1" x14ac:dyDescent="0.25">
      <c r="A41" s="1"/>
      <c r="B41" s="1"/>
      <c r="C41" s="3" t="s">
        <v>15</v>
      </c>
      <c r="D41" s="3"/>
      <c r="E41" s="3"/>
      <c r="F41" s="21">
        <f>SUMIF(F7:F36,"&lt;0",F7:F36)</f>
        <v>-107243.23000000001</v>
      </c>
      <c r="G41" s="13" t="s">
        <v>13</v>
      </c>
      <c r="H41" s="4"/>
      <c r="I41" s="4"/>
      <c r="J41" s="7"/>
      <c r="K41" s="11"/>
      <c r="L41" s="1"/>
      <c r="M41" s="1"/>
      <c r="N41" s="1"/>
      <c r="O41" s="1"/>
    </row>
    <row r="42" spans="1:15" ht="15" thickTop="1" x14ac:dyDescent="0.2">
      <c r="A42" s="1"/>
      <c r="B42" s="1"/>
      <c r="C42" s="3"/>
      <c r="D42" s="3"/>
      <c r="E42" s="3"/>
      <c r="F42" s="5"/>
      <c r="G42" s="10"/>
      <c r="H42" s="4"/>
      <c r="I42" s="4"/>
      <c r="J42" s="7"/>
      <c r="K42" s="11"/>
      <c r="L42" s="1"/>
      <c r="M42" s="1"/>
      <c r="N42" s="1"/>
      <c r="O42" s="1"/>
    </row>
    <row r="43" spans="1:15" x14ac:dyDescent="0.2">
      <c r="K43" s="11"/>
      <c r="L43" s="1"/>
      <c r="M43" s="1"/>
      <c r="N43" s="1"/>
      <c r="O43" s="1"/>
    </row>
    <row r="44" spans="1:15" x14ac:dyDescent="0.2">
      <c r="K44" s="11"/>
      <c r="L44" s="1"/>
      <c r="M44" s="1"/>
      <c r="N44" s="1"/>
      <c r="O44" s="1"/>
    </row>
    <row r="45" spans="1:15" x14ac:dyDescent="0.2">
      <c r="K45" s="11"/>
      <c r="L45" s="1"/>
      <c r="M45" s="1"/>
      <c r="N45" s="1"/>
      <c r="O45" s="1"/>
    </row>
    <row r="46" spans="1:15" x14ac:dyDescent="0.2">
      <c r="B46" s="4" t="s">
        <v>5</v>
      </c>
      <c r="C46" s="3" t="s">
        <v>7</v>
      </c>
      <c r="D46" s="3"/>
      <c r="E46" s="3"/>
      <c r="F46" s="20">
        <v>7143.75</v>
      </c>
      <c r="G46" s="10" t="s">
        <v>26</v>
      </c>
      <c r="H46" s="4" t="s">
        <v>17</v>
      </c>
      <c r="I46" s="4" t="s">
        <v>120</v>
      </c>
      <c r="K46" s="11"/>
      <c r="L46" s="1"/>
      <c r="M46" s="1"/>
      <c r="N46" s="1"/>
      <c r="O46" s="1"/>
    </row>
    <row r="47" spans="1:15" x14ac:dyDescent="0.2">
      <c r="B47" s="4" t="s">
        <v>5</v>
      </c>
      <c r="C47" s="3" t="s">
        <v>6</v>
      </c>
      <c r="D47" s="3"/>
      <c r="E47" s="3"/>
      <c r="F47" s="20">
        <v>-7143.75</v>
      </c>
      <c r="G47" s="10" t="s">
        <v>26</v>
      </c>
      <c r="H47" s="4" t="s">
        <v>17</v>
      </c>
      <c r="I47" s="4" t="s">
        <v>119</v>
      </c>
      <c r="K47" s="11"/>
      <c r="L47" s="1"/>
      <c r="M47" s="1"/>
      <c r="N47" s="1"/>
      <c r="O47" s="1"/>
    </row>
    <row r="48" spans="1:15" x14ac:dyDescent="0.2">
      <c r="B48" s="4" t="s">
        <v>5</v>
      </c>
      <c r="C48" s="3" t="s">
        <v>7</v>
      </c>
      <c r="D48" s="3"/>
      <c r="E48" s="3"/>
      <c r="F48" s="20">
        <v>1101.83</v>
      </c>
      <c r="G48" s="10" t="s">
        <v>55</v>
      </c>
      <c r="H48" s="4" t="s">
        <v>12</v>
      </c>
      <c r="I48" s="4" t="s">
        <v>119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-1101.83</v>
      </c>
      <c r="G49" s="10" t="s">
        <v>55</v>
      </c>
      <c r="H49" s="4" t="s">
        <v>12</v>
      </c>
      <c r="I49" s="4" t="s">
        <v>119</v>
      </c>
    </row>
    <row r="50" spans="2:9" x14ac:dyDescent="0.2">
      <c r="B50" s="4" t="s">
        <v>5</v>
      </c>
      <c r="C50" s="3" t="s">
        <v>7</v>
      </c>
      <c r="D50" s="3"/>
      <c r="E50" s="3"/>
      <c r="F50" s="20">
        <v>973.55</v>
      </c>
      <c r="G50" s="10" t="s">
        <v>57</v>
      </c>
      <c r="H50" s="4" t="s">
        <v>12</v>
      </c>
      <c r="I50" s="4" t="s">
        <v>119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-973.55</v>
      </c>
      <c r="G51" s="10" t="s">
        <v>57</v>
      </c>
      <c r="H51" s="4" t="s">
        <v>12</v>
      </c>
      <c r="I51" s="4" t="s">
        <v>119</v>
      </c>
    </row>
    <row r="52" spans="2:9" x14ac:dyDescent="0.2">
      <c r="B52" s="4" t="s">
        <v>5</v>
      </c>
      <c r="C52" s="3" t="s">
        <v>62</v>
      </c>
      <c r="D52" s="3"/>
      <c r="E52" s="3"/>
      <c r="F52" s="20">
        <v>6666.67</v>
      </c>
      <c r="G52" s="10" t="s">
        <v>64</v>
      </c>
      <c r="H52" s="4" t="s">
        <v>12</v>
      </c>
      <c r="I52" s="4" t="s">
        <v>119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-6666.67</v>
      </c>
      <c r="G53" s="10" t="s">
        <v>64</v>
      </c>
      <c r="H53" s="4" t="s">
        <v>12</v>
      </c>
      <c r="I53" s="4" t="s">
        <v>119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33416.67</v>
      </c>
      <c r="G54" s="10" t="s">
        <v>65</v>
      </c>
      <c r="H54" s="4" t="s">
        <v>12</v>
      </c>
      <c r="I54" s="4" t="s">
        <v>119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-33416.67</v>
      </c>
      <c r="G55" s="10" t="s">
        <v>65</v>
      </c>
      <c r="H55" s="4" t="s">
        <v>12</v>
      </c>
      <c r="I55" s="4" t="s">
        <v>119</v>
      </c>
    </row>
    <row r="56" spans="2:9" x14ac:dyDescent="0.2">
      <c r="B56" s="4" t="s">
        <v>5</v>
      </c>
      <c r="C56" s="3" t="s">
        <v>62</v>
      </c>
      <c r="D56" s="3"/>
      <c r="E56" s="3"/>
      <c r="F56" s="20">
        <v>949.17</v>
      </c>
      <c r="G56" s="10" t="s">
        <v>67</v>
      </c>
      <c r="H56" s="4" t="s">
        <v>12</v>
      </c>
      <c r="I56" s="4" t="s">
        <v>119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-949.17</v>
      </c>
      <c r="G57" s="10" t="s">
        <v>67</v>
      </c>
      <c r="H57" s="4" t="s">
        <v>12</v>
      </c>
      <c r="I57" s="4" t="s">
        <v>119</v>
      </c>
    </row>
    <row r="58" spans="2:9" x14ac:dyDescent="0.2">
      <c r="B58" s="4" t="s">
        <v>5</v>
      </c>
      <c r="C58" s="3" t="s">
        <v>62</v>
      </c>
      <c r="D58" s="3"/>
      <c r="E58" s="3"/>
      <c r="F58" s="20">
        <v>371.48</v>
      </c>
      <c r="G58" s="10" t="s">
        <v>68</v>
      </c>
      <c r="H58" s="4" t="s">
        <v>12</v>
      </c>
      <c r="I58" s="4" t="s">
        <v>119</v>
      </c>
    </row>
    <row r="59" spans="2:9" x14ac:dyDescent="0.2">
      <c r="B59" s="4" t="s">
        <v>5</v>
      </c>
      <c r="C59" s="3" t="s">
        <v>6</v>
      </c>
      <c r="D59" s="3"/>
      <c r="E59" s="3"/>
      <c r="F59" s="20">
        <v>-371.48</v>
      </c>
      <c r="G59" s="10" t="s">
        <v>68</v>
      </c>
      <c r="H59" s="4" t="s">
        <v>12</v>
      </c>
      <c r="I59" s="4" t="s">
        <v>119</v>
      </c>
    </row>
    <row r="60" spans="2:9" x14ac:dyDescent="0.2">
      <c r="B60" s="4" t="s">
        <v>5</v>
      </c>
      <c r="C60" s="3" t="s">
        <v>62</v>
      </c>
      <c r="D60" s="3"/>
      <c r="E60" s="3"/>
      <c r="F60" s="20">
        <v>2167.41</v>
      </c>
      <c r="G60" s="10" t="s">
        <v>77</v>
      </c>
      <c r="H60" s="4" t="s">
        <v>78</v>
      </c>
      <c r="I60" s="4" t="s">
        <v>119</v>
      </c>
    </row>
    <row r="61" spans="2:9" x14ac:dyDescent="0.2">
      <c r="B61" s="4" t="s">
        <v>5</v>
      </c>
      <c r="C61" s="3" t="s">
        <v>6</v>
      </c>
      <c r="D61" s="3"/>
      <c r="E61" s="3"/>
      <c r="F61" s="20">
        <v>-2167.41</v>
      </c>
      <c r="G61" s="10" t="s">
        <v>77</v>
      </c>
      <c r="H61" s="4" t="s">
        <v>78</v>
      </c>
      <c r="I61" s="4" t="s">
        <v>119</v>
      </c>
    </row>
    <row r="62" spans="2:9" x14ac:dyDescent="0.2">
      <c r="B62" s="4" t="s">
        <v>5</v>
      </c>
      <c r="C62" s="3" t="s">
        <v>62</v>
      </c>
      <c r="D62" s="3"/>
      <c r="E62" s="3"/>
      <c r="F62" s="20">
        <v>1041.67</v>
      </c>
      <c r="G62" s="10" t="s">
        <v>80</v>
      </c>
      <c r="H62" s="4" t="s">
        <v>79</v>
      </c>
      <c r="I62" s="4" t="s">
        <v>119</v>
      </c>
    </row>
    <row r="63" spans="2:9" x14ac:dyDescent="0.2">
      <c r="B63" s="4" t="s">
        <v>5</v>
      </c>
      <c r="C63" s="3" t="s">
        <v>6</v>
      </c>
      <c r="D63" s="3"/>
      <c r="E63" s="3"/>
      <c r="F63" s="20">
        <v>-1041.67</v>
      </c>
      <c r="G63" s="10" t="s">
        <v>80</v>
      </c>
      <c r="H63" s="4" t="s">
        <v>79</v>
      </c>
      <c r="I63" s="4" t="s">
        <v>119</v>
      </c>
    </row>
    <row r="64" spans="2:9" x14ac:dyDescent="0.2">
      <c r="B64" s="4" t="s">
        <v>5</v>
      </c>
      <c r="C64" s="3" t="s">
        <v>62</v>
      </c>
      <c r="D64" s="3"/>
      <c r="E64" s="3"/>
      <c r="F64" s="20">
        <v>1100</v>
      </c>
      <c r="G64" s="10" t="s">
        <v>81</v>
      </c>
      <c r="H64" s="4" t="s">
        <v>86</v>
      </c>
      <c r="I64" s="4" t="s">
        <v>119</v>
      </c>
    </row>
    <row r="65" spans="2:9" x14ac:dyDescent="0.2">
      <c r="B65" s="4" t="s">
        <v>5</v>
      </c>
      <c r="C65" s="3" t="s">
        <v>6</v>
      </c>
      <c r="D65" s="3"/>
      <c r="E65" s="3"/>
      <c r="F65" s="20">
        <v>-1100</v>
      </c>
      <c r="G65" s="10" t="s">
        <v>81</v>
      </c>
      <c r="H65" s="4" t="s">
        <v>86</v>
      </c>
      <c r="I65" s="4" t="s">
        <v>119</v>
      </c>
    </row>
    <row r="66" spans="2:9" x14ac:dyDescent="0.2">
      <c r="B66" s="4" t="s">
        <v>5</v>
      </c>
      <c r="C66" s="3" t="s">
        <v>62</v>
      </c>
      <c r="D66" s="3"/>
      <c r="E66" s="3"/>
      <c r="F66" s="20">
        <v>473.11</v>
      </c>
      <c r="G66" s="10" t="s">
        <v>85</v>
      </c>
      <c r="H66" s="4" t="s">
        <v>86</v>
      </c>
      <c r="I66" s="4" t="s">
        <v>119</v>
      </c>
    </row>
    <row r="67" spans="2:9" x14ac:dyDescent="0.2">
      <c r="B67" s="4" t="s">
        <v>5</v>
      </c>
      <c r="C67" s="3" t="s">
        <v>6</v>
      </c>
      <c r="D67" s="3"/>
      <c r="E67" s="3"/>
      <c r="F67" s="20">
        <v>-473.11</v>
      </c>
      <c r="G67" s="10" t="s">
        <v>85</v>
      </c>
      <c r="H67" s="4" t="s">
        <v>86</v>
      </c>
      <c r="I67" s="4" t="s">
        <v>119</v>
      </c>
    </row>
    <row r="68" spans="2:9" x14ac:dyDescent="0.2">
      <c r="B68" s="4" t="s">
        <v>5</v>
      </c>
      <c r="C68" s="3" t="s">
        <v>62</v>
      </c>
      <c r="D68" s="3"/>
      <c r="E68" s="3"/>
      <c r="F68" s="20">
        <v>3202.58</v>
      </c>
      <c r="G68" s="10" t="s">
        <v>88</v>
      </c>
      <c r="H68" s="4" t="s">
        <v>12</v>
      </c>
      <c r="I68" s="4" t="s">
        <v>119</v>
      </c>
    </row>
    <row r="69" spans="2:9" x14ac:dyDescent="0.2">
      <c r="B69" s="4" t="s">
        <v>5</v>
      </c>
      <c r="C69" s="3" t="s">
        <v>6</v>
      </c>
      <c r="D69" s="3"/>
      <c r="E69" s="3"/>
      <c r="F69" s="20">
        <v>-3202.58</v>
      </c>
      <c r="G69" s="10" t="s">
        <v>88</v>
      </c>
      <c r="H69" s="4" t="s">
        <v>12</v>
      </c>
      <c r="I69" s="4" t="s">
        <v>119</v>
      </c>
    </row>
    <row r="70" spans="2:9" x14ac:dyDescent="0.2">
      <c r="B70" s="4" t="s">
        <v>5</v>
      </c>
      <c r="C70" s="3" t="s">
        <v>62</v>
      </c>
      <c r="D70" s="3"/>
      <c r="E70" s="3"/>
      <c r="F70" s="20">
        <v>2112.02</v>
      </c>
      <c r="G70" s="10" t="s">
        <v>107</v>
      </c>
      <c r="H70" s="4" t="s">
        <v>12</v>
      </c>
      <c r="I70" s="4" t="s">
        <v>119</v>
      </c>
    </row>
    <row r="71" spans="2:9" x14ac:dyDescent="0.2">
      <c r="B71" s="4" t="s">
        <v>5</v>
      </c>
      <c r="C71" s="3" t="s">
        <v>6</v>
      </c>
      <c r="D71" s="3"/>
      <c r="E71" s="3"/>
      <c r="F71" s="20">
        <v>-2112.02</v>
      </c>
      <c r="G71" s="10" t="s">
        <v>107</v>
      </c>
      <c r="H71" s="4" t="s">
        <v>12</v>
      </c>
      <c r="I71" s="4" t="s">
        <v>119</v>
      </c>
    </row>
    <row r="72" spans="2:9" x14ac:dyDescent="0.2">
      <c r="B72" s="4" t="s">
        <v>5</v>
      </c>
      <c r="C72" s="3" t="s">
        <v>62</v>
      </c>
      <c r="D72" s="3"/>
      <c r="E72" s="3"/>
      <c r="F72" s="20">
        <v>1976.42</v>
      </c>
      <c r="G72" s="10" t="s">
        <v>108</v>
      </c>
      <c r="H72" s="4" t="s">
        <v>12</v>
      </c>
      <c r="I72" s="4" t="s">
        <v>119</v>
      </c>
    </row>
    <row r="73" spans="2:9" x14ac:dyDescent="0.2">
      <c r="B73" s="4" t="s">
        <v>5</v>
      </c>
      <c r="C73" s="3" t="s">
        <v>6</v>
      </c>
      <c r="D73" s="3"/>
      <c r="E73" s="3"/>
      <c r="F73" s="20">
        <v>-1976.42</v>
      </c>
      <c r="G73" s="10" t="s">
        <v>108</v>
      </c>
      <c r="H73" s="4" t="s">
        <v>12</v>
      </c>
      <c r="I73" s="4" t="s">
        <v>119</v>
      </c>
    </row>
    <row r="74" spans="2:9" x14ac:dyDescent="0.2">
      <c r="B74" s="4" t="s">
        <v>5</v>
      </c>
      <c r="C74" s="3" t="s">
        <v>62</v>
      </c>
      <c r="D74" s="3"/>
      <c r="E74" s="3"/>
      <c r="F74" s="20">
        <v>1530.58</v>
      </c>
      <c r="G74" s="41" t="s">
        <v>110</v>
      </c>
      <c r="H74" s="4" t="s">
        <v>12</v>
      </c>
      <c r="I74" s="4" t="s">
        <v>119</v>
      </c>
    </row>
    <row r="75" spans="2:9" x14ac:dyDescent="0.2">
      <c r="B75" s="4" t="s">
        <v>5</v>
      </c>
      <c r="C75" s="3" t="s">
        <v>6</v>
      </c>
      <c r="D75" s="3"/>
      <c r="E75" s="3"/>
      <c r="F75" s="20">
        <v>-1530.58</v>
      </c>
      <c r="G75" s="41" t="s">
        <v>110</v>
      </c>
      <c r="H75" s="4" t="s">
        <v>12</v>
      </c>
      <c r="I75" s="4" t="s">
        <v>119</v>
      </c>
    </row>
    <row r="76" spans="2:9" x14ac:dyDescent="0.2">
      <c r="B76" s="4" t="s">
        <v>5</v>
      </c>
      <c r="C76" s="3" t="s">
        <v>62</v>
      </c>
      <c r="D76" s="3"/>
      <c r="E76" s="3"/>
      <c r="F76" s="20">
        <v>732</v>
      </c>
      <c r="G76" s="41" t="s">
        <v>111</v>
      </c>
      <c r="H76" s="4" t="s">
        <v>12</v>
      </c>
      <c r="I76" s="4" t="s">
        <v>119</v>
      </c>
    </row>
    <row r="77" spans="2:9" x14ac:dyDescent="0.2">
      <c r="B77" s="4" t="s">
        <v>5</v>
      </c>
      <c r="C77" s="3" t="s">
        <v>6</v>
      </c>
      <c r="D77" s="3"/>
      <c r="E77" s="3"/>
      <c r="F77" s="20">
        <v>-732</v>
      </c>
      <c r="G77" s="41" t="s">
        <v>111</v>
      </c>
      <c r="H77" s="4" t="s">
        <v>12</v>
      </c>
      <c r="I77" s="4" t="s">
        <v>119</v>
      </c>
    </row>
    <row r="78" spans="2:9" x14ac:dyDescent="0.2">
      <c r="B78" s="16" t="s">
        <v>5</v>
      </c>
      <c r="C78" s="17" t="s">
        <v>62</v>
      </c>
      <c r="D78" s="17"/>
      <c r="E78" s="17"/>
      <c r="F78" s="22">
        <v>2646.25</v>
      </c>
      <c r="G78" s="43" t="s">
        <v>113</v>
      </c>
      <c r="H78" s="16" t="s">
        <v>12</v>
      </c>
      <c r="I78" s="16" t="s">
        <v>119</v>
      </c>
    </row>
    <row r="79" spans="2:9" x14ac:dyDescent="0.2">
      <c r="B79" s="16" t="s">
        <v>5</v>
      </c>
      <c r="C79" s="17" t="s">
        <v>6</v>
      </c>
      <c r="D79" s="17"/>
      <c r="E79" s="17"/>
      <c r="F79" s="22">
        <v>-2646.25</v>
      </c>
      <c r="G79" s="43" t="s">
        <v>113</v>
      </c>
      <c r="H79" s="16" t="s">
        <v>12</v>
      </c>
      <c r="I79" s="16" t="s">
        <v>119</v>
      </c>
    </row>
    <row r="80" spans="2:9" x14ac:dyDescent="0.2">
      <c r="B80" s="16" t="s">
        <v>5</v>
      </c>
      <c r="C80" s="17" t="s">
        <v>62</v>
      </c>
      <c r="D80" s="17"/>
      <c r="E80" s="17"/>
      <c r="F80" s="22">
        <v>3794.42</v>
      </c>
      <c r="G80" s="43" t="s">
        <v>114</v>
      </c>
      <c r="H80" s="16" t="s">
        <v>12</v>
      </c>
      <c r="I80" s="16" t="s">
        <v>119</v>
      </c>
    </row>
    <row r="81" spans="2:9" x14ac:dyDescent="0.2">
      <c r="B81" s="16" t="s">
        <v>5</v>
      </c>
      <c r="C81" s="17" t="s">
        <v>6</v>
      </c>
      <c r="D81" s="17"/>
      <c r="E81" s="17"/>
      <c r="F81" s="22" t="s">
        <v>115</v>
      </c>
      <c r="G81" s="43" t="s">
        <v>114</v>
      </c>
      <c r="H81" s="16" t="s">
        <v>12</v>
      </c>
      <c r="I81" s="16" t="s">
        <v>119</v>
      </c>
    </row>
    <row r="85" spans="2:9" ht="15" thickBot="1" x14ac:dyDescent="0.25">
      <c r="C85" t="s">
        <v>14</v>
      </c>
      <c r="F85" s="21">
        <f>SUMIF(F46:F84,"&lt;0",F46:F84)</f>
        <v>-67605.16</v>
      </c>
      <c r="G85" t="s">
        <v>13</v>
      </c>
    </row>
    <row r="86" spans="2:9" ht="15" thickTop="1" x14ac:dyDescent="0.2"/>
  </sheetData>
  <autoFilter ref="A6:O6" xr:uid="{C72EA621-673A-4200-BC3A-FC9120173B40}"/>
  <hyperlinks>
    <hyperlink ref="F1" r:id="rId1" xr:uid="{FD284C9D-D420-4EC4-B6EF-BFCEC87F8C6F}"/>
  </hyperlinks>
  <pageMargins left="0.7" right="0.7" top="0.75" bottom="0.75" header="0.3" footer="0.3"/>
  <pageSetup paperSize="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A621-673A-4200-BC3A-FC9120173B40}">
  <sheetPr>
    <tabColor theme="9" tint="0.59999389629810485"/>
  </sheetPr>
  <dimension ref="A1:O90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109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109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53</v>
      </c>
      <c r="D9" s="3"/>
      <c r="E9" s="3"/>
      <c r="F9" s="20">
        <v>5042.0600000000004</v>
      </c>
      <c r="G9" s="30" t="s">
        <v>54</v>
      </c>
      <c r="H9" s="4" t="s">
        <v>12</v>
      </c>
      <c r="I9" s="4" t="s">
        <v>109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-5042.0600000000004</v>
      </c>
      <c r="G10" s="30" t="s">
        <v>54</v>
      </c>
      <c r="H10" s="4" t="s">
        <v>12</v>
      </c>
      <c r="I10" s="4" t="s">
        <v>109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60</v>
      </c>
      <c r="D11" s="25"/>
      <c r="E11" s="25"/>
      <c r="F11" s="26">
        <v>1291.67</v>
      </c>
      <c r="G11" s="29" t="s">
        <v>59</v>
      </c>
      <c r="H11" s="28" t="s">
        <v>12</v>
      </c>
      <c r="I11" s="28" t="s">
        <v>109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5</v>
      </c>
      <c r="C12" s="25" t="s">
        <v>61</v>
      </c>
      <c r="D12" s="25"/>
      <c r="E12" s="25"/>
      <c r="F12" s="26">
        <v>1291.67</v>
      </c>
      <c r="G12" s="29" t="s">
        <v>59</v>
      </c>
      <c r="H12" s="28" t="s">
        <v>12</v>
      </c>
      <c r="I12" s="28" t="s">
        <v>109</v>
      </c>
      <c r="J12" s="23"/>
      <c r="K12" s="11"/>
      <c r="L12" s="1"/>
      <c r="M12" s="1"/>
      <c r="N12" s="1"/>
      <c r="O12" s="1"/>
    </row>
    <row r="13" spans="1:15" x14ac:dyDescent="0.2">
      <c r="A13" s="1"/>
      <c r="B13" s="24" t="s">
        <v>1</v>
      </c>
      <c r="C13" s="25" t="s">
        <v>2</v>
      </c>
      <c r="D13" s="25"/>
      <c r="E13" s="25"/>
      <c r="F13" s="26">
        <v>-2583.34</v>
      </c>
      <c r="G13" s="29" t="s">
        <v>59</v>
      </c>
      <c r="H13" s="28" t="s">
        <v>12</v>
      </c>
      <c r="I13" s="28" t="s">
        <v>109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11</v>
      </c>
      <c r="D14" s="3"/>
      <c r="E14" s="3"/>
      <c r="F14" s="20">
        <v>5750</v>
      </c>
      <c r="G14" s="30" t="s">
        <v>66</v>
      </c>
      <c r="H14" s="4" t="s">
        <v>12</v>
      </c>
      <c r="I14" s="4" t="s">
        <v>109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-5750</v>
      </c>
      <c r="G15" s="30" t="s">
        <v>66</v>
      </c>
      <c r="H15" s="4" t="s">
        <v>12</v>
      </c>
      <c r="I15" s="4" t="s">
        <v>109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70</v>
      </c>
      <c r="D16" s="3"/>
      <c r="E16" s="3"/>
      <c r="F16" s="20">
        <v>19206.060000000001</v>
      </c>
      <c r="G16" s="30" t="s">
        <v>72</v>
      </c>
      <c r="H16" s="4" t="s">
        <v>12</v>
      </c>
      <c r="I16" s="4" t="s">
        <v>109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-19206.060000000001</v>
      </c>
      <c r="G17" s="30" t="s">
        <v>72</v>
      </c>
      <c r="H17" s="4" t="s">
        <v>12</v>
      </c>
      <c r="I17" s="4" t="s">
        <v>109</v>
      </c>
      <c r="J17" s="11"/>
      <c r="K17" s="11"/>
      <c r="L17" s="1"/>
      <c r="M17" s="1"/>
      <c r="N17" s="1"/>
      <c r="O17" s="1"/>
    </row>
    <row r="18" spans="1:15" x14ac:dyDescent="0.2">
      <c r="A18" s="1"/>
      <c r="B18" s="1" t="s">
        <v>5</v>
      </c>
      <c r="C18" s="3" t="s">
        <v>83</v>
      </c>
      <c r="D18" s="3"/>
      <c r="E18" s="3"/>
      <c r="F18" s="20">
        <v>6666.67</v>
      </c>
      <c r="G18" s="30" t="s">
        <v>84</v>
      </c>
      <c r="H18" s="4" t="s">
        <v>12</v>
      </c>
      <c r="I18" s="4" t="s">
        <v>109</v>
      </c>
      <c r="J18" s="11"/>
      <c r="K18" s="11"/>
      <c r="L18" s="1"/>
      <c r="M18" s="1"/>
      <c r="N18" s="1"/>
      <c r="O18" s="1"/>
    </row>
    <row r="19" spans="1:15" x14ac:dyDescent="0.2">
      <c r="A19" s="1"/>
      <c r="B19" s="1" t="s">
        <v>1</v>
      </c>
      <c r="C19" s="3" t="s">
        <v>2</v>
      </c>
      <c r="D19" s="3"/>
      <c r="E19" s="3"/>
      <c r="F19" s="20">
        <v>-6666.67</v>
      </c>
      <c r="G19" s="30" t="s">
        <v>84</v>
      </c>
      <c r="H19" s="4" t="s">
        <v>12</v>
      </c>
      <c r="I19" s="4" t="s">
        <v>109</v>
      </c>
      <c r="J19" s="11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89</v>
      </c>
      <c r="D20" s="25"/>
      <c r="E20" s="25"/>
      <c r="F20" s="26">
        <v>479.74621212121201</v>
      </c>
      <c r="G20" s="29" t="s">
        <v>94</v>
      </c>
      <c r="H20" s="28" t="s">
        <v>12</v>
      </c>
      <c r="I20" s="28" t="s">
        <v>109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90</v>
      </c>
      <c r="D21" s="25"/>
      <c r="E21" s="25"/>
      <c r="F21" s="26">
        <v>479.74318181818199</v>
      </c>
      <c r="G21" s="29" t="s">
        <v>94</v>
      </c>
      <c r="H21" s="28" t="s">
        <v>12</v>
      </c>
      <c r="I21" s="28" t="s">
        <v>109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5</v>
      </c>
      <c r="C22" s="25" t="s">
        <v>91</v>
      </c>
      <c r="D22" s="25"/>
      <c r="E22" s="25"/>
      <c r="F22" s="26">
        <v>479.74318181818199</v>
      </c>
      <c r="G22" s="29" t="s">
        <v>94</v>
      </c>
      <c r="H22" s="28" t="s">
        <v>12</v>
      </c>
      <c r="I22" s="28" t="s">
        <v>109</v>
      </c>
      <c r="J22" s="23"/>
      <c r="K22" s="11"/>
      <c r="L22" s="1"/>
      <c r="M22" s="1"/>
      <c r="N22" s="1"/>
      <c r="O22" s="1"/>
    </row>
    <row r="23" spans="1:15" x14ac:dyDescent="0.2">
      <c r="A23" s="1"/>
      <c r="B23" s="24" t="s">
        <v>5</v>
      </c>
      <c r="C23" s="25" t="s">
        <v>92</v>
      </c>
      <c r="D23" s="25"/>
      <c r="E23" s="25"/>
      <c r="F23" s="26">
        <v>479.74318181818199</v>
      </c>
      <c r="G23" s="29" t="s">
        <v>94</v>
      </c>
      <c r="H23" s="28" t="s">
        <v>12</v>
      </c>
      <c r="I23" s="28" t="s">
        <v>109</v>
      </c>
      <c r="J23" s="23"/>
      <c r="K23" s="11"/>
      <c r="L23" s="1"/>
      <c r="M23" s="1"/>
      <c r="N23" s="1"/>
      <c r="O23" s="1"/>
    </row>
    <row r="24" spans="1:15" x14ac:dyDescent="0.2">
      <c r="A24" s="1"/>
      <c r="B24" s="24" t="s">
        <v>1</v>
      </c>
      <c r="C24" s="25" t="s">
        <v>2</v>
      </c>
      <c r="D24" s="25"/>
      <c r="E24" s="25"/>
      <c r="F24" s="26">
        <v>-1918.97</v>
      </c>
      <c r="G24" s="29" t="s">
        <v>94</v>
      </c>
      <c r="H24" s="28" t="s">
        <v>12</v>
      </c>
      <c r="I24" s="28" t="s">
        <v>109</v>
      </c>
      <c r="J24" s="23"/>
      <c r="K24" s="11"/>
      <c r="L24" s="1"/>
      <c r="M24" s="1"/>
      <c r="N24" s="1"/>
      <c r="O24" s="1"/>
    </row>
    <row r="25" spans="1:15" x14ac:dyDescent="0.2">
      <c r="A25" s="1"/>
      <c r="B25" s="19" t="s">
        <v>5</v>
      </c>
      <c r="C25" s="17" t="s">
        <v>100</v>
      </c>
      <c r="D25" s="17"/>
      <c r="E25" s="17"/>
      <c r="F25" s="22">
        <v>2250</v>
      </c>
      <c r="G25" s="39" t="s">
        <v>101</v>
      </c>
      <c r="H25" s="16"/>
      <c r="I25" s="16" t="s">
        <v>109</v>
      </c>
      <c r="J25" s="23"/>
      <c r="K25" s="11"/>
      <c r="L25" s="1"/>
      <c r="M25" s="1"/>
      <c r="N25" s="1"/>
      <c r="O25" s="1"/>
    </row>
    <row r="26" spans="1:15" x14ac:dyDescent="0.2">
      <c r="A26" s="1"/>
      <c r="B26" s="19" t="s">
        <v>1</v>
      </c>
      <c r="C26" s="17" t="s">
        <v>2</v>
      </c>
      <c r="D26" s="17"/>
      <c r="E26" s="17"/>
      <c r="F26" s="22">
        <v>-2250</v>
      </c>
      <c r="G26" s="39" t="s">
        <v>101</v>
      </c>
      <c r="H26" s="16"/>
      <c r="I26" s="16" t="s">
        <v>109</v>
      </c>
      <c r="J26" s="23"/>
      <c r="K26" s="11"/>
      <c r="L26" s="1"/>
      <c r="M26" s="1"/>
      <c r="N26" s="1"/>
      <c r="O26" s="1"/>
    </row>
    <row r="27" spans="1:15" x14ac:dyDescent="0.2">
      <c r="A27" s="1"/>
      <c r="B27" s="19" t="s">
        <v>5</v>
      </c>
      <c r="C27" s="17" t="s">
        <v>100</v>
      </c>
      <c r="D27" s="17"/>
      <c r="E27" s="17"/>
      <c r="F27" s="22">
        <v>2250</v>
      </c>
      <c r="G27" s="39" t="s">
        <v>102</v>
      </c>
      <c r="H27" s="16"/>
      <c r="I27" s="16" t="s">
        <v>109</v>
      </c>
      <c r="J27" s="23"/>
      <c r="K27" s="11"/>
      <c r="L27" s="1"/>
      <c r="M27" s="1"/>
      <c r="N27" s="1"/>
      <c r="O27" s="1"/>
    </row>
    <row r="28" spans="1:15" x14ac:dyDescent="0.2">
      <c r="A28" s="1"/>
      <c r="B28" s="19" t="s">
        <v>1</v>
      </c>
      <c r="C28" s="17" t="s">
        <v>2</v>
      </c>
      <c r="D28" s="17"/>
      <c r="E28" s="17"/>
      <c r="F28" s="22">
        <v>-2250</v>
      </c>
      <c r="G28" s="39" t="s">
        <v>102</v>
      </c>
      <c r="H28" s="16"/>
      <c r="I28" s="16" t="s">
        <v>109</v>
      </c>
      <c r="J28" s="23"/>
      <c r="K28" s="11"/>
      <c r="L28" s="1"/>
      <c r="M28" s="1"/>
      <c r="N28" s="1"/>
      <c r="O28" s="1"/>
    </row>
    <row r="29" spans="1:15" x14ac:dyDescent="0.2">
      <c r="A29" s="1"/>
      <c r="B29" s="1" t="s">
        <v>5</v>
      </c>
      <c r="C29" s="3" t="s">
        <v>10</v>
      </c>
      <c r="D29" s="3"/>
      <c r="E29" s="3"/>
      <c r="F29" s="20">
        <v>487.25</v>
      </c>
      <c r="G29" s="30" t="s">
        <v>46</v>
      </c>
      <c r="H29" s="4" t="s">
        <v>12</v>
      </c>
      <c r="I29" s="4" t="s">
        <v>109</v>
      </c>
      <c r="J29" s="23"/>
      <c r="K29" s="11"/>
      <c r="L29" s="1"/>
      <c r="M29" s="1"/>
      <c r="N29" s="1"/>
      <c r="O29" s="1"/>
    </row>
    <row r="30" spans="1:15" x14ac:dyDescent="0.2">
      <c r="A30" s="1"/>
      <c r="B30" s="1" t="s">
        <v>5</v>
      </c>
      <c r="C30" s="3" t="s">
        <v>52</v>
      </c>
      <c r="D30" s="3"/>
      <c r="E30" s="3"/>
      <c r="F30" s="20">
        <v>-487.25</v>
      </c>
      <c r="G30" s="30" t="s">
        <v>46</v>
      </c>
      <c r="H30" s="4" t="s">
        <v>12</v>
      </c>
      <c r="I30" s="4" t="s">
        <v>109</v>
      </c>
      <c r="J30" s="23"/>
      <c r="K30" s="11"/>
      <c r="L30" s="1"/>
      <c r="M30" s="1"/>
      <c r="N30" s="1"/>
      <c r="O30" s="1"/>
    </row>
    <row r="31" spans="1:15" x14ac:dyDescent="0.2">
      <c r="A31" s="1"/>
      <c r="B31" s="19" t="s">
        <v>5</v>
      </c>
      <c r="C31" s="17" t="s">
        <v>105</v>
      </c>
      <c r="D31" s="17"/>
      <c r="E31" s="17"/>
      <c r="F31" s="22">
        <v>8609.01</v>
      </c>
      <c r="G31" s="31" t="s">
        <v>103</v>
      </c>
      <c r="H31" s="16" t="s">
        <v>12</v>
      </c>
      <c r="I31" s="16" t="s">
        <v>109</v>
      </c>
      <c r="J31" s="23"/>
      <c r="K31" s="11"/>
      <c r="L31" s="1"/>
      <c r="M31" s="1"/>
      <c r="N31" s="1"/>
      <c r="O31" s="1"/>
    </row>
    <row r="32" spans="1:15" x14ac:dyDescent="0.2">
      <c r="A32" s="1"/>
      <c r="B32" s="19" t="s">
        <v>1</v>
      </c>
      <c r="C32" s="17" t="s">
        <v>106</v>
      </c>
      <c r="D32" s="17"/>
      <c r="E32" s="17"/>
      <c r="F32" s="22">
        <v>-8609.01</v>
      </c>
      <c r="G32" s="31" t="s">
        <v>103</v>
      </c>
      <c r="H32" s="16" t="s">
        <v>12</v>
      </c>
      <c r="I32" s="16" t="s">
        <v>109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5</v>
      </c>
      <c r="C33" s="3" t="s">
        <v>39</v>
      </c>
      <c r="D33" s="3"/>
      <c r="E33" s="3"/>
      <c r="F33" s="20">
        <v>6932.05</v>
      </c>
      <c r="G33" s="30" t="s">
        <v>74</v>
      </c>
      <c r="H33" s="4" t="s">
        <v>12</v>
      </c>
      <c r="I33" s="4" t="s">
        <v>109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1</v>
      </c>
      <c r="C34" s="3" t="s">
        <v>73</v>
      </c>
      <c r="D34" s="3"/>
      <c r="E34" s="3"/>
      <c r="F34" s="20">
        <v>-6932.05</v>
      </c>
      <c r="G34" s="30" t="s">
        <v>74</v>
      </c>
      <c r="H34" s="4" t="s">
        <v>12</v>
      </c>
      <c r="I34" s="4" t="s">
        <v>109</v>
      </c>
      <c r="J34" s="23"/>
      <c r="K34" s="11"/>
      <c r="L34" s="1"/>
      <c r="M34" s="1"/>
      <c r="N34" s="1"/>
      <c r="O34" s="1"/>
    </row>
    <row r="35" spans="1:15" x14ac:dyDescent="0.2">
      <c r="A35" s="1"/>
      <c r="B35" s="1" t="s">
        <v>5</v>
      </c>
      <c r="C35" s="3" t="s">
        <v>4</v>
      </c>
      <c r="D35" s="3"/>
      <c r="E35" s="3"/>
      <c r="F35" s="20">
        <v>43749.13</v>
      </c>
      <c r="G35" s="30" t="s">
        <v>99</v>
      </c>
      <c r="H35" s="4"/>
      <c r="I35" s="4" t="s">
        <v>109</v>
      </c>
      <c r="J35" s="23"/>
      <c r="K35" s="11"/>
      <c r="L35" s="1"/>
      <c r="M35" s="1"/>
      <c r="N35" s="1"/>
      <c r="O35" s="1"/>
    </row>
    <row r="36" spans="1:15" x14ac:dyDescent="0.2">
      <c r="A36" s="1"/>
      <c r="B36" s="1" t="s">
        <v>1</v>
      </c>
      <c r="C36" s="3" t="s">
        <v>16</v>
      </c>
      <c r="D36" s="3"/>
      <c r="E36" s="3"/>
      <c r="F36" s="20">
        <v>-43749.13</v>
      </c>
      <c r="G36" s="30" t="s">
        <v>99</v>
      </c>
      <c r="H36" s="4"/>
      <c r="I36" s="4" t="s">
        <v>109</v>
      </c>
      <c r="J36" s="23"/>
      <c r="K36" s="11"/>
      <c r="L36" s="1"/>
      <c r="M36" s="1"/>
      <c r="N36" s="1"/>
      <c r="O36" s="1"/>
    </row>
    <row r="37" spans="1:15" x14ac:dyDescent="0.2">
      <c r="A37" s="1"/>
      <c r="B37" s="1"/>
      <c r="C37" s="3"/>
      <c r="D37" s="3"/>
      <c r="E37" s="3"/>
      <c r="F37" s="20"/>
      <c r="G37" s="30"/>
      <c r="H37" s="4"/>
      <c r="I37" s="4"/>
      <c r="J37" s="23"/>
      <c r="K37" s="11"/>
      <c r="L37" s="1"/>
      <c r="M37" s="1"/>
      <c r="N37" s="1"/>
      <c r="O37" s="1"/>
    </row>
    <row r="38" spans="1:15" x14ac:dyDescent="0.2">
      <c r="A38" s="1"/>
      <c r="B38" s="1"/>
      <c r="C38" s="40"/>
      <c r="D38" s="3"/>
      <c r="E38" s="3"/>
      <c r="F38" s="20"/>
      <c r="G38" s="30"/>
      <c r="H38" s="4"/>
      <c r="I38" s="4"/>
      <c r="J38" s="11"/>
      <c r="K38" s="11"/>
      <c r="L38" s="1"/>
      <c r="M38" s="1"/>
      <c r="N38" s="1"/>
      <c r="O38" s="1"/>
    </row>
    <row r="39" spans="1:15" x14ac:dyDescent="0.2">
      <c r="A39" s="1"/>
      <c r="B39" s="1"/>
      <c r="C39" s="3"/>
      <c r="D39" s="3"/>
      <c r="E39" s="3"/>
      <c r="F39" s="20"/>
      <c r="G39" s="30"/>
      <c r="H39" s="4"/>
      <c r="I39" s="4"/>
      <c r="J39" s="11"/>
      <c r="K39" s="11"/>
      <c r="L39" s="1"/>
      <c r="M39" s="1"/>
      <c r="N39" s="1"/>
      <c r="O39" s="1"/>
    </row>
    <row r="40" spans="1:15" x14ac:dyDescent="0.2">
      <c r="A40" s="1"/>
      <c r="B40" s="1"/>
      <c r="C40" s="12"/>
      <c r="D40" s="12"/>
      <c r="E40" s="12"/>
      <c r="F40" s="5"/>
      <c r="G40" s="13"/>
      <c r="H40" s="4"/>
      <c r="I40" s="4"/>
      <c r="J40" s="7"/>
      <c r="K40" s="11"/>
      <c r="L40" s="1"/>
      <c r="M40" s="1"/>
      <c r="N40" s="1"/>
      <c r="O40" s="1"/>
    </row>
    <row r="41" spans="1:15" ht="15" thickBot="1" x14ac:dyDescent="0.25">
      <c r="A41" s="1"/>
      <c r="B41" s="1"/>
      <c r="C41" s="3" t="s">
        <v>15</v>
      </c>
      <c r="D41" s="3"/>
      <c r="E41" s="3"/>
      <c r="F41" s="21">
        <f>SUMIF(F7:F36,"&lt;0",F7:F36)</f>
        <v>-105816.54000000001</v>
      </c>
      <c r="G41" s="13" t="s">
        <v>13</v>
      </c>
      <c r="H41" s="4"/>
      <c r="I41" s="4"/>
      <c r="J41" s="7"/>
      <c r="K41" s="11"/>
      <c r="L41" s="1"/>
      <c r="M41" s="1"/>
      <c r="N41" s="1"/>
      <c r="O41" s="1"/>
    </row>
    <row r="42" spans="1:15" ht="15" thickTop="1" x14ac:dyDescent="0.2">
      <c r="A42" s="1"/>
      <c r="B42" s="1"/>
      <c r="C42" s="3"/>
      <c r="D42" s="3"/>
      <c r="E42" s="3"/>
      <c r="F42" s="5"/>
      <c r="G42" s="10"/>
      <c r="H42" s="4"/>
      <c r="I42" s="4"/>
      <c r="J42" s="7"/>
      <c r="K42" s="11"/>
      <c r="L42" s="1"/>
      <c r="M42" s="1"/>
      <c r="N42" s="1"/>
      <c r="O42" s="1"/>
    </row>
    <row r="43" spans="1:15" x14ac:dyDescent="0.2">
      <c r="K43" s="11"/>
      <c r="L43" s="1"/>
      <c r="M43" s="1"/>
      <c r="N43" s="1"/>
      <c r="O43" s="1"/>
    </row>
    <row r="44" spans="1:15" x14ac:dyDescent="0.2">
      <c r="K44" s="11"/>
      <c r="L44" s="1"/>
      <c r="M44" s="1"/>
      <c r="N44" s="1"/>
      <c r="O44" s="1"/>
    </row>
    <row r="45" spans="1:15" x14ac:dyDescent="0.2">
      <c r="K45" s="11"/>
      <c r="L45" s="1"/>
      <c r="M45" s="1"/>
      <c r="N45" s="1"/>
      <c r="O45" s="1"/>
    </row>
    <row r="46" spans="1:15" x14ac:dyDescent="0.2">
      <c r="B46" s="4" t="s">
        <v>5</v>
      </c>
      <c r="C46" s="3" t="s">
        <v>7</v>
      </c>
      <c r="D46" s="3"/>
      <c r="E46" s="3"/>
      <c r="F46" s="20">
        <v>7143.75</v>
      </c>
      <c r="G46" s="10" t="s">
        <v>26</v>
      </c>
      <c r="H46" s="4" t="s">
        <v>17</v>
      </c>
      <c r="I46" s="4" t="s">
        <v>112</v>
      </c>
      <c r="K46" s="11"/>
      <c r="L46" s="1"/>
      <c r="M46" s="1"/>
      <c r="N46" s="1"/>
      <c r="O46" s="1"/>
    </row>
    <row r="47" spans="1:15" x14ac:dyDescent="0.2">
      <c r="B47" s="4" t="s">
        <v>5</v>
      </c>
      <c r="C47" s="3" t="s">
        <v>6</v>
      </c>
      <c r="D47" s="3"/>
      <c r="E47" s="3"/>
      <c r="F47" s="20">
        <v>-7143.75</v>
      </c>
      <c r="G47" s="10" t="s">
        <v>26</v>
      </c>
      <c r="H47" s="4" t="s">
        <v>17</v>
      </c>
      <c r="I47" s="4" t="s">
        <v>109</v>
      </c>
      <c r="K47" s="11"/>
      <c r="L47" s="1"/>
      <c r="M47" s="1"/>
      <c r="N47" s="1"/>
      <c r="O47" s="1"/>
    </row>
    <row r="48" spans="1:15" x14ac:dyDescent="0.2">
      <c r="B48" s="4" t="s">
        <v>5</v>
      </c>
      <c r="C48" s="3" t="s">
        <v>7</v>
      </c>
      <c r="D48" s="3"/>
      <c r="E48" s="3"/>
      <c r="F48" s="20">
        <v>665.42</v>
      </c>
      <c r="G48" s="10" t="s">
        <v>44</v>
      </c>
      <c r="H48" s="4" t="s">
        <v>12</v>
      </c>
      <c r="I48" s="4" t="s">
        <v>109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-665.42</v>
      </c>
      <c r="G49" s="10" t="s">
        <v>44</v>
      </c>
      <c r="H49" s="4" t="s">
        <v>12</v>
      </c>
      <c r="I49" s="4" t="s">
        <v>109</v>
      </c>
    </row>
    <row r="50" spans="2:9" x14ac:dyDescent="0.2">
      <c r="B50" s="4" t="s">
        <v>5</v>
      </c>
      <c r="C50" s="3" t="s">
        <v>7</v>
      </c>
      <c r="D50" s="3"/>
      <c r="E50" s="3"/>
      <c r="F50" s="20">
        <v>1493.25</v>
      </c>
      <c r="G50" s="10" t="s">
        <v>45</v>
      </c>
      <c r="H50" s="4" t="s">
        <v>12</v>
      </c>
      <c r="I50" s="4" t="s">
        <v>109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-1493.25</v>
      </c>
      <c r="G51" s="10" t="s">
        <v>45</v>
      </c>
      <c r="H51" s="4" t="s">
        <v>12</v>
      </c>
      <c r="I51" s="4" t="s">
        <v>109</v>
      </c>
    </row>
    <row r="52" spans="2:9" x14ac:dyDescent="0.2">
      <c r="B52" s="4" t="s">
        <v>5</v>
      </c>
      <c r="C52" s="3" t="s">
        <v>7</v>
      </c>
      <c r="D52" s="3"/>
      <c r="E52" s="3"/>
      <c r="F52" s="20">
        <v>3613.92</v>
      </c>
      <c r="G52" s="10" t="s">
        <v>47</v>
      </c>
      <c r="H52" s="4" t="s">
        <v>18</v>
      </c>
      <c r="I52" s="4" t="s">
        <v>109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-3613.92</v>
      </c>
      <c r="G53" s="10" t="s">
        <v>47</v>
      </c>
      <c r="H53" s="4" t="s">
        <v>18</v>
      </c>
      <c r="I53" s="4" t="s">
        <v>109</v>
      </c>
    </row>
    <row r="54" spans="2:9" x14ac:dyDescent="0.2">
      <c r="B54" s="4" t="s">
        <v>5</v>
      </c>
      <c r="C54" s="3" t="s">
        <v>7</v>
      </c>
      <c r="D54" s="3"/>
      <c r="E54" s="3"/>
      <c r="F54" s="20">
        <v>2562.92</v>
      </c>
      <c r="G54" s="10" t="s">
        <v>48</v>
      </c>
      <c r="H54" s="4" t="s">
        <v>12</v>
      </c>
      <c r="I54" s="4" t="s">
        <v>109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-2562.92</v>
      </c>
      <c r="G55" s="10" t="s">
        <v>48</v>
      </c>
      <c r="H55" s="4" t="s">
        <v>12</v>
      </c>
      <c r="I55" s="4" t="s">
        <v>109</v>
      </c>
    </row>
    <row r="56" spans="2:9" x14ac:dyDescent="0.2">
      <c r="B56" s="4" t="s">
        <v>5</v>
      </c>
      <c r="C56" s="3" t="s">
        <v>7</v>
      </c>
      <c r="D56" s="3"/>
      <c r="E56" s="3"/>
      <c r="F56" s="20">
        <v>1101.83</v>
      </c>
      <c r="G56" s="10" t="s">
        <v>55</v>
      </c>
      <c r="H56" s="4" t="s">
        <v>12</v>
      </c>
      <c r="I56" s="4" t="s">
        <v>109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-1101.83</v>
      </c>
      <c r="G57" s="10" t="s">
        <v>55</v>
      </c>
      <c r="H57" s="4" t="s">
        <v>12</v>
      </c>
      <c r="I57" s="4" t="s">
        <v>109</v>
      </c>
    </row>
    <row r="58" spans="2:9" x14ac:dyDescent="0.2">
      <c r="B58" s="4" t="s">
        <v>5</v>
      </c>
      <c r="C58" s="3" t="s">
        <v>7</v>
      </c>
      <c r="D58" s="3"/>
      <c r="E58" s="3"/>
      <c r="F58" s="20">
        <v>973.55</v>
      </c>
      <c r="G58" s="10" t="s">
        <v>57</v>
      </c>
      <c r="H58" s="4" t="s">
        <v>12</v>
      </c>
      <c r="I58" s="4" t="s">
        <v>109</v>
      </c>
    </row>
    <row r="59" spans="2:9" x14ac:dyDescent="0.2">
      <c r="B59" s="4" t="s">
        <v>5</v>
      </c>
      <c r="C59" s="3" t="s">
        <v>6</v>
      </c>
      <c r="D59" s="3"/>
      <c r="E59" s="3"/>
      <c r="F59" s="20">
        <v>-973.55</v>
      </c>
      <c r="G59" s="10" t="s">
        <v>57</v>
      </c>
      <c r="H59" s="4" t="s">
        <v>12</v>
      </c>
      <c r="I59" s="4" t="s">
        <v>109</v>
      </c>
    </row>
    <row r="60" spans="2:9" x14ac:dyDescent="0.2">
      <c r="B60" s="4" t="s">
        <v>5</v>
      </c>
      <c r="C60" s="3" t="s">
        <v>62</v>
      </c>
      <c r="D60" s="3"/>
      <c r="E60" s="3"/>
      <c r="F60" s="20">
        <v>6666.67</v>
      </c>
      <c r="G60" s="10" t="s">
        <v>64</v>
      </c>
      <c r="H60" s="4" t="s">
        <v>12</v>
      </c>
      <c r="I60" s="4" t="s">
        <v>109</v>
      </c>
    </row>
    <row r="61" spans="2:9" x14ac:dyDescent="0.2">
      <c r="B61" s="4" t="s">
        <v>5</v>
      </c>
      <c r="C61" s="3" t="s">
        <v>6</v>
      </c>
      <c r="D61" s="3"/>
      <c r="E61" s="3"/>
      <c r="F61" s="20">
        <v>-6666.67</v>
      </c>
      <c r="G61" s="10" t="s">
        <v>64</v>
      </c>
      <c r="H61" s="4" t="s">
        <v>12</v>
      </c>
      <c r="I61" s="4" t="s">
        <v>109</v>
      </c>
    </row>
    <row r="62" spans="2:9" x14ac:dyDescent="0.2">
      <c r="B62" s="4" t="s">
        <v>5</v>
      </c>
      <c r="C62" s="3" t="s">
        <v>62</v>
      </c>
      <c r="D62" s="3"/>
      <c r="E62" s="3"/>
      <c r="F62" s="20">
        <v>33416.67</v>
      </c>
      <c r="G62" s="10" t="s">
        <v>65</v>
      </c>
      <c r="H62" s="4" t="s">
        <v>12</v>
      </c>
      <c r="I62" s="4" t="s">
        <v>109</v>
      </c>
    </row>
    <row r="63" spans="2:9" x14ac:dyDescent="0.2">
      <c r="B63" s="4" t="s">
        <v>5</v>
      </c>
      <c r="C63" s="3" t="s">
        <v>6</v>
      </c>
      <c r="D63" s="3"/>
      <c r="E63" s="3"/>
      <c r="F63" s="20">
        <v>-33416.67</v>
      </c>
      <c r="G63" s="10" t="s">
        <v>65</v>
      </c>
      <c r="H63" s="4" t="s">
        <v>12</v>
      </c>
      <c r="I63" s="4" t="s">
        <v>109</v>
      </c>
    </row>
    <row r="64" spans="2:9" x14ac:dyDescent="0.2">
      <c r="B64" s="4" t="s">
        <v>5</v>
      </c>
      <c r="C64" s="3" t="s">
        <v>62</v>
      </c>
      <c r="D64" s="3"/>
      <c r="E64" s="3"/>
      <c r="F64" s="20">
        <v>949.17</v>
      </c>
      <c r="G64" s="10" t="s">
        <v>67</v>
      </c>
      <c r="H64" s="4" t="s">
        <v>12</v>
      </c>
      <c r="I64" s="4" t="s">
        <v>109</v>
      </c>
    </row>
    <row r="65" spans="2:9" x14ac:dyDescent="0.2">
      <c r="B65" s="4" t="s">
        <v>5</v>
      </c>
      <c r="C65" s="3" t="s">
        <v>6</v>
      </c>
      <c r="D65" s="3"/>
      <c r="E65" s="3"/>
      <c r="F65" s="20">
        <v>-949.17</v>
      </c>
      <c r="G65" s="10" t="s">
        <v>67</v>
      </c>
      <c r="H65" s="4" t="s">
        <v>12</v>
      </c>
      <c r="I65" s="4" t="s">
        <v>109</v>
      </c>
    </row>
    <row r="66" spans="2:9" x14ac:dyDescent="0.2">
      <c r="B66" s="4" t="s">
        <v>5</v>
      </c>
      <c r="C66" s="3" t="s">
        <v>62</v>
      </c>
      <c r="D66" s="3"/>
      <c r="E66" s="3"/>
      <c r="F66" s="20">
        <v>371.48</v>
      </c>
      <c r="G66" s="10" t="s">
        <v>68</v>
      </c>
      <c r="H66" s="4" t="s">
        <v>12</v>
      </c>
      <c r="I66" s="4" t="s">
        <v>109</v>
      </c>
    </row>
    <row r="67" spans="2:9" x14ac:dyDescent="0.2">
      <c r="B67" s="4" t="s">
        <v>5</v>
      </c>
      <c r="C67" s="3" t="s">
        <v>6</v>
      </c>
      <c r="D67" s="3"/>
      <c r="E67" s="3"/>
      <c r="F67" s="20">
        <v>-371.48</v>
      </c>
      <c r="G67" s="10" t="s">
        <v>68</v>
      </c>
      <c r="H67" s="4" t="s">
        <v>12</v>
      </c>
      <c r="I67" s="4" t="s">
        <v>109</v>
      </c>
    </row>
    <row r="68" spans="2:9" x14ac:dyDescent="0.2">
      <c r="B68" s="4" t="s">
        <v>5</v>
      </c>
      <c r="C68" s="3" t="s">
        <v>62</v>
      </c>
      <c r="D68" s="3"/>
      <c r="E68" s="3"/>
      <c r="F68" s="20">
        <v>2167.41</v>
      </c>
      <c r="G68" s="10" t="s">
        <v>77</v>
      </c>
      <c r="H68" s="4" t="s">
        <v>78</v>
      </c>
      <c r="I68" s="4" t="s">
        <v>109</v>
      </c>
    </row>
    <row r="69" spans="2:9" x14ac:dyDescent="0.2">
      <c r="B69" s="4" t="s">
        <v>5</v>
      </c>
      <c r="C69" s="3" t="s">
        <v>6</v>
      </c>
      <c r="D69" s="3"/>
      <c r="E69" s="3"/>
      <c r="F69" s="20">
        <v>-2167.41</v>
      </c>
      <c r="G69" s="10" t="s">
        <v>77</v>
      </c>
      <c r="H69" s="4" t="s">
        <v>78</v>
      </c>
      <c r="I69" s="4" t="s">
        <v>109</v>
      </c>
    </row>
    <row r="70" spans="2:9" x14ac:dyDescent="0.2">
      <c r="B70" s="4" t="s">
        <v>5</v>
      </c>
      <c r="C70" s="3" t="s">
        <v>62</v>
      </c>
      <c r="D70" s="3"/>
      <c r="E70" s="3"/>
      <c r="F70" s="20">
        <v>1041.67</v>
      </c>
      <c r="G70" s="10" t="s">
        <v>80</v>
      </c>
      <c r="H70" s="4" t="s">
        <v>79</v>
      </c>
      <c r="I70" s="4" t="s">
        <v>109</v>
      </c>
    </row>
    <row r="71" spans="2:9" x14ac:dyDescent="0.2">
      <c r="B71" s="4" t="s">
        <v>5</v>
      </c>
      <c r="C71" s="3" t="s">
        <v>6</v>
      </c>
      <c r="D71" s="3"/>
      <c r="E71" s="3"/>
      <c r="F71" s="20">
        <v>-1041.67</v>
      </c>
      <c r="G71" s="10" t="s">
        <v>80</v>
      </c>
      <c r="H71" s="4" t="s">
        <v>79</v>
      </c>
      <c r="I71" s="4" t="s">
        <v>109</v>
      </c>
    </row>
    <row r="72" spans="2:9" x14ac:dyDescent="0.2">
      <c r="B72" s="4" t="s">
        <v>5</v>
      </c>
      <c r="C72" s="3" t="s">
        <v>62</v>
      </c>
      <c r="D72" s="3"/>
      <c r="E72" s="3"/>
      <c r="F72" s="20">
        <v>1100</v>
      </c>
      <c r="G72" s="10" t="s">
        <v>81</v>
      </c>
      <c r="H72" s="4" t="s">
        <v>86</v>
      </c>
      <c r="I72" s="4" t="s">
        <v>109</v>
      </c>
    </row>
    <row r="73" spans="2:9" x14ac:dyDescent="0.2">
      <c r="B73" s="4" t="s">
        <v>5</v>
      </c>
      <c r="C73" s="3" t="s">
        <v>6</v>
      </c>
      <c r="D73" s="3"/>
      <c r="E73" s="3"/>
      <c r="F73" s="20">
        <v>-1100</v>
      </c>
      <c r="G73" s="10" t="s">
        <v>81</v>
      </c>
      <c r="H73" s="4" t="s">
        <v>86</v>
      </c>
      <c r="I73" s="4" t="s">
        <v>109</v>
      </c>
    </row>
    <row r="74" spans="2:9" x14ac:dyDescent="0.2">
      <c r="B74" s="4" t="s">
        <v>5</v>
      </c>
      <c r="C74" s="3" t="s">
        <v>62</v>
      </c>
      <c r="D74" s="3"/>
      <c r="E74" s="3"/>
      <c r="F74" s="20">
        <v>473.11</v>
      </c>
      <c r="G74" s="10" t="s">
        <v>85</v>
      </c>
      <c r="H74" s="4" t="s">
        <v>86</v>
      </c>
      <c r="I74" s="4" t="s">
        <v>109</v>
      </c>
    </row>
    <row r="75" spans="2:9" x14ac:dyDescent="0.2">
      <c r="B75" s="4" t="s">
        <v>5</v>
      </c>
      <c r="C75" s="3" t="s">
        <v>6</v>
      </c>
      <c r="D75" s="3"/>
      <c r="E75" s="3"/>
      <c r="F75" s="20">
        <v>-473.11</v>
      </c>
      <c r="G75" s="10" t="s">
        <v>85</v>
      </c>
      <c r="H75" s="4" t="s">
        <v>86</v>
      </c>
      <c r="I75" s="4" t="s">
        <v>109</v>
      </c>
    </row>
    <row r="76" spans="2:9" x14ac:dyDescent="0.2">
      <c r="B76" s="4" t="s">
        <v>5</v>
      </c>
      <c r="C76" s="3" t="s">
        <v>62</v>
      </c>
      <c r="D76" s="3"/>
      <c r="E76" s="3"/>
      <c r="F76" s="20">
        <v>3202.58</v>
      </c>
      <c r="G76" s="10" t="s">
        <v>88</v>
      </c>
      <c r="H76" s="4" t="s">
        <v>12</v>
      </c>
      <c r="I76" s="4" t="s">
        <v>109</v>
      </c>
    </row>
    <row r="77" spans="2:9" x14ac:dyDescent="0.2">
      <c r="B77" s="4" t="s">
        <v>5</v>
      </c>
      <c r="C77" s="3" t="s">
        <v>6</v>
      </c>
      <c r="D77" s="3"/>
      <c r="E77" s="3"/>
      <c r="F77" s="20">
        <v>-3202.58</v>
      </c>
      <c r="G77" s="10" t="s">
        <v>88</v>
      </c>
      <c r="H77" s="4" t="s">
        <v>12</v>
      </c>
      <c r="I77" s="4" t="s">
        <v>109</v>
      </c>
    </row>
    <row r="78" spans="2:9" x14ac:dyDescent="0.2">
      <c r="B78" s="16" t="s">
        <v>5</v>
      </c>
      <c r="C78" s="17" t="s">
        <v>62</v>
      </c>
      <c r="D78" s="17"/>
      <c r="E78" s="17"/>
      <c r="F78" s="22">
        <v>2112.02</v>
      </c>
      <c r="G78" s="18" t="s">
        <v>107</v>
      </c>
      <c r="H78" s="16" t="s">
        <v>12</v>
      </c>
      <c r="I78" s="16" t="s">
        <v>109</v>
      </c>
    </row>
    <row r="79" spans="2:9" x14ac:dyDescent="0.2">
      <c r="B79" s="16" t="s">
        <v>5</v>
      </c>
      <c r="C79" s="17" t="s">
        <v>6</v>
      </c>
      <c r="D79" s="17"/>
      <c r="E79" s="17"/>
      <c r="F79" s="22">
        <v>-2112.02</v>
      </c>
      <c r="G79" s="18" t="s">
        <v>107</v>
      </c>
      <c r="H79" s="16" t="s">
        <v>12</v>
      </c>
      <c r="I79" s="16" t="s">
        <v>109</v>
      </c>
    </row>
    <row r="80" spans="2:9" x14ac:dyDescent="0.2">
      <c r="B80" s="16" t="s">
        <v>5</v>
      </c>
      <c r="C80" s="17" t="s">
        <v>62</v>
      </c>
      <c r="D80" s="17"/>
      <c r="E80" s="17"/>
      <c r="F80" s="22">
        <v>1976.42</v>
      </c>
      <c r="G80" s="18" t="s">
        <v>108</v>
      </c>
      <c r="H80" s="16" t="s">
        <v>12</v>
      </c>
      <c r="I80" s="16" t="s">
        <v>109</v>
      </c>
    </row>
    <row r="81" spans="2:9" x14ac:dyDescent="0.2">
      <c r="B81" s="16" t="s">
        <v>5</v>
      </c>
      <c r="C81" s="17" t="s">
        <v>6</v>
      </c>
      <c r="D81" s="17"/>
      <c r="E81" s="17"/>
      <c r="F81" s="22">
        <v>-1976.42</v>
      </c>
      <c r="G81" s="18" t="s">
        <v>108</v>
      </c>
      <c r="H81" s="16" t="s">
        <v>12</v>
      </c>
      <c r="I81" s="16" t="s">
        <v>109</v>
      </c>
    </row>
    <row r="82" spans="2:9" x14ac:dyDescent="0.2">
      <c r="B82" s="16" t="s">
        <v>5</v>
      </c>
      <c r="C82" s="17" t="s">
        <v>62</v>
      </c>
      <c r="D82" s="3"/>
      <c r="E82" s="3"/>
      <c r="F82" s="22">
        <v>1530.58</v>
      </c>
      <c r="G82" s="41" t="s">
        <v>110</v>
      </c>
      <c r="H82" s="16" t="s">
        <v>12</v>
      </c>
      <c r="I82" s="16" t="s">
        <v>109</v>
      </c>
    </row>
    <row r="83" spans="2:9" x14ac:dyDescent="0.2">
      <c r="B83" s="4" t="s">
        <v>5</v>
      </c>
      <c r="C83" s="3" t="s">
        <v>6</v>
      </c>
      <c r="D83" s="3"/>
      <c r="E83" s="3"/>
      <c r="F83" s="20">
        <v>-1530.58</v>
      </c>
      <c r="G83" s="41" t="s">
        <v>110</v>
      </c>
      <c r="H83" s="16" t="s">
        <v>12</v>
      </c>
      <c r="I83" s="16" t="s">
        <v>109</v>
      </c>
    </row>
    <row r="84" spans="2:9" x14ac:dyDescent="0.2">
      <c r="B84" s="16" t="s">
        <v>5</v>
      </c>
      <c r="C84" s="17" t="s">
        <v>62</v>
      </c>
      <c r="D84" s="3"/>
      <c r="E84" s="3"/>
      <c r="F84" s="20">
        <v>732</v>
      </c>
      <c r="G84" s="41" t="s">
        <v>111</v>
      </c>
      <c r="H84" s="16" t="s">
        <v>12</v>
      </c>
      <c r="I84" s="16" t="s">
        <v>109</v>
      </c>
    </row>
    <row r="85" spans="2:9" x14ac:dyDescent="0.2">
      <c r="B85" s="4" t="s">
        <v>5</v>
      </c>
      <c r="C85" s="3" t="s">
        <v>6</v>
      </c>
      <c r="D85" s="3"/>
      <c r="E85" s="3"/>
      <c r="F85" s="20">
        <v>-732</v>
      </c>
      <c r="G85" s="41" t="s">
        <v>111</v>
      </c>
      <c r="H85" s="16" t="s">
        <v>12</v>
      </c>
      <c r="I85" s="16" t="s">
        <v>109</v>
      </c>
    </row>
    <row r="89" spans="2:9" ht="15" thickBot="1" x14ac:dyDescent="0.25">
      <c r="C89" t="s">
        <v>14</v>
      </c>
      <c r="F89" s="21">
        <f>SUMIF(F46:F88,"&lt;0",F46:F88)</f>
        <v>-73294.42</v>
      </c>
      <c r="G89" t="s">
        <v>13</v>
      </c>
    </row>
    <row r="90" spans="2:9" ht="15" thickTop="1" x14ac:dyDescent="0.2"/>
  </sheetData>
  <autoFilter ref="A6:O6" xr:uid="{C72EA621-673A-4200-BC3A-FC9120173B40}"/>
  <hyperlinks>
    <hyperlink ref="F1" r:id="rId1" xr:uid="{C2047547-7B36-416A-BCFF-D92EF604739F}"/>
  </hyperlinks>
  <pageMargins left="0.7" right="0.7" top="0.75" bottom="0.75" header="0.3" footer="0.3"/>
  <pageSetup paperSize="9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EECA-9502-4AA5-916B-1D4F3A889F0C}">
  <sheetPr>
    <tabColor theme="9" tint="0.59999389629810485"/>
  </sheetPr>
  <dimension ref="A1:O107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104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104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53</v>
      </c>
      <c r="D9" s="3"/>
      <c r="E9" s="3"/>
      <c r="F9" s="20">
        <v>5042.0600000000004</v>
      </c>
      <c r="G9" s="30" t="s">
        <v>54</v>
      </c>
      <c r="H9" s="4" t="s">
        <v>12</v>
      </c>
      <c r="I9" s="4" t="s">
        <v>104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-5042.0600000000004</v>
      </c>
      <c r="G10" s="30" t="s">
        <v>54</v>
      </c>
      <c r="H10" s="4" t="s">
        <v>12</v>
      </c>
      <c r="I10" s="4" t="s">
        <v>104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60</v>
      </c>
      <c r="D11" s="25"/>
      <c r="E11" s="25"/>
      <c r="F11" s="26">
        <v>1291.67</v>
      </c>
      <c r="G11" s="29" t="s">
        <v>59</v>
      </c>
      <c r="H11" s="28" t="s">
        <v>12</v>
      </c>
      <c r="I11" s="28" t="s">
        <v>104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5</v>
      </c>
      <c r="C12" s="25" t="s">
        <v>61</v>
      </c>
      <c r="D12" s="25"/>
      <c r="E12" s="25"/>
      <c r="F12" s="26">
        <v>1291.67</v>
      </c>
      <c r="G12" s="29" t="s">
        <v>59</v>
      </c>
      <c r="H12" s="28" t="s">
        <v>12</v>
      </c>
      <c r="I12" s="28" t="s">
        <v>104</v>
      </c>
      <c r="J12" s="23"/>
      <c r="K12" s="11"/>
      <c r="L12" s="1"/>
      <c r="M12" s="1"/>
      <c r="N12" s="1"/>
      <c r="O12" s="1"/>
    </row>
    <row r="13" spans="1:15" x14ac:dyDescent="0.2">
      <c r="A13" s="1"/>
      <c r="B13" s="24" t="s">
        <v>1</v>
      </c>
      <c r="C13" s="25" t="s">
        <v>2</v>
      </c>
      <c r="D13" s="25"/>
      <c r="E13" s="25"/>
      <c r="F13" s="26">
        <v>-2583.34</v>
      </c>
      <c r="G13" s="29" t="s">
        <v>59</v>
      </c>
      <c r="H13" s="28" t="s">
        <v>12</v>
      </c>
      <c r="I13" s="28" t="s">
        <v>104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11</v>
      </c>
      <c r="D14" s="3"/>
      <c r="E14" s="3"/>
      <c r="F14" s="20">
        <v>5750</v>
      </c>
      <c r="G14" s="30" t="s">
        <v>66</v>
      </c>
      <c r="H14" s="4" t="s">
        <v>12</v>
      </c>
      <c r="I14" s="4" t="s">
        <v>104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-5750</v>
      </c>
      <c r="G15" s="30" t="s">
        <v>66</v>
      </c>
      <c r="H15" s="4" t="s">
        <v>12</v>
      </c>
      <c r="I15" s="4" t="s">
        <v>104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70</v>
      </c>
      <c r="D16" s="3"/>
      <c r="E16" s="3"/>
      <c r="F16" s="20">
        <v>19206.060000000001</v>
      </c>
      <c r="G16" s="30" t="s">
        <v>72</v>
      </c>
      <c r="H16" s="4" t="s">
        <v>12</v>
      </c>
      <c r="I16" s="4" t="s">
        <v>104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-19206.060000000001</v>
      </c>
      <c r="G17" s="30" t="s">
        <v>72</v>
      </c>
      <c r="H17" s="4" t="s">
        <v>12</v>
      </c>
      <c r="I17" s="4" t="s">
        <v>104</v>
      </c>
      <c r="J17" s="11"/>
      <c r="K17" s="11"/>
      <c r="L17" s="1"/>
      <c r="M17" s="1"/>
      <c r="N17" s="1"/>
      <c r="O17" s="1"/>
    </row>
    <row r="18" spans="1:15" x14ac:dyDescent="0.2">
      <c r="A18" s="1"/>
      <c r="B18" s="1" t="s">
        <v>5</v>
      </c>
      <c r="C18" s="3" t="s">
        <v>83</v>
      </c>
      <c r="D18" s="3"/>
      <c r="E18" s="3"/>
      <c r="F18" s="20">
        <v>6666.67</v>
      </c>
      <c r="G18" s="30" t="s">
        <v>84</v>
      </c>
      <c r="H18" s="4" t="s">
        <v>12</v>
      </c>
      <c r="I18" s="4" t="s">
        <v>104</v>
      </c>
      <c r="J18" s="11"/>
      <c r="K18" s="11"/>
      <c r="L18" s="1"/>
      <c r="M18" s="1"/>
      <c r="N18" s="1"/>
      <c r="O18" s="1"/>
    </row>
    <row r="19" spans="1:15" x14ac:dyDescent="0.2">
      <c r="A19" s="1"/>
      <c r="B19" s="1" t="s">
        <v>1</v>
      </c>
      <c r="C19" s="3" t="s">
        <v>2</v>
      </c>
      <c r="D19" s="3"/>
      <c r="E19" s="3"/>
      <c r="F19" s="20">
        <v>-6666.67</v>
      </c>
      <c r="G19" s="30" t="s">
        <v>84</v>
      </c>
      <c r="H19" s="4" t="s">
        <v>12</v>
      </c>
      <c r="I19" s="4" t="s">
        <v>104</v>
      </c>
      <c r="J19" s="11"/>
      <c r="K19" s="11"/>
      <c r="L19" s="1"/>
      <c r="M19" s="1"/>
      <c r="N19" s="1"/>
      <c r="O19" s="1"/>
    </row>
    <row r="20" spans="1:15" x14ac:dyDescent="0.2">
      <c r="A20" s="1"/>
      <c r="B20" s="24" t="s">
        <v>5</v>
      </c>
      <c r="C20" s="25" t="s">
        <v>89</v>
      </c>
      <c r="D20" s="25"/>
      <c r="E20" s="25"/>
      <c r="F20" s="26">
        <v>479.74621212121201</v>
      </c>
      <c r="G20" s="29" t="s">
        <v>94</v>
      </c>
      <c r="H20" s="28" t="s">
        <v>12</v>
      </c>
      <c r="I20" s="28" t="s">
        <v>104</v>
      </c>
      <c r="J20" s="23"/>
      <c r="K20" s="11"/>
      <c r="L20" s="1"/>
      <c r="M20" s="1"/>
      <c r="N20" s="1"/>
      <c r="O20" s="1"/>
    </row>
    <row r="21" spans="1:15" x14ac:dyDescent="0.2">
      <c r="A21" s="1"/>
      <c r="B21" s="24" t="s">
        <v>5</v>
      </c>
      <c r="C21" s="25" t="s">
        <v>90</v>
      </c>
      <c r="D21" s="25"/>
      <c r="E21" s="25"/>
      <c r="F21" s="26">
        <v>479.74318181818199</v>
      </c>
      <c r="G21" s="29" t="s">
        <v>94</v>
      </c>
      <c r="H21" s="28" t="s">
        <v>12</v>
      </c>
      <c r="I21" s="28" t="s">
        <v>104</v>
      </c>
      <c r="J21" s="23"/>
      <c r="K21" s="11"/>
      <c r="L21" s="1"/>
      <c r="M21" s="1"/>
      <c r="N21" s="1"/>
      <c r="O21" s="1"/>
    </row>
    <row r="22" spans="1:15" x14ac:dyDescent="0.2">
      <c r="A22" s="1"/>
      <c r="B22" s="24" t="s">
        <v>5</v>
      </c>
      <c r="C22" s="25" t="s">
        <v>91</v>
      </c>
      <c r="D22" s="25"/>
      <c r="E22" s="25"/>
      <c r="F22" s="26">
        <v>479.74318181818199</v>
      </c>
      <c r="G22" s="29" t="s">
        <v>94</v>
      </c>
      <c r="H22" s="28" t="s">
        <v>12</v>
      </c>
      <c r="I22" s="28" t="s">
        <v>104</v>
      </c>
      <c r="J22" s="23"/>
      <c r="K22" s="11"/>
      <c r="L22" s="1"/>
      <c r="M22" s="1"/>
      <c r="N22" s="1"/>
      <c r="O22" s="1"/>
    </row>
    <row r="23" spans="1:15" x14ac:dyDescent="0.2">
      <c r="A23" s="1"/>
      <c r="B23" s="24" t="s">
        <v>5</v>
      </c>
      <c r="C23" s="25" t="s">
        <v>92</v>
      </c>
      <c r="D23" s="25"/>
      <c r="E23" s="25"/>
      <c r="F23" s="26">
        <v>479.74318181818199</v>
      </c>
      <c r="G23" s="29" t="s">
        <v>94</v>
      </c>
      <c r="H23" s="28" t="s">
        <v>12</v>
      </c>
      <c r="I23" s="28" t="s">
        <v>104</v>
      </c>
      <c r="J23" s="23"/>
      <c r="K23" s="11"/>
      <c r="L23" s="1"/>
      <c r="M23" s="1"/>
      <c r="N23" s="1"/>
      <c r="O23" s="1"/>
    </row>
    <row r="24" spans="1:15" x14ac:dyDescent="0.2">
      <c r="A24" s="1"/>
      <c r="B24" s="24" t="s">
        <v>1</v>
      </c>
      <c r="C24" s="25" t="s">
        <v>2</v>
      </c>
      <c r="D24" s="25"/>
      <c r="E24" s="25"/>
      <c r="F24" s="26">
        <v>-1918.97</v>
      </c>
      <c r="G24" s="29" t="s">
        <v>94</v>
      </c>
      <c r="H24" s="28" t="s">
        <v>12</v>
      </c>
      <c r="I24" s="28" t="s">
        <v>104</v>
      </c>
      <c r="J24" s="23"/>
      <c r="K24" s="11"/>
      <c r="L24" s="1"/>
      <c r="M24" s="1"/>
      <c r="N24" s="1"/>
      <c r="O24" s="1"/>
    </row>
    <row r="25" spans="1:15" x14ac:dyDescent="0.2">
      <c r="A25" s="1"/>
      <c r="B25" s="19" t="s">
        <v>5</v>
      </c>
      <c r="C25" s="17" t="s">
        <v>100</v>
      </c>
      <c r="D25" s="17"/>
      <c r="E25" s="17"/>
      <c r="F25" s="22">
        <v>2250</v>
      </c>
      <c r="G25" s="39" t="s">
        <v>101</v>
      </c>
      <c r="H25" s="16"/>
      <c r="I25" s="16" t="s">
        <v>87</v>
      </c>
      <c r="J25" s="23"/>
      <c r="K25" s="11"/>
      <c r="L25" s="1"/>
      <c r="M25" s="1"/>
      <c r="N25" s="1"/>
      <c r="O25" s="1"/>
    </row>
    <row r="26" spans="1:15" x14ac:dyDescent="0.2">
      <c r="A26" s="1"/>
      <c r="B26" s="19" t="s">
        <v>1</v>
      </c>
      <c r="C26" s="17" t="s">
        <v>2</v>
      </c>
      <c r="D26" s="17"/>
      <c r="E26" s="17"/>
      <c r="F26" s="22">
        <v>-2250</v>
      </c>
      <c r="G26" s="39" t="s">
        <v>101</v>
      </c>
      <c r="H26" s="16"/>
      <c r="I26" s="16" t="s">
        <v>87</v>
      </c>
      <c r="J26" s="23"/>
      <c r="K26" s="11"/>
      <c r="L26" s="1"/>
      <c r="M26" s="1"/>
      <c r="N26" s="1"/>
      <c r="O26" s="1"/>
    </row>
    <row r="27" spans="1:15" x14ac:dyDescent="0.2">
      <c r="A27" s="1"/>
      <c r="B27" s="19" t="s">
        <v>5</v>
      </c>
      <c r="C27" s="17" t="s">
        <v>100</v>
      </c>
      <c r="D27" s="17"/>
      <c r="E27" s="17"/>
      <c r="F27" s="22">
        <v>2250</v>
      </c>
      <c r="G27" s="39" t="s">
        <v>102</v>
      </c>
      <c r="H27" s="16"/>
      <c r="I27" s="16" t="s">
        <v>87</v>
      </c>
      <c r="J27" s="23"/>
      <c r="K27" s="11"/>
      <c r="L27" s="1"/>
      <c r="M27" s="1"/>
      <c r="N27" s="1"/>
      <c r="O27" s="1"/>
    </row>
    <row r="28" spans="1:15" x14ac:dyDescent="0.2">
      <c r="A28" s="1"/>
      <c r="B28" s="19" t="s">
        <v>1</v>
      </c>
      <c r="C28" s="17" t="s">
        <v>2</v>
      </c>
      <c r="D28" s="17"/>
      <c r="E28" s="17"/>
      <c r="F28" s="22">
        <v>-2250</v>
      </c>
      <c r="G28" s="39" t="s">
        <v>102</v>
      </c>
      <c r="H28" s="16"/>
      <c r="I28" s="16" t="s">
        <v>87</v>
      </c>
      <c r="J28" s="23"/>
      <c r="K28" s="11"/>
      <c r="L28" s="1"/>
      <c r="M28" s="1"/>
      <c r="N28" s="1"/>
      <c r="O28" s="1"/>
    </row>
    <row r="29" spans="1:15" x14ac:dyDescent="0.2">
      <c r="A29" s="1"/>
      <c r="B29" s="19" t="s">
        <v>5</v>
      </c>
      <c r="C29" s="17" t="s">
        <v>100</v>
      </c>
      <c r="D29" s="17"/>
      <c r="E29" s="17"/>
      <c r="F29" s="22">
        <v>2250</v>
      </c>
      <c r="G29" s="39" t="s">
        <v>101</v>
      </c>
      <c r="H29" s="16"/>
      <c r="I29" s="16" t="s">
        <v>104</v>
      </c>
      <c r="J29" s="23"/>
      <c r="K29" s="11"/>
      <c r="L29" s="1"/>
      <c r="M29" s="1"/>
      <c r="N29" s="1"/>
      <c r="O29" s="1"/>
    </row>
    <row r="30" spans="1:15" x14ac:dyDescent="0.2">
      <c r="A30" s="1"/>
      <c r="B30" s="19" t="s">
        <v>1</v>
      </c>
      <c r="C30" s="17" t="s">
        <v>2</v>
      </c>
      <c r="D30" s="17"/>
      <c r="E30" s="17"/>
      <c r="F30" s="22">
        <v>-2250</v>
      </c>
      <c r="G30" s="39" t="s">
        <v>101</v>
      </c>
      <c r="H30" s="16"/>
      <c r="I30" s="16" t="s">
        <v>104</v>
      </c>
      <c r="J30" s="23"/>
      <c r="K30" s="11"/>
      <c r="L30" s="1"/>
      <c r="M30" s="1"/>
      <c r="N30" s="1"/>
      <c r="O30" s="1"/>
    </row>
    <row r="31" spans="1:15" x14ac:dyDescent="0.2">
      <c r="A31" s="1"/>
      <c r="B31" s="19" t="s">
        <v>5</v>
      </c>
      <c r="C31" s="17" t="s">
        <v>100</v>
      </c>
      <c r="D31" s="17"/>
      <c r="E31" s="17"/>
      <c r="F31" s="22">
        <v>2250</v>
      </c>
      <c r="G31" s="39" t="s">
        <v>102</v>
      </c>
      <c r="H31" s="16"/>
      <c r="I31" s="16" t="s">
        <v>104</v>
      </c>
      <c r="J31" s="23"/>
      <c r="K31" s="11"/>
      <c r="L31" s="1"/>
      <c r="M31" s="1"/>
      <c r="N31" s="1"/>
      <c r="O31" s="1"/>
    </row>
    <row r="32" spans="1:15" x14ac:dyDescent="0.2">
      <c r="A32" s="1"/>
      <c r="B32" s="19" t="s">
        <v>1</v>
      </c>
      <c r="C32" s="17" t="s">
        <v>2</v>
      </c>
      <c r="D32" s="17"/>
      <c r="E32" s="17"/>
      <c r="F32" s="22">
        <v>-2250</v>
      </c>
      <c r="G32" s="39" t="s">
        <v>102</v>
      </c>
      <c r="H32" s="16"/>
      <c r="I32" s="16" t="s">
        <v>104</v>
      </c>
      <c r="J32" s="23"/>
      <c r="K32" s="11"/>
      <c r="L32" s="1"/>
      <c r="M32" s="1"/>
      <c r="N32" s="1"/>
      <c r="O32" s="1"/>
    </row>
    <row r="33" spans="1:15" x14ac:dyDescent="0.2">
      <c r="A33" s="1"/>
      <c r="B33" s="1" t="s">
        <v>5</v>
      </c>
      <c r="C33" s="3" t="s">
        <v>10</v>
      </c>
      <c r="D33" s="3"/>
      <c r="E33" s="3"/>
      <c r="F33" s="20">
        <v>487.25</v>
      </c>
      <c r="G33" s="30" t="s">
        <v>46</v>
      </c>
      <c r="H33" s="4" t="s">
        <v>12</v>
      </c>
      <c r="I33" s="4" t="s">
        <v>104</v>
      </c>
      <c r="J33" s="23"/>
      <c r="K33" s="11"/>
      <c r="L33" s="1"/>
      <c r="M33" s="1"/>
      <c r="N33" s="1"/>
      <c r="O33" s="1"/>
    </row>
    <row r="34" spans="1:15" x14ac:dyDescent="0.2">
      <c r="A34" s="1"/>
      <c r="B34" s="1" t="s">
        <v>5</v>
      </c>
      <c r="C34" s="3" t="s">
        <v>52</v>
      </c>
      <c r="D34" s="3"/>
      <c r="E34" s="3"/>
      <c r="F34" s="20">
        <v>-487.25</v>
      </c>
      <c r="G34" s="30" t="s">
        <v>46</v>
      </c>
      <c r="H34" s="4" t="s">
        <v>12</v>
      </c>
      <c r="I34" s="4" t="s">
        <v>104</v>
      </c>
      <c r="J34" s="23"/>
      <c r="K34" s="11"/>
      <c r="L34" s="1"/>
      <c r="M34" s="1"/>
      <c r="N34" s="1"/>
      <c r="O34" s="1"/>
    </row>
    <row r="35" spans="1:15" x14ac:dyDescent="0.2">
      <c r="A35" s="1"/>
      <c r="B35" s="19" t="s">
        <v>5</v>
      </c>
      <c r="C35" s="17" t="s">
        <v>105</v>
      </c>
      <c r="D35" s="17"/>
      <c r="E35" s="17"/>
      <c r="F35" s="22">
        <v>8609.01</v>
      </c>
      <c r="G35" s="31" t="s">
        <v>103</v>
      </c>
      <c r="H35" s="16" t="s">
        <v>12</v>
      </c>
      <c r="I35" s="16" t="s">
        <v>87</v>
      </c>
      <c r="J35" s="23"/>
      <c r="K35" s="11"/>
      <c r="L35" s="1"/>
      <c r="M35" s="1"/>
      <c r="N35" s="1"/>
      <c r="O35" s="1"/>
    </row>
    <row r="36" spans="1:15" x14ac:dyDescent="0.2">
      <c r="A36" s="1"/>
      <c r="B36" s="19" t="s">
        <v>1</v>
      </c>
      <c r="C36" s="17" t="s">
        <v>106</v>
      </c>
      <c r="D36" s="17"/>
      <c r="E36" s="17"/>
      <c r="F36" s="22">
        <v>-8609.01</v>
      </c>
      <c r="G36" s="31" t="s">
        <v>103</v>
      </c>
      <c r="H36" s="16" t="s">
        <v>12</v>
      </c>
      <c r="I36" s="16" t="s">
        <v>87</v>
      </c>
      <c r="J36" s="23"/>
      <c r="K36" s="11"/>
      <c r="L36" s="1"/>
      <c r="M36" s="1"/>
      <c r="N36" s="1"/>
      <c r="O36" s="1"/>
    </row>
    <row r="37" spans="1:15" x14ac:dyDescent="0.2">
      <c r="A37" s="1"/>
      <c r="B37" s="19" t="s">
        <v>5</v>
      </c>
      <c r="C37" s="17" t="s">
        <v>105</v>
      </c>
      <c r="D37" s="17"/>
      <c r="E37" s="17"/>
      <c r="F37" s="22">
        <v>8609.01</v>
      </c>
      <c r="G37" s="31" t="s">
        <v>103</v>
      </c>
      <c r="H37" s="16" t="s">
        <v>12</v>
      </c>
      <c r="I37" s="16" t="s">
        <v>104</v>
      </c>
      <c r="J37" s="23"/>
      <c r="K37" s="11"/>
      <c r="L37" s="1"/>
      <c r="M37" s="1"/>
      <c r="N37" s="1"/>
      <c r="O37" s="1"/>
    </row>
    <row r="38" spans="1:15" x14ac:dyDescent="0.2">
      <c r="A38" s="1"/>
      <c r="B38" s="19" t="s">
        <v>1</v>
      </c>
      <c r="C38" s="17" t="s">
        <v>106</v>
      </c>
      <c r="D38" s="17"/>
      <c r="E38" s="17"/>
      <c r="F38" s="22">
        <v>-8609.01</v>
      </c>
      <c r="G38" s="31" t="s">
        <v>103</v>
      </c>
      <c r="H38" s="16" t="s">
        <v>12</v>
      </c>
      <c r="I38" s="16" t="s">
        <v>104</v>
      </c>
      <c r="J38" s="23"/>
      <c r="K38" s="11"/>
      <c r="L38" s="1"/>
      <c r="M38" s="1"/>
      <c r="N38" s="1"/>
      <c r="O38" s="1"/>
    </row>
    <row r="39" spans="1:15" x14ac:dyDescent="0.2">
      <c r="A39" s="1"/>
      <c r="B39" s="1" t="s">
        <v>5</v>
      </c>
      <c r="C39" s="3" t="s">
        <v>39</v>
      </c>
      <c r="D39" s="3"/>
      <c r="E39" s="3"/>
      <c r="F39" s="20">
        <v>6932.05</v>
      </c>
      <c r="G39" s="30" t="s">
        <v>74</v>
      </c>
      <c r="H39" s="4" t="s">
        <v>12</v>
      </c>
      <c r="I39" s="4" t="s">
        <v>104</v>
      </c>
      <c r="J39" s="23"/>
      <c r="K39" s="11"/>
      <c r="L39" s="1"/>
      <c r="M39" s="1"/>
      <c r="N39" s="1"/>
      <c r="O39" s="1"/>
    </row>
    <row r="40" spans="1:15" x14ac:dyDescent="0.2">
      <c r="A40" s="1"/>
      <c r="B40" s="1" t="s">
        <v>1</v>
      </c>
      <c r="C40" s="3" t="s">
        <v>73</v>
      </c>
      <c r="D40" s="3"/>
      <c r="E40" s="3"/>
      <c r="F40" s="20">
        <v>-6932.05</v>
      </c>
      <c r="G40" s="30" t="s">
        <v>74</v>
      </c>
      <c r="H40" s="4" t="s">
        <v>12</v>
      </c>
      <c r="I40" s="4" t="s">
        <v>104</v>
      </c>
      <c r="J40" s="23"/>
      <c r="K40" s="11"/>
      <c r="L40" s="1"/>
      <c r="M40" s="1"/>
      <c r="N40" s="1"/>
      <c r="O40" s="1"/>
    </row>
    <row r="41" spans="1:15" x14ac:dyDescent="0.2">
      <c r="A41" s="1"/>
      <c r="B41" s="1" t="s">
        <v>5</v>
      </c>
      <c r="C41" s="3" t="s">
        <v>4</v>
      </c>
      <c r="D41" s="3"/>
      <c r="E41" s="3"/>
      <c r="F41" s="20">
        <v>43749.13</v>
      </c>
      <c r="G41" s="30" t="s">
        <v>99</v>
      </c>
      <c r="H41" s="4"/>
      <c r="I41" s="4" t="s">
        <v>104</v>
      </c>
      <c r="J41" s="23"/>
      <c r="K41" s="11"/>
      <c r="L41" s="1"/>
      <c r="M41" s="1"/>
      <c r="N41" s="1"/>
      <c r="O41" s="1"/>
    </row>
    <row r="42" spans="1:15" x14ac:dyDescent="0.2">
      <c r="A42" s="1"/>
      <c r="B42" s="1" t="s">
        <v>1</v>
      </c>
      <c r="C42" s="3" t="s">
        <v>16</v>
      </c>
      <c r="D42" s="3"/>
      <c r="E42" s="3"/>
      <c r="F42" s="20">
        <v>-43749.13</v>
      </c>
      <c r="G42" s="30" t="s">
        <v>99</v>
      </c>
      <c r="H42" s="4"/>
      <c r="I42" s="4" t="s">
        <v>104</v>
      </c>
      <c r="J42" s="23"/>
      <c r="K42" s="11"/>
      <c r="L42" s="1"/>
      <c r="M42" s="1"/>
      <c r="N42" s="1"/>
      <c r="O42" s="1"/>
    </row>
    <row r="43" spans="1:15" x14ac:dyDescent="0.2">
      <c r="A43" s="1"/>
      <c r="B43" s="1"/>
      <c r="C43" s="3"/>
      <c r="D43" s="3"/>
      <c r="E43" s="3"/>
      <c r="F43" s="20"/>
      <c r="G43" s="30"/>
      <c r="H43" s="4"/>
      <c r="I43" s="4"/>
      <c r="J43" s="11"/>
      <c r="K43" s="11"/>
      <c r="L43" s="1"/>
      <c r="M43" s="1"/>
      <c r="N43" s="1"/>
      <c r="O43" s="1"/>
    </row>
    <row r="44" spans="1:15" x14ac:dyDescent="0.2">
      <c r="A44" s="1"/>
      <c r="B44" s="1"/>
      <c r="C44" s="3"/>
      <c r="D44" s="3"/>
      <c r="E44" s="3"/>
      <c r="F44" s="20"/>
      <c r="G44" s="30"/>
      <c r="H44" s="4"/>
      <c r="I44" s="4"/>
      <c r="J44" s="11"/>
      <c r="K44" s="11"/>
      <c r="L44" s="1"/>
      <c r="M44" s="1"/>
      <c r="N44" s="1"/>
      <c r="O44" s="1"/>
    </row>
    <row r="45" spans="1:15" x14ac:dyDescent="0.2">
      <c r="A45" s="1"/>
      <c r="B45" s="1"/>
      <c r="C45" s="12"/>
      <c r="D45" s="12"/>
      <c r="E45" s="12"/>
      <c r="F45" s="5"/>
      <c r="G45" s="13"/>
      <c r="H45" s="4"/>
      <c r="I45" s="4"/>
      <c r="J45" s="7"/>
      <c r="K45" s="11"/>
      <c r="L45" s="1"/>
      <c r="M45" s="1"/>
      <c r="N45" s="1"/>
      <c r="O45" s="1"/>
    </row>
    <row r="46" spans="1:15" ht="15" thickBot="1" x14ac:dyDescent="0.25">
      <c r="A46" s="1"/>
      <c r="B46" s="1"/>
      <c r="C46" s="3" t="s">
        <v>15</v>
      </c>
      <c r="D46" s="3"/>
      <c r="E46" s="3"/>
      <c r="F46" s="21">
        <f>SUMIF(F7:F42,"&lt;0",F7:F42)</f>
        <v>-118925.55000000002</v>
      </c>
      <c r="G46" s="13" t="s">
        <v>13</v>
      </c>
      <c r="H46" s="4"/>
      <c r="I46" s="4"/>
      <c r="J46" s="7"/>
      <c r="K46" s="11"/>
      <c r="L46" s="1"/>
      <c r="M46" s="1"/>
      <c r="N46" s="1"/>
      <c r="O46" s="1"/>
    </row>
    <row r="47" spans="1:15" ht="15" thickTop="1" x14ac:dyDescent="0.2">
      <c r="A47" s="1"/>
      <c r="B47" s="1"/>
      <c r="C47" s="3"/>
      <c r="D47" s="3"/>
      <c r="E47" s="3"/>
      <c r="F47" s="5"/>
      <c r="G47" s="10"/>
      <c r="H47" s="4"/>
      <c r="I47" s="4"/>
      <c r="J47" s="7"/>
      <c r="K47" s="11"/>
      <c r="L47" s="1"/>
      <c r="M47" s="1"/>
      <c r="N47" s="1"/>
      <c r="O47" s="1"/>
    </row>
    <row r="48" spans="1:15" x14ac:dyDescent="0.2">
      <c r="K48" s="11"/>
      <c r="L48" s="1"/>
      <c r="M48" s="1"/>
      <c r="N48" s="1"/>
      <c r="O48" s="1"/>
    </row>
    <row r="49" spans="2:15" x14ac:dyDescent="0.2">
      <c r="K49" s="11"/>
      <c r="L49" s="1"/>
      <c r="M49" s="1"/>
      <c r="N49" s="1"/>
      <c r="O49" s="1"/>
    </row>
    <row r="50" spans="2:15" x14ac:dyDescent="0.2">
      <c r="K50" s="11"/>
      <c r="L50" s="1"/>
      <c r="M50" s="1"/>
      <c r="N50" s="1"/>
      <c r="O50" s="1"/>
    </row>
    <row r="51" spans="2:15" x14ac:dyDescent="0.2">
      <c r="B51" s="4" t="s">
        <v>5</v>
      </c>
      <c r="C51" s="3" t="s">
        <v>7</v>
      </c>
      <c r="D51" s="3"/>
      <c r="E51" s="3"/>
      <c r="F51" s="20">
        <v>7143.75</v>
      </c>
      <c r="G51" s="10" t="s">
        <v>26</v>
      </c>
      <c r="H51" s="4" t="s">
        <v>17</v>
      </c>
      <c r="I51" s="4" t="s">
        <v>104</v>
      </c>
      <c r="K51" s="11"/>
      <c r="L51" s="1"/>
      <c r="M51" s="1"/>
      <c r="N51" s="1"/>
      <c r="O51" s="1"/>
    </row>
    <row r="52" spans="2:15" x14ac:dyDescent="0.2">
      <c r="B52" s="4" t="s">
        <v>5</v>
      </c>
      <c r="C52" s="3" t="s">
        <v>6</v>
      </c>
      <c r="D52" s="3"/>
      <c r="E52" s="3"/>
      <c r="F52" s="20">
        <v>-7143.75</v>
      </c>
      <c r="G52" s="10" t="s">
        <v>26</v>
      </c>
      <c r="H52" s="4" t="s">
        <v>17</v>
      </c>
      <c r="I52" s="4" t="s">
        <v>104</v>
      </c>
      <c r="K52" s="11"/>
      <c r="L52" s="1"/>
      <c r="M52" s="1"/>
      <c r="N52" s="1"/>
      <c r="O52" s="1"/>
    </row>
    <row r="53" spans="2:15" x14ac:dyDescent="0.2">
      <c r="B53" s="4" t="s">
        <v>5</v>
      </c>
      <c r="C53" s="3" t="s">
        <v>7</v>
      </c>
      <c r="D53" s="3"/>
      <c r="E53" s="3"/>
      <c r="F53" s="20">
        <v>665.42</v>
      </c>
      <c r="G53" s="10" t="s">
        <v>44</v>
      </c>
      <c r="H53" s="4" t="s">
        <v>12</v>
      </c>
      <c r="I53" s="4" t="s">
        <v>104</v>
      </c>
    </row>
    <row r="54" spans="2:15" x14ac:dyDescent="0.2">
      <c r="B54" s="4" t="s">
        <v>5</v>
      </c>
      <c r="C54" s="3" t="s">
        <v>6</v>
      </c>
      <c r="D54" s="3"/>
      <c r="E54" s="3"/>
      <c r="F54" s="20">
        <v>-665.42</v>
      </c>
      <c r="G54" s="10" t="s">
        <v>44</v>
      </c>
      <c r="H54" s="4" t="s">
        <v>12</v>
      </c>
      <c r="I54" s="4" t="s">
        <v>104</v>
      </c>
    </row>
    <row r="55" spans="2:15" x14ac:dyDescent="0.2">
      <c r="B55" s="4" t="s">
        <v>5</v>
      </c>
      <c r="C55" s="3" t="s">
        <v>7</v>
      </c>
      <c r="D55" s="3"/>
      <c r="E55" s="3"/>
      <c r="F55" s="20">
        <v>1493.25</v>
      </c>
      <c r="G55" s="10" t="s">
        <v>45</v>
      </c>
      <c r="H55" s="4" t="s">
        <v>12</v>
      </c>
      <c r="I55" s="4" t="s">
        <v>104</v>
      </c>
    </row>
    <row r="56" spans="2:15" x14ac:dyDescent="0.2">
      <c r="B56" s="4" t="s">
        <v>5</v>
      </c>
      <c r="C56" s="3" t="s">
        <v>6</v>
      </c>
      <c r="D56" s="3"/>
      <c r="E56" s="3"/>
      <c r="F56" s="20">
        <v>-1493.25</v>
      </c>
      <c r="G56" s="10" t="s">
        <v>45</v>
      </c>
      <c r="H56" s="4" t="s">
        <v>12</v>
      </c>
      <c r="I56" s="4" t="s">
        <v>104</v>
      </c>
    </row>
    <row r="57" spans="2:15" x14ac:dyDescent="0.2">
      <c r="B57" s="4" t="s">
        <v>5</v>
      </c>
      <c r="C57" s="3" t="s">
        <v>7</v>
      </c>
      <c r="D57" s="3"/>
      <c r="E57" s="3"/>
      <c r="F57" s="20">
        <v>3613.92</v>
      </c>
      <c r="G57" s="10" t="s">
        <v>47</v>
      </c>
      <c r="H57" s="4" t="s">
        <v>18</v>
      </c>
      <c r="I57" s="4" t="s">
        <v>104</v>
      </c>
    </row>
    <row r="58" spans="2:15" x14ac:dyDescent="0.2">
      <c r="B58" s="4" t="s">
        <v>5</v>
      </c>
      <c r="C58" s="3" t="s">
        <v>6</v>
      </c>
      <c r="D58" s="3"/>
      <c r="E58" s="3"/>
      <c r="F58" s="20">
        <v>-3613.92</v>
      </c>
      <c r="G58" s="10" t="s">
        <v>47</v>
      </c>
      <c r="H58" s="4" t="s">
        <v>18</v>
      </c>
      <c r="I58" s="4" t="s">
        <v>104</v>
      </c>
    </row>
    <row r="59" spans="2:15" x14ac:dyDescent="0.2">
      <c r="B59" s="4" t="s">
        <v>5</v>
      </c>
      <c r="C59" s="3" t="s">
        <v>7</v>
      </c>
      <c r="D59" s="3"/>
      <c r="E59" s="3"/>
      <c r="F59" s="20">
        <v>2562.92</v>
      </c>
      <c r="G59" s="10" t="s">
        <v>48</v>
      </c>
      <c r="H59" s="4" t="s">
        <v>12</v>
      </c>
      <c r="I59" s="4" t="s">
        <v>104</v>
      </c>
    </row>
    <row r="60" spans="2:15" x14ac:dyDescent="0.2">
      <c r="B60" s="4" t="s">
        <v>5</v>
      </c>
      <c r="C60" s="3" t="s">
        <v>6</v>
      </c>
      <c r="D60" s="3"/>
      <c r="E60" s="3"/>
      <c r="F60" s="20">
        <v>-2562.92</v>
      </c>
      <c r="G60" s="10" t="s">
        <v>48</v>
      </c>
      <c r="H60" s="4" t="s">
        <v>12</v>
      </c>
      <c r="I60" s="4" t="s">
        <v>104</v>
      </c>
    </row>
    <row r="61" spans="2:15" x14ac:dyDescent="0.2">
      <c r="B61" s="4" t="s">
        <v>5</v>
      </c>
      <c r="C61" s="3" t="s">
        <v>7</v>
      </c>
      <c r="D61" s="3"/>
      <c r="E61" s="3"/>
      <c r="F61" s="20">
        <v>1101.83</v>
      </c>
      <c r="G61" s="10" t="s">
        <v>55</v>
      </c>
      <c r="H61" s="4" t="s">
        <v>12</v>
      </c>
      <c r="I61" s="4" t="s">
        <v>104</v>
      </c>
    </row>
    <row r="62" spans="2:15" x14ac:dyDescent="0.2">
      <c r="B62" s="4" t="s">
        <v>5</v>
      </c>
      <c r="C62" s="3" t="s">
        <v>6</v>
      </c>
      <c r="D62" s="3"/>
      <c r="E62" s="3"/>
      <c r="F62" s="20">
        <v>-1101.83</v>
      </c>
      <c r="G62" s="10" t="s">
        <v>55</v>
      </c>
      <c r="H62" s="4" t="s">
        <v>12</v>
      </c>
      <c r="I62" s="4" t="s">
        <v>104</v>
      </c>
    </row>
    <row r="63" spans="2:15" x14ac:dyDescent="0.2">
      <c r="B63" s="4" t="s">
        <v>5</v>
      </c>
      <c r="C63" s="3" t="s">
        <v>7</v>
      </c>
      <c r="D63" s="3"/>
      <c r="E63" s="3"/>
      <c r="F63" s="20">
        <v>973.55</v>
      </c>
      <c r="G63" s="10" t="s">
        <v>57</v>
      </c>
      <c r="H63" s="4" t="s">
        <v>12</v>
      </c>
      <c r="I63" s="4" t="s">
        <v>104</v>
      </c>
    </row>
    <row r="64" spans="2:15" x14ac:dyDescent="0.2">
      <c r="B64" s="4" t="s">
        <v>5</v>
      </c>
      <c r="C64" s="3" t="s">
        <v>6</v>
      </c>
      <c r="D64" s="3"/>
      <c r="E64" s="3"/>
      <c r="F64" s="20">
        <v>-973.55</v>
      </c>
      <c r="G64" s="10" t="s">
        <v>57</v>
      </c>
      <c r="H64" s="4" t="s">
        <v>12</v>
      </c>
      <c r="I64" s="4" t="s">
        <v>104</v>
      </c>
    </row>
    <row r="65" spans="2:9" x14ac:dyDescent="0.2">
      <c r="B65" s="4" t="s">
        <v>5</v>
      </c>
      <c r="C65" s="3" t="s">
        <v>62</v>
      </c>
      <c r="D65" s="3"/>
      <c r="E65" s="3"/>
      <c r="F65" s="20">
        <v>6666.67</v>
      </c>
      <c r="G65" s="10" t="s">
        <v>64</v>
      </c>
      <c r="H65" s="4" t="s">
        <v>12</v>
      </c>
      <c r="I65" s="4" t="s">
        <v>104</v>
      </c>
    </row>
    <row r="66" spans="2:9" x14ac:dyDescent="0.2">
      <c r="B66" s="4" t="s">
        <v>5</v>
      </c>
      <c r="C66" s="3" t="s">
        <v>6</v>
      </c>
      <c r="D66" s="3"/>
      <c r="E66" s="3"/>
      <c r="F66" s="20">
        <v>-6666.67</v>
      </c>
      <c r="G66" s="10" t="s">
        <v>64</v>
      </c>
      <c r="H66" s="4" t="s">
        <v>12</v>
      </c>
      <c r="I66" s="4" t="s">
        <v>104</v>
      </c>
    </row>
    <row r="67" spans="2:9" x14ac:dyDescent="0.2">
      <c r="B67" s="4" t="s">
        <v>5</v>
      </c>
      <c r="C67" s="3" t="s">
        <v>62</v>
      </c>
      <c r="D67" s="3"/>
      <c r="E67" s="3"/>
      <c r="F67" s="20">
        <v>33416.67</v>
      </c>
      <c r="G67" s="10" t="s">
        <v>65</v>
      </c>
      <c r="H67" s="4" t="s">
        <v>12</v>
      </c>
      <c r="I67" s="4" t="s">
        <v>104</v>
      </c>
    </row>
    <row r="68" spans="2:9" x14ac:dyDescent="0.2">
      <c r="B68" s="4" t="s">
        <v>5</v>
      </c>
      <c r="C68" s="3" t="s">
        <v>6</v>
      </c>
      <c r="D68" s="3"/>
      <c r="E68" s="3"/>
      <c r="F68" s="20">
        <v>-33416.67</v>
      </c>
      <c r="G68" s="10" t="s">
        <v>65</v>
      </c>
      <c r="H68" s="4" t="s">
        <v>12</v>
      </c>
      <c r="I68" s="4" t="s">
        <v>104</v>
      </c>
    </row>
    <row r="69" spans="2:9" x14ac:dyDescent="0.2">
      <c r="B69" s="4" t="s">
        <v>5</v>
      </c>
      <c r="C69" s="3" t="s">
        <v>62</v>
      </c>
      <c r="D69" s="3"/>
      <c r="E69" s="3"/>
      <c r="F69" s="20">
        <v>949.17</v>
      </c>
      <c r="G69" s="10" t="s">
        <v>67</v>
      </c>
      <c r="H69" s="4" t="s">
        <v>12</v>
      </c>
      <c r="I69" s="4" t="s">
        <v>104</v>
      </c>
    </row>
    <row r="70" spans="2:9" x14ac:dyDescent="0.2">
      <c r="B70" s="4" t="s">
        <v>5</v>
      </c>
      <c r="C70" s="3" t="s">
        <v>6</v>
      </c>
      <c r="D70" s="3"/>
      <c r="E70" s="3"/>
      <c r="F70" s="20">
        <v>-949.17</v>
      </c>
      <c r="G70" s="10" t="s">
        <v>67</v>
      </c>
      <c r="H70" s="4" t="s">
        <v>12</v>
      </c>
      <c r="I70" s="4" t="s">
        <v>104</v>
      </c>
    </row>
    <row r="71" spans="2:9" x14ac:dyDescent="0.2">
      <c r="B71" s="4" t="s">
        <v>5</v>
      </c>
      <c r="C71" s="3" t="s">
        <v>62</v>
      </c>
      <c r="D71" s="3"/>
      <c r="E71" s="3"/>
      <c r="F71" s="20">
        <v>371.48</v>
      </c>
      <c r="G71" s="10" t="s">
        <v>68</v>
      </c>
      <c r="H71" s="4" t="s">
        <v>12</v>
      </c>
      <c r="I71" s="4" t="s">
        <v>104</v>
      </c>
    </row>
    <row r="72" spans="2:9" x14ac:dyDescent="0.2">
      <c r="B72" s="4" t="s">
        <v>5</v>
      </c>
      <c r="C72" s="3" t="s">
        <v>6</v>
      </c>
      <c r="D72" s="3"/>
      <c r="E72" s="3"/>
      <c r="F72" s="20">
        <v>-371.48</v>
      </c>
      <c r="G72" s="10" t="s">
        <v>68</v>
      </c>
      <c r="H72" s="4" t="s">
        <v>12</v>
      </c>
      <c r="I72" s="4" t="s">
        <v>104</v>
      </c>
    </row>
    <row r="73" spans="2:9" x14ac:dyDescent="0.2">
      <c r="B73" s="4" t="s">
        <v>5</v>
      </c>
      <c r="C73" s="3" t="s">
        <v>62</v>
      </c>
      <c r="D73" s="3"/>
      <c r="E73" s="3"/>
      <c r="F73" s="20">
        <v>2167.41</v>
      </c>
      <c r="G73" s="10" t="s">
        <v>77</v>
      </c>
      <c r="H73" s="4" t="s">
        <v>78</v>
      </c>
      <c r="I73" s="4" t="s">
        <v>104</v>
      </c>
    </row>
    <row r="74" spans="2:9" x14ac:dyDescent="0.2">
      <c r="B74" s="4" t="s">
        <v>5</v>
      </c>
      <c r="C74" s="3" t="s">
        <v>6</v>
      </c>
      <c r="D74" s="3"/>
      <c r="E74" s="3"/>
      <c r="F74" s="20">
        <v>-2167.41</v>
      </c>
      <c r="G74" s="10" t="s">
        <v>77</v>
      </c>
      <c r="H74" s="4" t="s">
        <v>78</v>
      </c>
      <c r="I74" s="4" t="s">
        <v>104</v>
      </c>
    </row>
    <row r="75" spans="2:9" x14ac:dyDescent="0.2">
      <c r="B75" s="4" t="s">
        <v>5</v>
      </c>
      <c r="C75" s="3" t="s">
        <v>62</v>
      </c>
      <c r="D75" s="3"/>
      <c r="E75" s="3"/>
      <c r="F75" s="20">
        <v>1041.67</v>
      </c>
      <c r="G75" s="10" t="s">
        <v>80</v>
      </c>
      <c r="H75" s="4" t="s">
        <v>79</v>
      </c>
      <c r="I75" s="4" t="s">
        <v>104</v>
      </c>
    </row>
    <row r="76" spans="2:9" x14ac:dyDescent="0.2">
      <c r="B76" s="4" t="s">
        <v>5</v>
      </c>
      <c r="C76" s="3" t="s">
        <v>6</v>
      </c>
      <c r="D76" s="3"/>
      <c r="E76" s="3"/>
      <c r="F76" s="20">
        <v>-1041.67</v>
      </c>
      <c r="G76" s="10" t="s">
        <v>80</v>
      </c>
      <c r="H76" s="4" t="s">
        <v>79</v>
      </c>
      <c r="I76" s="4" t="s">
        <v>104</v>
      </c>
    </row>
    <row r="77" spans="2:9" x14ac:dyDescent="0.2">
      <c r="B77" s="4" t="s">
        <v>5</v>
      </c>
      <c r="C77" s="3" t="s">
        <v>62</v>
      </c>
      <c r="D77" s="3"/>
      <c r="E77" s="3"/>
      <c r="F77" s="20">
        <v>1100</v>
      </c>
      <c r="G77" s="10" t="s">
        <v>81</v>
      </c>
      <c r="H77" s="4" t="s">
        <v>86</v>
      </c>
      <c r="I77" s="4" t="s">
        <v>104</v>
      </c>
    </row>
    <row r="78" spans="2:9" x14ac:dyDescent="0.2">
      <c r="B78" s="4" t="s">
        <v>5</v>
      </c>
      <c r="C78" s="3" t="s">
        <v>6</v>
      </c>
      <c r="D78" s="3"/>
      <c r="E78" s="3"/>
      <c r="F78" s="20">
        <v>-1100</v>
      </c>
      <c r="G78" s="10" t="s">
        <v>81</v>
      </c>
      <c r="H78" s="4" t="s">
        <v>86</v>
      </c>
      <c r="I78" s="4" t="s">
        <v>104</v>
      </c>
    </row>
    <row r="79" spans="2:9" x14ac:dyDescent="0.2">
      <c r="B79" s="4" t="s">
        <v>5</v>
      </c>
      <c r="C79" s="3" t="s">
        <v>62</v>
      </c>
      <c r="D79" s="3"/>
      <c r="E79" s="3"/>
      <c r="F79" s="20">
        <v>473.11</v>
      </c>
      <c r="G79" s="10" t="s">
        <v>85</v>
      </c>
      <c r="H79" s="4" t="s">
        <v>86</v>
      </c>
      <c r="I79" s="4" t="s">
        <v>104</v>
      </c>
    </row>
    <row r="80" spans="2:9" x14ac:dyDescent="0.2">
      <c r="B80" s="4" t="s">
        <v>5</v>
      </c>
      <c r="C80" s="3" t="s">
        <v>6</v>
      </c>
      <c r="D80" s="3"/>
      <c r="E80" s="3"/>
      <c r="F80" s="20">
        <v>-473.11</v>
      </c>
      <c r="G80" s="10" t="s">
        <v>85</v>
      </c>
      <c r="H80" s="4" t="s">
        <v>86</v>
      </c>
      <c r="I80" s="4" t="s">
        <v>104</v>
      </c>
    </row>
    <row r="81" spans="2:9" x14ac:dyDescent="0.2">
      <c r="B81" s="4" t="s">
        <v>5</v>
      </c>
      <c r="C81" s="3" t="s">
        <v>62</v>
      </c>
      <c r="D81" s="3"/>
      <c r="E81" s="3"/>
      <c r="F81" s="20">
        <v>3202.58</v>
      </c>
      <c r="G81" s="10" t="s">
        <v>88</v>
      </c>
      <c r="H81" s="4" t="s">
        <v>12</v>
      </c>
      <c r="I81" s="4" t="s">
        <v>104</v>
      </c>
    </row>
    <row r="82" spans="2:9" x14ac:dyDescent="0.2">
      <c r="B82" s="4" t="s">
        <v>5</v>
      </c>
      <c r="C82" s="3" t="s">
        <v>6</v>
      </c>
      <c r="D82" s="3"/>
      <c r="E82" s="3"/>
      <c r="F82" s="20">
        <v>-3202.58</v>
      </c>
      <c r="G82" s="10" t="s">
        <v>88</v>
      </c>
      <c r="H82" s="4" t="s">
        <v>12</v>
      </c>
      <c r="I82" s="4" t="s">
        <v>104</v>
      </c>
    </row>
    <row r="83" spans="2:9" x14ac:dyDescent="0.2">
      <c r="B83" s="16" t="s">
        <v>5</v>
      </c>
      <c r="C83" s="17" t="s">
        <v>62</v>
      </c>
      <c r="D83" s="17"/>
      <c r="E83" s="17"/>
      <c r="F83" s="22">
        <v>2112.02</v>
      </c>
      <c r="G83" s="18" t="s">
        <v>107</v>
      </c>
      <c r="H83" s="16" t="s">
        <v>12</v>
      </c>
      <c r="I83" s="16" t="s">
        <v>87</v>
      </c>
    </row>
    <row r="84" spans="2:9" x14ac:dyDescent="0.2">
      <c r="B84" s="16" t="s">
        <v>5</v>
      </c>
      <c r="C84" s="17" t="s">
        <v>6</v>
      </c>
      <c r="D84" s="17"/>
      <c r="E84" s="17"/>
      <c r="F84" s="22">
        <v>-2112.02</v>
      </c>
      <c r="G84" s="18" t="s">
        <v>107</v>
      </c>
      <c r="H84" s="16" t="s">
        <v>12</v>
      </c>
      <c r="I84" s="16" t="s">
        <v>87</v>
      </c>
    </row>
    <row r="85" spans="2:9" x14ac:dyDescent="0.2">
      <c r="B85" s="16" t="s">
        <v>5</v>
      </c>
      <c r="C85" s="17" t="s">
        <v>62</v>
      </c>
      <c r="D85" s="17"/>
      <c r="E85" s="17"/>
      <c r="F85" s="22">
        <v>2112.02</v>
      </c>
      <c r="G85" s="18" t="s">
        <v>107</v>
      </c>
      <c r="H85" s="16" t="s">
        <v>12</v>
      </c>
      <c r="I85" s="16" t="s">
        <v>104</v>
      </c>
    </row>
    <row r="86" spans="2:9" x14ac:dyDescent="0.2">
      <c r="B86" s="16" t="s">
        <v>5</v>
      </c>
      <c r="C86" s="17" t="s">
        <v>6</v>
      </c>
      <c r="D86" s="17"/>
      <c r="E86" s="17"/>
      <c r="F86" s="22">
        <v>-2112.02</v>
      </c>
      <c r="G86" s="18" t="s">
        <v>107</v>
      </c>
      <c r="H86" s="16" t="s">
        <v>12</v>
      </c>
      <c r="I86" s="16" t="s">
        <v>104</v>
      </c>
    </row>
    <row r="87" spans="2:9" x14ac:dyDescent="0.2">
      <c r="B87" s="16" t="s">
        <v>5</v>
      </c>
      <c r="C87" s="17" t="s">
        <v>62</v>
      </c>
      <c r="D87" s="17"/>
      <c r="E87" s="17"/>
      <c r="F87" s="22">
        <v>1976.42</v>
      </c>
      <c r="G87" s="18" t="s">
        <v>108</v>
      </c>
      <c r="H87" s="16" t="s">
        <v>12</v>
      </c>
      <c r="I87" s="16" t="s">
        <v>63</v>
      </c>
    </row>
    <row r="88" spans="2:9" x14ac:dyDescent="0.2">
      <c r="B88" s="16" t="s">
        <v>5</v>
      </c>
      <c r="C88" s="17" t="s">
        <v>6</v>
      </c>
      <c r="D88" s="17"/>
      <c r="E88" s="17"/>
      <c r="F88" s="22">
        <v>-1976.42</v>
      </c>
      <c r="G88" s="18" t="s">
        <v>108</v>
      </c>
      <c r="H88" s="16" t="s">
        <v>12</v>
      </c>
      <c r="I88" s="16" t="s">
        <v>63</v>
      </c>
    </row>
    <row r="89" spans="2:9" x14ac:dyDescent="0.2">
      <c r="B89" s="16" t="s">
        <v>5</v>
      </c>
      <c r="C89" s="17" t="s">
        <v>62</v>
      </c>
      <c r="D89" s="17"/>
      <c r="E89" s="17"/>
      <c r="F89" s="22">
        <v>1976.42</v>
      </c>
      <c r="G89" s="18" t="s">
        <v>108</v>
      </c>
      <c r="H89" s="16" t="s">
        <v>12</v>
      </c>
      <c r="I89" s="16" t="s">
        <v>69</v>
      </c>
    </row>
    <row r="90" spans="2:9" x14ac:dyDescent="0.2">
      <c r="B90" s="16" t="s">
        <v>5</v>
      </c>
      <c r="C90" s="17" t="s">
        <v>6</v>
      </c>
      <c r="D90" s="17"/>
      <c r="E90" s="17"/>
      <c r="F90" s="22">
        <v>-1976.42</v>
      </c>
      <c r="G90" s="18" t="s">
        <v>108</v>
      </c>
      <c r="H90" s="16" t="s">
        <v>12</v>
      </c>
      <c r="I90" s="16" t="s">
        <v>69</v>
      </c>
    </row>
    <row r="91" spans="2:9" x14ac:dyDescent="0.2">
      <c r="B91" s="16" t="s">
        <v>5</v>
      </c>
      <c r="C91" s="17" t="s">
        <v>62</v>
      </c>
      <c r="D91" s="17"/>
      <c r="E91" s="17"/>
      <c r="F91" s="22">
        <v>1976.42</v>
      </c>
      <c r="G91" s="18" t="s">
        <v>108</v>
      </c>
      <c r="H91" s="16" t="s">
        <v>12</v>
      </c>
      <c r="I91" s="16" t="s">
        <v>71</v>
      </c>
    </row>
    <row r="92" spans="2:9" x14ac:dyDescent="0.2">
      <c r="B92" s="16" t="s">
        <v>5</v>
      </c>
      <c r="C92" s="17" t="s">
        <v>6</v>
      </c>
      <c r="D92" s="17"/>
      <c r="E92" s="17"/>
      <c r="F92" s="22">
        <v>-1976.42</v>
      </c>
      <c r="G92" s="18" t="s">
        <v>108</v>
      </c>
      <c r="H92" s="16" t="s">
        <v>12</v>
      </c>
      <c r="I92" s="16" t="s">
        <v>71</v>
      </c>
    </row>
    <row r="93" spans="2:9" x14ac:dyDescent="0.2">
      <c r="B93" s="16" t="s">
        <v>5</v>
      </c>
      <c r="C93" s="17" t="s">
        <v>62</v>
      </c>
      <c r="D93" s="17"/>
      <c r="E93" s="17"/>
      <c r="F93" s="22">
        <v>1976.42</v>
      </c>
      <c r="G93" s="18" t="s">
        <v>108</v>
      </c>
      <c r="H93" s="16" t="s">
        <v>12</v>
      </c>
      <c r="I93" s="16" t="s">
        <v>75</v>
      </c>
    </row>
    <row r="94" spans="2:9" x14ac:dyDescent="0.2">
      <c r="B94" s="16" t="s">
        <v>5</v>
      </c>
      <c r="C94" s="17" t="s">
        <v>6</v>
      </c>
      <c r="D94" s="17"/>
      <c r="E94" s="17"/>
      <c r="F94" s="22">
        <v>-1976.42</v>
      </c>
      <c r="G94" s="18" t="s">
        <v>108</v>
      </c>
      <c r="H94" s="16" t="s">
        <v>12</v>
      </c>
      <c r="I94" s="16" t="s">
        <v>75</v>
      </c>
    </row>
    <row r="95" spans="2:9" x14ac:dyDescent="0.2">
      <c r="B95" s="16" t="s">
        <v>5</v>
      </c>
      <c r="C95" s="17" t="s">
        <v>62</v>
      </c>
      <c r="D95" s="17"/>
      <c r="E95" s="17"/>
      <c r="F95" s="22">
        <v>1976.42</v>
      </c>
      <c r="G95" s="18" t="s">
        <v>108</v>
      </c>
      <c r="H95" s="16" t="s">
        <v>12</v>
      </c>
      <c r="I95" s="16" t="s">
        <v>87</v>
      </c>
    </row>
    <row r="96" spans="2:9" x14ac:dyDescent="0.2">
      <c r="B96" s="16" t="s">
        <v>5</v>
      </c>
      <c r="C96" s="17" t="s">
        <v>6</v>
      </c>
      <c r="D96" s="17"/>
      <c r="E96" s="17"/>
      <c r="F96" s="22">
        <v>-1976.42</v>
      </c>
      <c r="G96" s="18" t="s">
        <v>108</v>
      </c>
      <c r="H96" s="16" t="s">
        <v>12</v>
      </c>
      <c r="I96" s="16" t="s">
        <v>87</v>
      </c>
    </row>
    <row r="97" spans="2:9" x14ac:dyDescent="0.2">
      <c r="B97" s="16" t="s">
        <v>5</v>
      </c>
      <c r="C97" s="17" t="s">
        <v>62</v>
      </c>
      <c r="D97" s="17"/>
      <c r="E97" s="17"/>
      <c r="F97" s="22">
        <v>1976.42</v>
      </c>
      <c r="G97" s="18" t="s">
        <v>108</v>
      </c>
      <c r="H97" s="16" t="s">
        <v>12</v>
      </c>
      <c r="I97" s="16" t="s">
        <v>104</v>
      </c>
    </row>
    <row r="98" spans="2:9" x14ac:dyDescent="0.2">
      <c r="B98" s="16" t="s">
        <v>5</v>
      </c>
      <c r="C98" s="17" t="s">
        <v>6</v>
      </c>
      <c r="D98" s="17"/>
      <c r="E98" s="17"/>
      <c r="F98" s="22">
        <v>-1976.42</v>
      </c>
      <c r="G98" s="18" t="s">
        <v>108</v>
      </c>
      <c r="H98" s="16" t="s">
        <v>12</v>
      </c>
      <c r="I98" s="16" t="s">
        <v>104</v>
      </c>
    </row>
    <row r="99" spans="2:9" x14ac:dyDescent="0.2">
      <c r="B99" s="4"/>
      <c r="C99" s="3"/>
      <c r="D99" s="3"/>
      <c r="E99" s="3"/>
      <c r="F99" s="20"/>
      <c r="G99" s="10"/>
      <c r="H99" s="4"/>
      <c r="I99" s="4"/>
    </row>
    <row r="100" spans="2:9" x14ac:dyDescent="0.2">
      <c r="B100" s="4"/>
      <c r="C100" s="3"/>
      <c r="D100" s="3"/>
      <c r="E100" s="3"/>
      <c r="F100" s="20"/>
      <c r="G100" s="10"/>
      <c r="H100" s="4"/>
      <c r="I100" s="4"/>
    </row>
    <row r="101" spans="2:9" x14ac:dyDescent="0.2">
      <c r="B101" s="4"/>
      <c r="C101" s="3"/>
      <c r="D101" s="3"/>
      <c r="E101" s="3"/>
      <c r="F101" s="20"/>
      <c r="G101" s="10"/>
      <c r="H101" s="4"/>
      <c r="I101" s="4"/>
    </row>
    <row r="102" spans="2:9" x14ac:dyDescent="0.2">
      <c r="B102" s="4"/>
      <c r="C102" s="3"/>
      <c r="D102" s="3"/>
      <c r="E102" s="3"/>
      <c r="F102" s="20"/>
      <c r="G102" s="10"/>
      <c r="H102" s="4"/>
      <c r="I102" s="4"/>
    </row>
    <row r="106" spans="2:9" ht="15" thickBot="1" x14ac:dyDescent="0.25">
      <c r="C106" t="s">
        <v>14</v>
      </c>
      <c r="F106" s="21">
        <f>SUMIF(F51:F105,"&lt;0",F51:F105)</f>
        <v>-83025.959999999992</v>
      </c>
      <c r="G106" t="s">
        <v>13</v>
      </c>
    </row>
    <row r="107" spans="2:9" ht="15" thickTop="1" x14ac:dyDescent="0.2"/>
  </sheetData>
  <autoFilter ref="B6:I6" xr:uid="{E75F0CD7-8C26-4173-8973-B3509135FC85}"/>
  <hyperlinks>
    <hyperlink ref="F1" r:id="rId1" xr:uid="{E9EE97BB-85D0-4E69-8A18-83D7D31C939A}"/>
  </hyperlinks>
  <pageMargins left="0.7" right="0.7" top="0.75" bottom="0.75" header="0.3" footer="0.3"/>
  <pageSetup paperSize="9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8F92-0FC6-4082-8DD0-8F885C3B9D40}">
  <sheetPr>
    <tabColor theme="9" tint="0.59999389629810485"/>
  </sheetPr>
  <dimension ref="A1:O99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87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87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53</v>
      </c>
      <c r="D9" s="3"/>
      <c r="E9" s="3"/>
      <c r="F9" s="20">
        <v>5042.0600000000004</v>
      </c>
      <c r="G9" s="30" t="s">
        <v>54</v>
      </c>
      <c r="H9" s="4" t="s">
        <v>12</v>
      </c>
      <c r="I9" s="4" t="s">
        <v>87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-5042.0600000000004</v>
      </c>
      <c r="G10" s="30" t="s">
        <v>54</v>
      </c>
      <c r="H10" s="4" t="s">
        <v>12</v>
      </c>
      <c r="I10" s="4" t="s">
        <v>87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60</v>
      </c>
      <c r="D11" s="25"/>
      <c r="E11" s="25"/>
      <c r="F11" s="26">
        <v>1291.67</v>
      </c>
      <c r="G11" s="29" t="s">
        <v>59</v>
      </c>
      <c r="H11" s="28" t="s">
        <v>12</v>
      </c>
      <c r="I11" s="28" t="s">
        <v>87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5</v>
      </c>
      <c r="C12" s="25" t="s">
        <v>61</v>
      </c>
      <c r="D12" s="25"/>
      <c r="E12" s="25"/>
      <c r="F12" s="26">
        <v>1291.67</v>
      </c>
      <c r="G12" s="29" t="s">
        <v>59</v>
      </c>
      <c r="H12" s="28" t="s">
        <v>12</v>
      </c>
      <c r="I12" s="28" t="s">
        <v>87</v>
      </c>
      <c r="J12" s="23"/>
      <c r="K12" s="11"/>
      <c r="L12" s="1"/>
      <c r="M12" s="1"/>
      <c r="N12" s="1"/>
      <c r="O12" s="1"/>
    </row>
    <row r="13" spans="1:15" x14ac:dyDescent="0.2">
      <c r="A13" s="1"/>
      <c r="B13" s="24" t="s">
        <v>1</v>
      </c>
      <c r="C13" s="25" t="s">
        <v>2</v>
      </c>
      <c r="D13" s="25"/>
      <c r="E13" s="25"/>
      <c r="F13" s="26">
        <v>-2583.34</v>
      </c>
      <c r="G13" s="29" t="s">
        <v>59</v>
      </c>
      <c r="H13" s="28" t="s">
        <v>12</v>
      </c>
      <c r="I13" s="28" t="s">
        <v>87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11</v>
      </c>
      <c r="D14" s="3"/>
      <c r="E14" s="3"/>
      <c r="F14" s="20">
        <v>5750</v>
      </c>
      <c r="G14" s="30" t="s">
        <v>66</v>
      </c>
      <c r="H14" s="4" t="s">
        <v>12</v>
      </c>
      <c r="I14" s="4" t="s">
        <v>87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-5750</v>
      </c>
      <c r="G15" s="30" t="s">
        <v>66</v>
      </c>
      <c r="H15" s="4" t="s">
        <v>12</v>
      </c>
      <c r="I15" s="4" t="s">
        <v>87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70</v>
      </c>
      <c r="D16" s="3"/>
      <c r="E16" s="3"/>
      <c r="F16" s="20">
        <v>19206.060000000001</v>
      </c>
      <c r="G16" s="30" t="s">
        <v>72</v>
      </c>
      <c r="H16" s="4" t="s">
        <v>12</v>
      </c>
      <c r="I16" s="4" t="s">
        <v>87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-19206.060000000001</v>
      </c>
      <c r="G17" s="30" t="s">
        <v>72</v>
      </c>
      <c r="H17" s="4" t="s">
        <v>12</v>
      </c>
      <c r="I17" s="4" t="s">
        <v>87</v>
      </c>
      <c r="J17" s="11"/>
      <c r="K17" s="11"/>
      <c r="L17" s="1"/>
      <c r="M17" s="1"/>
      <c r="N17" s="1"/>
      <c r="O17" s="1"/>
    </row>
    <row r="18" spans="1:15" x14ac:dyDescent="0.2">
      <c r="A18" s="1"/>
      <c r="B18" s="19" t="s">
        <v>5</v>
      </c>
      <c r="C18" s="17" t="s">
        <v>83</v>
      </c>
      <c r="D18" s="17"/>
      <c r="E18" s="17"/>
      <c r="F18" s="22">
        <v>6666.67</v>
      </c>
      <c r="G18" s="31" t="s">
        <v>84</v>
      </c>
      <c r="H18" s="16" t="s">
        <v>12</v>
      </c>
      <c r="I18" s="16" t="s">
        <v>87</v>
      </c>
      <c r="J18" s="11"/>
      <c r="K18" s="11"/>
      <c r="L18" s="1"/>
      <c r="M18" s="1"/>
      <c r="N18" s="1"/>
      <c r="O18" s="1"/>
    </row>
    <row r="19" spans="1:15" x14ac:dyDescent="0.2">
      <c r="A19" s="1"/>
      <c r="B19" s="19" t="s">
        <v>1</v>
      </c>
      <c r="C19" s="17" t="s">
        <v>2</v>
      </c>
      <c r="D19" s="17"/>
      <c r="E19" s="17"/>
      <c r="F19" s="22">
        <v>-6666.67</v>
      </c>
      <c r="G19" s="31" t="s">
        <v>84</v>
      </c>
      <c r="H19" s="16" t="s">
        <v>12</v>
      </c>
      <c r="I19" s="16" t="s">
        <v>87</v>
      </c>
      <c r="J19" s="11"/>
      <c r="K19" s="11"/>
      <c r="L19" s="1"/>
      <c r="M19" s="1"/>
      <c r="N19" s="1"/>
      <c r="O19" s="1"/>
    </row>
    <row r="20" spans="1:15" x14ac:dyDescent="0.2">
      <c r="A20" s="1"/>
      <c r="B20" s="1" t="s">
        <v>5</v>
      </c>
      <c r="C20" s="3" t="s">
        <v>10</v>
      </c>
      <c r="D20" s="3"/>
      <c r="E20" s="3"/>
      <c r="F20" s="20">
        <v>487.25</v>
      </c>
      <c r="G20" s="30" t="s">
        <v>46</v>
      </c>
      <c r="H20" s="4" t="s">
        <v>12</v>
      </c>
      <c r="I20" s="4" t="s">
        <v>87</v>
      </c>
      <c r="J20" s="23"/>
      <c r="K20" s="11"/>
      <c r="L20" s="1"/>
      <c r="M20" s="1"/>
      <c r="N20" s="1"/>
      <c r="O20" s="1"/>
    </row>
    <row r="21" spans="1:15" x14ac:dyDescent="0.2">
      <c r="A21" s="1"/>
      <c r="B21" s="1" t="s">
        <v>5</v>
      </c>
      <c r="C21" s="3" t="s">
        <v>52</v>
      </c>
      <c r="D21" s="3"/>
      <c r="E21" s="3"/>
      <c r="F21" s="20">
        <v>-487.25</v>
      </c>
      <c r="G21" s="30" t="s">
        <v>46</v>
      </c>
      <c r="H21" s="4" t="s">
        <v>12</v>
      </c>
      <c r="I21" s="4" t="s">
        <v>87</v>
      </c>
      <c r="J21" s="23"/>
      <c r="K21" s="11"/>
      <c r="L21" s="1"/>
      <c r="M21" s="1"/>
      <c r="N21" s="1"/>
      <c r="O21" s="1"/>
    </row>
    <row r="22" spans="1:15" x14ac:dyDescent="0.2">
      <c r="A22" s="1"/>
      <c r="B22" s="19" t="s">
        <v>5</v>
      </c>
      <c r="C22" s="17" t="s">
        <v>39</v>
      </c>
      <c r="D22" s="17"/>
      <c r="E22" s="17"/>
      <c r="F22" s="22">
        <v>6932.05</v>
      </c>
      <c r="G22" s="31" t="s">
        <v>74</v>
      </c>
      <c r="H22" s="16" t="s">
        <v>12</v>
      </c>
      <c r="I22" s="16" t="s">
        <v>87</v>
      </c>
      <c r="J22" s="23"/>
      <c r="K22" s="11"/>
      <c r="L22" s="1"/>
      <c r="M22" s="1"/>
      <c r="N22" s="1"/>
      <c r="O22" s="1"/>
    </row>
    <row r="23" spans="1:15" x14ac:dyDescent="0.2">
      <c r="A23" s="1"/>
      <c r="B23" s="19" t="s">
        <v>1</v>
      </c>
      <c r="C23" s="17" t="s">
        <v>73</v>
      </c>
      <c r="D23" s="17"/>
      <c r="E23" s="17"/>
      <c r="F23" s="22">
        <v>-6932.05</v>
      </c>
      <c r="G23" s="31" t="s">
        <v>74</v>
      </c>
      <c r="H23" s="16" t="s">
        <v>12</v>
      </c>
      <c r="I23" s="16" t="s">
        <v>87</v>
      </c>
      <c r="J23" s="23"/>
      <c r="K23" s="11"/>
      <c r="L23" s="1"/>
      <c r="M23" s="1"/>
      <c r="N23" s="1"/>
      <c r="O23" s="1"/>
    </row>
    <row r="24" spans="1:15" x14ac:dyDescent="0.2">
      <c r="A24" s="1"/>
      <c r="B24" s="1" t="s">
        <v>5</v>
      </c>
      <c r="C24" s="3" t="s">
        <v>4</v>
      </c>
      <c r="D24" s="3"/>
      <c r="E24" s="3"/>
      <c r="F24" s="20">
        <v>44404.480000000003</v>
      </c>
      <c r="G24" s="30" t="s">
        <v>42</v>
      </c>
      <c r="H24" s="4"/>
      <c r="I24" s="4" t="s">
        <v>87</v>
      </c>
      <c r="J24" s="23"/>
      <c r="K24" s="11"/>
      <c r="L24" s="1"/>
      <c r="M24" s="1"/>
      <c r="N24" s="1"/>
      <c r="O24" s="1"/>
    </row>
    <row r="25" spans="1:15" x14ac:dyDescent="0.2">
      <c r="A25" s="1"/>
      <c r="B25" s="1" t="s">
        <v>1</v>
      </c>
      <c r="C25" s="3" t="s">
        <v>16</v>
      </c>
      <c r="D25" s="3"/>
      <c r="E25" s="3"/>
      <c r="F25" s="20">
        <v>-44404.480000000003</v>
      </c>
      <c r="G25" s="30" t="s">
        <v>42</v>
      </c>
      <c r="H25" s="4"/>
      <c r="I25" s="4" t="s">
        <v>87</v>
      </c>
      <c r="J25" s="23"/>
      <c r="K25" s="11"/>
      <c r="L25" s="1"/>
      <c r="M25" s="1"/>
      <c r="N25" s="1"/>
      <c r="O25" s="1"/>
    </row>
    <row r="26" spans="1:15" x14ac:dyDescent="0.2">
      <c r="A26" s="1"/>
      <c r="B26" s="24" t="s">
        <v>5</v>
      </c>
      <c r="C26" s="25" t="s">
        <v>89</v>
      </c>
      <c r="D26" s="25"/>
      <c r="E26" s="25"/>
      <c r="F26" s="26">
        <v>479.74621212121201</v>
      </c>
      <c r="G26" s="29" t="s">
        <v>94</v>
      </c>
      <c r="H26" s="28" t="s">
        <v>12</v>
      </c>
      <c r="I26" s="28" t="s">
        <v>95</v>
      </c>
      <c r="J26" s="23"/>
      <c r="K26" s="11"/>
      <c r="L26" s="1"/>
      <c r="M26" s="1"/>
      <c r="N26" s="1"/>
      <c r="O26" s="1"/>
    </row>
    <row r="27" spans="1:15" x14ac:dyDescent="0.2">
      <c r="A27" s="1"/>
      <c r="B27" s="24" t="s">
        <v>5</v>
      </c>
      <c r="C27" s="25" t="s">
        <v>90</v>
      </c>
      <c r="D27" s="25"/>
      <c r="E27" s="25"/>
      <c r="F27" s="26">
        <v>479.74318181818199</v>
      </c>
      <c r="G27" s="29" t="s">
        <v>94</v>
      </c>
      <c r="H27" s="28" t="s">
        <v>12</v>
      </c>
      <c r="I27" s="28" t="s">
        <v>95</v>
      </c>
      <c r="J27" s="23"/>
      <c r="K27" s="11"/>
      <c r="L27" s="1"/>
      <c r="M27" s="1"/>
      <c r="N27" s="1"/>
      <c r="O27" s="1"/>
    </row>
    <row r="28" spans="1:15" x14ac:dyDescent="0.2">
      <c r="A28" s="1"/>
      <c r="B28" s="24" t="s">
        <v>5</v>
      </c>
      <c r="C28" s="25" t="s">
        <v>91</v>
      </c>
      <c r="D28" s="25"/>
      <c r="E28" s="25"/>
      <c r="F28" s="26">
        <v>479.74318181818199</v>
      </c>
      <c r="G28" s="29" t="s">
        <v>94</v>
      </c>
      <c r="H28" s="28" t="s">
        <v>12</v>
      </c>
      <c r="I28" s="28" t="s">
        <v>95</v>
      </c>
      <c r="J28" s="23"/>
      <c r="K28" s="11"/>
      <c r="L28" s="1"/>
      <c r="M28" s="1"/>
      <c r="N28" s="1"/>
      <c r="O28" s="1"/>
    </row>
    <row r="29" spans="1:15" x14ac:dyDescent="0.2">
      <c r="A29" s="1"/>
      <c r="B29" s="24" t="s">
        <v>5</v>
      </c>
      <c r="C29" s="25" t="s">
        <v>92</v>
      </c>
      <c r="D29" s="25"/>
      <c r="E29" s="25"/>
      <c r="F29" s="26">
        <v>479.74318181818199</v>
      </c>
      <c r="G29" s="29" t="s">
        <v>94</v>
      </c>
      <c r="H29" s="28" t="s">
        <v>12</v>
      </c>
      <c r="I29" s="28" t="s">
        <v>95</v>
      </c>
      <c r="J29" s="23"/>
      <c r="K29" s="11"/>
      <c r="L29" s="1"/>
      <c r="M29" s="1"/>
      <c r="N29" s="1"/>
      <c r="O29" s="1"/>
    </row>
    <row r="30" spans="1:15" x14ac:dyDescent="0.2">
      <c r="A30" s="1"/>
      <c r="B30" s="24" t="s">
        <v>5</v>
      </c>
      <c r="C30" s="25" t="s">
        <v>93</v>
      </c>
      <c r="D30" s="25"/>
      <c r="E30" s="25"/>
      <c r="F30" s="26">
        <v>-1918.97</v>
      </c>
      <c r="G30" s="29" t="s">
        <v>94</v>
      </c>
      <c r="H30" s="28" t="s">
        <v>12</v>
      </c>
      <c r="I30" s="28" t="s">
        <v>95</v>
      </c>
      <c r="J30" s="23"/>
      <c r="K30" s="11"/>
      <c r="L30" s="1"/>
      <c r="M30" s="1"/>
      <c r="N30" s="1"/>
      <c r="O30" s="1"/>
    </row>
    <row r="31" spans="1:15" x14ac:dyDescent="0.2">
      <c r="A31" s="1"/>
      <c r="B31" s="24" t="s">
        <v>5</v>
      </c>
      <c r="C31" s="25" t="s">
        <v>89</v>
      </c>
      <c r="D31" s="25"/>
      <c r="E31" s="25"/>
      <c r="F31" s="26">
        <v>479.74621212121201</v>
      </c>
      <c r="G31" s="29" t="s">
        <v>94</v>
      </c>
      <c r="H31" s="28" t="s">
        <v>12</v>
      </c>
      <c r="I31" s="28" t="s">
        <v>96</v>
      </c>
      <c r="J31" s="23"/>
      <c r="K31" s="11"/>
      <c r="L31" s="1"/>
      <c r="M31" s="1"/>
      <c r="N31" s="1"/>
      <c r="O31" s="1"/>
    </row>
    <row r="32" spans="1:15" x14ac:dyDescent="0.2">
      <c r="A32" s="1"/>
      <c r="B32" s="24" t="s">
        <v>5</v>
      </c>
      <c r="C32" s="25" t="s">
        <v>90</v>
      </c>
      <c r="D32" s="25"/>
      <c r="E32" s="25"/>
      <c r="F32" s="26">
        <v>479.74318181818199</v>
      </c>
      <c r="G32" s="29" t="s">
        <v>94</v>
      </c>
      <c r="H32" s="28" t="s">
        <v>12</v>
      </c>
      <c r="I32" s="28" t="s">
        <v>96</v>
      </c>
      <c r="J32" s="23"/>
      <c r="K32" s="11"/>
      <c r="L32" s="1"/>
      <c r="M32" s="1"/>
      <c r="N32" s="1"/>
      <c r="O32" s="1"/>
    </row>
    <row r="33" spans="1:15" x14ac:dyDescent="0.2">
      <c r="A33" s="1"/>
      <c r="B33" s="24" t="s">
        <v>5</v>
      </c>
      <c r="C33" s="25" t="s">
        <v>91</v>
      </c>
      <c r="D33" s="25"/>
      <c r="E33" s="25"/>
      <c r="F33" s="26">
        <v>479.74318181818199</v>
      </c>
      <c r="G33" s="29" t="s">
        <v>94</v>
      </c>
      <c r="H33" s="28" t="s">
        <v>12</v>
      </c>
      <c r="I33" s="28" t="s">
        <v>96</v>
      </c>
      <c r="J33" s="23"/>
      <c r="K33" s="11"/>
      <c r="L33" s="1"/>
      <c r="M33" s="1"/>
      <c r="N33" s="1"/>
      <c r="O33" s="1"/>
    </row>
    <row r="34" spans="1:15" x14ac:dyDescent="0.2">
      <c r="A34" s="1"/>
      <c r="B34" s="24" t="s">
        <v>5</v>
      </c>
      <c r="C34" s="25" t="s">
        <v>92</v>
      </c>
      <c r="D34" s="25"/>
      <c r="E34" s="25"/>
      <c r="F34" s="26">
        <v>479.74318181818199</v>
      </c>
      <c r="G34" s="29" t="s">
        <v>94</v>
      </c>
      <c r="H34" s="28" t="s">
        <v>12</v>
      </c>
      <c r="I34" s="28" t="s">
        <v>96</v>
      </c>
      <c r="J34" s="23"/>
      <c r="K34" s="11"/>
      <c r="L34" s="1"/>
      <c r="M34" s="1"/>
      <c r="N34" s="1"/>
      <c r="O34" s="1"/>
    </row>
    <row r="35" spans="1:15" x14ac:dyDescent="0.2">
      <c r="A35" s="1"/>
      <c r="B35" s="24" t="s">
        <v>5</v>
      </c>
      <c r="C35" s="25" t="s">
        <v>93</v>
      </c>
      <c r="D35" s="25"/>
      <c r="E35" s="25"/>
      <c r="F35" s="26">
        <v>-1918.97</v>
      </c>
      <c r="G35" s="29" t="s">
        <v>94</v>
      </c>
      <c r="H35" s="28" t="s">
        <v>12</v>
      </c>
      <c r="I35" s="28" t="s">
        <v>96</v>
      </c>
      <c r="J35" s="23"/>
      <c r="K35" s="11"/>
      <c r="L35" s="1"/>
      <c r="M35" s="1"/>
      <c r="N35" s="1"/>
      <c r="O35" s="1"/>
    </row>
    <row r="36" spans="1:15" x14ac:dyDescent="0.2">
      <c r="A36" s="1"/>
      <c r="B36" s="24" t="s">
        <v>5</v>
      </c>
      <c r="C36" s="25" t="s">
        <v>89</v>
      </c>
      <c r="D36" s="25"/>
      <c r="E36" s="25"/>
      <c r="F36" s="26">
        <v>479.74621212121201</v>
      </c>
      <c r="G36" s="29" t="s">
        <v>94</v>
      </c>
      <c r="H36" s="28" t="s">
        <v>12</v>
      </c>
      <c r="I36" s="28" t="s">
        <v>97</v>
      </c>
      <c r="J36" s="23"/>
      <c r="K36" s="11"/>
      <c r="L36" s="1"/>
      <c r="M36" s="1"/>
      <c r="N36" s="1"/>
      <c r="O36" s="1"/>
    </row>
    <row r="37" spans="1:15" x14ac:dyDescent="0.2">
      <c r="A37" s="1"/>
      <c r="B37" s="24" t="s">
        <v>5</v>
      </c>
      <c r="C37" s="25" t="s">
        <v>90</v>
      </c>
      <c r="D37" s="25"/>
      <c r="E37" s="25"/>
      <c r="F37" s="26">
        <v>479.74318181818199</v>
      </c>
      <c r="G37" s="29" t="s">
        <v>94</v>
      </c>
      <c r="H37" s="28" t="s">
        <v>12</v>
      </c>
      <c r="I37" s="28" t="s">
        <v>97</v>
      </c>
      <c r="J37" s="23"/>
      <c r="K37" s="11"/>
      <c r="L37" s="1"/>
      <c r="M37" s="1"/>
      <c r="N37" s="1"/>
      <c r="O37" s="1"/>
    </row>
    <row r="38" spans="1:15" x14ac:dyDescent="0.2">
      <c r="A38" s="1"/>
      <c r="B38" s="24" t="s">
        <v>5</v>
      </c>
      <c r="C38" s="25" t="s">
        <v>91</v>
      </c>
      <c r="D38" s="25"/>
      <c r="E38" s="25"/>
      <c r="F38" s="26">
        <v>479.74318181818199</v>
      </c>
      <c r="G38" s="29" t="s">
        <v>94</v>
      </c>
      <c r="H38" s="28" t="s">
        <v>12</v>
      </c>
      <c r="I38" s="28" t="s">
        <v>97</v>
      </c>
      <c r="J38" s="23"/>
      <c r="K38" s="11"/>
      <c r="L38" s="1"/>
      <c r="M38" s="1"/>
      <c r="N38" s="1"/>
      <c r="O38" s="1"/>
    </row>
    <row r="39" spans="1:15" x14ac:dyDescent="0.2">
      <c r="A39" s="1"/>
      <c r="B39" s="24" t="s">
        <v>5</v>
      </c>
      <c r="C39" s="25" t="s">
        <v>92</v>
      </c>
      <c r="D39" s="25"/>
      <c r="E39" s="25"/>
      <c r="F39" s="26">
        <v>479.74318181818199</v>
      </c>
      <c r="G39" s="29" t="s">
        <v>94</v>
      </c>
      <c r="H39" s="28" t="s">
        <v>12</v>
      </c>
      <c r="I39" s="28" t="s">
        <v>97</v>
      </c>
      <c r="J39" s="23"/>
      <c r="K39" s="11"/>
      <c r="L39" s="1"/>
      <c r="M39" s="1"/>
      <c r="N39" s="1"/>
      <c r="O39" s="1"/>
    </row>
    <row r="40" spans="1:15" x14ac:dyDescent="0.2">
      <c r="A40" s="1"/>
      <c r="B40" s="24" t="s">
        <v>5</v>
      </c>
      <c r="C40" s="25" t="s">
        <v>93</v>
      </c>
      <c r="D40" s="25"/>
      <c r="E40" s="25"/>
      <c r="F40" s="26">
        <v>-1918.97</v>
      </c>
      <c r="G40" s="29" t="s">
        <v>94</v>
      </c>
      <c r="H40" s="28" t="s">
        <v>12</v>
      </c>
      <c r="I40" s="28" t="s">
        <v>97</v>
      </c>
      <c r="J40" s="23"/>
      <c r="K40" s="11"/>
      <c r="L40" s="1"/>
      <c r="M40" s="1"/>
      <c r="N40" s="1"/>
      <c r="O40" s="1"/>
    </row>
    <row r="41" spans="1:15" x14ac:dyDescent="0.2">
      <c r="A41" s="1"/>
      <c r="B41" s="24" t="s">
        <v>5</v>
      </c>
      <c r="C41" s="25" t="s">
        <v>89</v>
      </c>
      <c r="D41" s="25"/>
      <c r="E41" s="25"/>
      <c r="F41" s="26">
        <v>479.74621212121201</v>
      </c>
      <c r="G41" s="29" t="s">
        <v>94</v>
      </c>
      <c r="H41" s="28" t="s">
        <v>12</v>
      </c>
      <c r="I41" s="28" t="s">
        <v>98</v>
      </c>
      <c r="J41" s="23"/>
      <c r="K41" s="11"/>
      <c r="L41" s="1"/>
      <c r="M41" s="1"/>
      <c r="N41" s="1"/>
      <c r="O41" s="1"/>
    </row>
    <row r="42" spans="1:15" x14ac:dyDescent="0.2">
      <c r="A42" s="1"/>
      <c r="B42" s="24" t="s">
        <v>5</v>
      </c>
      <c r="C42" s="25" t="s">
        <v>90</v>
      </c>
      <c r="D42" s="25"/>
      <c r="E42" s="25"/>
      <c r="F42" s="26">
        <v>479.74318181818199</v>
      </c>
      <c r="G42" s="29" t="s">
        <v>94</v>
      </c>
      <c r="H42" s="28" t="s">
        <v>12</v>
      </c>
      <c r="I42" s="28" t="s">
        <v>98</v>
      </c>
      <c r="J42" s="23"/>
      <c r="K42" s="11"/>
      <c r="L42" s="1"/>
      <c r="M42" s="1"/>
      <c r="N42" s="1"/>
      <c r="O42" s="1"/>
    </row>
    <row r="43" spans="1:15" x14ac:dyDescent="0.2">
      <c r="A43" s="1"/>
      <c r="B43" s="24" t="s">
        <v>5</v>
      </c>
      <c r="C43" s="25" t="s">
        <v>91</v>
      </c>
      <c r="D43" s="25"/>
      <c r="E43" s="25"/>
      <c r="F43" s="26">
        <v>479.74318181818199</v>
      </c>
      <c r="G43" s="29" t="s">
        <v>94</v>
      </c>
      <c r="H43" s="28" t="s">
        <v>12</v>
      </c>
      <c r="I43" s="28" t="s">
        <v>98</v>
      </c>
      <c r="J43" s="23"/>
      <c r="K43" s="11"/>
      <c r="L43" s="1"/>
      <c r="M43" s="1"/>
      <c r="N43" s="1"/>
      <c r="O43" s="1"/>
    </row>
    <row r="44" spans="1:15" x14ac:dyDescent="0.2">
      <c r="A44" s="1"/>
      <c r="B44" s="24" t="s">
        <v>5</v>
      </c>
      <c r="C44" s="25" t="s">
        <v>92</v>
      </c>
      <c r="D44" s="25"/>
      <c r="E44" s="25"/>
      <c r="F44" s="26">
        <v>479.74318181818199</v>
      </c>
      <c r="G44" s="29" t="s">
        <v>94</v>
      </c>
      <c r="H44" s="28" t="s">
        <v>12</v>
      </c>
      <c r="I44" s="28" t="s">
        <v>98</v>
      </c>
      <c r="J44" s="23"/>
      <c r="K44" s="11"/>
      <c r="L44" s="1"/>
      <c r="M44" s="1"/>
      <c r="N44" s="1"/>
      <c r="O44" s="1"/>
    </row>
    <row r="45" spans="1:15" x14ac:dyDescent="0.2">
      <c r="A45" s="1"/>
      <c r="B45" s="24" t="s">
        <v>5</v>
      </c>
      <c r="C45" s="25" t="s">
        <v>93</v>
      </c>
      <c r="D45" s="25"/>
      <c r="E45" s="25"/>
      <c r="F45" s="26">
        <v>-1918.97</v>
      </c>
      <c r="G45" s="29" t="s">
        <v>94</v>
      </c>
      <c r="H45" s="28" t="s">
        <v>12</v>
      </c>
      <c r="I45" s="28" t="s">
        <v>98</v>
      </c>
      <c r="J45" s="23"/>
      <c r="K45" s="11"/>
      <c r="L45" s="1"/>
      <c r="M45" s="1"/>
      <c r="N45" s="1"/>
      <c r="O45" s="1"/>
    </row>
    <row r="46" spans="1:15" x14ac:dyDescent="0.2">
      <c r="A46" s="1"/>
      <c r="B46" s="24" t="s">
        <v>5</v>
      </c>
      <c r="C46" s="25" t="s">
        <v>89</v>
      </c>
      <c r="D46" s="25"/>
      <c r="E46" s="25"/>
      <c r="F46" s="26">
        <v>479.74621212121201</v>
      </c>
      <c r="G46" s="29" t="s">
        <v>94</v>
      </c>
      <c r="H46" s="28" t="s">
        <v>12</v>
      </c>
      <c r="I46" s="28" t="s">
        <v>87</v>
      </c>
      <c r="J46" s="23"/>
      <c r="K46" s="11"/>
      <c r="L46" s="1"/>
      <c r="M46" s="1"/>
      <c r="N46" s="1"/>
      <c r="O46" s="1"/>
    </row>
    <row r="47" spans="1:15" x14ac:dyDescent="0.2">
      <c r="A47" s="1"/>
      <c r="B47" s="24" t="s">
        <v>5</v>
      </c>
      <c r="C47" s="25" t="s">
        <v>90</v>
      </c>
      <c r="D47" s="25"/>
      <c r="E47" s="25"/>
      <c r="F47" s="26">
        <v>479.74318181818199</v>
      </c>
      <c r="G47" s="29" t="s">
        <v>94</v>
      </c>
      <c r="H47" s="28" t="s">
        <v>12</v>
      </c>
      <c r="I47" s="28" t="s">
        <v>87</v>
      </c>
      <c r="J47" s="23"/>
      <c r="K47" s="11"/>
      <c r="L47" s="1"/>
      <c r="M47" s="1"/>
      <c r="N47" s="1"/>
      <c r="O47" s="1"/>
    </row>
    <row r="48" spans="1:15" x14ac:dyDescent="0.2">
      <c r="A48" s="1"/>
      <c r="B48" s="24" t="s">
        <v>5</v>
      </c>
      <c r="C48" s="25" t="s">
        <v>91</v>
      </c>
      <c r="D48" s="25"/>
      <c r="E48" s="25"/>
      <c r="F48" s="26">
        <v>479.74318181818199</v>
      </c>
      <c r="G48" s="29" t="s">
        <v>94</v>
      </c>
      <c r="H48" s="28" t="s">
        <v>12</v>
      </c>
      <c r="I48" s="28" t="s">
        <v>87</v>
      </c>
      <c r="J48" s="23"/>
      <c r="K48" s="11"/>
      <c r="L48" s="1"/>
      <c r="M48" s="1"/>
      <c r="N48" s="1"/>
      <c r="O48" s="1"/>
    </row>
    <row r="49" spans="1:15" x14ac:dyDescent="0.2">
      <c r="A49" s="1"/>
      <c r="B49" s="24" t="s">
        <v>5</v>
      </c>
      <c r="C49" s="25" t="s">
        <v>92</v>
      </c>
      <c r="D49" s="25"/>
      <c r="E49" s="25"/>
      <c r="F49" s="26">
        <v>479.74318181818199</v>
      </c>
      <c r="G49" s="29" t="s">
        <v>94</v>
      </c>
      <c r="H49" s="28" t="s">
        <v>12</v>
      </c>
      <c r="I49" s="28" t="s">
        <v>87</v>
      </c>
      <c r="J49" s="23"/>
      <c r="K49" s="11"/>
      <c r="L49" s="1"/>
      <c r="M49" s="1"/>
      <c r="N49" s="1"/>
      <c r="O49" s="1"/>
    </row>
    <row r="50" spans="1:15" x14ac:dyDescent="0.2">
      <c r="A50" s="1"/>
      <c r="B50" s="24" t="s">
        <v>5</v>
      </c>
      <c r="C50" s="25" t="s">
        <v>93</v>
      </c>
      <c r="D50" s="25"/>
      <c r="E50" s="25"/>
      <c r="F50" s="26">
        <v>-1918.97</v>
      </c>
      <c r="G50" s="29" t="s">
        <v>94</v>
      </c>
      <c r="H50" s="28" t="s">
        <v>12</v>
      </c>
      <c r="I50" s="28" t="s">
        <v>87</v>
      </c>
      <c r="J50" s="23"/>
      <c r="K50" s="11"/>
      <c r="L50" s="1"/>
      <c r="M50" s="1"/>
      <c r="N50" s="1"/>
      <c r="O50" s="1"/>
    </row>
    <row r="51" spans="1:15" x14ac:dyDescent="0.2">
      <c r="A51" s="1"/>
      <c r="B51" s="1"/>
      <c r="C51" s="3"/>
      <c r="D51" s="3"/>
      <c r="E51" s="3"/>
      <c r="F51" s="20"/>
      <c r="G51" s="30"/>
      <c r="H51" s="4"/>
      <c r="I51" s="4"/>
      <c r="J51" s="11"/>
      <c r="K51" s="11"/>
      <c r="L51" s="1"/>
      <c r="M51" s="1"/>
      <c r="N51" s="1"/>
      <c r="O51" s="1"/>
    </row>
    <row r="52" spans="1:15" x14ac:dyDescent="0.2">
      <c r="A52" s="1"/>
      <c r="B52" s="1"/>
      <c r="C52" s="3"/>
      <c r="D52" s="3"/>
      <c r="E52" s="3"/>
      <c r="F52" s="20"/>
      <c r="G52" s="30"/>
      <c r="H52" s="4"/>
      <c r="I52" s="4"/>
      <c r="J52" s="11"/>
      <c r="K52" s="11"/>
      <c r="L52" s="1"/>
      <c r="M52" s="1"/>
      <c r="N52" s="1"/>
      <c r="O52" s="1"/>
    </row>
    <row r="53" spans="1:15" x14ac:dyDescent="0.2">
      <c r="A53" s="1"/>
      <c r="B53" s="1"/>
      <c r="C53" s="12"/>
      <c r="D53" s="12"/>
      <c r="E53" s="12"/>
      <c r="F53" s="5"/>
      <c r="G53" s="13"/>
      <c r="H53" s="4"/>
      <c r="I53" s="4"/>
      <c r="J53" s="7"/>
      <c r="K53" s="11"/>
      <c r="L53" s="1"/>
      <c r="M53" s="1"/>
      <c r="N53" s="1"/>
      <c r="O53" s="1"/>
    </row>
    <row r="54" spans="1:15" ht="15" thickBot="1" x14ac:dyDescent="0.25">
      <c r="A54" s="1"/>
      <c r="B54" s="1"/>
      <c r="C54" s="3" t="s">
        <v>15</v>
      </c>
      <c r="D54" s="3"/>
      <c r="E54" s="3"/>
      <c r="F54" s="21">
        <f>SUMIF(F7:F25,"&lt;0",F7:F25)</f>
        <v>-91443.91</v>
      </c>
      <c r="G54" s="13" t="s">
        <v>13</v>
      </c>
      <c r="H54" s="4"/>
      <c r="I54" s="4"/>
      <c r="J54" s="7"/>
      <c r="K54" s="11"/>
      <c r="L54" s="1"/>
      <c r="M54" s="1"/>
      <c r="N54" s="1"/>
      <c r="O54" s="1"/>
    </row>
    <row r="55" spans="1:15" ht="15" thickTop="1" x14ac:dyDescent="0.2">
      <c r="A55" s="1"/>
      <c r="B55" s="1"/>
      <c r="C55" s="3"/>
      <c r="D55" s="3"/>
      <c r="E55" s="3"/>
      <c r="F55" s="5"/>
      <c r="G55" s="10"/>
      <c r="H55" s="4"/>
      <c r="I55" s="4"/>
      <c r="J55" s="7"/>
      <c r="K55" s="11"/>
      <c r="L55" s="1"/>
      <c r="M55" s="1"/>
      <c r="N55" s="1"/>
      <c r="O55" s="1"/>
    </row>
    <row r="56" spans="1:15" x14ac:dyDescent="0.2">
      <c r="K56" s="11"/>
      <c r="L56" s="1"/>
      <c r="M56" s="1"/>
      <c r="N56" s="1"/>
      <c r="O56" s="1"/>
    </row>
    <row r="57" spans="1:15" x14ac:dyDescent="0.2">
      <c r="K57" s="11"/>
      <c r="L57" s="1"/>
      <c r="M57" s="1"/>
      <c r="N57" s="1"/>
      <c r="O57" s="1"/>
    </row>
    <row r="58" spans="1:15" x14ac:dyDescent="0.2">
      <c r="K58" s="11"/>
      <c r="L58" s="1"/>
      <c r="M58" s="1"/>
      <c r="N58" s="1"/>
      <c r="O58" s="1"/>
    </row>
    <row r="59" spans="1:15" x14ac:dyDescent="0.2">
      <c r="B59" s="4" t="s">
        <v>5</v>
      </c>
      <c r="C59" s="3" t="s">
        <v>7</v>
      </c>
      <c r="D59" s="3"/>
      <c r="E59" s="3"/>
      <c r="F59" s="20">
        <v>7143.75</v>
      </c>
      <c r="G59" s="10" t="s">
        <v>26</v>
      </c>
      <c r="H59" s="4" t="s">
        <v>17</v>
      </c>
      <c r="I59" s="4" t="s">
        <v>87</v>
      </c>
      <c r="K59" s="11"/>
      <c r="L59" s="1"/>
      <c r="M59" s="1"/>
      <c r="N59" s="1"/>
      <c r="O59" s="1"/>
    </row>
    <row r="60" spans="1:15" x14ac:dyDescent="0.2">
      <c r="B60" s="4" t="s">
        <v>5</v>
      </c>
      <c r="C60" s="3" t="s">
        <v>6</v>
      </c>
      <c r="D60" s="3"/>
      <c r="E60" s="3"/>
      <c r="F60" s="20">
        <v>-7143.75</v>
      </c>
      <c r="G60" s="10" t="s">
        <v>26</v>
      </c>
      <c r="H60" s="4" t="s">
        <v>17</v>
      </c>
      <c r="I60" s="4" t="s">
        <v>87</v>
      </c>
      <c r="K60" s="11"/>
      <c r="L60" s="1"/>
      <c r="M60" s="1"/>
      <c r="N60" s="1"/>
      <c r="O60" s="1"/>
    </row>
    <row r="61" spans="1:15" x14ac:dyDescent="0.2">
      <c r="B61" s="4" t="s">
        <v>5</v>
      </c>
      <c r="C61" s="3" t="s">
        <v>7</v>
      </c>
      <c r="D61" s="3"/>
      <c r="E61" s="3"/>
      <c r="F61" s="20">
        <v>665.42</v>
      </c>
      <c r="G61" s="10" t="s">
        <v>44</v>
      </c>
      <c r="H61" s="4" t="s">
        <v>12</v>
      </c>
      <c r="I61" s="4" t="s">
        <v>87</v>
      </c>
    </row>
    <row r="62" spans="1:15" x14ac:dyDescent="0.2">
      <c r="B62" s="4" t="s">
        <v>5</v>
      </c>
      <c r="C62" s="3" t="s">
        <v>6</v>
      </c>
      <c r="D62" s="3"/>
      <c r="E62" s="3"/>
      <c r="F62" s="20">
        <v>-665.42</v>
      </c>
      <c r="G62" s="10" t="s">
        <v>44</v>
      </c>
      <c r="H62" s="4" t="s">
        <v>12</v>
      </c>
      <c r="I62" s="4" t="s">
        <v>87</v>
      </c>
    </row>
    <row r="63" spans="1:15" x14ac:dyDescent="0.2">
      <c r="B63" s="4" t="s">
        <v>5</v>
      </c>
      <c r="C63" s="3" t="s">
        <v>7</v>
      </c>
      <c r="D63" s="3"/>
      <c r="E63" s="3"/>
      <c r="F63" s="20">
        <v>1493.25</v>
      </c>
      <c r="G63" s="10" t="s">
        <v>45</v>
      </c>
      <c r="H63" s="4" t="s">
        <v>12</v>
      </c>
      <c r="I63" s="4" t="s">
        <v>87</v>
      </c>
    </row>
    <row r="64" spans="1:15" x14ac:dyDescent="0.2">
      <c r="B64" s="4" t="s">
        <v>5</v>
      </c>
      <c r="C64" s="3" t="s">
        <v>6</v>
      </c>
      <c r="D64" s="3"/>
      <c r="E64" s="3"/>
      <c r="F64" s="20">
        <v>-1493.25</v>
      </c>
      <c r="G64" s="10" t="s">
        <v>45</v>
      </c>
      <c r="H64" s="4" t="s">
        <v>12</v>
      </c>
      <c r="I64" s="4" t="s">
        <v>87</v>
      </c>
    </row>
    <row r="65" spans="2:9" x14ac:dyDescent="0.2">
      <c r="B65" s="4" t="s">
        <v>5</v>
      </c>
      <c r="C65" s="3" t="s">
        <v>7</v>
      </c>
      <c r="D65" s="3"/>
      <c r="E65" s="3"/>
      <c r="F65" s="20">
        <v>3613.92</v>
      </c>
      <c r="G65" s="10" t="s">
        <v>47</v>
      </c>
      <c r="H65" s="4" t="s">
        <v>18</v>
      </c>
      <c r="I65" s="4" t="s">
        <v>87</v>
      </c>
    </row>
    <row r="66" spans="2:9" x14ac:dyDescent="0.2">
      <c r="B66" s="4" t="s">
        <v>5</v>
      </c>
      <c r="C66" s="3" t="s">
        <v>6</v>
      </c>
      <c r="D66" s="3"/>
      <c r="E66" s="3"/>
      <c r="F66" s="20">
        <v>-3613.92</v>
      </c>
      <c r="G66" s="10" t="s">
        <v>47</v>
      </c>
      <c r="H66" s="4" t="s">
        <v>18</v>
      </c>
      <c r="I66" s="4" t="s">
        <v>87</v>
      </c>
    </row>
    <row r="67" spans="2:9" x14ac:dyDescent="0.2">
      <c r="B67" s="4" t="s">
        <v>5</v>
      </c>
      <c r="C67" s="3" t="s">
        <v>7</v>
      </c>
      <c r="D67" s="3"/>
      <c r="E67" s="3"/>
      <c r="F67" s="20">
        <v>2562.92</v>
      </c>
      <c r="G67" s="10" t="s">
        <v>48</v>
      </c>
      <c r="H67" s="4" t="s">
        <v>12</v>
      </c>
      <c r="I67" s="4" t="s">
        <v>87</v>
      </c>
    </row>
    <row r="68" spans="2:9" x14ac:dyDescent="0.2">
      <c r="B68" s="4" t="s">
        <v>5</v>
      </c>
      <c r="C68" s="3" t="s">
        <v>6</v>
      </c>
      <c r="D68" s="3"/>
      <c r="E68" s="3"/>
      <c r="F68" s="20">
        <v>-2562.92</v>
      </c>
      <c r="G68" s="10" t="s">
        <v>48</v>
      </c>
      <c r="H68" s="4" t="s">
        <v>12</v>
      </c>
      <c r="I68" s="4" t="s">
        <v>87</v>
      </c>
    </row>
    <row r="69" spans="2:9" x14ac:dyDescent="0.2">
      <c r="B69" s="4" t="s">
        <v>5</v>
      </c>
      <c r="C69" s="3" t="s">
        <v>7</v>
      </c>
      <c r="D69" s="3"/>
      <c r="E69" s="3"/>
      <c r="F69" s="20">
        <v>1101.83</v>
      </c>
      <c r="G69" s="10" t="s">
        <v>55</v>
      </c>
      <c r="H69" s="4" t="s">
        <v>12</v>
      </c>
      <c r="I69" s="4" t="s">
        <v>87</v>
      </c>
    </row>
    <row r="70" spans="2:9" x14ac:dyDescent="0.2">
      <c r="B70" s="4" t="s">
        <v>5</v>
      </c>
      <c r="C70" s="3" t="s">
        <v>6</v>
      </c>
      <c r="D70" s="3"/>
      <c r="E70" s="3"/>
      <c r="F70" s="20">
        <v>-1101.83</v>
      </c>
      <c r="G70" s="10" t="s">
        <v>55</v>
      </c>
      <c r="H70" s="4" t="s">
        <v>12</v>
      </c>
      <c r="I70" s="4" t="s">
        <v>87</v>
      </c>
    </row>
    <row r="71" spans="2:9" x14ac:dyDescent="0.2">
      <c r="B71" s="4" t="s">
        <v>5</v>
      </c>
      <c r="C71" s="3" t="s">
        <v>7</v>
      </c>
      <c r="D71" s="3"/>
      <c r="E71" s="3"/>
      <c r="F71" s="20">
        <v>973.55</v>
      </c>
      <c r="G71" s="10" t="s">
        <v>57</v>
      </c>
      <c r="H71" s="4" t="s">
        <v>12</v>
      </c>
      <c r="I71" s="4" t="s">
        <v>87</v>
      </c>
    </row>
    <row r="72" spans="2:9" x14ac:dyDescent="0.2">
      <c r="B72" s="4" t="s">
        <v>5</v>
      </c>
      <c r="C72" s="3" t="s">
        <v>6</v>
      </c>
      <c r="D72" s="3"/>
      <c r="E72" s="3"/>
      <c r="F72" s="20">
        <v>-973.55</v>
      </c>
      <c r="G72" s="10" t="s">
        <v>57</v>
      </c>
      <c r="H72" s="4" t="s">
        <v>12</v>
      </c>
      <c r="I72" s="4" t="s">
        <v>87</v>
      </c>
    </row>
    <row r="73" spans="2:9" x14ac:dyDescent="0.2">
      <c r="B73" s="4" t="s">
        <v>5</v>
      </c>
      <c r="C73" s="3" t="s">
        <v>62</v>
      </c>
      <c r="D73" s="3"/>
      <c r="E73" s="3"/>
      <c r="F73" s="20">
        <v>6666.67</v>
      </c>
      <c r="G73" s="10" t="s">
        <v>64</v>
      </c>
      <c r="H73" s="4" t="s">
        <v>12</v>
      </c>
      <c r="I73" s="4" t="s">
        <v>87</v>
      </c>
    </row>
    <row r="74" spans="2:9" x14ac:dyDescent="0.2">
      <c r="B74" s="4" t="s">
        <v>5</v>
      </c>
      <c r="C74" s="3" t="s">
        <v>6</v>
      </c>
      <c r="D74" s="3"/>
      <c r="E74" s="3"/>
      <c r="F74" s="20">
        <v>-6666.67</v>
      </c>
      <c r="G74" s="10" t="s">
        <v>64</v>
      </c>
      <c r="H74" s="4" t="s">
        <v>12</v>
      </c>
      <c r="I74" s="4" t="s">
        <v>87</v>
      </c>
    </row>
    <row r="75" spans="2:9" x14ac:dyDescent="0.2">
      <c r="B75" s="4" t="s">
        <v>5</v>
      </c>
      <c r="C75" s="3" t="s">
        <v>62</v>
      </c>
      <c r="D75" s="3"/>
      <c r="E75" s="3"/>
      <c r="F75" s="20">
        <v>33416.67</v>
      </c>
      <c r="G75" s="10" t="s">
        <v>65</v>
      </c>
      <c r="H75" s="4" t="s">
        <v>12</v>
      </c>
      <c r="I75" s="4" t="s">
        <v>87</v>
      </c>
    </row>
    <row r="76" spans="2:9" x14ac:dyDescent="0.2">
      <c r="B76" s="4" t="s">
        <v>5</v>
      </c>
      <c r="C76" s="3" t="s">
        <v>6</v>
      </c>
      <c r="D76" s="3"/>
      <c r="E76" s="3"/>
      <c r="F76" s="20">
        <v>-33416.67</v>
      </c>
      <c r="G76" s="10" t="s">
        <v>65</v>
      </c>
      <c r="H76" s="4" t="s">
        <v>12</v>
      </c>
      <c r="I76" s="4" t="s">
        <v>87</v>
      </c>
    </row>
    <row r="77" spans="2:9" x14ac:dyDescent="0.2">
      <c r="B77" s="4" t="s">
        <v>5</v>
      </c>
      <c r="C77" s="3" t="s">
        <v>62</v>
      </c>
      <c r="D77" s="3"/>
      <c r="E77" s="3"/>
      <c r="F77" s="20">
        <v>949.17</v>
      </c>
      <c r="G77" s="10" t="s">
        <v>67</v>
      </c>
      <c r="H77" s="4" t="s">
        <v>12</v>
      </c>
      <c r="I77" s="4" t="s">
        <v>87</v>
      </c>
    </row>
    <row r="78" spans="2:9" x14ac:dyDescent="0.2">
      <c r="B78" s="4" t="s">
        <v>5</v>
      </c>
      <c r="C78" s="3" t="s">
        <v>6</v>
      </c>
      <c r="D78" s="3"/>
      <c r="E78" s="3"/>
      <c r="F78" s="20">
        <v>-949.17</v>
      </c>
      <c r="G78" s="10" t="s">
        <v>67</v>
      </c>
      <c r="H78" s="4" t="s">
        <v>12</v>
      </c>
      <c r="I78" s="4" t="s">
        <v>87</v>
      </c>
    </row>
    <row r="79" spans="2:9" x14ac:dyDescent="0.2">
      <c r="B79" s="4" t="s">
        <v>5</v>
      </c>
      <c r="C79" s="3" t="s">
        <v>62</v>
      </c>
      <c r="D79" s="3"/>
      <c r="E79" s="3"/>
      <c r="F79" s="20">
        <v>371.48</v>
      </c>
      <c r="G79" s="10" t="s">
        <v>68</v>
      </c>
      <c r="H79" s="4" t="s">
        <v>12</v>
      </c>
      <c r="I79" s="4" t="s">
        <v>87</v>
      </c>
    </row>
    <row r="80" spans="2:9" x14ac:dyDescent="0.2">
      <c r="B80" s="4" t="s">
        <v>5</v>
      </c>
      <c r="C80" s="3" t="s">
        <v>6</v>
      </c>
      <c r="D80" s="3"/>
      <c r="E80" s="3"/>
      <c r="F80" s="20">
        <v>-371.48</v>
      </c>
      <c r="G80" s="10" t="s">
        <v>68</v>
      </c>
      <c r="H80" s="4" t="s">
        <v>12</v>
      </c>
      <c r="I80" s="4" t="s">
        <v>87</v>
      </c>
    </row>
    <row r="81" spans="2:9" x14ac:dyDescent="0.2">
      <c r="B81" s="4" t="s">
        <v>5</v>
      </c>
      <c r="C81" s="3" t="s">
        <v>62</v>
      </c>
      <c r="D81" s="3"/>
      <c r="E81" s="3"/>
      <c r="F81" s="20">
        <v>2167.41</v>
      </c>
      <c r="G81" s="10" t="s">
        <v>77</v>
      </c>
      <c r="H81" s="4" t="s">
        <v>78</v>
      </c>
      <c r="I81" s="4" t="s">
        <v>87</v>
      </c>
    </row>
    <row r="82" spans="2:9" x14ac:dyDescent="0.2">
      <c r="B82" s="4" t="s">
        <v>5</v>
      </c>
      <c r="C82" s="3" t="s">
        <v>6</v>
      </c>
      <c r="D82" s="3"/>
      <c r="E82" s="3"/>
      <c r="F82" s="20">
        <v>-2167.41</v>
      </c>
      <c r="G82" s="10" t="s">
        <v>77</v>
      </c>
      <c r="H82" s="4" t="s">
        <v>78</v>
      </c>
      <c r="I82" s="4" t="s">
        <v>87</v>
      </c>
    </row>
    <row r="83" spans="2:9" x14ac:dyDescent="0.2">
      <c r="B83" s="4" t="s">
        <v>5</v>
      </c>
      <c r="C83" s="3" t="s">
        <v>62</v>
      </c>
      <c r="D83" s="3"/>
      <c r="E83" s="3"/>
      <c r="F83" s="20">
        <v>1041.67</v>
      </c>
      <c r="G83" s="10" t="s">
        <v>80</v>
      </c>
      <c r="H83" s="4" t="s">
        <v>79</v>
      </c>
      <c r="I83" s="4" t="s">
        <v>87</v>
      </c>
    </row>
    <row r="84" spans="2:9" x14ac:dyDescent="0.2">
      <c r="B84" s="4" t="s">
        <v>5</v>
      </c>
      <c r="C84" s="3" t="s">
        <v>6</v>
      </c>
      <c r="D84" s="3"/>
      <c r="E84" s="3"/>
      <c r="F84" s="20">
        <v>-1041.67</v>
      </c>
      <c r="G84" s="10" t="s">
        <v>80</v>
      </c>
      <c r="H84" s="4" t="s">
        <v>79</v>
      </c>
      <c r="I84" s="4" t="s">
        <v>87</v>
      </c>
    </row>
    <row r="85" spans="2:9" x14ac:dyDescent="0.2">
      <c r="B85" s="4" t="s">
        <v>5</v>
      </c>
      <c r="C85" s="3" t="s">
        <v>62</v>
      </c>
      <c r="D85" s="3"/>
      <c r="E85" s="3"/>
      <c r="F85" s="20">
        <v>1100</v>
      </c>
      <c r="G85" s="10" t="s">
        <v>81</v>
      </c>
      <c r="H85" s="4" t="s">
        <v>86</v>
      </c>
      <c r="I85" s="4" t="s">
        <v>87</v>
      </c>
    </row>
    <row r="86" spans="2:9" x14ac:dyDescent="0.2">
      <c r="B86" s="4" t="s">
        <v>5</v>
      </c>
      <c r="C86" s="3" t="s">
        <v>6</v>
      </c>
      <c r="D86" s="3"/>
      <c r="E86" s="3"/>
      <c r="F86" s="20">
        <v>-1100</v>
      </c>
      <c r="G86" s="10" t="s">
        <v>81</v>
      </c>
      <c r="H86" s="4" t="s">
        <v>86</v>
      </c>
      <c r="I86" s="4" t="s">
        <v>87</v>
      </c>
    </row>
    <row r="87" spans="2:9" x14ac:dyDescent="0.2">
      <c r="B87" s="16" t="s">
        <v>5</v>
      </c>
      <c r="C87" s="17" t="s">
        <v>62</v>
      </c>
      <c r="D87" s="17"/>
      <c r="E87" s="17"/>
      <c r="F87" s="22">
        <v>473.11</v>
      </c>
      <c r="G87" s="18" t="s">
        <v>85</v>
      </c>
      <c r="H87" s="16" t="s">
        <v>86</v>
      </c>
      <c r="I87" s="16" t="s">
        <v>87</v>
      </c>
    </row>
    <row r="88" spans="2:9" x14ac:dyDescent="0.2">
      <c r="B88" s="16" t="s">
        <v>5</v>
      </c>
      <c r="C88" s="17" t="s">
        <v>6</v>
      </c>
      <c r="D88" s="17"/>
      <c r="E88" s="17"/>
      <c r="F88" s="22">
        <v>-473.11</v>
      </c>
      <c r="G88" s="18" t="s">
        <v>85</v>
      </c>
      <c r="H88" s="16" t="s">
        <v>86</v>
      </c>
      <c r="I88" s="16" t="s">
        <v>87</v>
      </c>
    </row>
    <row r="89" spans="2:9" x14ac:dyDescent="0.2">
      <c r="B89" s="16" t="s">
        <v>5</v>
      </c>
      <c r="C89" s="17" t="s">
        <v>62</v>
      </c>
      <c r="D89" s="17"/>
      <c r="E89" s="17"/>
      <c r="F89" s="22">
        <v>3202.58</v>
      </c>
      <c r="G89" s="18" t="s">
        <v>88</v>
      </c>
      <c r="H89" s="16" t="s">
        <v>12</v>
      </c>
      <c r="I89" s="16" t="s">
        <v>71</v>
      </c>
    </row>
    <row r="90" spans="2:9" x14ac:dyDescent="0.2">
      <c r="B90" s="16" t="s">
        <v>5</v>
      </c>
      <c r="C90" s="17" t="s">
        <v>6</v>
      </c>
      <c r="D90" s="17"/>
      <c r="E90" s="17"/>
      <c r="F90" s="22">
        <v>-3202.58</v>
      </c>
      <c r="G90" s="18" t="s">
        <v>88</v>
      </c>
      <c r="H90" s="16" t="s">
        <v>12</v>
      </c>
      <c r="I90" s="16" t="s">
        <v>71</v>
      </c>
    </row>
    <row r="91" spans="2:9" x14ac:dyDescent="0.2">
      <c r="B91" s="16" t="s">
        <v>5</v>
      </c>
      <c r="C91" s="17" t="s">
        <v>62</v>
      </c>
      <c r="D91" s="17"/>
      <c r="E91" s="17"/>
      <c r="F91" s="22">
        <v>3202.58</v>
      </c>
      <c r="G91" s="18" t="s">
        <v>88</v>
      </c>
      <c r="H91" s="16" t="s">
        <v>12</v>
      </c>
      <c r="I91" s="16" t="s">
        <v>75</v>
      </c>
    </row>
    <row r="92" spans="2:9" x14ac:dyDescent="0.2">
      <c r="B92" s="16" t="s">
        <v>5</v>
      </c>
      <c r="C92" s="17" t="s">
        <v>6</v>
      </c>
      <c r="D92" s="17"/>
      <c r="E92" s="17"/>
      <c r="F92" s="22">
        <v>-3202.58</v>
      </c>
      <c r="G92" s="18" t="s">
        <v>88</v>
      </c>
      <c r="H92" s="16" t="s">
        <v>12</v>
      </c>
      <c r="I92" s="16" t="s">
        <v>75</v>
      </c>
    </row>
    <row r="93" spans="2:9" x14ac:dyDescent="0.2">
      <c r="B93" s="16" t="s">
        <v>5</v>
      </c>
      <c r="C93" s="17" t="s">
        <v>62</v>
      </c>
      <c r="D93" s="17"/>
      <c r="E93" s="17"/>
      <c r="F93" s="22">
        <v>3202.58</v>
      </c>
      <c r="G93" s="18" t="s">
        <v>88</v>
      </c>
      <c r="H93" s="16" t="s">
        <v>12</v>
      </c>
      <c r="I93" s="16" t="s">
        <v>87</v>
      </c>
    </row>
    <row r="94" spans="2:9" x14ac:dyDescent="0.2">
      <c r="B94" s="16" t="s">
        <v>5</v>
      </c>
      <c r="C94" s="17" t="s">
        <v>6</v>
      </c>
      <c r="D94" s="17"/>
      <c r="E94" s="17"/>
      <c r="F94" s="22">
        <v>-3202.58</v>
      </c>
      <c r="G94" s="18" t="s">
        <v>88</v>
      </c>
      <c r="H94" s="16" t="s">
        <v>12</v>
      </c>
      <c r="I94" s="16" t="s">
        <v>87</v>
      </c>
    </row>
    <row r="98" spans="3:7" ht="15" thickBot="1" x14ac:dyDescent="0.25">
      <c r="C98" t="s">
        <v>14</v>
      </c>
      <c r="F98" s="21">
        <f>SUMIF(F59:F97,"&lt;0",F59:F97)</f>
        <v>-73348.56</v>
      </c>
      <c r="G98" t="s">
        <v>13</v>
      </c>
    </row>
    <row r="99" spans="3:7" ht="15" thickTop="1" x14ac:dyDescent="0.2"/>
  </sheetData>
  <autoFilter ref="B6:I6" xr:uid="{E75F0CD7-8C26-4173-8973-B3509135FC85}"/>
  <hyperlinks>
    <hyperlink ref="F1" r:id="rId1" xr:uid="{EA367C7C-1B81-44FC-8975-D1D3785DC130}"/>
  </hyperlinks>
  <pageMargins left="0.7" right="0.7" top="0.75" bottom="0.75" header="0.3" footer="0.3"/>
  <pageSetup paperSize="9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9066-68A3-4138-B7B6-482175B41B56}">
  <sheetPr>
    <tabColor theme="9" tint="0.59999389629810485"/>
  </sheetPr>
  <dimension ref="A1:O88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75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75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53</v>
      </c>
      <c r="D9" s="3"/>
      <c r="E9" s="3"/>
      <c r="F9" s="20">
        <v>5042.0600000000004</v>
      </c>
      <c r="G9" s="30" t="s">
        <v>54</v>
      </c>
      <c r="H9" s="4" t="s">
        <v>12</v>
      </c>
      <c r="I9" s="4" t="s">
        <v>75</v>
      </c>
      <c r="J9" s="23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-5042.0600000000004</v>
      </c>
      <c r="G10" s="30" t="s">
        <v>54</v>
      </c>
      <c r="H10" s="4" t="s">
        <v>12</v>
      </c>
      <c r="I10" s="4" t="s">
        <v>75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60</v>
      </c>
      <c r="D11" s="25"/>
      <c r="E11" s="25"/>
      <c r="F11" s="26">
        <v>1291.67</v>
      </c>
      <c r="G11" s="29" t="s">
        <v>59</v>
      </c>
      <c r="H11" s="28" t="s">
        <v>12</v>
      </c>
      <c r="I11" s="28" t="s">
        <v>75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5</v>
      </c>
      <c r="C12" s="25" t="s">
        <v>61</v>
      </c>
      <c r="D12" s="25"/>
      <c r="E12" s="25"/>
      <c r="F12" s="26">
        <v>1291.67</v>
      </c>
      <c r="G12" s="29" t="s">
        <v>59</v>
      </c>
      <c r="H12" s="28" t="s">
        <v>12</v>
      </c>
      <c r="I12" s="28" t="s">
        <v>75</v>
      </c>
      <c r="J12" s="23"/>
      <c r="K12" s="11"/>
      <c r="L12" s="1"/>
      <c r="M12" s="1"/>
      <c r="N12" s="1"/>
      <c r="O12" s="1"/>
    </row>
    <row r="13" spans="1:15" x14ac:dyDescent="0.2">
      <c r="A13" s="1"/>
      <c r="B13" s="24" t="s">
        <v>1</v>
      </c>
      <c r="C13" s="25" t="s">
        <v>2</v>
      </c>
      <c r="D13" s="25"/>
      <c r="E13" s="25"/>
      <c r="F13" s="26">
        <v>-2583.34</v>
      </c>
      <c r="G13" s="29" t="s">
        <v>59</v>
      </c>
      <c r="H13" s="28" t="s">
        <v>12</v>
      </c>
      <c r="I13" s="28" t="s">
        <v>75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5</v>
      </c>
      <c r="C14" s="3" t="s">
        <v>11</v>
      </c>
      <c r="D14" s="3"/>
      <c r="E14" s="3"/>
      <c r="F14" s="20">
        <v>5750</v>
      </c>
      <c r="G14" s="30" t="s">
        <v>66</v>
      </c>
      <c r="H14" s="4" t="s">
        <v>12</v>
      </c>
      <c r="I14" s="4" t="s">
        <v>75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1</v>
      </c>
      <c r="C15" s="3" t="s">
        <v>2</v>
      </c>
      <c r="D15" s="3"/>
      <c r="E15" s="3"/>
      <c r="F15" s="20">
        <v>-5750</v>
      </c>
      <c r="G15" s="30" t="s">
        <v>66</v>
      </c>
      <c r="H15" s="4" t="s">
        <v>12</v>
      </c>
      <c r="I15" s="4" t="s">
        <v>75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70</v>
      </c>
      <c r="D16" s="3"/>
      <c r="E16" s="3"/>
      <c r="F16" s="20">
        <v>19206.060000000001</v>
      </c>
      <c r="G16" s="30" t="s">
        <v>72</v>
      </c>
      <c r="H16" s="4" t="s">
        <v>12</v>
      </c>
      <c r="I16" s="4" t="s">
        <v>75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-19206.060000000001</v>
      </c>
      <c r="G17" s="30" t="s">
        <v>72</v>
      </c>
      <c r="H17" s="4" t="s">
        <v>12</v>
      </c>
      <c r="I17" s="4" t="s">
        <v>75</v>
      </c>
      <c r="J17" s="11"/>
      <c r="K17" s="11"/>
      <c r="L17" s="1"/>
      <c r="M17" s="1"/>
      <c r="N17" s="1"/>
      <c r="O17" s="1"/>
    </row>
    <row r="18" spans="1:15" x14ac:dyDescent="0.2">
      <c r="A18" s="1"/>
      <c r="B18" s="1" t="s">
        <v>5</v>
      </c>
      <c r="C18" s="3" t="s">
        <v>10</v>
      </c>
      <c r="D18" s="3"/>
      <c r="E18" s="3"/>
      <c r="F18" s="20">
        <v>487.25</v>
      </c>
      <c r="G18" s="30" t="s">
        <v>46</v>
      </c>
      <c r="H18" s="4" t="s">
        <v>12</v>
      </c>
      <c r="I18" s="4" t="s">
        <v>75</v>
      </c>
      <c r="J18" s="23"/>
      <c r="K18" s="11"/>
      <c r="L18" s="1"/>
      <c r="M18" s="1"/>
      <c r="N18" s="1"/>
      <c r="O18" s="1"/>
    </row>
    <row r="19" spans="1:15" x14ac:dyDescent="0.2">
      <c r="A19" s="1"/>
      <c r="B19" s="1" t="s">
        <v>5</v>
      </c>
      <c r="C19" s="3" t="s">
        <v>52</v>
      </c>
      <c r="D19" s="3"/>
      <c r="E19" s="3"/>
      <c r="F19" s="20">
        <v>-487.25</v>
      </c>
      <c r="G19" s="30" t="s">
        <v>46</v>
      </c>
      <c r="H19" s="4" t="s">
        <v>12</v>
      </c>
      <c r="I19" s="4" t="s">
        <v>75</v>
      </c>
      <c r="J19" s="23"/>
      <c r="K19" s="11"/>
      <c r="L19" s="1"/>
      <c r="M19" s="1"/>
      <c r="N19" s="1"/>
      <c r="O19" s="1"/>
    </row>
    <row r="20" spans="1:15" x14ac:dyDescent="0.2">
      <c r="A20" s="1"/>
      <c r="B20" s="32" t="s">
        <v>5</v>
      </c>
      <c r="C20" s="33" t="s">
        <v>39</v>
      </c>
      <c r="D20" s="34"/>
      <c r="E20" s="34"/>
      <c r="F20" s="35"/>
      <c r="G20" s="36" t="s">
        <v>74</v>
      </c>
      <c r="H20" s="37" t="s">
        <v>12</v>
      </c>
      <c r="I20" s="37" t="s">
        <v>75</v>
      </c>
      <c r="J20" s="38" t="s">
        <v>76</v>
      </c>
      <c r="K20" s="11"/>
      <c r="L20" s="1"/>
      <c r="M20" s="1"/>
      <c r="N20" s="1"/>
      <c r="O20" s="1"/>
    </row>
    <row r="21" spans="1:15" x14ac:dyDescent="0.2">
      <c r="A21" s="1"/>
      <c r="B21" s="32" t="s">
        <v>1</v>
      </c>
      <c r="C21" s="34" t="s">
        <v>73</v>
      </c>
      <c r="D21" s="34"/>
      <c r="E21" s="34"/>
      <c r="F21" s="35"/>
      <c r="G21" s="36" t="s">
        <v>74</v>
      </c>
      <c r="H21" s="37" t="s">
        <v>12</v>
      </c>
      <c r="I21" s="37" t="s">
        <v>75</v>
      </c>
      <c r="J21" s="38" t="s">
        <v>76</v>
      </c>
      <c r="K21" s="11"/>
      <c r="L21" s="1"/>
      <c r="M21" s="1"/>
      <c r="N21" s="1"/>
      <c r="O21" s="1"/>
    </row>
    <row r="22" spans="1:15" x14ac:dyDescent="0.2">
      <c r="A22" s="1"/>
      <c r="B22" s="1" t="s">
        <v>5</v>
      </c>
      <c r="C22" s="3" t="s">
        <v>4</v>
      </c>
      <c r="D22" s="3"/>
      <c r="E22" s="3"/>
      <c r="F22" s="20">
        <v>44404.480000000003</v>
      </c>
      <c r="G22" s="30" t="s">
        <v>42</v>
      </c>
      <c r="H22" s="4"/>
      <c r="I22" s="4" t="s">
        <v>75</v>
      </c>
      <c r="J22" s="11"/>
      <c r="K22" s="11"/>
      <c r="L22" s="1"/>
      <c r="M22" s="1"/>
      <c r="N22" s="1"/>
      <c r="O22" s="1"/>
    </row>
    <row r="23" spans="1:15" x14ac:dyDescent="0.2">
      <c r="A23" s="1"/>
      <c r="B23" s="1" t="s">
        <v>1</v>
      </c>
      <c r="C23" s="3" t="s">
        <v>16</v>
      </c>
      <c r="D23" s="3"/>
      <c r="E23" s="3"/>
      <c r="F23" s="20">
        <v>-44404.480000000003</v>
      </c>
      <c r="G23" s="30" t="s">
        <v>42</v>
      </c>
      <c r="H23" s="4"/>
      <c r="I23" s="4" t="s">
        <v>75</v>
      </c>
      <c r="J23" s="11"/>
      <c r="K23" s="11"/>
      <c r="L23" s="1"/>
      <c r="M23" s="1"/>
      <c r="N23" s="1"/>
      <c r="O23" s="1"/>
    </row>
    <row r="24" spans="1:15" x14ac:dyDescent="0.2">
      <c r="A24" s="1"/>
      <c r="B24" s="1"/>
      <c r="C24" s="3"/>
      <c r="D24" s="3"/>
      <c r="E24" s="3"/>
      <c r="F24" s="20"/>
      <c r="G24" s="30"/>
      <c r="H24" s="4"/>
      <c r="I24" s="4"/>
      <c r="J24" s="11"/>
      <c r="K24" s="11"/>
      <c r="L24" s="1"/>
      <c r="M24" s="1"/>
      <c r="N24" s="1"/>
      <c r="O24" s="1"/>
    </row>
    <row r="25" spans="1:15" x14ac:dyDescent="0.2">
      <c r="A25" s="1"/>
      <c r="B25" s="1"/>
      <c r="C25" s="3"/>
      <c r="D25" s="3"/>
      <c r="E25" s="3"/>
      <c r="F25" s="20"/>
      <c r="G25" s="30"/>
      <c r="H25" s="4"/>
      <c r="I25" s="4"/>
      <c r="J25" s="11"/>
      <c r="K25" s="11"/>
      <c r="L25" s="1"/>
      <c r="M25" s="1"/>
      <c r="N25" s="1"/>
      <c r="O25" s="1"/>
    </row>
    <row r="26" spans="1:15" x14ac:dyDescent="0.2">
      <c r="A26" s="1"/>
      <c r="B26" s="1"/>
      <c r="C26" s="12"/>
      <c r="D26" s="12"/>
      <c r="E26" s="12"/>
      <c r="F26" s="5"/>
      <c r="G26" s="13"/>
      <c r="H26" s="4"/>
      <c r="I26" s="4"/>
      <c r="J26" s="7"/>
      <c r="K26" s="11"/>
      <c r="L26" s="1"/>
      <c r="M26" s="1"/>
      <c r="N26" s="1"/>
      <c r="O26" s="1"/>
    </row>
    <row r="27" spans="1:15" ht="15" thickBot="1" x14ac:dyDescent="0.25">
      <c r="A27" s="1"/>
      <c r="B27" s="1"/>
      <c r="C27" s="3" t="s">
        <v>15</v>
      </c>
      <c r="D27" s="3"/>
      <c r="E27" s="3"/>
      <c r="F27" s="21">
        <f>SUMIF(F7:F23,"&lt;0",F7:F23)</f>
        <v>-77845.19</v>
      </c>
      <c r="G27" s="13" t="s">
        <v>13</v>
      </c>
      <c r="H27" s="4"/>
      <c r="I27" s="4"/>
      <c r="J27" s="7"/>
      <c r="K27" s="11"/>
      <c r="L27" s="1"/>
      <c r="M27" s="1"/>
      <c r="N27" s="1"/>
      <c r="O27" s="1"/>
    </row>
    <row r="28" spans="1:15" ht="15" thickTop="1" x14ac:dyDescent="0.2">
      <c r="A28" s="1"/>
      <c r="B28" s="1"/>
      <c r="C28" s="3"/>
      <c r="D28" s="3"/>
      <c r="E28" s="3"/>
      <c r="F28" s="5"/>
      <c r="G28" s="10"/>
      <c r="H28" s="4"/>
      <c r="I28" s="4"/>
      <c r="J28" s="7"/>
      <c r="K28" s="11"/>
      <c r="L28" s="1"/>
      <c r="M28" s="1"/>
      <c r="N28" s="1"/>
      <c r="O28" s="1"/>
    </row>
    <row r="29" spans="1:15" x14ac:dyDescent="0.2">
      <c r="K29" s="11"/>
      <c r="L29" s="1"/>
      <c r="M29" s="1"/>
      <c r="N29" s="1"/>
      <c r="O29" s="1"/>
    </row>
    <row r="30" spans="1:15" x14ac:dyDescent="0.2">
      <c r="K30" s="11"/>
      <c r="L30" s="1"/>
      <c r="M30" s="1"/>
      <c r="N30" s="1"/>
      <c r="O30" s="1"/>
    </row>
    <row r="31" spans="1:15" x14ac:dyDescent="0.2">
      <c r="K31" s="11"/>
      <c r="L31" s="1"/>
      <c r="M31" s="1"/>
      <c r="N31" s="1"/>
      <c r="O31" s="1"/>
    </row>
    <row r="32" spans="1:15" x14ac:dyDescent="0.2">
      <c r="B32" s="4" t="s">
        <v>5</v>
      </c>
      <c r="C32" s="3" t="s">
        <v>7</v>
      </c>
      <c r="D32" s="3"/>
      <c r="E32" s="3"/>
      <c r="F32" s="20">
        <v>7143.75</v>
      </c>
      <c r="G32" s="10" t="s">
        <v>26</v>
      </c>
      <c r="H32" s="4" t="s">
        <v>17</v>
      </c>
      <c r="I32" s="4" t="s">
        <v>75</v>
      </c>
      <c r="K32" s="11"/>
      <c r="L32" s="1"/>
      <c r="M32" s="1"/>
      <c r="N32" s="1"/>
      <c r="O32" s="1"/>
    </row>
    <row r="33" spans="2:15" x14ac:dyDescent="0.2">
      <c r="B33" s="4" t="s">
        <v>5</v>
      </c>
      <c r="C33" s="3" t="s">
        <v>6</v>
      </c>
      <c r="D33" s="3"/>
      <c r="E33" s="3"/>
      <c r="F33" s="20">
        <v>-7143.75</v>
      </c>
      <c r="G33" s="10" t="s">
        <v>26</v>
      </c>
      <c r="H33" s="4" t="s">
        <v>17</v>
      </c>
      <c r="I33" s="4" t="s">
        <v>75</v>
      </c>
      <c r="K33" s="11"/>
      <c r="L33" s="1"/>
      <c r="M33" s="1"/>
      <c r="N33" s="1"/>
      <c r="O33" s="1"/>
    </row>
    <row r="34" spans="2:15" x14ac:dyDescent="0.2">
      <c r="B34" s="4" t="s">
        <v>5</v>
      </c>
      <c r="C34" s="3" t="s">
        <v>7</v>
      </c>
      <c r="D34" s="3"/>
      <c r="E34" s="3"/>
      <c r="F34" s="20">
        <v>474.44</v>
      </c>
      <c r="G34" s="10" t="s">
        <v>43</v>
      </c>
      <c r="H34" s="4" t="s">
        <v>12</v>
      </c>
      <c r="I34" s="4" t="s">
        <v>75</v>
      </c>
    </row>
    <row r="35" spans="2:15" x14ac:dyDescent="0.2">
      <c r="B35" s="4" t="s">
        <v>5</v>
      </c>
      <c r="C35" s="3" t="s">
        <v>6</v>
      </c>
      <c r="D35" s="3"/>
      <c r="E35" s="3"/>
      <c r="F35" s="20">
        <v>-474.44</v>
      </c>
      <c r="G35" s="10" t="s">
        <v>43</v>
      </c>
      <c r="H35" s="4" t="s">
        <v>12</v>
      </c>
      <c r="I35" s="4" t="s">
        <v>75</v>
      </c>
    </row>
    <row r="36" spans="2:15" x14ac:dyDescent="0.2">
      <c r="B36" s="4" t="s">
        <v>5</v>
      </c>
      <c r="C36" s="3" t="s">
        <v>7</v>
      </c>
      <c r="D36" s="3"/>
      <c r="E36" s="3"/>
      <c r="F36" s="20">
        <v>665.42</v>
      </c>
      <c r="G36" s="10" t="s">
        <v>44</v>
      </c>
      <c r="H36" s="4" t="s">
        <v>12</v>
      </c>
      <c r="I36" s="4" t="s">
        <v>75</v>
      </c>
    </row>
    <row r="37" spans="2:15" x14ac:dyDescent="0.2">
      <c r="B37" s="4" t="s">
        <v>5</v>
      </c>
      <c r="C37" s="3" t="s">
        <v>6</v>
      </c>
      <c r="D37" s="3"/>
      <c r="E37" s="3"/>
      <c r="F37" s="20">
        <v>-665.42</v>
      </c>
      <c r="G37" s="10" t="s">
        <v>44</v>
      </c>
      <c r="H37" s="4" t="s">
        <v>12</v>
      </c>
      <c r="I37" s="4" t="s">
        <v>75</v>
      </c>
    </row>
    <row r="38" spans="2:15" x14ac:dyDescent="0.2">
      <c r="B38" s="4" t="s">
        <v>5</v>
      </c>
      <c r="C38" s="3" t="s">
        <v>7</v>
      </c>
      <c r="D38" s="3"/>
      <c r="E38" s="3"/>
      <c r="F38" s="20">
        <v>1493.25</v>
      </c>
      <c r="G38" s="10" t="s">
        <v>45</v>
      </c>
      <c r="H38" s="4" t="s">
        <v>12</v>
      </c>
      <c r="I38" s="4" t="s">
        <v>75</v>
      </c>
    </row>
    <row r="39" spans="2:15" x14ac:dyDescent="0.2">
      <c r="B39" s="4" t="s">
        <v>5</v>
      </c>
      <c r="C39" s="3" t="s">
        <v>6</v>
      </c>
      <c r="D39" s="3"/>
      <c r="E39" s="3"/>
      <c r="F39" s="20">
        <v>-1493.25</v>
      </c>
      <c r="G39" s="10" t="s">
        <v>45</v>
      </c>
      <c r="H39" s="4" t="s">
        <v>12</v>
      </c>
      <c r="I39" s="4" t="s">
        <v>75</v>
      </c>
    </row>
    <row r="40" spans="2:15" x14ac:dyDescent="0.2">
      <c r="B40" s="4" t="s">
        <v>5</v>
      </c>
      <c r="C40" s="3" t="s">
        <v>7</v>
      </c>
      <c r="D40" s="3"/>
      <c r="E40" s="3"/>
      <c r="F40" s="20">
        <v>3613.92</v>
      </c>
      <c r="G40" s="10" t="s">
        <v>47</v>
      </c>
      <c r="H40" s="4" t="s">
        <v>18</v>
      </c>
      <c r="I40" s="4" t="s">
        <v>75</v>
      </c>
    </row>
    <row r="41" spans="2:15" x14ac:dyDescent="0.2">
      <c r="B41" s="4" t="s">
        <v>5</v>
      </c>
      <c r="C41" s="3" t="s">
        <v>6</v>
      </c>
      <c r="D41" s="3"/>
      <c r="E41" s="3"/>
      <c r="F41" s="20">
        <v>-3613.92</v>
      </c>
      <c r="G41" s="10" t="s">
        <v>47</v>
      </c>
      <c r="H41" s="4" t="s">
        <v>18</v>
      </c>
      <c r="I41" s="4" t="s">
        <v>75</v>
      </c>
    </row>
    <row r="42" spans="2:15" x14ac:dyDescent="0.2">
      <c r="B42" s="4" t="s">
        <v>5</v>
      </c>
      <c r="C42" s="3" t="s">
        <v>7</v>
      </c>
      <c r="D42" s="3"/>
      <c r="E42" s="3"/>
      <c r="F42" s="20">
        <v>2562.92</v>
      </c>
      <c r="G42" s="10" t="s">
        <v>48</v>
      </c>
      <c r="H42" s="4" t="s">
        <v>12</v>
      </c>
      <c r="I42" s="4" t="s">
        <v>75</v>
      </c>
    </row>
    <row r="43" spans="2:15" x14ac:dyDescent="0.2">
      <c r="B43" s="4" t="s">
        <v>5</v>
      </c>
      <c r="C43" s="3" t="s">
        <v>6</v>
      </c>
      <c r="D43" s="3"/>
      <c r="E43" s="3"/>
      <c r="F43" s="20">
        <v>-2562.92</v>
      </c>
      <c r="G43" s="10" t="s">
        <v>48</v>
      </c>
      <c r="H43" s="4" t="s">
        <v>12</v>
      </c>
      <c r="I43" s="4" t="s">
        <v>75</v>
      </c>
    </row>
    <row r="44" spans="2:15" x14ac:dyDescent="0.2">
      <c r="B44" s="4" t="s">
        <v>5</v>
      </c>
      <c r="C44" s="3" t="s">
        <v>7</v>
      </c>
      <c r="D44" s="3"/>
      <c r="E44" s="3"/>
      <c r="F44" s="20">
        <v>1101.83</v>
      </c>
      <c r="G44" s="10" t="s">
        <v>55</v>
      </c>
      <c r="H44" s="4" t="s">
        <v>12</v>
      </c>
      <c r="I44" s="4" t="s">
        <v>75</v>
      </c>
    </row>
    <row r="45" spans="2:15" x14ac:dyDescent="0.2">
      <c r="B45" s="4" t="s">
        <v>5</v>
      </c>
      <c r="C45" s="3" t="s">
        <v>6</v>
      </c>
      <c r="D45" s="3"/>
      <c r="E45" s="3"/>
      <c r="F45" s="20">
        <v>-1101.83</v>
      </c>
      <c r="G45" s="10" t="s">
        <v>55</v>
      </c>
      <c r="H45" s="4" t="s">
        <v>12</v>
      </c>
      <c r="I45" s="4" t="s">
        <v>75</v>
      </c>
    </row>
    <row r="46" spans="2:15" x14ac:dyDescent="0.2">
      <c r="B46" s="4" t="s">
        <v>5</v>
      </c>
      <c r="C46" s="3" t="s">
        <v>7</v>
      </c>
      <c r="D46" s="3"/>
      <c r="E46" s="3"/>
      <c r="F46" s="20">
        <v>973.55</v>
      </c>
      <c r="G46" s="10" t="s">
        <v>57</v>
      </c>
      <c r="H46" s="4" t="s">
        <v>12</v>
      </c>
      <c r="I46" s="4" t="s">
        <v>75</v>
      </c>
    </row>
    <row r="47" spans="2:15" x14ac:dyDescent="0.2">
      <c r="B47" s="4" t="s">
        <v>5</v>
      </c>
      <c r="C47" s="3" t="s">
        <v>6</v>
      </c>
      <c r="D47" s="3"/>
      <c r="E47" s="3"/>
      <c r="F47" s="20">
        <v>-973.55</v>
      </c>
      <c r="G47" s="10" t="s">
        <v>57</v>
      </c>
      <c r="H47" s="4" t="s">
        <v>12</v>
      </c>
      <c r="I47" s="4" t="s">
        <v>75</v>
      </c>
    </row>
    <row r="48" spans="2:15" x14ac:dyDescent="0.2">
      <c r="B48" s="4" t="s">
        <v>5</v>
      </c>
      <c r="C48" s="3" t="s">
        <v>62</v>
      </c>
      <c r="D48" s="3"/>
      <c r="E48" s="3"/>
      <c r="F48" s="20">
        <v>6666.67</v>
      </c>
      <c r="G48" s="10" t="s">
        <v>64</v>
      </c>
      <c r="H48" s="4" t="s">
        <v>12</v>
      </c>
      <c r="I48" s="4" t="s">
        <v>75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-6666.67</v>
      </c>
      <c r="G49" s="10" t="s">
        <v>64</v>
      </c>
      <c r="H49" s="4" t="s">
        <v>12</v>
      </c>
      <c r="I49" s="4" t="s">
        <v>75</v>
      </c>
    </row>
    <row r="50" spans="2:9" x14ac:dyDescent="0.2">
      <c r="B50" s="4" t="s">
        <v>5</v>
      </c>
      <c r="C50" s="3" t="s">
        <v>62</v>
      </c>
      <c r="D50" s="3"/>
      <c r="E50" s="3"/>
      <c r="F50" s="20">
        <v>33416.67</v>
      </c>
      <c r="G50" s="10" t="s">
        <v>65</v>
      </c>
      <c r="H50" s="4" t="s">
        <v>12</v>
      </c>
      <c r="I50" s="4" t="s">
        <v>75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-33416.67</v>
      </c>
      <c r="G51" s="10" t="s">
        <v>65</v>
      </c>
      <c r="H51" s="4" t="s">
        <v>12</v>
      </c>
      <c r="I51" s="4" t="s">
        <v>75</v>
      </c>
    </row>
    <row r="52" spans="2:9" x14ac:dyDescent="0.2">
      <c r="B52" s="4" t="s">
        <v>5</v>
      </c>
      <c r="C52" s="3" t="s">
        <v>62</v>
      </c>
      <c r="D52" s="3"/>
      <c r="E52" s="3"/>
      <c r="F52" s="20">
        <v>949.17</v>
      </c>
      <c r="G52" s="10" t="s">
        <v>67</v>
      </c>
      <c r="H52" s="4" t="s">
        <v>12</v>
      </c>
      <c r="I52" s="4" t="s">
        <v>75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-949.17</v>
      </c>
      <c r="G53" s="10" t="s">
        <v>67</v>
      </c>
      <c r="H53" s="4" t="s">
        <v>12</v>
      </c>
      <c r="I53" s="4" t="s">
        <v>75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371.48</v>
      </c>
      <c r="G54" s="10" t="s">
        <v>68</v>
      </c>
      <c r="H54" s="4" t="s">
        <v>12</v>
      </c>
      <c r="I54" s="4" t="s">
        <v>75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-371.48</v>
      </c>
      <c r="G55" s="10" t="s">
        <v>68</v>
      </c>
      <c r="H55" s="4" t="s">
        <v>12</v>
      </c>
      <c r="I55" s="4" t="s">
        <v>75</v>
      </c>
    </row>
    <row r="56" spans="2:9" x14ac:dyDescent="0.2">
      <c r="B56" s="16" t="s">
        <v>5</v>
      </c>
      <c r="C56" s="17" t="s">
        <v>62</v>
      </c>
      <c r="D56" s="17"/>
      <c r="E56" s="17"/>
      <c r="F56" s="22">
        <v>2167.41</v>
      </c>
      <c r="G56" s="18" t="s">
        <v>77</v>
      </c>
      <c r="H56" s="16" t="s">
        <v>78</v>
      </c>
      <c r="I56" s="16" t="s">
        <v>56</v>
      </c>
    </row>
    <row r="57" spans="2:9" x14ac:dyDescent="0.2">
      <c r="B57" s="16" t="s">
        <v>5</v>
      </c>
      <c r="C57" s="17" t="s">
        <v>6</v>
      </c>
      <c r="D57" s="17"/>
      <c r="E57" s="17"/>
      <c r="F57" s="22">
        <v>-2167.41</v>
      </c>
      <c r="G57" s="18" t="s">
        <v>77</v>
      </c>
      <c r="H57" s="16" t="s">
        <v>78</v>
      </c>
      <c r="I57" s="16" t="s">
        <v>56</v>
      </c>
    </row>
    <row r="58" spans="2:9" x14ac:dyDescent="0.2">
      <c r="B58" s="16" t="s">
        <v>5</v>
      </c>
      <c r="C58" s="17" t="s">
        <v>62</v>
      </c>
      <c r="D58" s="17"/>
      <c r="E58" s="17"/>
      <c r="F58" s="22">
        <v>2167.41</v>
      </c>
      <c r="G58" s="18" t="s">
        <v>77</v>
      </c>
      <c r="H58" s="16" t="s">
        <v>78</v>
      </c>
      <c r="I58" s="16" t="s">
        <v>58</v>
      </c>
    </row>
    <row r="59" spans="2:9" x14ac:dyDescent="0.2">
      <c r="B59" s="16" t="s">
        <v>5</v>
      </c>
      <c r="C59" s="17" t="s">
        <v>6</v>
      </c>
      <c r="D59" s="17"/>
      <c r="E59" s="17"/>
      <c r="F59" s="22">
        <v>-2167.41</v>
      </c>
      <c r="G59" s="18" t="s">
        <v>77</v>
      </c>
      <c r="H59" s="16" t="s">
        <v>78</v>
      </c>
      <c r="I59" s="16" t="s">
        <v>58</v>
      </c>
    </row>
    <row r="60" spans="2:9" x14ac:dyDescent="0.2">
      <c r="B60" s="16" t="s">
        <v>5</v>
      </c>
      <c r="C60" s="17" t="s">
        <v>62</v>
      </c>
      <c r="D60" s="17"/>
      <c r="E60" s="17"/>
      <c r="F60" s="22">
        <v>2167.41</v>
      </c>
      <c r="G60" s="18" t="s">
        <v>77</v>
      </c>
      <c r="H60" s="16" t="s">
        <v>78</v>
      </c>
      <c r="I60" s="16" t="s">
        <v>63</v>
      </c>
    </row>
    <row r="61" spans="2:9" x14ac:dyDescent="0.2">
      <c r="B61" s="16" t="s">
        <v>5</v>
      </c>
      <c r="C61" s="17" t="s">
        <v>6</v>
      </c>
      <c r="D61" s="17"/>
      <c r="E61" s="17"/>
      <c r="F61" s="22">
        <v>-2167.41</v>
      </c>
      <c r="G61" s="18" t="s">
        <v>77</v>
      </c>
      <c r="H61" s="16" t="s">
        <v>78</v>
      </c>
      <c r="I61" s="16" t="s">
        <v>63</v>
      </c>
    </row>
    <row r="62" spans="2:9" x14ac:dyDescent="0.2">
      <c r="B62" s="16" t="s">
        <v>5</v>
      </c>
      <c r="C62" s="17" t="s">
        <v>62</v>
      </c>
      <c r="D62" s="17"/>
      <c r="E62" s="17"/>
      <c r="F62" s="22">
        <v>2167.41</v>
      </c>
      <c r="G62" s="18" t="s">
        <v>77</v>
      </c>
      <c r="H62" s="16" t="s">
        <v>78</v>
      </c>
      <c r="I62" s="16" t="s">
        <v>69</v>
      </c>
    </row>
    <row r="63" spans="2:9" x14ac:dyDescent="0.2">
      <c r="B63" s="16" t="s">
        <v>5</v>
      </c>
      <c r="C63" s="17" t="s">
        <v>6</v>
      </c>
      <c r="D63" s="17"/>
      <c r="E63" s="17"/>
      <c r="F63" s="22">
        <v>-2167.41</v>
      </c>
      <c r="G63" s="18" t="s">
        <v>77</v>
      </c>
      <c r="H63" s="16" t="s">
        <v>78</v>
      </c>
      <c r="I63" s="16" t="s">
        <v>69</v>
      </c>
    </row>
    <row r="64" spans="2:9" x14ac:dyDescent="0.2">
      <c r="B64" s="16" t="s">
        <v>5</v>
      </c>
      <c r="C64" s="17" t="s">
        <v>62</v>
      </c>
      <c r="D64" s="17"/>
      <c r="E64" s="17"/>
      <c r="F64" s="22">
        <v>2167.41</v>
      </c>
      <c r="G64" s="18" t="s">
        <v>77</v>
      </c>
      <c r="H64" s="16" t="s">
        <v>78</v>
      </c>
      <c r="I64" s="16" t="s">
        <v>71</v>
      </c>
    </row>
    <row r="65" spans="2:9" x14ac:dyDescent="0.2">
      <c r="B65" s="16" t="s">
        <v>5</v>
      </c>
      <c r="C65" s="17" t="s">
        <v>6</v>
      </c>
      <c r="D65" s="17"/>
      <c r="E65" s="17"/>
      <c r="F65" s="22">
        <v>-2167.41</v>
      </c>
      <c r="G65" s="18" t="s">
        <v>77</v>
      </c>
      <c r="H65" s="16" t="s">
        <v>78</v>
      </c>
      <c r="I65" s="16" t="s">
        <v>71</v>
      </c>
    </row>
    <row r="66" spans="2:9" x14ac:dyDescent="0.2">
      <c r="B66" s="16" t="s">
        <v>5</v>
      </c>
      <c r="C66" s="17" t="s">
        <v>62</v>
      </c>
      <c r="D66" s="17"/>
      <c r="E66" s="17"/>
      <c r="F66" s="22">
        <v>2167.41</v>
      </c>
      <c r="G66" s="18" t="s">
        <v>77</v>
      </c>
      <c r="H66" s="16" t="s">
        <v>78</v>
      </c>
      <c r="I66" s="16" t="s">
        <v>75</v>
      </c>
    </row>
    <row r="67" spans="2:9" x14ac:dyDescent="0.2">
      <c r="B67" s="16" t="s">
        <v>5</v>
      </c>
      <c r="C67" s="17" t="s">
        <v>6</v>
      </c>
      <c r="D67" s="17"/>
      <c r="E67" s="17"/>
      <c r="F67" s="22">
        <v>-2167.41</v>
      </c>
      <c r="G67" s="18" t="s">
        <v>77</v>
      </c>
      <c r="H67" s="16" t="s">
        <v>78</v>
      </c>
      <c r="I67" s="16" t="s">
        <v>75</v>
      </c>
    </row>
    <row r="68" spans="2:9" x14ac:dyDescent="0.2">
      <c r="B68" s="16" t="s">
        <v>5</v>
      </c>
      <c r="C68" s="17" t="s">
        <v>62</v>
      </c>
      <c r="D68" s="17"/>
      <c r="E68" s="17"/>
      <c r="F68" s="22">
        <v>1041.67</v>
      </c>
      <c r="G68" s="18" t="s">
        <v>80</v>
      </c>
      <c r="H68" s="16" t="s">
        <v>79</v>
      </c>
      <c r="I68" s="16" t="s">
        <v>56</v>
      </c>
    </row>
    <row r="69" spans="2:9" x14ac:dyDescent="0.2">
      <c r="B69" s="16" t="s">
        <v>5</v>
      </c>
      <c r="C69" s="17" t="s">
        <v>6</v>
      </c>
      <c r="D69" s="17"/>
      <c r="E69" s="17"/>
      <c r="F69" s="22">
        <v>-1041.67</v>
      </c>
      <c r="G69" s="18" t="s">
        <v>80</v>
      </c>
      <c r="H69" s="16" t="s">
        <v>79</v>
      </c>
      <c r="I69" s="16" t="s">
        <v>56</v>
      </c>
    </row>
    <row r="70" spans="2:9" x14ac:dyDescent="0.2">
      <c r="B70" s="16" t="s">
        <v>5</v>
      </c>
      <c r="C70" s="17" t="s">
        <v>62</v>
      </c>
      <c r="D70" s="17"/>
      <c r="E70" s="17"/>
      <c r="F70" s="22">
        <v>1041.67</v>
      </c>
      <c r="G70" s="18" t="s">
        <v>80</v>
      </c>
      <c r="H70" s="16" t="s">
        <v>79</v>
      </c>
      <c r="I70" s="16" t="s">
        <v>58</v>
      </c>
    </row>
    <row r="71" spans="2:9" x14ac:dyDescent="0.2">
      <c r="B71" s="16" t="s">
        <v>5</v>
      </c>
      <c r="C71" s="17" t="s">
        <v>6</v>
      </c>
      <c r="D71" s="17"/>
      <c r="E71" s="17"/>
      <c r="F71" s="22">
        <v>-1041.67</v>
      </c>
      <c r="G71" s="18" t="s">
        <v>80</v>
      </c>
      <c r="H71" s="16" t="s">
        <v>79</v>
      </c>
      <c r="I71" s="16" t="s">
        <v>58</v>
      </c>
    </row>
    <row r="72" spans="2:9" x14ac:dyDescent="0.2">
      <c r="B72" s="16" t="s">
        <v>5</v>
      </c>
      <c r="C72" s="17" t="s">
        <v>62</v>
      </c>
      <c r="D72" s="17"/>
      <c r="E72" s="17"/>
      <c r="F72" s="22">
        <v>1041.67</v>
      </c>
      <c r="G72" s="18" t="s">
        <v>80</v>
      </c>
      <c r="H72" s="16" t="s">
        <v>79</v>
      </c>
      <c r="I72" s="16" t="s">
        <v>63</v>
      </c>
    </row>
    <row r="73" spans="2:9" x14ac:dyDescent="0.2">
      <c r="B73" s="16" t="s">
        <v>5</v>
      </c>
      <c r="C73" s="17" t="s">
        <v>6</v>
      </c>
      <c r="D73" s="17"/>
      <c r="E73" s="17"/>
      <c r="F73" s="22">
        <v>-1041.67</v>
      </c>
      <c r="G73" s="18" t="s">
        <v>80</v>
      </c>
      <c r="H73" s="16" t="s">
        <v>79</v>
      </c>
      <c r="I73" s="16" t="s">
        <v>63</v>
      </c>
    </row>
    <row r="74" spans="2:9" x14ac:dyDescent="0.2">
      <c r="B74" s="16" t="s">
        <v>5</v>
      </c>
      <c r="C74" s="17" t="s">
        <v>62</v>
      </c>
      <c r="D74" s="17"/>
      <c r="E74" s="17"/>
      <c r="F74" s="22">
        <v>1041.67</v>
      </c>
      <c r="G74" s="18" t="s">
        <v>80</v>
      </c>
      <c r="H74" s="16" t="s">
        <v>79</v>
      </c>
      <c r="I74" s="16" t="s">
        <v>69</v>
      </c>
    </row>
    <row r="75" spans="2:9" x14ac:dyDescent="0.2">
      <c r="B75" s="16" t="s">
        <v>5</v>
      </c>
      <c r="C75" s="17" t="s">
        <v>6</v>
      </c>
      <c r="D75" s="17"/>
      <c r="E75" s="17"/>
      <c r="F75" s="22">
        <v>-1041.67</v>
      </c>
      <c r="G75" s="18" t="s">
        <v>80</v>
      </c>
      <c r="H75" s="16" t="s">
        <v>79</v>
      </c>
      <c r="I75" s="16" t="s">
        <v>69</v>
      </c>
    </row>
    <row r="76" spans="2:9" x14ac:dyDescent="0.2">
      <c r="B76" s="16" t="s">
        <v>5</v>
      </c>
      <c r="C76" s="17" t="s">
        <v>62</v>
      </c>
      <c r="D76" s="17"/>
      <c r="E76" s="17"/>
      <c r="F76" s="22">
        <v>1041.67</v>
      </c>
      <c r="G76" s="18" t="s">
        <v>80</v>
      </c>
      <c r="H76" s="16" t="s">
        <v>79</v>
      </c>
      <c r="I76" s="16" t="s">
        <v>71</v>
      </c>
    </row>
    <row r="77" spans="2:9" x14ac:dyDescent="0.2">
      <c r="B77" s="16" t="s">
        <v>5</v>
      </c>
      <c r="C77" s="17" t="s">
        <v>6</v>
      </c>
      <c r="D77" s="17"/>
      <c r="E77" s="17"/>
      <c r="F77" s="22">
        <v>-1041.67</v>
      </c>
      <c r="G77" s="18" t="s">
        <v>80</v>
      </c>
      <c r="H77" s="16" t="s">
        <v>79</v>
      </c>
      <c r="I77" s="16" t="s">
        <v>71</v>
      </c>
    </row>
    <row r="78" spans="2:9" x14ac:dyDescent="0.2">
      <c r="B78" s="16" t="s">
        <v>5</v>
      </c>
      <c r="C78" s="17" t="s">
        <v>62</v>
      </c>
      <c r="D78" s="17"/>
      <c r="E78" s="17"/>
      <c r="F78" s="22">
        <v>1041.67</v>
      </c>
      <c r="G78" s="18" t="s">
        <v>80</v>
      </c>
      <c r="H78" s="16" t="s">
        <v>79</v>
      </c>
      <c r="I78" s="16" t="s">
        <v>75</v>
      </c>
    </row>
    <row r="79" spans="2:9" x14ac:dyDescent="0.2">
      <c r="B79" s="16" t="s">
        <v>5</v>
      </c>
      <c r="C79" s="17" t="s">
        <v>6</v>
      </c>
      <c r="D79" s="17"/>
      <c r="E79" s="17"/>
      <c r="F79" s="22">
        <v>-1041.67</v>
      </c>
      <c r="G79" s="18" t="s">
        <v>80</v>
      </c>
      <c r="H79" s="16" t="s">
        <v>79</v>
      </c>
      <c r="I79" s="16" t="s">
        <v>75</v>
      </c>
    </row>
    <row r="80" spans="2:9" x14ac:dyDescent="0.2">
      <c r="B80" s="16" t="s">
        <v>5</v>
      </c>
      <c r="C80" s="17" t="s">
        <v>62</v>
      </c>
      <c r="D80" s="17"/>
      <c r="E80" s="17"/>
      <c r="F80" s="22">
        <v>1100</v>
      </c>
      <c r="G80" s="18" t="s">
        <v>81</v>
      </c>
      <c r="H80" s="16" t="s">
        <v>82</v>
      </c>
      <c r="I80" s="16" t="s">
        <v>71</v>
      </c>
    </row>
    <row r="81" spans="2:9" x14ac:dyDescent="0.2">
      <c r="B81" s="16" t="s">
        <v>5</v>
      </c>
      <c r="C81" s="17" t="s">
        <v>6</v>
      </c>
      <c r="D81" s="17"/>
      <c r="E81" s="17"/>
      <c r="F81" s="22">
        <v>-1100</v>
      </c>
      <c r="G81" s="18" t="s">
        <v>81</v>
      </c>
      <c r="H81" s="16" t="s">
        <v>82</v>
      </c>
      <c r="I81" s="16" t="s">
        <v>71</v>
      </c>
    </row>
    <row r="82" spans="2:9" x14ac:dyDescent="0.2">
      <c r="B82" s="16" t="s">
        <v>5</v>
      </c>
      <c r="C82" s="17" t="s">
        <v>62</v>
      </c>
      <c r="D82" s="17"/>
      <c r="E82" s="17"/>
      <c r="F82" s="22">
        <v>1100</v>
      </c>
      <c r="G82" s="18" t="s">
        <v>81</v>
      </c>
      <c r="H82" s="16" t="s">
        <v>82</v>
      </c>
      <c r="I82" s="16" t="s">
        <v>75</v>
      </c>
    </row>
    <row r="83" spans="2:9" x14ac:dyDescent="0.2">
      <c r="B83" s="16" t="s">
        <v>5</v>
      </c>
      <c r="C83" s="17" t="s">
        <v>6</v>
      </c>
      <c r="D83" s="17"/>
      <c r="E83" s="17"/>
      <c r="F83" s="22">
        <v>-1100</v>
      </c>
      <c r="G83" s="18" t="s">
        <v>81</v>
      </c>
      <c r="H83" s="16" t="s">
        <v>82</v>
      </c>
      <c r="I83" s="16" t="s">
        <v>75</v>
      </c>
    </row>
    <row r="87" spans="2:9" ht="15" thickBot="1" x14ac:dyDescent="0.25">
      <c r="C87" t="s">
        <v>14</v>
      </c>
      <c r="F87" s="21">
        <f>SUMIF(F32:F86,"&lt;0",F32:F86)</f>
        <v>-80887.55</v>
      </c>
      <c r="G87" t="s">
        <v>13</v>
      </c>
    </row>
    <row r="88" spans="2:9" ht="15" thickTop="1" x14ac:dyDescent="0.2"/>
  </sheetData>
  <autoFilter ref="B6:I6" xr:uid="{E75F0CD7-8C26-4173-8973-B3509135FC85}"/>
  <hyperlinks>
    <hyperlink ref="F1" r:id="rId1" xr:uid="{388680AA-31B1-463D-934D-6A5456D1C1B5}"/>
  </hyperlinks>
  <pageMargins left="0.7" right="0.7" top="0.75" bottom="0.75" header="0.3" footer="0.3"/>
  <pageSetup paperSize="9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2E0-0D7F-48E7-8847-5B0B4243CB89}">
  <sheetPr>
    <tabColor theme="9" tint="0.59999389629810485"/>
  </sheetPr>
  <dimension ref="A1:O62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71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71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39</v>
      </c>
      <c r="F9" s="20">
        <v>6601.56</v>
      </c>
      <c r="G9" s="10" t="s">
        <v>40</v>
      </c>
      <c r="H9" s="4" t="s">
        <v>12</v>
      </c>
      <c r="I9" s="4" t="s">
        <v>71</v>
      </c>
      <c r="J9" s="11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-6601.56</v>
      </c>
      <c r="G10" s="10" t="s">
        <v>40</v>
      </c>
      <c r="H10" s="4" t="s">
        <v>12</v>
      </c>
      <c r="I10" s="4" t="s">
        <v>71</v>
      </c>
      <c r="J10" s="11"/>
      <c r="K10" s="11"/>
      <c r="L10" s="1"/>
      <c r="M10" s="1"/>
      <c r="N10" s="1"/>
      <c r="O10" s="1"/>
    </row>
    <row r="11" spans="1:15" x14ac:dyDescent="0.2">
      <c r="A11" s="1"/>
      <c r="B11" s="1" t="s">
        <v>5</v>
      </c>
      <c r="C11" s="3" t="s">
        <v>53</v>
      </c>
      <c r="D11" s="3"/>
      <c r="E11" s="3"/>
      <c r="F11" s="20">
        <v>5042.0600000000004</v>
      </c>
      <c r="G11" s="30" t="s">
        <v>54</v>
      </c>
      <c r="H11" s="4" t="s">
        <v>12</v>
      </c>
      <c r="I11" s="4" t="s">
        <v>71</v>
      </c>
      <c r="J11" s="23"/>
      <c r="K11" s="11"/>
      <c r="L11" s="1"/>
      <c r="M11" s="1"/>
      <c r="N11" s="1"/>
      <c r="O11" s="1"/>
    </row>
    <row r="12" spans="1:15" x14ac:dyDescent="0.2">
      <c r="A12" s="1"/>
      <c r="B12" s="1" t="s">
        <v>1</v>
      </c>
      <c r="C12" s="3" t="s">
        <v>2</v>
      </c>
      <c r="D12" s="3"/>
      <c r="E12" s="3"/>
      <c r="F12" s="20">
        <v>-5042.0600000000004</v>
      </c>
      <c r="G12" s="30" t="s">
        <v>54</v>
      </c>
      <c r="H12" s="4" t="s">
        <v>12</v>
      </c>
      <c r="I12" s="4" t="s">
        <v>71</v>
      </c>
      <c r="J12" s="23"/>
      <c r="K12" s="11"/>
      <c r="L12" s="1"/>
      <c r="M12" s="1"/>
      <c r="N12" s="1"/>
      <c r="O12" s="1"/>
    </row>
    <row r="13" spans="1:15" x14ac:dyDescent="0.2">
      <c r="A13" s="1"/>
      <c r="B13" s="24" t="s">
        <v>5</v>
      </c>
      <c r="C13" s="25" t="s">
        <v>60</v>
      </c>
      <c r="D13" s="25"/>
      <c r="E13" s="25"/>
      <c r="F13" s="26">
        <v>1291.67</v>
      </c>
      <c r="G13" s="29" t="s">
        <v>59</v>
      </c>
      <c r="H13" s="28" t="s">
        <v>12</v>
      </c>
      <c r="I13" s="28" t="s">
        <v>71</v>
      </c>
      <c r="J13" s="23"/>
      <c r="K13" s="11"/>
      <c r="L13" s="1"/>
      <c r="M13" s="1"/>
      <c r="N13" s="1"/>
      <c r="O13" s="1"/>
    </row>
    <row r="14" spans="1:15" x14ac:dyDescent="0.2">
      <c r="A14" s="1"/>
      <c r="B14" s="24" t="s">
        <v>5</v>
      </c>
      <c r="C14" s="25" t="s">
        <v>61</v>
      </c>
      <c r="D14" s="25"/>
      <c r="E14" s="25"/>
      <c r="F14" s="26">
        <v>1291.67</v>
      </c>
      <c r="G14" s="29" t="s">
        <v>59</v>
      </c>
      <c r="H14" s="28" t="s">
        <v>12</v>
      </c>
      <c r="I14" s="28" t="s">
        <v>71</v>
      </c>
      <c r="J14" s="23"/>
      <c r="K14" s="11"/>
      <c r="L14" s="1"/>
      <c r="M14" s="1"/>
      <c r="N14" s="1"/>
      <c r="O14" s="1"/>
    </row>
    <row r="15" spans="1:15" x14ac:dyDescent="0.2">
      <c r="A15" s="1"/>
      <c r="B15" s="24" t="s">
        <v>1</v>
      </c>
      <c r="C15" s="25" t="s">
        <v>2</v>
      </c>
      <c r="D15" s="25"/>
      <c r="E15" s="25"/>
      <c r="F15" s="26">
        <v>-2583.34</v>
      </c>
      <c r="G15" s="29" t="s">
        <v>59</v>
      </c>
      <c r="H15" s="28" t="s">
        <v>12</v>
      </c>
      <c r="I15" s="28" t="s">
        <v>71</v>
      </c>
      <c r="J15" s="23"/>
      <c r="K15" s="11"/>
      <c r="L15" s="1"/>
      <c r="M15" s="1"/>
      <c r="N15" s="1"/>
      <c r="O15" s="1"/>
    </row>
    <row r="16" spans="1:15" x14ac:dyDescent="0.2">
      <c r="A16" s="1"/>
      <c r="B16" s="1" t="s">
        <v>5</v>
      </c>
      <c r="C16" s="3" t="s">
        <v>11</v>
      </c>
      <c r="D16" s="3"/>
      <c r="E16" s="3"/>
      <c r="F16" s="20">
        <v>5750</v>
      </c>
      <c r="G16" s="30" t="s">
        <v>66</v>
      </c>
      <c r="H16" s="4" t="s">
        <v>12</v>
      </c>
      <c r="I16" s="4" t="s">
        <v>71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1</v>
      </c>
      <c r="C17" s="3" t="s">
        <v>2</v>
      </c>
      <c r="D17" s="3"/>
      <c r="E17" s="3"/>
      <c r="F17" s="20">
        <v>-5750</v>
      </c>
      <c r="G17" s="30" t="s">
        <v>66</v>
      </c>
      <c r="H17" s="4" t="s">
        <v>12</v>
      </c>
      <c r="I17" s="4" t="s">
        <v>71</v>
      </c>
      <c r="J17" s="11"/>
      <c r="K17" s="11"/>
      <c r="L17" s="1"/>
      <c r="M17" s="1"/>
      <c r="N17" s="1"/>
      <c r="O17" s="1"/>
    </row>
    <row r="18" spans="1:15" x14ac:dyDescent="0.2">
      <c r="A18" s="1"/>
      <c r="B18" s="19" t="s">
        <v>5</v>
      </c>
      <c r="C18" s="17" t="s">
        <v>70</v>
      </c>
      <c r="D18" s="17"/>
      <c r="E18" s="17"/>
      <c r="F18" s="22">
        <v>19206.060000000001</v>
      </c>
      <c r="G18" s="31" t="s">
        <v>72</v>
      </c>
      <c r="H18" s="16" t="s">
        <v>12</v>
      </c>
      <c r="I18" s="16" t="s">
        <v>71</v>
      </c>
      <c r="J18" s="11"/>
      <c r="K18" s="11"/>
      <c r="L18" s="1"/>
      <c r="M18" s="1"/>
      <c r="N18" s="1"/>
      <c r="O18" s="1"/>
    </row>
    <row r="19" spans="1:15" x14ac:dyDescent="0.2">
      <c r="A19" s="1"/>
      <c r="B19" s="19" t="s">
        <v>1</v>
      </c>
      <c r="C19" s="17" t="s">
        <v>2</v>
      </c>
      <c r="D19" s="17"/>
      <c r="E19" s="17"/>
      <c r="F19" s="22">
        <v>-19206.060000000001</v>
      </c>
      <c r="G19" s="31" t="s">
        <v>72</v>
      </c>
      <c r="H19" s="16" t="s">
        <v>12</v>
      </c>
      <c r="I19" s="16" t="s">
        <v>71</v>
      </c>
      <c r="J19" s="11"/>
      <c r="K19" s="11"/>
      <c r="L19" s="1"/>
      <c r="M19" s="1"/>
      <c r="N19" s="1"/>
      <c r="O19" s="1"/>
    </row>
    <row r="20" spans="1:15" x14ac:dyDescent="0.2">
      <c r="A20" s="1"/>
      <c r="B20" s="1" t="s">
        <v>5</v>
      </c>
      <c r="C20" s="3" t="s">
        <v>10</v>
      </c>
      <c r="D20" s="3"/>
      <c r="E20" s="3"/>
      <c r="F20" s="20">
        <v>487.25</v>
      </c>
      <c r="G20" s="30" t="s">
        <v>46</v>
      </c>
      <c r="H20" s="4" t="s">
        <v>12</v>
      </c>
      <c r="I20" s="4" t="s">
        <v>71</v>
      </c>
      <c r="J20" s="23"/>
      <c r="K20" s="11"/>
      <c r="L20" s="1"/>
      <c r="M20" s="1"/>
      <c r="N20" s="1"/>
      <c r="O20" s="1"/>
    </row>
    <row r="21" spans="1:15" x14ac:dyDescent="0.2">
      <c r="A21" s="1"/>
      <c r="B21" s="1" t="s">
        <v>5</v>
      </c>
      <c r="C21" s="3" t="s">
        <v>52</v>
      </c>
      <c r="D21" s="3"/>
      <c r="E21" s="3"/>
      <c r="F21" s="20">
        <v>-487.25</v>
      </c>
      <c r="G21" s="30" t="s">
        <v>46</v>
      </c>
      <c r="H21" s="4" t="s">
        <v>12</v>
      </c>
      <c r="I21" s="4" t="s">
        <v>71</v>
      </c>
      <c r="J21" s="23"/>
      <c r="K21" s="11"/>
      <c r="L21" s="1"/>
      <c r="M21" s="1"/>
      <c r="N21" s="1"/>
      <c r="O21" s="1"/>
    </row>
    <row r="22" spans="1:15" x14ac:dyDescent="0.2">
      <c r="A22" s="1"/>
      <c r="B22" s="1" t="s">
        <v>5</v>
      </c>
      <c r="C22" s="3" t="s">
        <v>4</v>
      </c>
      <c r="D22" s="3"/>
      <c r="E22" s="3"/>
      <c r="F22" s="20">
        <v>44404.480000000003</v>
      </c>
      <c r="G22" s="30" t="s">
        <v>42</v>
      </c>
      <c r="H22" s="4"/>
      <c r="I22" s="4" t="s">
        <v>71</v>
      </c>
      <c r="J22" s="11"/>
      <c r="K22" s="11"/>
      <c r="L22" s="1"/>
      <c r="M22" s="1"/>
      <c r="N22" s="1"/>
      <c r="O22" s="1"/>
    </row>
    <row r="23" spans="1:15" x14ac:dyDescent="0.2">
      <c r="A23" s="1"/>
      <c r="B23" s="1" t="s">
        <v>1</v>
      </c>
      <c r="C23" s="3" t="s">
        <v>16</v>
      </c>
      <c r="D23" s="3"/>
      <c r="E23" s="3"/>
      <c r="F23" s="20">
        <v>-44404.480000000003</v>
      </c>
      <c r="G23" s="30" t="s">
        <v>42</v>
      </c>
      <c r="H23" s="4"/>
      <c r="I23" s="4" t="s">
        <v>71</v>
      </c>
      <c r="J23" s="11"/>
      <c r="K23" s="11"/>
      <c r="L23" s="1"/>
      <c r="M23" s="1"/>
      <c r="N23" s="1"/>
      <c r="O23" s="1"/>
    </row>
    <row r="24" spans="1:15" x14ac:dyDescent="0.2">
      <c r="A24" s="1"/>
      <c r="B24" s="1"/>
      <c r="C24" s="3"/>
      <c r="D24" s="3"/>
      <c r="E24" s="3"/>
      <c r="F24" s="20"/>
      <c r="G24" s="30"/>
      <c r="H24" s="4"/>
      <c r="I24" s="4"/>
      <c r="J24" s="11"/>
      <c r="K24" s="11"/>
      <c r="L24" s="1"/>
      <c r="M24" s="1"/>
      <c r="N24" s="1"/>
      <c r="O24" s="1"/>
    </row>
    <row r="25" spans="1:15" x14ac:dyDescent="0.2">
      <c r="A25" s="1"/>
      <c r="B25" s="1"/>
      <c r="C25" s="3"/>
      <c r="D25" s="3"/>
      <c r="E25" s="3"/>
      <c r="F25" s="20"/>
      <c r="G25" s="30"/>
      <c r="H25" s="4"/>
      <c r="I25" s="4"/>
      <c r="J25" s="11"/>
      <c r="K25" s="11"/>
      <c r="L25" s="1"/>
      <c r="M25" s="1"/>
      <c r="N25" s="1"/>
      <c r="O25" s="1"/>
    </row>
    <row r="26" spans="1:15" x14ac:dyDescent="0.2">
      <c r="A26" s="1"/>
      <c r="B26" s="1"/>
      <c r="C26" s="12"/>
      <c r="D26" s="12"/>
      <c r="E26" s="12"/>
      <c r="F26" s="5"/>
      <c r="G26" s="13"/>
      <c r="H26" s="4"/>
      <c r="I26" s="4"/>
      <c r="J26" s="7"/>
      <c r="K26" s="11"/>
      <c r="L26" s="1"/>
      <c r="M26" s="1"/>
      <c r="N26" s="1"/>
      <c r="O26" s="1"/>
    </row>
    <row r="27" spans="1:15" ht="15" thickBot="1" x14ac:dyDescent="0.25">
      <c r="A27" s="1"/>
      <c r="B27" s="1"/>
      <c r="C27" s="3" t="s">
        <v>15</v>
      </c>
      <c r="D27" s="3"/>
      <c r="E27" s="3"/>
      <c r="F27" s="21">
        <f>SUMIF(F7:F23,"&lt;0",F7:F23)</f>
        <v>-84446.75</v>
      </c>
      <c r="G27" s="13" t="s">
        <v>13</v>
      </c>
      <c r="H27" s="4"/>
      <c r="I27" s="4"/>
      <c r="J27" s="7"/>
      <c r="K27" s="11"/>
      <c r="L27" s="1"/>
      <c r="M27" s="1"/>
      <c r="N27" s="1"/>
      <c r="O27" s="1"/>
    </row>
    <row r="28" spans="1:15" ht="15" thickTop="1" x14ac:dyDescent="0.2">
      <c r="A28" s="1"/>
      <c r="B28" s="1"/>
      <c r="C28" s="3"/>
      <c r="D28" s="3"/>
      <c r="E28" s="3"/>
      <c r="F28" s="5"/>
      <c r="G28" s="10"/>
      <c r="H28" s="4"/>
      <c r="I28" s="4"/>
      <c r="J28" s="7"/>
      <c r="K28" s="11"/>
      <c r="L28" s="1"/>
      <c r="M28" s="1"/>
      <c r="N28" s="1"/>
      <c r="O28" s="1"/>
    </row>
    <row r="29" spans="1:15" x14ac:dyDescent="0.2">
      <c r="K29" s="11"/>
      <c r="L29" s="1"/>
      <c r="M29" s="1"/>
      <c r="N29" s="1"/>
      <c r="O29" s="1"/>
    </row>
    <row r="30" spans="1:15" x14ac:dyDescent="0.2">
      <c r="K30" s="11"/>
      <c r="L30" s="1"/>
      <c r="M30" s="1"/>
      <c r="N30" s="1"/>
      <c r="O30" s="1"/>
    </row>
    <row r="31" spans="1:15" x14ac:dyDescent="0.2">
      <c r="K31" s="11"/>
      <c r="L31" s="1"/>
      <c r="M31" s="1"/>
      <c r="N31" s="1"/>
      <c r="O31" s="1"/>
    </row>
    <row r="32" spans="1:15" x14ac:dyDescent="0.2">
      <c r="B32" s="4" t="s">
        <v>5</v>
      </c>
      <c r="C32" s="3" t="s">
        <v>7</v>
      </c>
      <c r="D32" s="3"/>
      <c r="E32" s="3"/>
      <c r="F32" s="20">
        <v>7143.75</v>
      </c>
      <c r="G32" s="10" t="s">
        <v>26</v>
      </c>
      <c r="H32" s="4" t="s">
        <v>17</v>
      </c>
      <c r="I32" s="4" t="s">
        <v>71</v>
      </c>
      <c r="K32" s="11"/>
      <c r="L32" s="1"/>
      <c r="M32" s="1"/>
      <c r="N32" s="1"/>
      <c r="O32" s="1"/>
    </row>
    <row r="33" spans="2:15" x14ac:dyDescent="0.2">
      <c r="B33" s="4" t="s">
        <v>5</v>
      </c>
      <c r="C33" s="3" t="s">
        <v>6</v>
      </c>
      <c r="D33" s="3"/>
      <c r="E33" s="3"/>
      <c r="F33" s="20">
        <v>-7143.75</v>
      </c>
      <c r="G33" s="10" t="s">
        <v>26</v>
      </c>
      <c r="H33" s="4" t="s">
        <v>17</v>
      </c>
      <c r="I33" s="4" t="s">
        <v>71</v>
      </c>
      <c r="K33" s="11"/>
      <c r="L33" s="1"/>
      <c r="M33" s="1"/>
      <c r="N33" s="1"/>
      <c r="O33" s="1"/>
    </row>
    <row r="34" spans="2:15" x14ac:dyDescent="0.2">
      <c r="B34" s="4" t="s">
        <v>5</v>
      </c>
      <c r="C34" s="3" t="s">
        <v>7</v>
      </c>
      <c r="D34" s="3"/>
      <c r="E34" s="3"/>
      <c r="F34" s="20">
        <v>1701.92</v>
      </c>
      <c r="G34" s="10" t="s">
        <v>33</v>
      </c>
      <c r="H34" s="4" t="s">
        <v>12</v>
      </c>
      <c r="I34" s="4" t="s">
        <v>71</v>
      </c>
    </row>
    <row r="35" spans="2:15" x14ac:dyDescent="0.2">
      <c r="B35" s="4" t="s">
        <v>5</v>
      </c>
      <c r="C35" s="3" t="s">
        <v>6</v>
      </c>
      <c r="D35" s="3"/>
      <c r="E35" s="3"/>
      <c r="F35" s="20">
        <v>-1701.92</v>
      </c>
      <c r="G35" s="10" t="s">
        <v>33</v>
      </c>
      <c r="H35" s="4" t="s">
        <v>12</v>
      </c>
      <c r="I35" s="4" t="s">
        <v>71</v>
      </c>
    </row>
    <row r="36" spans="2:15" x14ac:dyDescent="0.2">
      <c r="B36" s="4" t="s">
        <v>5</v>
      </c>
      <c r="C36" s="3" t="s">
        <v>7</v>
      </c>
      <c r="D36" s="3"/>
      <c r="E36" s="3"/>
      <c r="F36" s="20">
        <v>474.44</v>
      </c>
      <c r="G36" s="10" t="s">
        <v>43</v>
      </c>
      <c r="H36" s="4" t="s">
        <v>12</v>
      </c>
      <c r="I36" s="4" t="s">
        <v>71</v>
      </c>
    </row>
    <row r="37" spans="2:15" x14ac:dyDescent="0.2">
      <c r="B37" s="4" t="s">
        <v>5</v>
      </c>
      <c r="C37" s="3" t="s">
        <v>6</v>
      </c>
      <c r="D37" s="3"/>
      <c r="E37" s="3"/>
      <c r="F37" s="20">
        <v>-474.44</v>
      </c>
      <c r="G37" s="10" t="s">
        <v>43</v>
      </c>
      <c r="H37" s="4" t="s">
        <v>12</v>
      </c>
      <c r="I37" s="4" t="s">
        <v>71</v>
      </c>
    </row>
    <row r="38" spans="2:15" x14ac:dyDescent="0.2">
      <c r="B38" s="4" t="s">
        <v>5</v>
      </c>
      <c r="C38" s="3" t="s">
        <v>7</v>
      </c>
      <c r="D38" s="3"/>
      <c r="E38" s="3"/>
      <c r="F38" s="20">
        <v>665.42</v>
      </c>
      <c r="G38" s="10" t="s">
        <v>44</v>
      </c>
      <c r="H38" s="4" t="s">
        <v>12</v>
      </c>
      <c r="I38" s="4" t="s">
        <v>71</v>
      </c>
    </row>
    <row r="39" spans="2:15" x14ac:dyDescent="0.2">
      <c r="B39" s="4" t="s">
        <v>5</v>
      </c>
      <c r="C39" s="3" t="s">
        <v>6</v>
      </c>
      <c r="D39" s="3"/>
      <c r="E39" s="3"/>
      <c r="F39" s="20">
        <v>-665.42</v>
      </c>
      <c r="G39" s="10" t="s">
        <v>44</v>
      </c>
      <c r="H39" s="4" t="s">
        <v>12</v>
      </c>
      <c r="I39" s="4" t="s">
        <v>71</v>
      </c>
    </row>
    <row r="40" spans="2:15" x14ac:dyDescent="0.2">
      <c r="B40" s="4" t="s">
        <v>5</v>
      </c>
      <c r="C40" s="3" t="s">
        <v>7</v>
      </c>
      <c r="D40" s="3"/>
      <c r="E40" s="3"/>
      <c r="F40" s="20">
        <v>1493.25</v>
      </c>
      <c r="G40" s="10" t="s">
        <v>45</v>
      </c>
      <c r="H40" s="4" t="s">
        <v>12</v>
      </c>
      <c r="I40" s="4" t="s">
        <v>71</v>
      </c>
    </row>
    <row r="41" spans="2:15" x14ac:dyDescent="0.2">
      <c r="B41" s="4" t="s">
        <v>5</v>
      </c>
      <c r="C41" s="3" t="s">
        <v>6</v>
      </c>
      <c r="D41" s="3"/>
      <c r="E41" s="3"/>
      <c r="F41" s="20">
        <v>-1493.25</v>
      </c>
      <c r="G41" s="10" t="s">
        <v>45</v>
      </c>
      <c r="H41" s="4" t="s">
        <v>12</v>
      </c>
      <c r="I41" s="4" t="s">
        <v>71</v>
      </c>
    </row>
    <row r="42" spans="2:15" x14ac:dyDescent="0.2">
      <c r="B42" s="4" t="s">
        <v>5</v>
      </c>
      <c r="C42" s="3" t="s">
        <v>7</v>
      </c>
      <c r="D42" s="3"/>
      <c r="E42" s="3"/>
      <c r="F42" s="20">
        <v>3613.92</v>
      </c>
      <c r="G42" s="10" t="s">
        <v>47</v>
      </c>
      <c r="H42" s="4" t="s">
        <v>18</v>
      </c>
      <c r="I42" s="4" t="s">
        <v>71</v>
      </c>
    </row>
    <row r="43" spans="2:15" x14ac:dyDescent="0.2">
      <c r="B43" s="4" t="s">
        <v>5</v>
      </c>
      <c r="C43" s="3" t="s">
        <v>6</v>
      </c>
      <c r="D43" s="3"/>
      <c r="E43" s="3"/>
      <c r="F43" s="20">
        <v>-3613.92</v>
      </c>
      <c r="G43" s="10" t="s">
        <v>47</v>
      </c>
      <c r="H43" s="4" t="s">
        <v>18</v>
      </c>
      <c r="I43" s="4" t="s">
        <v>71</v>
      </c>
    </row>
    <row r="44" spans="2:15" x14ac:dyDescent="0.2">
      <c r="B44" s="4" t="s">
        <v>5</v>
      </c>
      <c r="C44" s="3" t="s">
        <v>7</v>
      </c>
      <c r="D44" s="3"/>
      <c r="E44" s="3"/>
      <c r="F44" s="20">
        <v>2562.92</v>
      </c>
      <c r="G44" s="10" t="s">
        <v>48</v>
      </c>
      <c r="H44" s="4" t="s">
        <v>12</v>
      </c>
      <c r="I44" s="4" t="s">
        <v>71</v>
      </c>
    </row>
    <row r="45" spans="2:15" x14ac:dyDescent="0.2">
      <c r="B45" s="4" t="s">
        <v>5</v>
      </c>
      <c r="C45" s="3" t="s">
        <v>6</v>
      </c>
      <c r="D45" s="3"/>
      <c r="E45" s="3"/>
      <c r="F45" s="20">
        <v>-2562.92</v>
      </c>
      <c r="G45" s="10" t="s">
        <v>48</v>
      </c>
      <c r="H45" s="4" t="s">
        <v>12</v>
      </c>
      <c r="I45" s="4" t="s">
        <v>71</v>
      </c>
    </row>
    <row r="46" spans="2:15" x14ac:dyDescent="0.2">
      <c r="B46" s="4" t="s">
        <v>5</v>
      </c>
      <c r="C46" s="3" t="s">
        <v>7</v>
      </c>
      <c r="D46" s="3"/>
      <c r="E46" s="3"/>
      <c r="F46" s="20">
        <v>1101.83</v>
      </c>
      <c r="G46" s="10" t="s">
        <v>55</v>
      </c>
      <c r="H46" s="4" t="s">
        <v>12</v>
      </c>
      <c r="I46" s="4" t="s">
        <v>71</v>
      </c>
    </row>
    <row r="47" spans="2:15" x14ac:dyDescent="0.2">
      <c r="B47" s="4" t="s">
        <v>5</v>
      </c>
      <c r="C47" s="3" t="s">
        <v>6</v>
      </c>
      <c r="D47" s="3"/>
      <c r="E47" s="3"/>
      <c r="F47" s="20">
        <v>-1101.83</v>
      </c>
      <c r="G47" s="10" t="s">
        <v>55</v>
      </c>
      <c r="H47" s="4" t="s">
        <v>12</v>
      </c>
      <c r="I47" s="4" t="s">
        <v>71</v>
      </c>
    </row>
    <row r="48" spans="2:15" x14ac:dyDescent="0.2">
      <c r="B48" s="4" t="s">
        <v>5</v>
      </c>
      <c r="C48" s="3" t="s">
        <v>7</v>
      </c>
      <c r="D48" s="3"/>
      <c r="E48" s="3"/>
      <c r="F48" s="20">
        <v>973.55</v>
      </c>
      <c r="G48" s="10" t="s">
        <v>57</v>
      </c>
      <c r="H48" s="4" t="s">
        <v>12</v>
      </c>
      <c r="I48" s="4" t="s">
        <v>71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-973.55</v>
      </c>
      <c r="G49" s="10" t="s">
        <v>57</v>
      </c>
      <c r="H49" s="4" t="s">
        <v>12</v>
      </c>
      <c r="I49" s="4" t="s">
        <v>71</v>
      </c>
    </row>
    <row r="50" spans="2:9" x14ac:dyDescent="0.2">
      <c r="B50" s="4" t="s">
        <v>5</v>
      </c>
      <c r="C50" s="3" t="s">
        <v>62</v>
      </c>
      <c r="D50" s="3"/>
      <c r="E50" s="3"/>
      <c r="F50" s="20">
        <v>6666.67</v>
      </c>
      <c r="G50" s="10" t="s">
        <v>64</v>
      </c>
      <c r="H50" s="4" t="s">
        <v>12</v>
      </c>
      <c r="I50" s="4" t="s">
        <v>71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-6666.67</v>
      </c>
      <c r="G51" s="10" t="s">
        <v>64</v>
      </c>
      <c r="H51" s="4" t="s">
        <v>12</v>
      </c>
      <c r="I51" s="4" t="s">
        <v>71</v>
      </c>
    </row>
    <row r="52" spans="2:9" x14ac:dyDescent="0.2">
      <c r="B52" s="4" t="s">
        <v>5</v>
      </c>
      <c r="C52" s="3" t="s">
        <v>62</v>
      </c>
      <c r="D52" s="3"/>
      <c r="E52" s="3"/>
      <c r="F52" s="20">
        <v>33416.67</v>
      </c>
      <c r="G52" s="10" t="s">
        <v>65</v>
      </c>
      <c r="H52" s="4" t="s">
        <v>12</v>
      </c>
      <c r="I52" s="4" t="s">
        <v>71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-33416.67</v>
      </c>
      <c r="G53" s="10" t="s">
        <v>65</v>
      </c>
      <c r="H53" s="4" t="s">
        <v>12</v>
      </c>
      <c r="I53" s="4" t="s">
        <v>71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949.17</v>
      </c>
      <c r="G54" s="10" t="s">
        <v>67</v>
      </c>
      <c r="H54" s="4" t="s">
        <v>12</v>
      </c>
      <c r="I54" s="4" t="s">
        <v>71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-949.17</v>
      </c>
      <c r="G55" s="10" t="s">
        <v>67</v>
      </c>
      <c r="H55" s="4" t="s">
        <v>12</v>
      </c>
      <c r="I55" s="4" t="s">
        <v>71</v>
      </c>
    </row>
    <row r="56" spans="2:9" x14ac:dyDescent="0.2">
      <c r="B56" s="4" t="s">
        <v>5</v>
      </c>
      <c r="C56" s="3" t="s">
        <v>62</v>
      </c>
      <c r="D56" s="3"/>
      <c r="E56" s="3"/>
      <c r="F56" s="20">
        <v>371.48</v>
      </c>
      <c r="G56" s="10" t="s">
        <v>68</v>
      </c>
      <c r="H56" s="4" t="s">
        <v>12</v>
      </c>
      <c r="I56" s="4" t="s">
        <v>71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-371.48</v>
      </c>
      <c r="G57" s="10" t="s">
        <v>68</v>
      </c>
      <c r="H57" s="4" t="s">
        <v>12</v>
      </c>
      <c r="I57" s="4" t="s">
        <v>71</v>
      </c>
    </row>
    <row r="61" spans="2:9" ht="15" thickBot="1" x14ac:dyDescent="0.25">
      <c r="C61" t="s">
        <v>14</v>
      </c>
      <c r="F61" s="21">
        <f>SUMIF(F32:F60,"&lt;0",F32:F60)</f>
        <v>-61134.990000000005</v>
      </c>
      <c r="G61" t="s">
        <v>13</v>
      </c>
    </row>
    <row r="62" spans="2:9" ht="15" thickTop="1" x14ac:dyDescent="0.2"/>
  </sheetData>
  <autoFilter ref="B6:I6" xr:uid="{E75F0CD7-8C26-4173-8973-B3509135FC85}"/>
  <hyperlinks>
    <hyperlink ref="F1" r:id="rId1" xr:uid="{C26F4300-0B6B-42A8-912A-2F1409482605}"/>
  </hyperlinks>
  <pageMargins left="0.7" right="0.7" top="0.75" bottom="0.75" header="0.3" footer="0.3"/>
  <pageSetup paperSize="9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AE07-08FB-4A4F-8ABE-B1D4E03F69AF}">
  <sheetPr>
    <tabColor theme="9" tint="0.59999389629810485"/>
  </sheetPr>
  <dimension ref="A1:O72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1" t="s">
        <v>34</v>
      </c>
      <c r="C7" s="3" t="s">
        <v>35</v>
      </c>
      <c r="D7" s="3" t="s">
        <v>36</v>
      </c>
      <c r="E7" s="3" t="s">
        <v>37</v>
      </c>
      <c r="F7" s="20">
        <v>372</v>
      </c>
      <c r="G7" s="10" t="s">
        <v>38</v>
      </c>
      <c r="H7" s="4" t="s">
        <v>12</v>
      </c>
      <c r="I7" s="4" t="s">
        <v>69</v>
      </c>
      <c r="J7" s="11"/>
      <c r="K7" s="11"/>
      <c r="L7" s="1"/>
      <c r="M7" s="1"/>
      <c r="N7" s="1"/>
      <c r="O7" s="1"/>
    </row>
    <row r="8" spans="1:15" x14ac:dyDescent="0.2">
      <c r="A8" s="1"/>
      <c r="B8" s="1" t="s">
        <v>1</v>
      </c>
      <c r="C8" s="3" t="s">
        <v>2</v>
      </c>
      <c r="D8" s="3"/>
      <c r="E8" s="3"/>
      <c r="F8" s="20">
        <v>-372</v>
      </c>
      <c r="G8" s="10" t="s">
        <v>38</v>
      </c>
      <c r="H8" s="4" t="s">
        <v>12</v>
      </c>
      <c r="I8" s="4" t="s">
        <v>69</v>
      </c>
      <c r="J8" s="11"/>
      <c r="K8" s="11"/>
      <c r="L8" s="1"/>
      <c r="M8" s="1"/>
      <c r="N8" s="1"/>
      <c r="O8" s="1"/>
    </row>
    <row r="9" spans="1:15" x14ac:dyDescent="0.2">
      <c r="A9" s="1"/>
      <c r="B9" s="1" t="s">
        <v>5</v>
      </c>
      <c r="C9" s="3" t="s">
        <v>39</v>
      </c>
      <c r="F9" s="20">
        <v>6601.56</v>
      </c>
      <c r="G9" s="10" t="s">
        <v>40</v>
      </c>
      <c r="H9" s="4" t="s">
        <v>12</v>
      </c>
      <c r="I9" s="4" t="s">
        <v>69</v>
      </c>
      <c r="J9" s="11"/>
      <c r="K9" s="11"/>
      <c r="L9" s="1"/>
      <c r="M9" s="1"/>
      <c r="N9" s="1"/>
      <c r="O9" s="1"/>
    </row>
    <row r="10" spans="1:15" x14ac:dyDescent="0.2">
      <c r="A10" s="1"/>
      <c r="B10" s="1" t="s">
        <v>1</v>
      </c>
      <c r="C10" s="3" t="s">
        <v>2</v>
      </c>
      <c r="D10" s="3"/>
      <c r="E10" s="3"/>
      <c r="F10" s="20">
        <v>-6601.56</v>
      </c>
      <c r="G10" s="10" t="s">
        <v>40</v>
      </c>
      <c r="H10" s="4" t="s">
        <v>12</v>
      </c>
      <c r="I10" s="4" t="s">
        <v>69</v>
      </c>
      <c r="J10" s="11"/>
      <c r="K10" s="11"/>
      <c r="L10" s="1"/>
      <c r="M10" s="1"/>
      <c r="N10" s="1"/>
      <c r="O10" s="1"/>
    </row>
    <row r="11" spans="1:15" x14ac:dyDescent="0.2">
      <c r="A11" s="1"/>
      <c r="B11" s="1" t="s">
        <v>5</v>
      </c>
      <c r="C11" s="3" t="s">
        <v>49</v>
      </c>
      <c r="D11" s="3"/>
      <c r="E11" s="3"/>
      <c r="F11" s="20">
        <v>17101.05</v>
      </c>
      <c r="G11" s="10" t="s">
        <v>50</v>
      </c>
      <c r="H11" s="4" t="s">
        <v>51</v>
      </c>
      <c r="I11" s="4" t="s">
        <v>69</v>
      </c>
      <c r="J11" s="11"/>
      <c r="K11" s="11"/>
      <c r="L11" s="1"/>
      <c r="M11" s="1"/>
      <c r="N11" s="1"/>
      <c r="O11" s="1"/>
    </row>
    <row r="12" spans="1:15" x14ac:dyDescent="0.2">
      <c r="A12" s="1"/>
      <c r="B12" s="1" t="s">
        <v>1</v>
      </c>
      <c r="C12" s="3" t="s">
        <v>2</v>
      </c>
      <c r="D12" s="3"/>
      <c r="E12" s="3"/>
      <c r="F12" s="20">
        <v>-17101.05</v>
      </c>
      <c r="G12" s="10" t="s">
        <v>50</v>
      </c>
      <c r="H12" s="4" t="s">
        <v>51</v>
      </c>
      <c r="I12" s="4" t="s">
        <v>69</v>
      </c>
      <c r="J12" s="11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53</v>
      </c>
      <c r="D13" s="3"/>
      <c r="E13" s="3"/>
      <c r="F13" s="20">
        <v>5042.0600000000004</v>
      </c>
      <c r="G13" s="30" t="s">
        <v>54</v>
      </c>
      <c r="H13" s="4" t="s">
        <v>12</v>
      </c>
      <c r="I13" s="4" t="s">
        <v>69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-5042.0600000000004</v>
      </c>
      <c r="G14" s="30" t="s">
        <v>54</v>
      </c>
      <c r="H14" s="4" t="s">
        <v>12</v>
      </c>
      <c r="I14" s="4" t="s">
        <v>69</v>
      </c>
      <c r="J14" s="23"/>
      <c r="K14" s="11"/>
      <c r="L14" s="1"/>
      <c r="M14" s="1"/>
      <c r="N14" s="1"/>
      <c r="O14" s="1"/>
    </row>
    <row r="15" spans="1:15" x14ac:dyDescent="0.2">
      <c r="A15" s="1"/>
      <c r="B15" s="24" t="s">
        <v>5</v>
      </c>
      <c r="C15" s="25" t="s">
        <v>60</v>
      </c>
      <c r="D15" s="25"/>
      <c r="E15" s="25"/>
      <c r="F15" s="26">
        <v>1291.67</v>
      </c>
      <c r="G15" s="29" t="s">
        <v>59</v>
      </c>
      <c r="H15" s="28" t="s">
        <v>12</v>
      </c>
      <c r="I15" s="28" t="s">
        <v>69</v>
      </c>
      <c r="J15" s="23"/>
      <c r="K15" s="11"/>
      <c r="L15" s="1"/>
      <c r="M15" s="1"/>
      <c r="N15" s="1"/>
      <c r="O15" s="1"/>
    </row>
    <row r="16" spans="1:15" x14ac:dyDescent="0.2">
      <c r="A16" s="1"/>
      <c r="B16" s="24" t="s">
        <v>5</v>
      </c>
      <c r="C16" s="25" t="s">
        <v>61</v>
      </c>
      <c r="D16" s="25"/>
      <c r="E16" s="25"/>
      <c r="F16" s="26">
        <v>1291.67</v>
      </c>
      <c r="G16" s="29" t="s">
        <v>59</v>
      </c>
      <c r="H16" s="28" t="s">
        <v>12</v>
      </c>
      <c r="I16" s="28" t="s">
        <v>69</v>
      </c>
      <c r="J16" s="23"/>
      <c r="K16" s="11"/>
      <c r="L16" s="1"/>
      <c r="M16" s="1"/>
      <c r="N16" s="1"/>
      <c r="O16" s="1"/>
    </row>
    <row r="17" spans="1:15" x14ac:dyDescent="0.2">
      <c r="A17" s="1"/>
      <c r="B17" s="24" t="s">
        <v>1</v>
      </c>
      <c r="C17" s="25" t="s">
        <v>2</v>
      </c>
      <c r="D17" s="25"/>
      <c r="E17" s="25"/>
      <c r="F17" s="26">
        <v>-2583.34</v>
      </c>
      <c r="G17" s="29" t="s">
        <v>59</v>
      </c>
      <c r="H17" s="28" t="s">
        <v>12</v>
      </c>
      <c r="I17" s="28" t="s">
        <v>69</v>
      </c>
      <c r="J17" s="23"/>
      <c r="K17" s="11"/>
      <c r="L17" s="1"/>
      <c r="M17" s="1"/>
      <c r="N17" s="1"/>
      <c r="O17" s="1"/>
    </row>
    <row r="18" spans="1:15" x14ac:dyDescent="0.2">
      <c r="A18" s="1"/>
      <c r="B18" s="1" t="s">
        <v>5</v>
      </c>
      <c r="C18" s="3" t="s">
        <v>10</v>
      </c>
      <c r="D18" s="3"/>
      <c r="E18" s="3"/>
      <c r="F18" s="20">
        <v>487.25</v>
      </c>
      <c r="G18" s="30" t="s">
        <v>46</v>
      </c>
      <c r="H18" s="4" t="s">
        <v>12</v>
      </c>
      <c r="I18" s="4" t="s">
        <v>69</v>
      </c>
      <c r="J18" s="23"/>
      <c r="K18" s="11"/>
      <c r="L18" s="1"/>
      <c r="M18" s="1"/>
      <c r="N18" s="1"/>
      <c r="O18" s="1"/>
    </row>
    <row r="19" spans="1:15" x14ac:dyDescent="0.2">
      <c r="A19" s="1"/>
      <c r="B19" s="1" t="s">
        <v>5</v>
      </c>
      <c r="C19" s="3" t="s">
        <v>52</v>
      </c>
      <c r="D19" s="3"/>
      <c r="E19" s="3"/>
      <c r="F19" s="20">
        <v>-487.25</v>
      </c>
      <c r="G19" s="30" t="s">
        <v>46</v>
      </c>
      <c r="H19" s="4" t="s">
        <v>12</v>
      </c>
      <c r="I19" s="4" t="s">
        <v>69</v>
      </c>
      <c r="J19" s="23"/>
      <c r="K19" s="11"/>
      <c r="L19" s="1"/>
      <c r="M19" s="1"/>
      <c r="N19" s="1"/>
      <c r="O19" s="1"/>
    </row>
    <row r="20" spans="1:15" x14ac:dyDescent="0.2">
      <c r="A20" s="1"/>
      <c r="B20" s="1" t="s">
        <v>5</v>
      </c>
      <c r="C20" s="3" t="s">
        <v>4</v>
      </c>
      <c r="D20" s="3"/>
      <c r="E20" s="3"/>
      <c r="F20" s="20">
        <v>44404.480000000003</v>
      </c>
      <c r="G20" s="30" t="s">
        <v>42</v>
      </c>
      <c r="H20" s="4"/>
      <c r="I20" s="4" t="s">
        <v>69</v>
      </c>
      <c r="J20" s="11"/>
      <c r="K20" s="11"/>
      <c r="L20" s="1"/>
      <c r="M20" s="1"/>
      <c r="N20" s="1"/>
      <c r="O20" s="1"/>
    </row>
    <row r="21" spans="1:15" x14ac:dyDescent="0.2">
      <c r="A21" s="1"/>
      <c r="B21" s="1" t="s">
        <v>1</v>
      </c>
      <c r="C21" s="3" t="s">
        <v>16</v>
      </c>
      <c r="D21" s="3"/>
      <c r="E21" s="3"/>
      <c r="F21" s="20">
        <v>-44404.480000000003</v>
      </c>
      <c r="G21" s="30" t="s">
        <v>42</v>
      </c>
      <c r="H21" s="4"/>
      <c r="I21" s="4" t="s">
        <v>69</v>
      </c>
      <c r="J21" s="11"/>
      <c r="K21" s="11"/>
      <c r="L21" s="1"/>
      <c r="M21" s="1"/>
      <c r="N21" s="1"/>
      <c r="O21" s="1"/>
    </row>
    <row r="22" spans="1:15" x14ac:dyDescent="0.2">
      <c r="A22" s="1"/>
      <c r="B22" s="19" t="s">
        <v>5</v>
      </c>
      <c r="C22" s="17" t="s">
        <v>11</v>
      </c>
      <c r="D22" s="17"/>
      <c r="E22" s="17"/>
      <c r="F22" s="22">
        <v>5750</v>
      </c>
      <c r="G22" s="31" t="s">
        <v>66</v>
      </c>
      <c r="H22" s="16" t="s">
        <v>12</v>
      </c>
      <c r="I22" s="16" t="s">
        <v>69</v>
      </c>
      <c r="J22" s="11"/>
      <c r="K22" s="11"/>
      <c r="L22" s="1"/>
      <c r="M22" s="1"/>
      <c r="N22" s="1"/>
      <c r="O22" s="1"/>
    </row>
    <row r="23" spans="1:15" x14ac:dyDescent="0.2">
      <c r="A23" s="1"/>
      <c r="B23" s="19" t="s">
        <v>1</v>
      </c>
      <c r="C23" s="17" t="s">
        <v>2</v>
      </c>
      <c r="D23" s="17"/>
      <c r="E23" s="17"/>
      <c r="F23" s="22">
        <v>-5750</v>
      </c>
      <c r="G23" s="31" t="s">
        <v>66</v>
      </c>
      <c r="H23" s="16" t="s">
        <v>12</v>
      </c>
      <c r="I23" s="16" t="s">
        <v>69</v>
      </c>
      <c r="J23" s="11"/>
      <c r="K23" s="11"/>
      <c r="L23" s="1"/>
      <c r="M23" s="1"/>
      <c r="N23" s="1"/>
      <c r="O23" s="1"/>
    </row>
    <row r="24" spans="1:15" x14ac:dyDescent="0.2">
      <c r="A24" s="1"/>
      <c r="B24" s="1"/>
      <c r="C24" s="3"/>
      <c r="D24" s="3"/>
      <c r="E24" s="3"/>
      <c r="F24" s="20"/>
      <c r="G24" s="30"/>
      <c r="H24" s="4"/>
      <c r="I24" s="4"/>
      <c r="J24" s="11"/>
      <c r="K24" s="11"/>
      <c r="L24" s="1"/>
      <c r="M24" s="1"/>
      <c r="N24" s="1"/>
      <c r="O24" s="1"/>
    </row>
    <row r="25" spans="1:15" x14ac:dyDescent="0.2">
      <c r="A25" s="1"/>
      <c r="B25" s="1"/>
      <c r="C25" s="3"/>
      <c r="D25" s="3"/>
      <c r="E25" s="3"/>
      <c r="F25" s="20"/>
      <c r="G25" s="30"/>
      <c r="H25" s="4"/>
      <c r="I25" s="4"/>
      <c r="J25" s="11"/>
      <c r="K25" s="11"/>
      <c r="L25" s="1"/>
      <c r="M25" s="1"/>
      <c r="N25" s="1"/>
      <c r="O25" s="1"/>
    </row>
    <row r="26" spans="1:15" x14ac:dyDescent="0.2">
      <c r="A26" s="1"/>
      <c r="B26" s="1"/>
      <c r="C26" s="12"/>
      <c r="D26" s="12"/>
      <c r="E26" s="12"/>
      <c r="F26" s="5"/>
      <c r="G26" s="13"/>
      <c r="H26" s="4"/>
      <c r="I26" s="4"/>
      <c r="J26" s="7"/>
      <c r="K26" s="11"/>
      <c r="L26" s="1"/>
      <c r="M26" s="1"/>
      <c r="N26" s="1"/>
      <c r="O26" s="1"/>
    </row>
    <row r="27" spans="1:15" ht="15" thickBot="1" x14ac:dyDescent="0.25">
      <c r="A27" s="1"/>
      <c r="B27" s="1"/>
      <c r="C27" s="3" t="s">
        <v>15</v>
      </c>
      <c r="D27" s="3"/>
      <c r="E27" s="3"/>
      <c r="F27" s="21">
        <f>SUMIF(F7:F21,"&lt;0",F7:F21)</f>
        <v>-76591.740000000005</v>
      </c>
      <c r="G27" s="13" t="s">
        <v>13</v>
      </c>
      <c r="H27" s="4"/>
      <c r="I27" s="4"/>
      <c r="J27" s="7"/>
      <c r="K27" s="11"/>
      <c r="L27" s="1"/>
      <c r="M27" s="1"/>
      <c r="N27" s="1"/>
      <c r="O27" s="1"/>
    </row>
    <row r="28" spans="1:15" ht="15" thickTop="1" x14ac:dyDescent="0.2">
      <c r="A28" s="1"/>
      <c r="B28" s="1"/>
      <c r="C28" s="3"/>
      <c r="D28" s="3"/>
      <c r="E28" s="3"/>
      <c r="F28" s="5"/>
      <c r="G28" s="10"/>
      <c r="H28" s="4"/>
      <c r="I28" s="4"/>
      <c r="J28" s="7"/>
      <c r="K28" s="11"/>
      <c r="L28" s="1"/>
      <c r="M28" s="1"/>
      <c r="N28" s="1"/>
      <c r="O28" s="1"/>
    </row>
    <row r="29" spans="1:15" x14ac:dyDescent="0.2">
      <c r="K29" s="11"/>
      <c r="L29" s="1"/>
      <c r="M29" s="1"/>
      <c r="N29" s="1"/>
      <c r="O29" s="1"/>
    </row>
    <row r="30" spans="1:15" x14ac:dyDescent="0.2">
      <c r="K30" s="11"/>
      <c r="L30" s="1"/>
      <c r="M30" s="1"/>
      <c r="N30" s="1"/>
      <c r="O30" s="1"/>
    </row>
    <row r="31" spans="1:15" x14ac:dyDescent="0.2">
      <c r="K31" s="11"/>
      <c r="L31" s="1"/>
      <c r="M31" s="1"/>
      <c r="N31" s="1"/>
      <c r="O31" s="1"/>
    </row>
    <row r="32" spans="1:15" x14ac:dyDescent="0.2">
      <c r="B32" s="4" t="s">
        <v>5</v>
      </c>
      <c r="C32" s="3" t="s">
        <v>7</v>
      </c>
      <c r="D32" s="3"/>
      <c r="E32" s="3"/>
      <c r="F32" s="20">
        <v>7143.75</v>
      </c>
      <c r="G32" s="10" t="s">
        <v>26</v>
      </c>
      <c r="H32" s="4" t="s">
        <v>17</v>
      </c>
      <c r="I32" s="4" t="s">
        <v>69</v>
      </c>
      <c r="K32" s="11"/>
      <c r="L32" s="1"/>
      <c r="M32" s="1"/>
      <c r="N32" s="1"/>
      <c r="O32" s="1"/>
    </row>
    <row r="33" spans="2:15" x14ac:dyDescent="0.2">
      <c r="B33" s="4" t="s">
        <v>5</v>
      </c>
      <c r="C33" s="3" t="s">
        <v>6</v>
      </c>
      <c r="D33" s="3"/>
      <c r="E33" s="3"/>
      <c r="F33" s="20">
        <v>-7143.75</v>
      </c>
      <c r="G33" s="10" t="s">
        <v>26</v>
      </c>
      <c r="H33" s="4" t="s">
        <v>17</v>
      </c>
      <c r="I33" s="4" t="s">
        <v>69</v>
      </c>
      <c r="K33" s="11"/>
      <c r="L33" s="1"/>
      <c r="M33" s="1"/>
      <c r="N33" s="1"/>
      <c r="O33" s="1"/>
    </row>
    <row r="34" spans="2:15" x14ac:dyDescent="0.2">
      <c r="B34" s="4" t="s">
        <v>5</v>
      </c>
      <c r="C34" s="3" t="s">
        <v>7</v>
      </c>
      <c r="D34" s="3"/>
      <c r="E34" s="3"/>
      <c r="F34" s="20">
        <v>1079.17</v>
      </c>
      <c r="G34" s="10" t="s">
        <v>32</v>
      </c>
      <c r="H34" s="4" t="s">
        <v>12</v>
      </c>
      <c r="I34" s="4" t="s">
        <v>69</v>
      </c>
    </row>
    <row r="35" spans="2:15" x14ac:dyDescent="0.2">
      <c r="B35" s="4" t="s">
        <v>5</v>
      </c>
      <c r="C35" s="3" t="s">
        <v>6</v>
      </c>
      <c r="D35" s="3"/>
      <c r="E35" s="3"/>
      <c r="F35" s="20">
        <v>-1079.17</v>
      </c>
      <c r="G35" s="10" t="s">
        <v>32</v>
      </c>
      <c r="H35" s="4" t="s">
        <v>12</v>
      </c>
      <c r="I35" s="4" t="s">
        <v>69</v>
      </c>
    </row>
    <row r="36" spans="2:15" x14ac:dyDescent="0.2">
      <c r="B36" s="4" t="s">
        <v>5</v>
      </c>
      <c r="C36" s="3" t="s">
        <v>7</v>
      </c>
      <c r="D36" s="3"/>
      <c r="E36" s="3"/>
      <c r="F36" s="20">
        <v>1701.92</v>
      </c>
      <c r="G36" s="10" t="s">
        <v>33</v>
      </c>
      <c r="H36" s="4" t="s">
        <v>12</v>
      </c>
      <c r="I36" s="4" t="s">
        <v>69</v>
      </c>
    </row>
    <row r="37" spans="2:15" x14ac:dyDescent="0.2">
      <c r="B37" s="4" t="s">
        <v>5</v>
      </c>
      <c r="C37" s="3" t="s">
        <v>6</v>
      </c>
      <c r="D37" s="3"/>
      <c r="E37" s="3"/>
      <c r="F37" s="20">
        <v>-1701.92</v>
      </c>
      <c r="G37" s="10" t="s">
        <v>33</v>
      </c>
      <c r="H37" s="4" t="s">
        <v>12</v>
      </c>
      <c r="I37" s="4" t="s">
        <v>69</v>
      </c>
    </row>
    <row r="38" spans="2:15" x14ac:dyDescent="0.2">
      <c r="B38" s="4" t="s">
        <v>5</v>
      </c>
      <c r="C38" s="3" t="s">
        <v>7</v>
      </c>
      <c r="D38" s="3"/>
      <c r="E38" s="3"/>
      <c r="F38" s="20">
        <v>3202.58</v>
      </c>
      <c r="G38" s="10" t="s">
        <v>41</v>
      </c>
      <c r="H38" s="4" t="s">
        <v>12</v>
      </c>
      <c r="I38" s="4" t="s">
        <v>69</v>
      </c>
    </row>
    <row r="39" spans="2:15" x14ac:dyDescent="0.2">
      <c r="B39" s="4" t="s">
        <v>5</v>
      </c>
      <c r="C39" s="3" t="s">
        <v>6</v>
      </c>
      <c r="D39" s="3"/>
      <c r="E39" s="3"/>
      <c r="F39" s="20">
        <v>-3202.58</v>
      </c>
      <c r="G39" s="10" t="s">
        <v>41</v>
      </c>
      <c r="H39" s="4" t="s">
        <v>12</v>
      </c>
      <c r="I39" s="4" t="s">
        <v>69</v>
      </c>
    </row>
    <row r="40" spans="2:15" x14ac:dyDescent="0.2">
      <c r="B40" s="4" t="s">
        <v>5</v>
      </c>
      <c r="C40" s="3" t="s">
        <v>7</v>
      </c>
      <c r="D40" s="3"/>
      <c r="E40" s="3"/>
      <c r="F40" s="20">
        <v>474.44</v>
      </c>
      <c r="G40" s="10" t="s">
        <v>43</v>
      </c>
      <c r="H40" s="4" t="s">
        <v>12</v>
      </c>
      <c r="I40" s="4" t="s">
        <v>69</v>
      </c>
    </row>
    <row r="41" spans="2:15" x14ac:dyDescent="0.2">
      <c r="B41" s="4" t="s">
        <v>5</v>
      </c>
      <c r="C41" s="3" t="s">
        <v>6</v>
      </c>
      <c r="D41" s="3"/>
      <c r="E41" s="3"/>
      <c r="F41" s="20">
        <v>-474.44</v>
      </c>
      <c r="G41" s="10" t="s">
        <v>43</v>
      </c>
      <c r="H41" s="4" t="s">
        <v>12</v>
      </c>
      <c r="I41" s="4" t="s">
        <v>69</v>
      </c>
    </row>
    <row r="42" spans="2:15" x14ac:dyDescent="0.2">
      <c r="B42" s="4" t="s">
        <v>5</v>
      </c>
      <c r="C42" s="3" t="s">
        <v>7</v>
      </c>
      <c r="D42" s="3"/>
      <c r="E42" s="3"/>
      <c r="F42" s="20">
        <v>665.42</v>
      </c>
      <c r="G42" s="10" t="s">
        <v>44</v>
      </c>
      <c r="H42" s="4" t="s">
        <v>12</v>
      </c>
      <c r="I42" s="4" t="s">
        <v>69</v>
      </c>
    </row>
    <row r="43" spans="2:15" x14ac:dyDescent="0.2">
      <c r="B43" s="4" t="s">
        <v>5</v>
      </c>
      <c r="C43" s="3" t="s">
        <v>6</v>
      </c>
      <c r="D43" s="3"/>
      <c r="E43" s="3"/>
      <c r="F43" s="20">
        <v>-665.42</v>
      </c>
      <c r="G43" s="10" t="s">
        <v>44</v>
      </c>
      <c r="H43" s="4" t="s">
        <v>12</v>
      </c>
      <c r="I43" s="4" t="s">
        <v>69</v>
      </c>
    </row>
    <row r="44" spans="2:15" x14ac:dyDescent="0.2">
      <c r="B44" s="4" t="s">
        <v>5</v>
      </c>
      <c r="C44" s="3" t="s">
        <v>7</v>
      </c>
      <c r="D44" s="3"/>
      <c r="E44" s="3"/>
      <c r="F44" s="20">
        <v>1493.25</v>
      </c>
      <c r="G44" s="10" t="s">
        <v>45</v>
      </c>
      <c r="H44" s="4" t="s">
        <v>12</v>
      </c>
      <c r="I44" s="4" t="s">
        <v>69</v>
      </c>
    </row>
    <row r="45" spans="2:15" x14ac:dyDescent="0.2">
      <c r="B45" s="4" t="s">
        <v>5</v>
      </c>
      <c r="C45" s="3" t="s">
        <v>6</v>
      </c>
      <c r="D45" s="3"/>
      <c r="E45" s="3"/>
      <c r="F45" s="20">
        <v>-1493.25</v>
      </c>
      <c r="G45" s="10" t="s">
        <v>45</v>
      </c>
      <c r="H45" s="4" t="s">
        <v>12</v>
      </c>
      <c r="I45" s="4" t="s">
        <v>69</v>
      </c>
    </row>
    <row r="46" spans="2:15" x14ac:dyDescent="0.2">
      <c r="B46" s="4" t="s">
        <v>5</v>
      </c>
      <c r="C46" s="3" t="s">
        <v>7</v>
      </c>
      <c r="D46" s="3"/>
      <c r="E46" s="3"/>
      <c r="F46" s="20">
        <v>3613.92</v>
      </c>
      <c r="G46" s="10" t="s">
        <v>47</v>
      </c>
      <c r="H46" s="4" t="s">
        <v>18</v>
      </c>
      <c r="I46" s="4" t="s">
        <v>69</v>
      </c>
    </row>
    <row r="47" spans="2:15" x14ac:dyDescent="0.2">
      <c r="B47" s="4" t="s">
        <v>5</v>
      </c>
      <c r="C47" s="3" t="s">
        <v>6</v>
      </c>
      <c r="D47" s="3"/>
      <c r="E47" s="3"/>
      <c r="F47" s="20">
        <v>-3613.92</v>
      </c>
      <c r="G47" s="10" t="s">
        <v>47</v>
      </c>
      <c r="H47" s="4" t="s">
        <v>18</v>
      </c>
      <c r="I47" s="4" t="s">
        <v>69</v>
      </c>
    </row>
    <row r="48" spans="2:15" x14ac:dyDescent="0.2">
      <c r="B48" s="4" t="s">
        <v>5</v>
      </c>
      <c r="C48" s="3" t="s">
        <v>7</v>
      </c>
      <c r="D48" s="3"/>
      <c r="E48" s="3"/>
      <c r="F48" s="20">
        <v>2562.92</v>
      </c>
      <c r="G48" s="10" t="s">
        <v>48</v>
      </c>
      <c r="H48" s="4" t="s">
        <v>12</v>
      </c>
      <c r="I48" s="4" t="s">
        <v>69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-2562.92</v>
      </c>
      <c r="G49" s="10" t="s">
        <v>48</v>
      </c>
      <c r="H49" s="4" t="s">
        <v>12</v>
      </c>
      <c r="I49" s="4" t="s">
        <v>69</v>
      </c>
    </row>
    <row r="50" spans="2:9" x14ac:dyDescent="0.2">
      <c r="B50" s="4" t="s">
        <v>5</v>
      </c>
      <c r="C50" s="3" t="s">
        <v>7</v>
      </c>
      <c r="D50" s="3"/>
      <c r="E50" s="3"/>
      <c r="F50" s="20">
        <v>1101.83</v>
      </c>
      <c r="G50" s="10" t="s">
        <v>55</v>
      </c>
      <c r="H50" s="4" t="s">
        <v>12</v>
      </c>
      <c r="I50" s="4" t="s">
        <v>69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-1101.83</v>
      </c>
      <c r="G51" s="10" t="s">
        <v>55</v>
      </c>
      <c r="H51" s="4" t="s">
        <v>12</v>
      </c>
      <c r="I51" s="4" t="s">
        <v>69</v>
      </c>
    </row>
    <row r="52" spans="2:9" x14ac:dyDescent="0.2">
      <c r="B52" s="4" t="s">
        <v>5</v>
      </c>
      <c r="C52" s="3" t="s">
        <v>7</v>
      </c>
      <c r="D52" s="3"/>
      <c r="E52" s="3"/>
      <c r="F52" s="20">
        <v>973.55</v>
      </c>
      <c r="G52" s="10" t="s">
        <v>57</v>
      </c>
      <c r="H52" s="4" t="s">
        <v>12</v>
      </c>
      <c r="I52" s="4" t="s">
        <v>69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-973.55</v>
      </c>
      <c r="G53" s="10" t="s">
        <v>57</v>
      </c>
      <c r="H53" s="4" t="s">
        <v>12</v>
      </c>
      <c r="I53" s="4" t="s">
        <v>69</v>
      </c>
    </row>
    <row r="54" spans="2:9" x14ac:dyDescent="0.2">
      <c r="B54" s="4" t="s">
        <v>5</v>
      </c>
      <c r="C54" s="3" t="s">
        <v>62</v>
      </c>
      <c r="D54" s="3"/>
      <c r="E54" s="3"/>
      <c r="F54" s="20">
        <v>6666.67</v>
      </c>
      <c r="G54" s="10" t="s">
        <v>64</v>
      </c>
      <c r="H54" s="4" t="s">
        <v>12</v>
      </c>
      <c r="I54" s="4" t="s">
        <v>69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-6666.67</v>
      </c>
      <c r="G55" s="10" t="s">
        <v>64</v>
      </c>
      <c r="H55" s="4" t="s">
        <v>12</v>
      </c>
      <c r="I55" s="4" t="s">
        <v>69</v>
      </c>
    </row>
    <row r="56" spans="2:9" x14ac:dyDescent="0.2">
      <c r="B56" s="4" t="s">
        <v>5</v>
      </c>
      <c r="C56" s="3" t="s">
        <v>62</v>
      </c>
      <c r="D56" s="3"/>
      <c r="E56" s="3"/>
      <c r="F56" s="20">
        <v>33416.67</v>
      </c>
      <c r="G56" s="10" t="s">
        <v>65</v>
      </c>
      <c r="H56" s="4" t="s">
        <v>12</v>
      </c>
      <c r="I56" s="4" t="s">
        <v>69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-33416.67</v>
      </c>
      <c r="G57" s="10" t="s">
        <v>65</v>
      </c>
      <c r="H57" s="4" t="s">
        <v>12</v>
      </c>
      <c r="I57" s="4" t="s">
        <v>69</v>
      </c>
    </row>
    <row r="58" spans="2:9" x14ac:dyDescent="0.2">
      <c r="B58" s="16" t="s">
        <v>5</v>
      </c>
      <c r="C58" s="17" t="s">
        <v>62</v>
      </c>
      <c r="D58" s="17"/>
      <c r="E58" s="17"/>
      <c r="F58" s="22">
        <v>949.17</v>
      </c>
      <c r="G58" s="18" t="s">
        <v>67</v>
      </c>
      <c r="H58" s="16" t="s">
        <v>12</v>
      </c>
      <c r="I58" s="16" t="s">
        <v>69</v>
      </c>
    </row>
    <row r="59" spans="2:9" x14ac:dyDescent="0.2">
      <c r="B59" s="16" t="s">
        <v>5</v>
      </c>
      <c r="C59" s="17" t="s">
        <v>6</v>
      </c>
      <c r="D59" s="17"/>
      <c r="E59" s="17"/>
      <c r="F59" s="22">
        <v>-949.17</v>
      </c>
      <c r="G59" s="18" t="s">
        <v>67</v>
      </c>
      <c r="H59" s="16" t="s">
        <v>12</v>
      </c>
      <c r="I59" s="16" t="s">
        <v>69</v>
      </c>
    </row>
    <row r="60" spans="2:9" x14ac:dyDescent="0.2">
      <c r="B60" s="16" t="s">
        <v>5</v>
      </c>
      <c r="C60" s="17" t="s">
        <v>62</v>
      </c>
      <c r="D60" s="17"/>
      <c r="E60" s="17"/>
      <c r="F60" s="22">
        <v>371.48</v>
      </c>
      <c r="G60" s="18" t="s">
        <v>68</v>
      </c>
      <c r="H60" s="16" t="s">
        <v>12</v>
      </c>
      <c r="I60" s="16" t="s">
        <v>56</v>
      </c>
    </row>
    <row r="61" spans="2:9" x14ac:dyDescent="0.2">
      <c r="B61" s="16" t="s">
        <v>5</v>
      </c>
      <c r="C61" s="17" t="s">
        <v>6</v>
      </c>
      <c r="D61" s="17"/>
      <c r="E61" s="17"/>
      <c r="F61" s="22">
        <v>-371.48</v>
      </c>
      <c r="G61" s="18" t="s">
        <v>68</v>
      </c>
      <c r="H61" s="16" t="s">
        <v>12</v>
      </c>
      <c r="I61" s="16" t="s">
        <v>56</v>
      </c>
    </row>
    <row r="62" spans="2:9" x14ac:dyDescent="0.2">
      <c r="B62" s="16" t="s">
        <v>5</v>
      </c>
      <c r="C62" s="17" t="s">
        <v>62</v>
      </c>
      <c r="D62" s="17"/>
      <c r="E62" s="17"/>
      <c r="F62" s="22">
        <v>371.48</v>
      </c>
      <c r="G62" s="18" t="s">
        <v>68</v>
      </c>
      <c r="H62" s="16" t="s">
        <v>12</v>
      </c>
      <c r="I62" s="16" t="s">
        <v>58</v>
      </c>
    </row>
    <row r="63" spans="2:9" x14ac:dyDescent="0.2">
      <c r="B63" s="16" t="s">
        <v>5</v>
      </c>
      <c r="C63" s="17" t="s">
        <v>6</v>
      </c>
      <c r="D63" s="17"/>
      <c r="E63" s="17"/>
      <c r="F63" s="22">
        <v>-371.48</v>
      </c>
      <c r="G63" s="18" t="s">
        <v>68</v>
      </c>
      <c r="H63" s="16" t="s">
        <v>12</v>
      </c>
      <c r="I63" s="16" t="s">
        <v>58</v>
      </c>
    </row>
    <row r="64" spans="2:9" x14ac:dyDescent="0.2">
      <c r="B64" s="16" t="s">
        <v>5</v>
      </c>
      <c r="C64" s="17" t="s">
        <v>62</v>
      </c>
      <c r="D64" s="17"/>
      <c r="E64" s="17"/>
      <c r="F64" s="22">
        <v>371.48</v>
      </c>
      <c r="G64" s="18" t="s">
        <v>68</v>
      </c>
      <c r="H64" s="16" t="s">
        <v>12</v>
      </c>
      <c r="I64" s="16" t="s">
        <v>63</v>
      </c>
    </row>
    <row r="65" spans="2:9" x14ac:dyDescent="0.2">
      <c r="B65" s="16" t="s">
        <v>5</v>
      </c>
      <c r="C65" s="17" t="s">
        <v>6</v>
      </c>
      <c r="D65" s="17"/>
      <c r="E65" s="17"/>
      <c r="F65" s="22">
        <v>-371.48</v>
      </c>
      <c r="G65" s="18" t="s">
        <v>68</v>
      </c>
      <c r="H65" s="16" t="s">
        <v>12</v>
      </c>
      <c r="I65" s="16" t="s">
        <v>63</v>
      </c>
    </row>
    <row r="66" spans="2:9" x14ac:dyDescent="0.2">
      <c r="B66" s="16" t="s">
        <v>5</v>
      </c>
      <c r="C66" s="17" t="s">
        <v>62</v>
      </c>
      <c r="D66" s="17"/>
      <c r="E66" s="17"/>
      <c r="F66" s="22">
        <v>371.48</v>
      </c>
      <c r="G66" s="18" t="s">
        <v>68</v>
      </c>
      <c r="H66" s="16" t="s">
        <v>12</v>
      </c>
      <c r="I66" s="16" t="s">
        <v>69</v>
      </c>
    </row>
    <row r="67" spans="2:9" x14ac:dyDescent="0.2">
      <c r="B67" s="16" t="s">
        <v>5</v>
      </c>
      <c r="C67" s="17" t="s">
        <v>6</v>
      </c>
      <c r="D67" s="17"/>
      <c r="E67" s="17"/>
      <c r="F67" s="22">
        <v>-371.48</v>
      </c>
      <c r="G67" s="18" t="s">
        <v>68</v>
      </c>
      <c r="H67" s="16" t="s">
        <v>12</v>
      </c>
      <c r="I67" s="16" t="s">
        <v>69</v>
      </c>
    </row>
    <row r="71" spans="2:9" ht="15" thickBot="1" x14ac:dyDescent="0.25">
      <c r="C71" t="s">
        <v>14</v>
      </c>
      <c r="F71" s="21">
        <f>SUMIF(F32:F70,"&lt;0",F32:F70)</f>
        <v>-66531.179999999993</v>
      </c>
      <c r="G71" t="s">
        <v>13</v>
      </c>
    </row>
    <row r="72" spans="2:9" ht="15" thickTop="1" x14ac:dyDescent="0.2"/>
  </sheetData>
  <autoFilter ref="B6:I6" xr:uid="{E75F0CD7-8C26-4173-8973-B3509135FC85}"/>
  <hyperlinks>
    <hyperlink ref="F1" r:id="rId1" xr:uid="{C6CC9111-544E-42D6-9F70-B88EB4AC7960}"/>
  </hyperlinks>
  <pageMargins left="0.7" right="0.7" top="0.75" bottom="0.75" header="0.3" footer="0.3"/>
  <pageSetup paperSize="9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BB56-4FCD-48AA-82C4-A76DD61D36D5}">
  <sheetPr>
    <tabColor theme="9" tint="0.59999389629810485"/>
  </sheetPr>
  <dimension ref="A1:O74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24" t="s">
        <v>5</v>
      </c>
      <c r="C7" s="25" t="s">
        <v>24</v>
      </c>
      <c r="D7" s="25"/>
      <c r="E7" s="25"/>
      <c r="F7" s="26">
        <v>358.74666666666667</v>
      </c>
      <c r="G7" s="27" t="s">
        <v>25</v>
      </c>
      <c r="H7" s="28" t="s">
        <v>12</v>
      </c>
      <c r="I7" s="4" t="s">
        <v>63</v>
      </c>
      <c r="J7" s="23"/>
      <c r="K7" s="11"/>
      <c r="L7" s="1"/>
      <c r="M7" s="1"/>
      <c r="N7" s="1"/>
      <c r="O7" s="1"/>
    </row>
    <row r="8" spans="1:15" x14ac:dyDescent="0.2">
      <c r="A8" s="1"/>
      <c r="B8" s="24" t="s">
        <v>5</v>
      </c>
      <c r="C8" s="25" t="s">
        <v>21</v>
      </c>
      <c r="D8" s="25"/>
      <c r="E8" s="25"/>
      <c r="F8" s="26">
        <v>358.74666666666667</v>
      </c>
      <c r="G8" s="27" t="s">
        <v>25</v>
      </c>
      <c r="H8" s="28" t="s">
        <v>12</v>
      </c>
      <c r="I8" s="4" t="s">
        <v>63</v>
      </c>
      <c r="J8" s="23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22</v>
      </c>
      <c r="D9" s="25"/>
      <c r="E9" s="25"/>
      <c r="F9" s="26">
        <v>358.74666666666667</v>
      </c>
      <c r="G9" s="27" t="s">
        <v>25</v>
      </c>
      <c r="H9" s="28" t="s">
        <v>12</v>
      </c>
      <c r="I9" s="4" t="s">
        <v>63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23</v>
      </c>
      <c r="D10" s="25"/>
      <c r="E10" s="25"/>
      <c r="F10" s="26">
        <v>358.82333333333332</v>
      </c>
      <c r="G10" s="27" t="s">
        <v>25</v>
      </c>
      <c r="H10" s="28" t="s">
        <v>12</v>
      </c>
      <c r="I10" s="4" t="s">
        <v>63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20</v>
      </c>
      <c r="D11" s="25"/>
      <c r="E11" s="25"/>
      <c r="F11" s="26">
        <v>358.74666666666667</v>
      </c>
      <c r="G11" s="27" t="s">
        <v>25</v>
      </c>
      <c r="H11" s="28" t="s">
        <v>12</v>
      </c>
      <c r="I11" s="4" t="s">
        <v>63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1</v>
      </c>
      <c r="C12" s="25" t="s">
        <v>2</v>
      </c>
      <c r="D12" s="25"/>
      <c r="E12" s="25"/>
      <c r="F12" s="26">
        <v>-1793.82</v>
      </c>
      <c r="G12" s="29" t="s">
        <v>25</v>
      </c>
      <c r="H12" s="28" t="s">
        <v>12</v>
      </c>
      <c r="I12" s="4" t="s">
        <v>63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34</v>
      </c>
      <c r="C13" s="3" t="s">
        <v>35</v>
      </c>
      <c r="D13" s="3" t="s">
        <v>36</v>
      </c>
      <c r="E13" s="3" t="s">
        <v>37</v>
      </c>
      <c r="F13" s="20">
        <v>372</v>
      </c>
      <c r="G13" s="10" t="s">
        <v>38</v>
      </c>
      <c r="H13" s="4" t="s">
        <v>12</v>
      </c>
      <c r="I13" s="4" t="s">
        <v>63</v>
      </c>
      <c r="J13" s="11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-372</v>
      </c>
      <c r="G14" s="10" t="s">
        <v>38</v>
      </c>
      <c r="H14" s="4" t="s">
        <v>12</v>
      </c>
      <c r="I14" s="4" t="s">
        <v>63</v>
      </c>
      <c r="J14" s="11"/>
      <c r="K14" s="11"/>
      <c r="L14" s="1"/>
      <c r="M14" s="1"/>
      <c r="N14" s="1"/>
      <c r="O14" s="1"/>
    </row>
    <row r="15" spans="1:15" x14ac:dyDescent="0.2">
      <c r="A15" s="1"/>
      <c r="B15" s="1" t="s">
        <v>5</v>
      </c>
      <c r="C15" s="3" t="s">
        <v>39</v>
      </c>
      <c r="F15" s="20">
        <v>6601.56</v>
      </c>
      <c r="G15" s="10" t="s">
        <v>40</v>
      </c>
      <c r="H15" s="4" t="s">
        <v>12</v>
      </c>
      <c r="I15" s="4" t="s">
        <v>63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-6601.56</v>
      </c>
      <c r="G16" s="10" t="s">
        <v>40</v>
      </c>
      <c r="H16" s="4" t="s">
        <v>12</v>
      </c>
      <c r="I16" s="4" t="s">
        <v>63</v>
      </c>
      <c r="J16" s="11"/>
      <c r="K16" s="11"/>
      <c r="L16" s="1"/>
      <c r="M16" s="1"/>
      <c r="N16" s="1"/>
      <c r="O16" s="1"/>
    </row>
    <row r="17" spans="1:15" x14ac:dyDescent="0.2">
      <c r="A17" s="1"/>
      <c r="B17" s="1" t="s">
        <v>5</v>
      </c>
      <c r="C17" s="3" t="s">
        <v>3</v>
      </c>
      <c r="D17" s="3"/>
      <c r="E17" s="3"/>
      <c r="F17" s="20">
        <v>765.63</v>
      </c>
      <c r="G17" s="30" t="s">
        <v>31</v>
      </c>
      <c r="H17" s="4" t="s">
        <v>30</v>
      </c>
      <c r="I17" s="4" t="s">
        <v>63</v>
      </c>
      <c r="J17" s="23"/>
      <c r="K17" s="11"/>
      <c r="L17" s="1"/>
      <c r="M17" s="1"/>
      <c r="N17" s="1"/>
      <c r="O17" s="1"/>
    </row>
    <row r="18" spans="1:15" x14ac:dyDescent="0.2">
      <c r="A18" s="1"/>
      <c r="B18" s="1" t="s">
        <v>1</v>
      </c>
      <c r="C18" s="3" t="s">
        <v>2</v>
      </c>
      <c r="D18" s="3"/>
      <c r="E18" s="3"/>
      <c r="F18" s="20">
        <v>-765.63</v>
      </c>
      <c r="G18" s="30" t="s">
        <v>31</v>
      </c>
      <c r="H18" s="4" t="s">
        <v>30</v>
      </c>
      <c r="I18" s="4" t="s">
        <v>63</v>
      </c>
      <c r="J18" s="23"/>
      <c r="K18" s="11"/>
      <c r="L18" s="1"/>
      <c r="M18" s="1"/>
      <c r="N18" s="1"/>
      <c r="O18" s="1"/>
    </row>
    <row r="19" spans="1:15" x14ac:dyDescent="0.2">
      <c r="A19" s="1"/>
      <c r="B19" s="1" t="s">
        <v>5</v>
      </c>
      <c r="C19" s="3" t="s">
        <v>49</v>
      </c>
      <c r="D19" s="3"/>
      <c r="E19" s="3"/>
      <c r="F19" s="20">
        <v>17101.05</v>
      </c>
      <c r="G19" s="10" t="s">
        <v>50</v>
      </c>
      <c r="H19" s="4" t="s">
        <v>51</v>
      </c>
      <c r="I19" s="4" t="s">
        <v>63</v>
      </c>
      <c r="J19" s="11"/>
      <c r="K19" s="11"/>
      <c r="L19" s="1"/>
      <c r="M19" s="1"/>
      <c r="N19" s="1"/>
      <c r="O19" s="1"/>
    </row>
    <row r="20" spans="1:15" x14ac:dyDescent="0.2">
      <c r="A20" s="1"/>
      <c r="B20" s="1" t="s">
        <v>1</v>
      </c>
      <c r="C20" s="3" t="s">
        <v>2</v>
      </c>
      <c r="D20" s="3"/>
      <c r="E20" s="3"/>
      <c r="F20" s="20">
        <v>-17101.05</v>
      </c>
      <c r="G20" s="10" t="s">
        <v>50</v>
      </c>
      <c r="H20" s="4" t="s">
        <v>51</v>
      </c>
      <c r="I20" s="4" t="s">
        <v>63</v>
      </c>
      <c r="J20" s="11"/>
      <c r="K20" s="11"/>
      <c r="L20" s="1"/>
      <c r="M20" s="1"/>
      <c r="N20" s="1"/>
      <c r="O20" s="1"/>
    </row>
    <row r="21" spans="1:15" x14ac:dyDescent="0.2">
      <c r="A21" s="1"/>
      <c r="B21" s="1" t="s">
        <v>5</v>
      </c>
      <c r="C21" s="3" t="s">
        <v>53</v>
      </c>
      <c r="D21" s="3"/>
      <c r="E21" s="3"/>
      <c r="F21" s="20">
        <v>5042.0600000000004</v>
      </c>
      <c r="G21" s="30" t="s">
        <v>54</v>
      </c>
      <c r="H21" s="4" t="s">
        <v>12</v>
      </c>
      <c r="I21" s="4" t="s">
        <v>63</v>
      </c>
      <c r="J21" s="23"/>
      <c r="K21" s="11"/>
      <c r="L21" s="1"/>
      <c r="M21" s="1"/>
      <c r="N21" s="1"/>
      <c r="O21" s="1"/>
    </row>
    <row r="22" spans="1:15" x14ac:dyDescent="0.2">
      <c r="A22" s="1"/>
      <c r="B22" s="1" t="s">
        <v>1</v>
      </c>
      <c r="C22" s="3" t="s">
        <v>2</v>
      </c>
      <c r="D22" s="3"/>
      <c r="E22" s="3"/>
      <c r="F22" s="20">
        <v>-5042.0600000000004</v>
      </c>
      <c r="G22" s="30" t="s">
        <v>54</v>
      </c>
      <c r="H22" s="4" t="s">
        <v>12</v>
      </c>
      <c r="I22" s="4" t="s">
        <v>63</v>
      </c>
      <c r="J22" s="23"/>
      <c r="K22" s="11"/>
      <c r="L22" s="1"/>
      <c r="M22" s="1"/>
      <c r="N22" s="1"/>
      <c r="O22" s="1"/>
    </row>
    <row r="23" spans="1:15" x14ac:dyDescent="0.2">
      <c r="A23" s="1"/>
      <c r="B23" s="24" t="s">
        <v>5</v>
      </c>
      <c r="C23" s="25" t="s">
        <v>60</v>
      </c>
      <c r="D23" s="25"/>
      <c r="E23" s="25"/>
      <c r="F23" s="26">
        <v>1291.67</v>
      </c>
      <c r="G23" s="29" t="s">
        <v>59</v>
      </c>
      <c r="H23" s="28" t="s">
        <v>12</v>
      </c>
      <c r="I23" s="4" t="s">
        <v>63</v>
      </c>
      <c r="J23" s="23"/>
      <c r="K23" s="11"/>
      <c r="L23" s="1"/>
      <c r="M23" s="1"/>
      <c r="N23" s="1"/>
      <c r="O23" s="1"/>
    </row>
    <row r="24" spans="1:15" x14ac:dyDescent="0.2">
      <c r="A24" s="1"/>
      <c r="B24" s="24" t="s">
        <v>5</v>
      </c>
      <c r="C24" s="25" t="s">
        <v>61</v>
      </c>
      <c r="D24" s="25"/>
      <c r="E24" s="25"/>
      <c r="F24" s="26">
        <v>1291.67</v>
      </c>
      <c r="G24" s="29" t="s">
        <v>59</v>
      </c>
      <c r="H24" s="28" t="s">
        <v>12</v>
      </c>
      <c r="I24" s="4" t="s">
        <v>63</v>
      </c>
      <c r="J24" s="23"/>
      <c r="K24" s="11"/>
      <c r="L24" s="1"/>
      <c r="M24" s="1"/>
      <c r="N24" s="1"/>
      <c r="O24" s="1"/>
    </row>
    <row r="25" spans="1:15" x14ac:dyDescent="0.2">
      <c r="A25" s="1"/>
      <c r="B25" s="24" t="s">
        <v>1</v>
      </c>
      <c r="C25" s="25" t="s">
        <v>2</v>
      </c>
      <c r="D25" s="25"/>
      <c r="E25" s="25"/>
      <c r="F25" s="26">
        <v>-2583.34</v>
      </c>
      <c r="G25" s="29" t="s">
        <v>59</v>
      </c>
      <c r="H25" s="28" t="s">
        <v>12</v>
      </c>
      <c r="I25" s="4" t="s">
        <v>63</v>
      </c>
      <c r="J25" s="23"/>
      <c r="K25" s="11"/>
      <c r="L25" s="1"/>
      <c r="M25" s="1"/>
      <c r="N25" s="1"/>
      <c r="O25" s="1"/>
    </row>
    <row r="26" spans="1:15" x14ac:dyDescent="0.2">
      <c r="A26" s="1"/>
      <c r="B26" s="1" t="s">
        <v>5</v>
      </c>
      <c r="C26" s="3" t="s">
        <v>10</v>
      </c>
      <c r="D26" s="3"/>
      <c r="E26" s="3"/>
      <c r="F26" s="20">
        <v>487.25</v>
      </c>
      <c r="G26" s="30" t="s">
        <v>46</v>
      </c>
      <c r="H26" s="4" t="s">
        <v>12</v>
      </c>
      <c r="I26" s="4" t="s">
        <v>63</v>
      </c>
      <c r="J26" s="23"/>
      <c r="K26" s="11"/>
      <c r="L26" s="1"/>
      <c r="M26" s="1"/>
      <c r="N26" s="1"/>
      <c r="O26" s="1"/>
    </row>
    <row r="27" spans="1:15" x14ac:dyDescent="0.2">
      <c r="A27" s="1"/>
      <c r="B27" s="1" t="s">
        <v>5</v>
      </c>
      <c r="C27" s="3" t="s">
        <v>52</v>
      </c>
      <c r="D27" s="3"/>
      <c r="E27" s="3"/>
      <c r="F27" s="20">
        <v>-487.25</v>
      </c>
      <c r="G27" s="30" t="s">
        <v>46</v>
      </c>
      <c r="H27" s="4" t="s">
        <v>12</v>
      </c>
      <c r="I27" s="4" t="s">
        <v>63</v>
      </c>
      <c r="J27" s="23"/>
      <c r="K27" s="11"/>
      <c r="L27" s="1"/>
      <c r="M27" s="1"/>
      <c r="N27" s="1"/>
      <c r="O27" s="1"/>
    </row>
    <row r="28" spans="1:15" x14ac:dyDescent="0.2">
      <c r="A28" s="1"/>
      <c r="B28" s="1" t="s">
        <v>5</v>
      </c>
      <c r="C28" s="3" t="s">
        <v>4</v>
      </c>
      <c r="D28" s="3"/>
      <c r="E28" s="3"/>
      <c r="F28" s="20">
        <v>44404.480000000003</v>
      </c>
      <c r="G28" s="30" t="s">
        <v>42</v>
      </c>
      <c r="H28" s="4"/>
      <c r="I28" s="4" t="s">
        <v>63</v>
      </c>
      <c r="J28" s="11"/>
      <c r="K28" s="11"/>
      <c r="L28" s="1"/>
      <c r="M28" s="1"/>
      <c r="N28" s="1"/>
      <c r="O28" s="1"/>
    </row>
    <row r="29" spans="1:15" x14ac:dyDescent="0.2">
      <c r="A29" s="1"/>
      <c r="B29" s="1" t="s">
        <v>1</v>
      </c>
      <c r="C29" s="3" t="s">
        <v>16</v>
      </c>
      <c r="D29" s="3"/>
      <c r="E29" s="3"/>
      <c r="F29" s="20">
        <v>-44404.480000000003</v>
      </c>
      <c r="G29" s="30" t="s">
        <v>42</v>
      </c>
      <c r="H29" s="4"/>
      <c r="I29" s="4" t="s">
        <v>63</v>
      </c>
      <c r="J29" s="11"/>
      <c r="K29" s="11"/>
      <c r="L29" s="1"/>
      <c r="M29" s="1"/>
      <c r="N29" s="1"/>
      <c r="O29" s="1"/>
    </row>
    <row r="30" spans="1:15" x14ac:dyDescent="0.2">
      <c r="A30" s="1"/>
      <c r="B30" s="1"/>
      <c r="C30" s="12"/>
      <c r="D30" s="12"/>
      <c r="E30" s="12"/>
      <c r="F30" s="5"/>
      <c r="G30" s="13"/>
      <c r="H30" s="4"/>
      <c r="I30" s="4"/>
      <c r="J30" s="7"/>
      <c r="K30" s="11"/>
      <c r="L30" s="1"/>
      <c r="M30" s="1"/>
      <c r="N30" s="1"/>
      <c r="O30" s="1"/>
    </row>
    <row r="31" spans="1:15" ht="15" thickBot="1" x14ac:dyDescent="0.25">
      <c r="A31" s="1"/>
      <c r="B31" s="1"/>
      <c r="C31" s="3" t="s">
        <v>15</v>
      </c>
      <c r="D31" s="3"/>
      <c r="E31" s="3"/>
      <c r="F31" s="21">
        <f>SUMIF(F7:F29,"&lt;0",F7:F29)</f>
        <v>-79151.19</v>
      </c>
      <c r="G31" s="13" t="s">
        <v>13</v>
      </c>
      <c r="H31" s="4"/>
      <c r="I31" s="4"/>
      <c r="J31" s="7"/>
      <c r="K31" s="11"/>
      <c r="L31" s="1"/>
      <c r="M31" s="1"/>
      <c r="N31" s="1"/>
      <c r="O31" s="1"/>
    </row>
    <row r="32" spans="1:15" ht="15" thickTop="1" x14ac:dyDescent="0.2">
      <c r="A32" s="1"/>
      <c r="B32" s="1"/>
      <c r="C32" s="3"/>
      <c r="D32" s="3"/>
      <c r="E32" s="3"/>
      <c r="F32" s="5"/>
      <c r="G32" s="10"/>
      <c r="H32" s="4"/>
      <c r="I32" s="4"/>
      <c r="J32" s="7"/>
      <c r="K32" s="11"/>
      <c r="L32" s="1"/>
      <c r="M32" s="1"/>
      <c r="N32" s="1"/>
      <c r="O32" s="1"/>
    </row>
    <row r="33" spans="2:15" x14ac:dyDescent="0.2">
      <c r="K33" s="11"/>
      <c r="L33" s="1"/>
      <c r="M33" s="1"/>
      <c r="N33" s="1"/>
      <c r="O33" s="1"/>
    </row>
    <row r="34" spans="2:15" x14ac:dyDescent="0.2">
      <c r="K34" s="11"/>
      <c r="L34" s="1"/>
      <c r="M34" s="1"/>
      <c r="N34" s="1"/>
      <c r="O34" s="1"/>
    </row>
    <row r="35" spans="2:15" x14ac:dyDescent="0.2">
      <c r="K35" s="11"/>
      <c r="L35" s="1"/>
      <c r="M35" s="1"/>
      <c r="N35" s="1"/>
      <c r="O35" s="1"/>
    </row>
    <row r="36" spans="2:15" x14ac:dyDescent="0.2">
      <c r="B36" s="4" t="s">
        <v>5</v>
      </c>
      <c r="C36" s="3" t="s">
        <v>7</v>
      </c>
      <c r="D36" s="3"/>
      <c r="E36" s="3"/>
      <c r="F36" s="20">
        <v>7143.75</v>
      </c>
      <c r="G36" s="10" t="s">
        <v>26</v>
      </c>
      <c r="H36" s="4" t="s">
        <v>17</v>
      </c>
      <c r="I36" s="4" t="s">
        <v>63</v>
      </c>
      <c r="K36" s="11"/>
      <c r="L36" s="1"/>
      <c r="M36" s="1"/>
      <c r="N36" s="1"/>
      <c r="O36" s="1"/>
    </row>
    <row r="37" spans="2:15" x14ac:dyDescent="0.2">
      <c r="B37" s="4" t="s">
        <v>5</v>
      </c>
      <c r="C37" s="3" t="s">
        <v>6</v>
      </c>
      <c r="D37" s="3"/>
      <c r="E37" s="3"/>
      <c r="F37" s="20">
        <v>-7143.75</v>
      </c>
      <c r="G37" s="10" t="s">
        <v>26</v>
      </c>
      <c r="H37" s="4" t="s">
        <v>17</v>
      </c>
      <c r="I37" s="4" t="s">
        <v>63</v>
      </c>
      <c r="K37" s="11"/>
      <c r="L37" s="1"/>
      <c r="M37" s="1"/>
      <c r="N37" s="1"/>
      <c r="O37" s="1"/>
    </row>
    <row r="38" spans="2:15" x14ac:dyDescent="0.2">
      <c r="B38" s="4" t="s">
        <v>5</v>
      </c>
      <c r="C38" s="3" t="s">
        <v>7</v>
      </c>
      <c r="D38" s="3"/>
      <c r="E38" s="3"/>
      <c r="F38" s="20">
        <v>1079.17</v>
      </c>
      <c r="G38" s="10" t="s">
        <v>32</v>
      </c>
      <c r="H38" s="4" t="s">
        <v>12</v>
      </c>
      <c r="I38" s="4" t="s">
        <v>63</v>
      </c>
    </row>
    <row r="39" spans="2:15" x14ac:dyDescent="0.2">
      <c r="B39" s="4" t="s">
        <v>5</v>
      </c>
      <c r="C39" s="3" t="s">
        <v>6</v>
      </c>
      <c r="D39" s="3"/>
      <c r="E39" s="3"/>
      <c r="F39" s="20">
        <v>-1079.17</v>
      </c>
      <c r="G39" s="10" t="s">
        <v>32</v>
      </c>
      <c r="H39" s="4" t="s">
        <v>12</v>
      </c>
      <c r="I39" s="4" t="s">
        <v>63</v>
      </c>
    </row>
    <row r="40" spans="2:15" x14ac:dyDescent="0.2">
      <c r="B40" s="4" t="s">
        <v>5</v>
      </c>
      <c r="C40" s="3" t="s">
        <v>7</v>
      </c>
      <c r="D40" s="3"/>
      <c r="E40" s="3"/>
      <c r="F40" s="20">
        <v>1701.92</v>
      </c>
      <c r="G40" s="10" t="s">
        <v>33</v>
      </c>
      <c r="H40" s="4" t="s">
        <v>12</v>
      </c>
      <c r="I40" s="4" t="s">
        <v>63</v>
      </c>
    </row>
    <row r="41" spans="2:15" x14ac:dyDescent="0.2">
      <c r="B41" s="4" t="s">
        <v>5</v>
      </c>
      <c r="C41" s="3" t="s">
        <v>6</v>
      </c>
      <c r="D41" s="3"/>
      <c r="E41" s="3"/>
      <c r="F41" s="20">
        <v>-1701.92</v>
      </c>
      <c r="G41" s="10" t="s">
        <v>33</v>
      </c>
      <c r="H41" s="4" t="s">
        <v>12</v>
      </c>
      <c r="I41" s="4" t="s">
        <v>63</v>
      </c>
    </row>
    <row r="42" spans="2:15" x14ac:dyDescent="0.2">
      <c r="B42" s="4" t="s">
        <v>5</v>
      </c>
      <c r="C42" s="3" t="s">
        <v>7</v>
      </c>
      <c r="D42" s="3"/>
      <c r="E42" s="3"/>
      <c r="F42" s="20">
        <v>3202.58</v>
      </c>
      <c r="G42" s="10" t="s">
        <v>41</v>
      </c>
      <c r="H42" s="4" t="s">
        <v>12</v>
      </c>
      <c r="I42" s="4" t="s">
        <v>63</v>
      </c>
    </row>
    <row r="43" spans="2:15" x14ac:dyDescent="0.2">
      <c r="B43" s="4" t="s">
        <v>5</v>
      </c>
      <c r="C43" s="3" t="s">
        <v>6</v>
      </c>
      <c r="D43" s="3"/>
      <c r="E43" s="3"/>
      <c r="F43" s="20">
        <v>-3202.58</v>
      </c>
      <c r="G43" s="10" t="s">
        <v>41</v>
      </c>
      <c r="H43" s="4" t="s">
        <v>12</v>
      </c>
      <c r="I43" s="4" t="s">
        <v>63</v>
      </c>
    </row>
    <row r="44" spans="2:15" x14ac:dyDescent="0.2">
      <c r="B44" s="4" t="s">
        <v>5</v>
      </c>
      <c r="C44" s="3" t="s">
        <v>7</v>
      </c>
      <c r="D44" s="3"/>
      <c r="E44" s="3"/>
      <c r="F44" s="20">
        <v>474.44</v>
      </c>
      <c r="G44" s="10" t="s">
        <v>43</v>
      </c>
      <c r="H44" s="4" t="s">
        <v>12</v>
      </c>
      <c r="I44" s="4" t="s">
        <v>63</v>
      </c>
    </row>
    <row r="45" spans="2:15" x14ac:dyDescent="0.2">
      <c r="B45" s="4" t="s">
        <v>5</v>
      </c>
      <c r="C45" s="3" t="s">
        <v>6</v>
      </c>
      <c r="D45" s="3"/>
      <c r="E45" s="3"/>
      <c r="F45" s="20">
        <v>-474.44</v>
      </c>
      <c r="G45" s="10" t="s">
        <v>43</v>
      </c>
      <c r="H45" s="4" t="s">
        <v>12</v>
      </c>
      <c r="I45" s="4" t="s">
        <v>63</v>
      </c>
    </row>
    <row r="46" spans="2:15" x14ac:dyDescent="0.2">
      <c r="B46" s="4" t="s">
        <v>5</v>
      </c>
      <c r="C46" s="3" t="s">
        <v>7</v>
      </c>
      <c r="D46" s="3"/>
      <c r="E46" s="3"/>
      <c r="F46" s="20">
        <v>665.42</v>
      </c>
      <c r="G46" s="10" t="s">
        <v>44</v>
      </c>
      <c r="H46" s="4" t="s">
        <v>12</v>
      </c>
      <c r="I46" s="4" t="s">
        <v>63</v>
      </c>
    </row>
    <row r="47" spans="2:15" x14ac:dyDescent="0.2">
      <c r="B47" s="4" t="s">
        <v>5</v>
      </c>
      <c r="C47" s="3" t="s">
        <v>6</v>
      </c>
      <c r="D47" s="3"/>
      <c r="E47" s="3"/>
      <c r="F47" s="20">
        <v>-665.42</v>
      </c>
      <c r="G47" s="10" t="s">
        <v>44</v>
      </c>
      <c r="H47" s="4" t="s">
        <v>12</v>
      </c>
      <c r="I47" s="4" t="s">
        <v>63</v>
      </c>
    </row>
    <row r="48" spans="2:15" x14ac:dyDescent="0.2">
      <c r="B48" s="4" t="s">
        <v>5</v>
      </c>
      <c r="C48" s="3" t="s">
        <v>7</v>
      </c>
      <c r="D48" s="3"/>
      <c r="E48" s="3"/>
      <c r="F48" s="20">
        <v>1493.25</v>
      </c>
      <c r="G48" s="10" t="s">
        <v>45</v>
      </c>
      <c r="H48" s="4" t="s">
        <v>12</v>
      </c>
      <c r="I48" s="4" t="s">
        <v>63</v>
      </c>
    </row>
    <row r="49" spans="2:9" x14ac:dyDescent="0.2">
      <c r="B49" s="4" t="s">
        <v>5</v>
      </c>
      <c r="C49" s="3" t="s">
        <v>6</v>
      </c>
      <c r="D49" s="3"/>
      <c r="E49" s="3"/>
      <c r="F49" s="20">
        <v>-1493.25</v>
      </c>
      <c r="G49" s="10" t="s">
        <v>45</v>
      </c>
      <c r="H49" s="4" t="s">
        <v>12</v>
      </c>
      <c r="I49" s="4" t="s">
        <v>63</v>
      </c>
    </row>
    <row r="50" spans="2:9" x14ac:dyDescent="0.2">
      <c r="B50" s="4" t="s">
        <v>5</v>
      </c>
      <c r="C50" s="3" t="s">
        <v>7</v>
      </c>
      <c r="D50" s="3"/>
      <c r="E50" s="3"/>
      <c r="F50" s="20">
        <v>3613.92</v>
      </c>
      <c r="G50" s="10" t="s">
        <v>47</v>
      </c>
      <c r="H50" s="4" t="s">
        <v>18</v>
      </c>
      <c r="I50" s="4" t="s">
        <v>63</v>
      </c>
    </row>
    <row r="51" spans="2:9" x14ac:dyDescent="0.2">
      <c r="B51" s="4" t="s">
        <v>5</v>
      </c>
      <c r="C51" s="3" t="s">
        <v>6</v>
      </c>
      <c r="D51" s="3"/>
      <c r="E51" s="3"/>
      <c r="F51" s="20">
        <v>-3613.92</v>
      </c>
      <c r="G51" s="10" t="s">
        <v>47</v>
      </c>
      <c r="H51" s="4" t="s">
        <v>18</v>
      </c>
      <c r="I51" s="4" t="s">
        <v>63</v>
      </c>
    </row>
    <row r="52" spans="2:9" x14ac:dyDescent="0.2">
      <c r="B52" s="4" t="s">
        <v>5</v>
      </c>
      <c r="C52" s="3" t="s">
        <v>7</v>
      </c>
      <c r="D52" s="3"/>
      <c r="E52" s="3"/>
      <c r="F52" s="20">
        <v>2562.92</v>
      </c>
      <c r="G52" s="10" t="s">
        <v>48</v>
      </c>
      <c r="H52" s="4" t="s">
        <v>12</v>
      </c>
      <c r="I52" s="4" t="s">
        <v>63</v>
      </c>
    </row>
    <row r="53" spans="2:9" x14ac:dyDescent="0.2">
      <c r="B53" s="4" t="s">
        <v>5</v>
      </c>
      <c r="C53" s="3" t="s">
        <v>6</v>
      </c>
      <c r="D53" s="3"/>
      <c r="E53" s="3"/>
      <c r="F53" s="20">
        <v>-2562.92</v>
      </c>
      <c r="G53" s="10" t="s">
        <v>48</v>
      </c>
      <c r="H53" s="4" t="s">
        <v>12</v>
      </c>
      <c r="I53" s="4" t="s">
        <v>63</v>
      </c>
    </row>
    <row r="54" spans="2:9" x14ac:dyDescent="0.2">
      <c r="B54" s="4" t="s">
        <v>5</v>
      </c>
      <c r="C54" s="3" t="s">
        <v>7</v>
      </c>
      <c r="D54" s="3"/>
      <c r="E54" s="3"/>
      <c r="F54" s="20">
        <v>1101.83</v>
      </c>
      <c r="G54" s="10" t="s">
        <v>55</v>
      </c>
      <c r="H54" s="4" t="s">
        <v>12</v>
      </c>
      <c r="I54" s="4" t="s">
        <v>63</v>
      </c>
    </row>
    <row r="55" spans="2:9" x14ac:dyDescent="0.2">
      <c r="B55" s="4" t="s">
        <v>5</v>
      </c>
      <c r="C55" s="3" t="s">
        <v>6</v>
      </c>
      <c r="D55" s="3"/>
      <c r="E55" s="3"/>
      <c r="F55" s="20">
        <v>-1101.83</v>
      </c>
      <c r="G55" s="10" t="s">
        <v>55</v>
      </c>
      <c r="H55" s="4" t="s">
        <v>12</v>
      </c>
      <c r="I55" s="4" t="s">
        <v>63</v>
      </c>
    </row>
    <row r="56" spans="2:9" x14ac:dyDescent="0.2">
      <c r="B56" s="4" t="s">
        <v>5</v>
      </c>
      <c r="C56" s="3" t="s">
        <v>7</v>
      </c>
      <c r="D56" s="3"/>
      <c r="E56" s="3"/>
      <c r="F56" s="20">
        <v>973.55</v>
      </c>
      <c r="G56" s="10" t="s">
        <v>57</v>
      </c>
      <c r="H56" s="4" t="s">
        <v>12</v>
      </c>
      <c r="I56" s="4" t="s">
        <v>63</v>
      </c>
    </row>
    <row r="57" spans="2:9" x14ac:dyDescent="0.2">
      <c r="B57" s="4" t="s">
        <v>5</v>
      </c>
      <c r="C57" s="3" t="s">
        <v>6</v>
      </c>
      <c r="D57" s="3"/>
      <c r="E57" s="3"/>
      <c r="F57" s="20">
        <v>-973.55</v>
      </c>
      <c r="G57" s="10" t="s">
        <v>57</v>
      </c>
      <c r="H57" s="4" t="s">
        <v>12</v>
      </c>
      <c r="I57" s="4" t="s">
        <v>63</v>
      </c>
    </row>
    <row r="58" spans="2:9" x14ac:dyDescent="0.2">
      <c r="B58" s="16" t="s">
        <v>5</v>
      </c>
      <c r="C58" s="17" t="s">
        <v>62</v>
      </c>
      <c r="D58" s="17"/>
      <c r="E58" s="17"/>
      <c r="F58" s="22">
        <v>6666.67</v>
      </c>
      <c r="G58" s="18" t="s">
        <v>64</v>
      </c>
      <c r="H58" s="16" t="s">
        <v>12</v>
      </c>
      <c r="I58" s="16" t="s">
        <v>56</v>
      </c>
    </row>
    <row r="59" spans="2:9" x14ac:dyDescent="0.2">
      <c r="B59" s="16" t="s">
        <v>5</v>
      </c>
      <c r="C59" s="17" t="s">
        <v>6</v>
      </c>
      <c r="D59" s="17"/>
      <c r="E59" s="17"/>
      <c r="F59" s="22">
        <v>-6666.67</v>
      </c>
      <c r="G59" s="18" t="s">
        <v>64</v>
      </c>
      <c r="H59" s="16" t="s">
        <v>12</v>
      </c>
      <c r="I59" s="16" t="s">
        <v>56</v>
      </c>
    </row>
    <row r="60" spans="2:9" x14ac:dyDescent="0.2">
      <c r="B60" s="16" t="s">
        <v>5</v>
      </c>
      <c r="C60" s="17" t="s">
        <v>62</v>
      </c>
      <c r="D60" s="17"/>
      <c r="E60" s="17"/>
      <c r="F60" s="22">
        <v>6666.67</v>
      </c>
      <c r="G60" s="18" t="s">
        <v>64</v>
      </c>
      <c r="H60" s="16" t="s">
        <v>12</v>
      </c>
      <c r="I60" s="16" t="s">
        <v>58</v>
      </c>
    </row>
    <row r="61" spans="2:9" x14ac:dyDescent="0.2">
      <c r="B61" s="16" t="s">
        <v>5</v>
      </c>
      <c r="C61" s="17" t="s">
        <v>6</v>
      </c>
      <c r="D61" s="17"/>
      <c r="E61" s="17"/>
      <c r="F61" s="22">
        <v>-6666.67</v>
      </c>
      <c r="G61" s="18" t="s">
        <v>64</v>
      </c>
      <c r="H61" s="16" t="s">
        <v>12</v>
      </c>
      <c r="I61" s="16" t="s">
        <v>58</v>
      </c>
    </row>
    <row r="62" spans="2:9" x14ac:dyDescent="0.2">
      <c r="B62" s="16" t="s">
        <v>5</v>
      </c>
      <c r="C62" s="17" t="s">
        <v>62</v>
      </c>
      <c r="D62" s="17"/>
      <c r="E62" s="17"/>
      <c r="F62" s="22">
        <v>6666.67</v>
      </c>
      <c r="G62" s="18" t="s">
        <v>64</v>
      </c>
      <c r="H62" s="16" t="s">
        <v>12</v>
      </c>
      <c r="I62" s="16" t="s">
        <v>63</v>
      </c>
    </row>
    <row r="63" spans="2:9" x14ac:dyDescent="0.2">
      <c r="B63" s="16" t="s">
        <v>5</v>
      </c>
      <c r="C63" s="17" t="s">
        <v>6</v>
      </c>
      <c r="D63" s="17"/>
      <c r="E63" s="17"/>
      <c r="F63" s="22">
        <v>-6666.67</v>
      </c>
      <c r="G63" s="18" t="s">
        <v>64</v>
      </c>
      <c r="H63" s="16" t="s">
        <v>12</v>
      </c>
      <c r="I63" s="16" t="s">
        <v>63</v>
      </c>
    </row>
    <row r="64" spans="2:9" x14ac:dyDescent="0.2">
      <c r="B64" s="16" t="s">
        <v>5</v>
      </c>
      <c r="C64" s="17" t="s">
        <v>62</v>
      </c>
      <c r="D64" s="17"/>
      <c r="E64" s="17"/>
      <c r="F64" s="22">
        <v>33416.67</v>
      </c>
      <c r="G64" s="18" t="s">
        <v>65</v>
      </c>
      <c r="H64" s="16" t="s">
        <v>12</v>
      </c>
      <c r="I64" s="16" t="s">
        <v>56</v>
      </c>
    </row>
    <row r="65" spans="2:9" x14ac:dyDescent="0.2">
      <c r="B65" s="16" t="s">
        <v>5</v>
      </c>
      <c r="C65" s="17" t="s">
        <v>6</v>
      </c>
      <c r="D65" s="17"/>
      <c r="E65" s="17"/>
      <c r="F65" s="22">
        <v>-33416.67</v>
      </c>
      <c r="G65" s="18" t="s">
        <v>65</v>
      </c>
      <c r="H65" s="16" t="s">
        <v>12</v>
      </c>
      <c r="I65" s="16" t="s">
        <v>56</v>
      </c>
    </row>
    <row r="66" spans="2:9" x14ac:dyDescent="0.2">
      <c r="B66" s="16" t="s">
        <v>5</v>
      </c>
      <c r="C66" s="17" t="s">
        <v>62</v>
      </c>
      <c r="D66" s="17"/>
      <c r="E66" s="17"/>
      <c r="F66" s="22">
        <v>33416.67</v>
      </c>
      <c r="G66" s="18" t="s">
        <v>65</v>
      </c>
      <c r="H66" s="16" t="s">
        <v>12</v>
      </c>
      <c r="I66" s="16" t="s">
        <v>58</v>
      </c>
    </row>
    <row r="67" spans="2:9" x14ac:dyDescent="0.2">
      <c r="B67" s="16" t="s">
        <v>5</v>
      </c>
      <c r="C67" s="17" t="s">
        <v>6</v>
      </c>
      <c r="D67" s="17"/>
      <c r="E67" s="17"/>
      <c r="F67" s="22">
        <v>-33416.67</v>
      </c>
      <c r="G67" s="18" t="s">
        <v>65</v>
      </c>
      <c r="H67" s="16" t="s">
        <v>12</v>
      </c>
      <c r="I67" s="16" t="s">
        <v>58</v>
      </c>
    </row>
    <row r="68" spans="2:9" x14ac:dyDescent="0.2">
      <c r="B68" s="16" t="s">
        <v>5</v>
      </c>
      <c r="C68" s="17" t="s">
        <v>62</v>
      </c>
      <c r="D68" s="17"/>
      <c r="E68" s="17"/>
      <c r="F68" s="22">
        <v>33416.67</v>
      </c>
      <c r="G68" s="18" t="s">
        <v>65</v>
      </c>
      <c r="H68" s="16" t="s">
        <v>12</v>
      </c>
      <c r="I68" s="16" t="s">
        <v>63</v>
      </c>
    </row>
    <row r="69" spans="2:9" x14ac:dyDescent="0.2">
      <c r="B69" s="16" t="s">
        <v>5</v>
      </c>
      <c r="C69" s="17" t="s">
        <v>6</v>
      </c>
      <c r="D69" s="17"/>
      <c r="E69" s="17"/>
      <c r="F69" s="22">
        <v>-33416.67</v>
      </c>
      <c r="G69" s="18" t="s">
        <v>65</v>
      </c>
      <c r="H69" s="16" t="s">
        <v>12</v>
      </c>
      <c r="I69" s="16" t="s">
        <v>63</v>
      </c>
    </row>
    <row r="73" spans="2:9" ht="15" thickBot="1" x14ac:dyDescent="0.25">
      <c r="C73" t="s">
        <v>14</v>
      </c>
      <c r="F73" s="21">
        <f>SUMIF(F36:F72,"&lt;0",F36:F72)</f>
        <v>-144262.76999999999</v>
      </c>
      <c r="G73" t="s">
        <v>13</v>
      </c>
    </row>
    <row r="74" spans="2:9" ht="15" thickTop="1" x14ac:dyDescent="0.2"/>
  </sheetData>
  <autoFilter ref="B6:I12" xr:uid="{E75F0CD7-8C26-4173-8973-B3509135FC85}"/>
  <hyperlinks>
    <hyperlink ref="F1" r:id="rId1" xr:uid="{F117A32D-3CF2-47CF-95F6-1A56D05F6B4F}"/>
  </hyperlinks>
  <pageMargins left="0.7" right="0.7" top="0.75" bottom="0.75" header="0.3" footer="0.3"/>
  <pageSetup paperSize="9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1DBC-E46F-4543-A459-1BF24DEBAAF3}">
  <sheetPr>
    <tabColor theme="9" tint="0.59999389629810485"/>
  </sheetPr>
  <dimension ref="A1:R65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24" t="s">
        <v>5</v>
      </c>
      <c r="C7" s="25" t="s">
        <v>24</v>
      </c>
      <c r="D7" s="25"/>
      <c r="E7" s="25"/>
      <c r="F7" s="26">
        <v>358.74666666666667</v>
      </c>
      <c r="G7" s="27" t="s">
        <v>25</v>
      </c>
      <c r="H7" s="28" t="s">
        <v>12</v>
      </c>
      <c r="I7" s="4" t="s">
        <v>58</v>
      </c>
      <c r="J7" s="23"/>
      <c r="K7" s="11"/>
      <c r="L7" s="1"/>
      <c r="M7" s="1"/>
      <c r="N7" s="1"/>
      <c r="O7" s="1"/>
    </row>
    <row r="8" spans="1:15" x14ac:dyDescent="0.2">
      <c r="A8" s="1"/>
      <c r="B8" s="24" t="s">
        <v>5</v>
      </c>
      <c r="C8" s="25" t="s">
        <v>21</v>
      </c>
      <c r="D8" s="25"/>
      <c r="E8" s="25"/>
      <c r="F8" s="26">
        <v>358.74666666666667</v>
      </c>
      <c r="G8" s="27" t="s">
        <v>25</v>
      </c>
      <c r="H8" s="28" t="s">
        <v>12</v>
      </c>
      <c r="I8" s="4" t="s">
        <v>58</v>
      </c>
      <c r="J8" s="23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22</v>
      </c>
      <c r="D9" s="25"/>
      <c r="E9" s="25"/>
      <c r="F9" s="26">
        <v>358.74666666666667</v>
      </c>
      <c r="G9" s="27" t="s">
        <v>25</v>
      </c>
      <c r="H9" s="28" t="s">
        <v>12</v>
      </c>
      <c r="I9" s="4" t="s">
        <v>58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23</v>
      </c>
      <c r="D10" s="25"/>
      <c r="E10" s="25"/>
      <c r="F10" s="26">
        <v>358.82333333333332</v>
      </c>
      <c r="G10" s="27" t="s">
        <v>25</v>
      </c>
      <c r="H10" s="28" t="s">
        <v>12</v>
      </c>
      <c r="I10" s="4" t="s">
        <v>58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20</v>
      </c>
      <c r="D11" s="25"/>
      <c r="E11" s="25"/>
      <c r="F11" s="26">
        <v>358.74666666666667</v>
      </c>
      <c r="G11" s="27" t="s">
        <v>25</v>
      </c>
      <c r="H11" s="28" t="s">
        <v>12</v>
      </c>
      <c r="I11" s="4" t="s">
        <v>58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1</v>
      </c>
      <c r="C12" s="25" t="s">
        <v>2</v>
      </c>
      <c r="D12" s="25"/>
      <c r="E12" s="25"/>
      <c r="F12" s="26">
        <v>-1793.82</v>
      </c>
      <c r="G12" s="29" t="s">
        <v>25</v>
      </c>
      <c r="H12" s="28" t="s">
        <v>12</v>
      </c>
      <c r="I12" s="4" t="s">
        <v>58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11</v>
      </c>
      <c r="D13" s="3"/>
      <c r="E13" s="3"/>
      <c r="F13" s="20">
        <v>5750</v>
      </c>
      <c r="G13" s="30" t="s">
        <v>28</v>
      </c>
      <c r="H13" s="4" t="s">
        <v>29</v>
      </c>
      <c r="I13" s="4" t="s">
        <v>58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-5750</v>
      </c>
      <c r="G14" s="30" t="s">
        <v>28</v>
      </c>
      <c r="H14" s="4" t="s">
        <v>29</v>
      </c>
      <c r="I14" s="4" t="s">
        <v>58</v>
      </c>
      <c r="J14" s="23"/>
      <c r="K14" s="11"/>
      <c r="L14" s="1"/>
      <c r="M14" s="1"/>
      <c r="N14" s="1"/>
      <c r="O14" s="1"/>
    </row>
    <row r="15" spans="1:15" x14ac:dyDescent="0.2">
      <c r="A15" s="1"/>
      <c r="B15" s="1" t="s">
        <v>34</v>
      </c>
      <c r="C15" s="3" t="s">
        <v>35</v>
      </c>
      <c r="D15" s="3" t="s">
        <v>36</v>
      </c>
      <c r="E15" s="3" t="s">
        <v>37</v>
      </c>
      <c r="F15" s="20">
        <v>372</v>
      </c>
      <c r="G15" s="10" t="s">
        <v>38</v>
      </c>
      <c r="H15" s="4" t="s">
        <v>12</v>
      </c>
      <c r="I15" s="4" t="s">
        <v>58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-372</v>
      </c>
      <c r="G16" s="10" t="s">
        <v>38</v>
      </c>
      <c r="H16" s="4" t="s">
        <v>12</v>
      </c>
      <c r="I16" s="4" t="s">
        <v>58</v>
      </c>
      <c r="J16" s="11"/>
      <c r="K16" s="11"/>
      <c r="L16" s="1"/>
      <c r="M16" s="1"/>
      <c r="N16" s="1"/>
      <c r="O16" s="1"/>
    </row>
    <row r="17" spans="1:18" x14ac:dyDescent="0.2">
      <c r="A17" s="1"/>
      <c r="B17" s="1" t="s">
        <v>5</v>
      </c>
      <c r="C17" s="3" t="s">
        <v>39</v>
      </c>
      <c r="F17" s="20">
        <v>6601.56</v>
      </c>
      <c r="G17" s="10" t="s">
        <v>40</v>
      </c>
      <c r="H17" s="4" t="s">
        <v>12</v>
      </c>
      <c r="I17" s="4" t="s">
        <v>58</v>
      </c>
      <c r="J17" s="11"/>
      <c r="K17" s="11"/>
      <c r="L17" s="1"/>
      <c r="M17" s="1"/>
      <c r="N17" s="1"/>
      <c r="O17" s="1"/>
    </row>
    <row r="18" spans="1:18" x14ac:dyDescent="0.2">
      <c r="A18" s="1"/>
      <c r="B18" s="1" t="s">
        <v>1</v>
      </c>
      <c r="C18" s="3" t="s">
        <v>2</v>
      </c>
      <c r="D18" s="3"/>
      <c r="E18" s="3"/>
      <c r="F18" s="20">
        <v>-6601.56</v>
      </c>
      <c r="G18" s="10" t="s">
        <v>40</v>
      </c>
      <c r="H18" s="4" t="s">
        <v>12</v>
      </c>
      <c r="I18" s="4" t="s">
        <v>58</v>
      </c>
      <c r="J18" s="11"/>
      <c r="K18" s="11"/>
      <c r="L18" s="1"/>
      <c r="M18" s="1"/>
      <c r="N18" s="1"/>
      <c r="O18" s="1"/>
    </row>
    <row r="19" spans="1:18" x14ac:dyDescent="0.2">
      <c r="A19" s="1"/>
      <c r="B19" s="1" t="s">
        <v>5</v>
      </c>
      <c r="C19" s="3" t="s">
        <v>3</v>
      </c>
      <c r="D19" s="3"/>
      <c r="E19" s="3"/>
      <c r="F19" s="20">
        <v>765.63</v>
      </c>
      <c r="G19" s="30" t="s">
        <v>31</v>
      </c>
      <c r="H19" s="4" t="s">
        <v>30</v>
      </c>
      <c r="I19" s="4" t="s">
        <v>58</v>
      </c>
      <c r="J19" s="23"/>
      <c r="K19" s="11"/>
      <c r="L19" s="1"/>
      <c r="M19" s="1"/>
      <c r="N19" s="1"/>
      <c r="O19" s="1"/>
    </row>
    <row r="20" spans="1:18" x14ac:dyDescent="0.2">
      <c r="A20" s="1"/>
      <c r="B20" s="1" t="s">
        <v>1</v>
      </c>
      <c r="C20" s="3" t="s">
        <v>2</v>
      </c>
      <c r="D20" s="3"/>
      <c r="E20" s="3"/>
      <c r="F20" s="20">
        <v>-765.63</v>
      </c>
      <c r="G20" s="30" t="s">
        <v>31</v>
      </c>
      <c r="H20" s="4" t="s">
        <v>30</v>
      </c>
      <c r="I20" s="4" t="s">
        <v>58</v>
      </c>
      <c r="J20" s="23"/>
      <c r="K20" s="11"/>
      <c r="L20" s="1"/>
      <c r="M20" s="1"/>
      <c r="N20" s="1"/>
      <c r="O20" s="1"/>
    </row>
    <row r="21" spans="1:18" x14ac:dyDescent="0.2">
      <c r="A21" s="1"/>
      <c r="B21" s="1" t="s">
        <v>5</v>
      </c>
      <c r="C21" s="3" t="s">
        <v>49</v>
      </c>
      <c r="D21" s="3"/>
      <c r="E21" s="3"/>
      <c r="F21" s="20">
        <v>17101.05</v>
      </c>
      <c r="G21" s="10" t="s">
        <v>50</v>
      </c>
      <c r="H21" s="4" t="s">
        <v>51</v>
      </c>
      <c r="I21" s="4" t="s">
        <v>58</v>
      </c>
      <c r="J21" s="11"/>
      <c r="K21" s="11"/>
      <c r="L21" s="1"/>
      <c r="M21" s="1"/>
      <c r="N21" s="1"/>
      <c r="O21" s="1"/>
    </row>
    <row r="22" spans="1:18" x14ac:dyDescent="0.2">
      <c r="A22" s="1"/>
      <c r="B22" s="1" t="s">
        <v>1</v>
      </c>
      <c r="C22" s="3" t="s">
        <v>2</v>
      </c>
      <c r="D22" s="3"/>
      <c r="E22" s="3"/>
      <c r="F22" s="20">
        <v>-17101.05</v>
      </c>
      <c r="G22" s="10" t="s">
        <v>50</v>
      </c>
      <c r="H22" s="4" t="s">
        <v>51</v>
      </c>
      <c r="I22" s="4" t="s">
        <v>58</v>
      </c>
      <c r="J22" s="11"/>
      <c r="K22" s="11"/>
      <c r="L22" s="1"/>
      <c r="M22" s="1"/>
      <c r="N22" s="1"/>
      <c r="O22" s="1"/>
    </row>
    <row r="23" spans="1:18" x14ac:dyDescent="0.2">
      <c r="A23" s="1"/>
      <c r="B23" s="1" t="s">
        <v>5</v>
      </c>
      <c r="C23" s="3" t="s">
        <v>10</v>
      </c>
      <c r="D23" s="3"/>
      <c r="E23" s="3"/>
      <c r="F23" s="20">
        <v>487.25</v>
      </c>
      <c r="G23" s="30" t="s">
        <v>46</v>
      </c>
      <c r="H23" s="4" t="s">
        <v>12</v>
      </c>
      <c r="I23" s="4" t="s">
        <v>58</v>
      </c>
      <c r="J23" s="23"/>
      <c r="K23" s="11"/>
      <c r="L23" s="1"/>
      <c r="M23" s="1"/>
      <c r="N23" s="1"/>
      <c r="O23" s="1"/>
    </row>
    <row r="24" spans="1:18" x14ac:dyDescent="0.2">
      <c r="A24" s="1"/>
      <c r="B24" s="1" t="s">
        <v>5</v>
      </c>
      <c r="C24" s="3" t="s">
        <v>52</v>
      </c>
      <c r="D24" s="3"/>
      <c r="E24" s="3"/>
      <c r="F24" s="20">
        <v>-487.25</v>
      </c>
      <c r="G24" s="30" t="s">
        <v>46</v>
      </c>
      <c r="H24" s="4" t="s">
        <v>12</v>
      </c>
      <c r="I24" s="4" t="s">
        <v>58</v>
      </c>
      <c r="J24" s="23"/>
      <c r="K24" s="11"/>
      <c r="L24" s="1"/>
      <c r="M24" s="1"/>
      <c r="N24" s="1"/>
      <c r="O24" s="1"/>
    </row>
    <row r="25" spans="1:18" x14ac:dyDescent="0.2">
      <c r="A25" s="1"/>
      <c r="B25" s="19" t="s">
        <v>5</v>
      </c>
      <c r="C25" s="17" t="s">
        <v>53</v>
      </c>
      <c r="D25" s="17"/>
      <c r="E25" s="17"/>
      <c r="F25" s="22">
        <v>5042.0600000000004</v>
      </c>
      <c r="G25" s="31" t="s">
        <v>54</v>
      </c>
      <c r="H25" s="16" t="s">
        <v>12</v>
      </c>
      <c r="I25" s="4" t="s">
        <v>58</v>
      </c>
      <c r="J25" s="23"/>
      <c r="K25" s="11"/>
      <c r="L25" s="1"/>
      <c r="M25" s="1"/>
      <c r="N25" s="1"/>
      <c r="O25" s="1"/>
    </row>
    <row r="26" spans="1:18" x14ac:dyDescent="0.2">
      <c r="A26" s="1"/>
      <c r="B26" s="19" t="s">
        <v>1</v>
      </c>
      <c r="C26" s="17" t="s">
        <v>2</v>
      </c>
      <c r="D26" s="17"/>
      <c r="E26" s="17"/>
      <c r="F26" s="22">
        <v>-5042.0600000000004</v>
      </c>
      <c r="G26" s="31" t="s">
        <v>54</v>
      </c>
      <c r="H26" s="16" t="s">
        <v>12</v>
      </c>
      <c r="I26" s="4" t="s">
        <v>58</v>
      </c>
      <c r="J26" s="23"/>
      <c r="K26" s="19" t="s">
        <v>1</v>
      </c>
      <c r="L26" s="17" t="s">
        <v>2</v>
      </c>
      <c r="M26" s="17"/>
      <c r="N26" s="17"/>
      <c r="O26" s="22">
        <v>-5042.0600000000004</v>
      </c>
      <c r="P26" s="31" t="s">
        <v>54</v>
      </c>
      <c r="Q26" s="16" t="s">
        <v>12</v>
      </c>
      <c r="R26" s="4" t="s">
        <v>56</v>
      </c>
    </row>
    <row r="27" spans="1:18" x14ac:dyDescent="0.2">
      <c r="A27" s="1"/>
      <c r="B27" s="1" t="s">
        <v>5</v>
      </c>
      <c r="C27" s="3" t="s">
        <v>4</v>
      </c>
      <c r="D27" s="3"/>
      <c r="E27" s="3"/>
      <c r="F27" s="20">
        <v>44404.480000000003</v>
      </c>
      <c r="G27" s="10" t="s">
        <v>42</v>
      </c>
      <c r="H27" s="4"/>
      <c r="I27" s="4" t="s">
        <v>58</v>
      </c>
      <c r="J27" s="11"/>
      <c r="K27" s="19" t="s">
        <v>1</v>
      </c>
      <c r="L27" s="3" t="s">
        <v>16</v>
      </c>
      <c r="M27" s="17"/>
      <c r="N27" s="17"/>
      <c r="O27" s="22">
        <v>5042.0600000000004</v>
      </c>
      <c r="P27" s="31" t="s">
        <v>54</v>
      </c>
      <c r="Q27" s="16" t="s">
        <v>12</v>
      </c>
      <c r="R27" s="4" t="s">
        <v>56</v>
      </c>
    </row>
    <row r="28" spans="1:18" x14ac:dyDescent="0.2">
      <c r="A28" s="1"/>
      <c r="B28" s="1" t="s">
        <v>1</v>
      </c>
      <c r="C28" s="3" t="s">
        <v>16</v>
      </c>
      <c r="D28" s="3"/>
      <c r="E28" s="3"/>
      <c r="F28" s="20">
        <v>-44404.480000000003</v>
      </c>
      <c r="G28" s="10" t="s">
        <v>42</v>
      </c>
      <c r="H28" s="4"/>
      <c r="I28" s="4" t="s">
        <v>58</v>
      </c>
      <c r="J28" s="11"/>
      <c r="K28" s="11"/>
      <c r="L28" s="1"/>
      <c r="M28" s="1"/>
      <c r="N28" s="1"/>
      <c r="O28" s="1"/>
    </row>
    <row r="29" spans="1:18" x14ac:dyDescent="0.2">
      <c r="A29" s="1"/>
      <c r="B29" s="1"/>
      <c r="C29" s="12"/>
      <c r="D29" s="12"/>
      <c r="E29" s="12"/>
      <c r="F29" s="5"/>
      <c r="G29" s="13"/>
      <c r="H29" s="4"/>
      <c r="I29" s="4"/>
      <c r="J29" s="7"/>
      <c r="K29" s="1"/>
      <c r="L29" s="1"/>
      <c r="M29" s="1"/>
      <c r="N29" s="1"/>
      <c r="O29" s="1"/>
    </row>
    <row r="30" spans="1:18" ht="15" thickBot="1" x14ac:dyDescent="0.25">
      <c r="A30" s="1"/>
      <c r="B30" s="1"/>
      <c r="C30" s="3" t="s">
        <v>15</v>
      </c>
      <c r="D30" s="3"/>
      <c r="E30" s="3"/>
      <c r="F30" s="21">
        <f>SUMIF(F7:F28,"&lt;0",F7:F28)</f>
        <v>-82317.850000000006</v>
      </c>
      <c r="G30" s="13" t="s">
        <v>13</v>
      </c>
      <c r="H30" s="4"/>
      <c r="I30" s="4"/>
      <c r="J30" s="7"/>
      <c r="K30" s="1"/>
      <c r="L30" s="1"/>
      <c r="M30" s="1"/>
      <c r="N30" s="1"/>
      <c r="O30" s="1"/>
    </row>
    <row r="31" spans="1:18" ht="15" thickTop="1" x14ac:dyDescent="0.2">
      <c r="A31" s="1"/>
      <c r="B31" s="1"/>
      <c r="C31" s="3"/>
      <c r="D31" s="3"/>
      <c r="E31" s="3"/>
      <c r="F31" s="5"/>
      <c r="G31" s="10"/>
      <c r="H31" s="4"/>
      <c r="I31" s="4"/>
      <c r="J31" s="7"/>
      <c r="K31" s="1"/>
      <c r="L31" s="1"/>
      <c r="M31" s="1"/>
      <c r="N31" s="1"/>
      <c r="O31" s="1"/>
    </row>
    <row r="35" spans="2:9" x14ac:dyDescent="0.2">
      <c r="B35" s="4" t="s">
        <v>5</v>
      </c>
      <c r="C35" s="3" t="s">
        <v>7</v>
      </c>
      <c r="D35" s="3"/>
      <c r="E35" s="3"/>
      <c r="F35" s="20">
        <v>7143.75</v>
      </c>
      <c r="G35" s="10" t="s">
        <v>26</v>
      </c>
      <c r="H35" s="4" t="s">
        <v>17</v>
      </c>
      <c r="I35" s="4" t="s">
        <v>58</v>
      </c>
    </row>
    <row r="36" spans="2:9" x14ac:dyDescent="0.2">
      <c r="B36" s="4" t="s">
        <v>5</v>
      </c>
      <c r="C36" s="3" t="s">
        <v>6</v>
      </c>
      <c r="D36" s="3"/>
      <c r="E36" s="3"/>
      <c r="F36" s="20">
        <v>-7143.75</v>
      </c>
      <c r="G36" s="10" t="s">
        <v>26</v>
      </c>
      <c r="H36" s="4" t="s">
        <v>17</v>
      </c>
      <c r="I36" s="4" t="s">
        <v>58</v>
      </c>
    </row>
    <row r="37" spans="2:9" x14ac:dyDescent="0.2">
      <c r="B37" s="4" t="s">
        <v>5</v>
      </c>
      <c r="C37" s="3" t="s">
        <v>7</v>
      </c>
      <c r="D37" s="3"/>
      <c r="E37" s="3"/>
      <c r="F37" s="20">
        <v>1976.42</v>
      </c>
      <c r="G37" s="10" t="s">
        <v>27</v>
      </c>
      <c r="H37" s="4" t="s">
        <v>12</v>
      </c>
      <c r="I37" s="4" t="s">
        <v>58</v>
      </c>
    </row>
    <row r="38" spans="2:9" x14ac:dyDescent="0.2">
      <c r="B38" s="4" t="s">
        <v>5</v>
      </c>
      <c r="C38" s="3" t="s">
        <v>6</v>
      </c>
      <c r="D38" s="3"/>
      <c r="E38" s="3"/>
      <c r="F38" s="20">
        <v>-1976.42</v>
      </c>
      <c r="G38" s="10" t="s">
        <v>27</v>
      </c>
      <c r="H38" s="4" t="s">
        <v>12</v>
      </c>
      <c r="I38" s="4" t="s">
        <v>58</v>
      </c>
    </row>
    <row r="39" spans="2:9" x14ac:dyDescent="0.2">
      <c r="B39" s="4" t="s">
        <v>5</v>
      </c>
      <c r="C39" s="3" t="s">
        <v>7</v>
      </c>
      <c r="D39" s="3"/>
      <c r="E39" s="3"/>
      <c r="F39" s="20">
        <v>1079.17</v>
      </c>
      <c r="G39" s="10" t="s">
        <v>32</v>
      </c>
      <c r="H39" s="4" t="s">
        <v>12</v>
      </c>
      <c r="I39" s="4" t="s">
        <v>58</v>
      </c>
    </row>
    <row r="40" spans="2:9" x14ac:dyDescent="0.2">
      <c r="B40" s="4" t="s">
        <v>5</v>
      </c>
      <c r="C40" s="3" t="s">
        <v>6</v>
      </c>
      <c r="D40" s="3"/>
      <c r="E40" s="3"/>
      <c r="F40" s="20">
        <v>-1079.17</v>
      </c>
      <c r="G40" s="10" t="s">
        <v>32</v>
      </c>
      <c r="H40" s="4" t="s">
        <v>12</v>
      </c>
      <c r="I40" s="4" t="s">
        <v>58</v>
      </c>
    </row>
    <row r="41" spans="2:9" x14ac:dyDescent="0.2">
      <c r="B41" s="4" t="s">
        <v>5</v>
      </c>
      <c r="C41" s="3" t="s">
        <v>7</v>
      </c>
      <c r="D41" s="3"/>
      <c r="E41" s="3"/>
      <c r="F41" s="20">
        <v>1701.92</v>
      </c>
      <c r="G41" s="10" t="s">
        <v>33</v>
      </c>
      <c r="H41" s="4" t="s">
        <v>12</v>
      </c>
      <c r="I41" s="4" t="s">
        <v>58</v>
      </c>
    </row>
    <row r="42" spans="2:9" x14ac:dyDescent="0.2">
      <c r="B42" s="4" t="s">
        <v>5</v>
      </c>
      <c r="C42" s="3" t="s">
        <v>6</v>
      </c>
      <c r="D42" s="3"/>
      <c r="E42" s="3"/>
      <c r="F42" s="20">
        <v>-1701.92</v>
      </c>
      <c r="G42" s="10" t="s">
        <v>33</v>
      </c>
      <c r="H42" s="4" t="s">
        <v>12</v>
      </c>
      <c r="I42" s="4" t="s">
        <v>58</v>
      </c>
    </row>
    <row r="43" spans="2:9" x14ac:dyDescent="0.2">
      <c r="B43" s="4" t="s">
        <v>5</v>
      </c>
      <c r="C43" s="3" t="s">
        <v>7</v>
      </c>
      <c r="D43" s="3"/>
      <c r="E43" s="3"/>
      <c r="F43" s="20">
        <v>3202.58</v>
      </c>
      <c r="G43" s="10" t="s">
        <v>41</v>
      </c>
      <c r="H43" s="4" t="s">
        <v>12</v>
      </c>
      <c r="I43" s="4" t="s">
        <v>58</v>
      </c>
    </row>
    <row r="44" spans="2:9" x14ac:dyDescent="0.2">
      <c r="B44" s="4" t="s">
        <v>5</v>
      </c>
      <c r="C44" s="3" t="s">
        <v>6</v>
      </c>
      <c r="D44" s="3"/>
      <c r="E44" s="3"/>
      <c r="F44" s="20">
        <v>-3202.58</v>
      </c>
      <c r="G44" s="10" t="s">
        <v>41</v>
      </c>
      <c r="H44" s="4" t="s">
        <v>12</v>
      </c>
      <c r="I44" s="4" t="s">
        <v>58</v>
      </c>
    </row>
    <row r="45" spans="2:9" x14ac:dyDescent="0.2">
      <c r="B45" s="4" t="s">
        <v>5</v>
      </c>
      <c r="C45" s="3" t="s">
        <v>7</v>
      </c>
      <c r="D45" s="3"/>
      <c r="E45" s="3"/>
      <c r="F45" s="20">
        <v>474.44</v>
      </c>
      <c r="G45" s="10" t="s">
        <v>43</v>
      </c>
      <c r="H45" s="4" t="s">
        <v>12</v>
      </c>
      <c r="I45" s="4" t="s">
        <v>58</v>
      </c>
    </row>
    <row r="46" spans="2:9" x14ac:dyDescent="0.2">
      <c r="B46" s="4" t="s">
        <v>5</v>
      </c>
      <c r="C46" s="3" t="s">
        <v>6</v>
      </c>
      <c r="D46" s="3"/>
      <c r="E46" s="3"/>
      <c r="F46" s="20">
        <v>-474.44</v>
      </c>
      <c r="G46" s="10" t="s">
        <v>43</v>
      </c>
      <c r="H46" s="4" t="s">
        <v>12</v>
      </c>
      <c r="I46" s="4" t="s">
        <v>58</v>
      </c>
    </row>
    <row r="47" spans="2:9" x14ac:dyDescent="0.2">
      <c r="B47" s="4" t="s">
        <v>5</v>
      </c>
      <c r="C47" s="3" t="s">
        <v>7</v>
      </c>
      <c r="D47" s="3"/>
      <c r="E47" s="3"/>
      <c r="F47" s="20">
        <v>665.42</v>
      </c>
      <c r="G47" s="10" t="s">
        <v>44</v>
      </c>
      <c r="H47" s="4" t="s">
        <v>12</v>
      </c>
      <c r="I47" s="4" t="s">
        <v>58</v>
      </c>
    </row>
    <row r="48" spans="2:9" x14ac:dyDescent="0.2">
      <c r="B48" s="4" t="s">
        <v>5</v>
      </c>
      <c r="C48" s="3" t="s">
        <v>6</v>
      </c>
      <c r="D48" s="3"/>
      <c r="E48" s="3"/>
      <c r="F48" s="20">
        <v>-665.42</v>
      </c>
      <c r="G48" s="10" t="s">
        <v>44</v>
      </c>
      <c r="H48" s="4" t="s">
        <v>12</v>
      </c>
      <c r="I48" s="4" t="s">
        <v>58</v>
      </c>
    </row>
    <row r="49" spans="2:9" x14ac:dyDescent="0.2">
      <c r="B49" s="4" t="s">
        <v>5</v>
      </c>
      <c r="C49" s="3" t="s">
        <v>7</v>
      </c>
      <c r="D49" s="3"/>
      <c r="E49" s="3"/>
      <c r="F49" s="20">
        <v>1493.25</v>
      </c>
      <c r="G49" s="10" t="s">
        <v>45</v>
      </c>
      <c r="H49" s="4" t="s">
        <v>12</v>
      </c>
      <c r="I49" s="4" t="s">
        <v>58</v>
      </c>
    </row>
    <row r="50" spans="2:9" x14ac:dyDescent="0.2">
      <c r="B50" s="4" t="s">
        <v>5</v>
      </c>
      <c r="C50" s="3" t="s">
        <v>6</v>
      </c>
      <c r="D50" s="3"/>
      <c r="E50" s="3"/>
      <c r="F50" s="20">
        <v>-1493.25</v>
      </c>
      <c r="G50" s="10" t="s">
        <v>45</v>
      </c>
      <c r="H50" s="4" t="s">
        <v>12</v>
      </c>
      <c r="I50" s="4" t="s">
        <v>58</v>
      </c>
    </row>
    <row r="51" spans="2:9" x14ac:dyDescent="0.2">
      <c r="B51" s="4" t="s">
        <v>5</v>
      </c>
      <c r="C51" s="3" t="s">
        <v>7</v>
      </c>
      <c r="D51" s="3"/>
      <c r="E51" s="3"/>
      <c r="F51" s="20">
        <v>3613.92</v>
      </c>
      <c r="G51" s="10" t="s">
        <v>47</v>
      </c>
      <c r="H51" s="4" t="s">
        <v>18</v>
      </c>
      <c r="I51" s="4" t="s">
        <v>58</v>
      </c>
    </row>
    <row r="52" spans="2:9" x14ac:dyDescent="0.2">
      <c r="B52" s="4" t="s">
        <v>5</v>
      </c>
      <c r="C52" s="3" t="s">
        <v>6</v>
      </c>
      <c r="D52" s="3"/>
      <c r="E52" s="3"/>
      <c r="F52" s="20">
        <v>-3613.92</v>
      </c>
      <c r="G52" s="10" t="s">
        <v>47</v>
      </c>
      <c r="H52" s="4" t="s">
        <v>18</v>
      </c>
      <c r="I52" s="4" t="s">
        <v>58</v>
      </c>
    </row>
    <row r="53" spans="2:9" x14ac:dyDescent="0.2">
      <c r="B53" s="4" t="s">
        <v>5</v>
      </c>
      <c r="C53" s="3" t="s">
        <v>7</v>
      </c>
      <c r="D53" s="3"/>
      <c r="E53" s="3"/>
      <c r="F53" s="20">
        <v>2562.92</v>
      </c>
      <c r="G53" s="10" t="s">
        <v>48</v>
      </c>
      <c r="H53" s="4" t="s">
        <v>12</v>
      </c>
      <c r="I53" s="4" t="s">
        <v>58</v>
      </c>
    </row>
    <row r="54" spans="2:9" x14ac:dyDescent="0.2">
      <c r="B54" s="4" t="s">
        <v>5</v>
      </c>
      <c r="C54" s="3" t="s">
        <v>6</v>
      </c>
      <c r="D54" s="3"/>
      <c r="E54" s="3"/>
      <c r="F54" s="20">
        <v>-2562.92</v>
      </c>
      <c r="G54" s="10" t="s">
        <v>48</v>
      </c>
      <c r="H54" s="4" t="s">
        <v>12</v>
      </c>
      <c r="I54" s="4" t="s">
        <v>58</v>
      </c>
    </row>
    <row r="55" spans="2:9" x14ac:dyDescent="0.2">
      <c r="B55" s="4" t="s">
        <v>5</v>
      </c>
      <c r="C55" s="3" t="s">
        <v>7</v>
      </c>
      <c r="D55" s="3"/>
      <c r="E55" s="3"/>
      <c r="F55" s="20">
        <v>1101.83</v>
      </c>
      <c r="G55" s="10" t="s">
        <v>55</v>
      </c>
      <c r="H55" s="4" t="s">
        <v>12</v>
      </c>
      <c r="I55" s="4" t="s">
        <v>58</v>
      </c>
    </row>
    <row r="56" spans="2:9" x14ac:dyDescent="0.2">
      <c r="B56" s="4" t="s">
        <v>5</v>
      </c>
      <c r="C56" s="3" t="s">
        <v>6</v>
      </c>
      <c r="D56" s="3"/>
      <c r="E56" s="3"/>
      <c r="F56" s="20">
        <v>-1101.83</v>
      </c>
      <c r="G56" s="10" t="s">
        <v>55</v>
      </c>
      <c r="H56" s="4" t="s">
        <v>12</v>
      </c>
      <c r="I56" s="4" t="s">
        <v>58</v>
      </c>
    </row>
    <row r="57" spans="2:9" x14ac:dyDescent="0.2">
      <c r="B57" s="16" t="s">
        <v>5</v>
      </c>
      <c r="C57" s="17" t="s">
        <v>7</v>
      </c>
      <c r="D57" s="17"/>
      <c r="E57" s="17"/>
      <c r="F57" s="22">
        <v>973.55</v>
      </c>
      <c r="G57" s="18" t="s">
        <v>57</v>
      </c>
      <c r="H57" s="16" t="s">
        <v>12</v>
      </c>
      <c r="I57" s="4" t="s">
        <v>56</v>
      </c>
    </row>
    <row r="58" spans="2:9" x14ac:dyDescent="0.2">
      <c r="B58" s="16" t="s">
        <v>5</v>
      </c>
      <c r="C58" s="17" t="s">
        <v>6</v>
      </c>
      <c r="D58" s="17"/>
      <c r="E58" s="17"/>
      <c r="F58" s="22">
        <v>-973.55</v>
      </c>
      <c r="G58" s="18" t="s">
        <v>57</v>
      </c>
      <c r="H58" s="16" t="s">
        <v>12</v>
      </c>
      <c r="I58" s="4" t="s">
        <v>56</v>
      </c>
    </row>
    <row r="59" spans="2:9" x14ac:dyDescent="0.2">
      <c r="B59" s="16" t="s">
        <v>5</v>
      </c>
      <c r="C59" s="17" t="s">
        <v>7</v>
      </c>
      <c r="D59" s="17"/>
      <c r="E59" s="17"/>
      <c r="F59" s="22">
        <v>973.55</v>
      </c>
      <c r="G59" s="18" t="s">
        <v>57</v>
      </c>
      <c r="H59" s="16" t="s">
        <v>12</v>
      </c>
      <c r="I59" s="4" t="s">
        <v>58</v>
      </c>
    </row>
    <row r="60" spans="2:9" x14ac:dyDescent="0.2">
      <c r="B60" s="16" t="s">
        <v>5</v>
      </c>
      <c r="C60" s="17" t="s">
        <v>6</v>
      </c>
      <c r="D60" s="17"/>
      <c r="E60" s="17"/>
      <c r="F60" s="22">
        <v>-973.55</v>
      </c>
      <c r="G60" s="18" t="s">
        <v>57</v>
      </c>
      <c r="H60" s="16" t="s">
        <v>12</v>
      </c>
      <c r="I60" s="4" t="s">
        <v>58</v>
      </c>
    </row>
    <row r="64" spans="2:9" ht="15" thickBot="1" x14ac:dyDescent="0.25">
      <c r="C64" t="s">
        <v>14</v>
      </c>
      <c r="F64" s="21">
        <f>SUMIF(F35:F63,"&lt;0",F35:F63)</f>
        <v>-26962.720000000001</v>
      </c>
      <c r="G64" t="s">
        <v>13</v>
      </c>
    </row>
    <row r="65" ht="15" thickTop="1" x14ac:dyDescent="0.2"/>
  </sheetData>
  <autoFilter ref="B6:I14" xr:uid="{E75F0CD7-8C26-4173-8973-B3509135FC85}"/>
  <hyperlinks>
    <hyperlink ref="F1" r:id="rId1" xr:uid="{1EF1310D-ACB5-43D7-AE93-DA90A0B248A4}"/>
  </hyperlinks>
  <pageMargins left="0.7" right="0.7" top="0.75" bottom="0.75" header="0.3" footer="0.3"/>
  <pageSetup paperSize="9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C489-1559-4C25-AEB9-9EE7A5684A37}">
  <sheetPr>
    <tabColor theme="9" tint="0.59999389629810485"/>
  </sheetPr>
  <dimension ref="A1:R61"/>
  <sheetViews>
    <sheetView workbookViewId="0"/>
  </sheetViews>
  <sheetFormatPr defaultRowHeight="14.25" x14ac:dyDescent="0.2"/>
  <cols>
    <col min="3" max="5" width="16.875" customWidth="1"/>
    <col min="6" max="6" width="17.5" bestFit="1" customWidth="1"/>
    <col min="7" max="7" width="34.75" customWidth="1"/>
    <col min="8" max="8" width="41.125" bestFit="1" customWidth="1"/>
    <col min="9" max="9" width="38.625" customWidth="1"/>
  </cols>
  <sheetData>
    <row r="1" spans="1:15" ht="15.75" x14ac:dyDescent="0.25">
      <c r="A1" s="1"/>
      <c r="B1" s="9" t="s">
        <v>9</v>
      </c>
      <c r="C1" s="1"/>
      <c r="D1" s="1"/>
      <c r="E1" s="1"/>
      <c r="F1" s="14" t="s">
        <v>19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5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/>
      <c r="B3" s="8" t="s">
        <v>0</v>
      </c>
      <c r="C3" s="1"/>
      <c r="D3" s="1"/>
      <c r="E3" s="1"/>
      <c r="F3" s="15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5"/>
      <c r="G4" s="1"/>
      <c r="H4" s="1"/>
      <c r="I4" s="1"/>
      <c r="J4" s="6" t="s">
        <v>8</v>
      </c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5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5"/>
      <c r="G6" s="1"/>
      <c r="H6" s="1"/>
      <c r="I6" s="1"/>
      <c r="J6" s="2"/>
      <c r="K6" s="1"/>
      <c r="L6" s="1"/>
      <c r="M6" s="1"/>
      <c r="N6" s="1"/>
      <c r="O6" s="1"/>
    </row>
    <row r="7" spans="1:15" x14ac:dyDescent="0.2">
      <c r="A7" s="1"/>
      <c r="B7" s="24" t="s">
        <v>5</v>
      </c>
      <c r="C7" s="25" t="s">
        <v>24</v>
      </c>
      <c r="D7" s="25"/>
      <c r="E7" s="25"/>
      <c r="F7" s="26">
        <v>358.74666666666667</v>
      </c>
      <c r="G7" s="27" t="s">
        <v>25</v>
      </c>
      <c r="H7" s="28" t="s">
        <v>12</v>
      </c>
      <c r="I7" s="4" t="s">
        <v>56</v>
      </c>
      <c r="J7" s="23"/>
      <c r="K7" s="11"/>
      <c r="L7" s="1"/>
      <c r="M7" s="1"/>
      <c r="N7" s="1"/>
      <c r="O7" s="1"/>
    </row>
    <row r="8" spans="1:15" x14ac:dyDescent="0.2">
      <c r="A8" s="1"/>
      <c r="B8" s="24" t="s">
        <v>5</v>
      </c>
      <c r="C8" s="25" t="s">
        <v>21</v>
      </c>
      <c r="D8" s="25"/>
      <c r="E8" s="25"/>
      <c r="F8" s="26">
        <v>358.74666666666667</v>
      </c>
      <c r="G8" s="27" t="s">
        <v>25</v>
      </c>
      <c r="H8" s="28" t="s">
        <v>12</v>
      </c>
      <c r="I8" s="4" t="s">
        <v>56</v>
      </c>
      <c r="J8" s="23"/>
      <c r="K8" s="11"/>
      <c r="L8" s="1"/>
      <c r="M8" s="1"/>
      <c r="N8" s="1"/>
      <c r="O8" s="1"/>
    </row>
    <row r="9" spans="1:15" x14ac:dyDescent="0.2">
      <c r="A9" s="1"/>
      <c r="B9" s="24" t="s">
        <v>5</v>
      </c>
      <c r="C9" s="25" t="s">
        <v>22</v>
      </c>
      <c r="D9" s="25"/>
      <c r="E9" s="25"/>
      <c r="F9" s="26">
        <v>358.74666666666667</v>
      </c>
      <c r="G9" s="27" t="s">
        <v>25</v>
      </c>
      <c r="H9" s="28" t="s">
        <v>12</v>
      </c>
      <c r="I9" s="4" t="s">
        <v>56</v>
      </c>
      <c r="J9" s="23"/>
      <c r="K9" s="11"/>
      <c r="L9" s="1"/>
      <c r="M9" s="1"/>
      <c r="N9" s="1"/>
      <c r="O9" s="1"/>
    </row>
    <row r="10" spans="1:15" x14ac:dyDescent="0.2">
      <c r="A10" s="1"/>
      <c r="B10" s="24" t="s">
        <v>5</v>
      </c>
      <c r="C10" s="25" t="s">
        <v>23</v>
      </c>
      <c r="D10" s="25"/>
      <c r="E10" s="25"/>
      <c r="F10" s="26">
        <v>358.82333333333332</v>
      </c>
      <c r="G10" s="27" t="s">
        <v>25</v>
      </c>
      <c r="H10" s="28" t="s">
        <v>12</v>
      </c>
      <c r="I10" s="4" t="s">
        <v>56</v>
      </c>
      <c r="J10" s="23"/>
      <c r="K10" s="11"/>
      <c r="L10" s="1"/>
      <c r="M10" s="1"/>
      <c r="N10" s="1"/>
      <c r="O10" s="1"/>
    </row>
    <row r="11" spans="1:15" x14ac:dyDescent="0.2">
      <c r="A11" s="1"/>
      <c r="B11" s="24" t="s">
        <v>5</v>
      </c>
      <c r="C11" s="25" t="s">
        <v>20</v>
      </c>
      <c r="D11" s="25"/>
      <c r="E11" s="25"/>
      <c r="F11" s="26">
        <v>358.74666666666667</v>
      </c>
      <c r="G11" s="27" t="s">
        <v>25</v>
      </c>
      <c r="H11" s="28" t="s">
        <v>12</v>
      </c>
      <c r="I11" s="4" t="s">
        <v>56</v>
      </c>
      <c r="J11" s="23"/>
      <c r="K11" s="11"/>
      <c r="L11" s="1"/>
      <c r="M11" s="1"/>
      <c r="N11" s="1"/>
      <c r="O11" s="1"/>
    </row>
    <row r="12" spans="1:15" x14ac:dyDescent="0.2">
      <c r="A12" s="1"/>
      <c r="B12" s="24" t="s">
        <v>1</v>
      </c>
      <c r="C12" s="25" t="s">
        <v>2</v>
      </c>
      <c r="D12" s="25"/>
      <c r="E12" s="25"/>
      <c r="F12" s="26">
        <v>-1793.82</v>
      </c>
      <c r="G12" s="29" t="s">
        <v>25</v>
      </c>
      <c r="H12" s="28" t="s">
        <v>12</v>
      </c>
      <c r="I12" s="4" t="s">
        <v>56</v>
      </c>
      <c r="J12" s="23"/>
      <c r="K12" s="11"/>
      <c r="L12" s="1"/>
      <c r="M12" s="1"/>
      <c r="N12" s="1"/>
      <c r="O12" s="1"/>
    </row>
    <row r="13" spans="1:15" x14ac:dyDescent="0.2">
      <c r="A13" s="1"/>
      <c r="B13" s="1" t="s">
        <v>5</v>
      </c>
      <c r="C13" s="3" t="s">
        <v>11</v>
      </c>
      <c r="D13" s="3"/>
      <c r="E13" s="3"/>
      <c r="F13" s="20">
        <v>5750</v>
      </c>
      <c r="G13" s="30" t="s">
        <v>28</v>
      </c>
      <c r="H13" s="4" t="s">
        <v>29</v>
      </c>
      <c r="I13" s="4" t="s">
        <v>56</v>
      </c>
      <c r="J13" s="23"/>
      <c r="K13" s="11"/>
      <c r="L13" s="1"/>
      <c r="M13" s="1"/>
      <c r="N13" s="1"/>
      <c r="O13" s="1"/>
    </row>
    <row r="14" spans="1:15" x14ac:dyDescent="0.2">
      <c r="A14" s="1"/>
      <c r="B14" s="1" t="s">
        <v>1</v>
      </c>
      <c r="C14" s="3" t="s">
        <v>2</v>
      </c>
      <c r="D14" s="3"/>
      <c r="E14" s="3"/>
      <c r="F14" s="20">
        <v>-5750</v>
      </c>
      <c r="G14" s="30" t="s">
        <v>28</v>
      </c>
      <c r="H14" s="4" t="s">
        <v>29</v>
      </c>
      <c r="I14" s="4" t="s">
        <v>56</v>
      </c>
      <c r="J14" s="23"/>
      <c r="K14" s="11"/>
      <c r="L14" s="1"/>
      <c r="M14" s="1"/>
      <c r="N14" s="1"/>
      <c r="O14" s="1"/>
    </row>
    <row r="15" spans="1:15" x14ac:dyDescent="0.2">
      <c r="A15" s="1"/>
      <c r="B15" s="1" t="s">
        <v>34</v>
      </c>
      <c r="C15" s="3" t="s">
        <v>35</v>
      </c>
      <c r="D15" s="3" t="s">
        <v>36</v>
      </c>
      <c r="E15" s="3" t="s">
        <v>37</v>
      </c>
      <c r="F15" s="20">
        <v>372</v>
      </c>
      <c r="G15" s="10" t="s">
        <v>38</v>
      </c>
      <c r="H15" s="4" t="s">
        <v>12</v>
      </c>
      <c r="I15" s="4" t="s">
        <v>56</v>
      </c>
      <c r="J15" s="11"/>
      <c r="K15" s="11"/>
      <c r="L15" s="1"/>
      <c r="M15" s="1"/>
      <c r="N15" s="1"/>
      <c r="O15" s="1"/>
    </row>
    <row r="16" spans="1:15" x14ac:dyDescent="0.2">
      <c r="A16" s="1"/>
      <c r="B16" s="1" t="s">
        <v>1</v>
      </c>
      <c r="C16" s="3" t="s">
        <v>2</v>
      </c>
      <c r="D16" s="3"/>
      <c r="E16" s="3"/>
      <c r="F16" s="20">
        <v>-372</v>
      </c>
      <c r="G16" s="10" t="s">
        <v>38</v>
      </c>
      <c r="H16" s="4" t="s">
        <v>12</v>
      </c>
      <c r="I16" s="4" t="s">
        <v>56</v>
      </c>
      <c r="J16" s="11"/>
      <c r="K16" s="11"/>
      <c r="L16" s="1"/>
      <c r="M16" s="1"/>
      <c r="N16" s="1"/>
      <c r="O16" s="1"/>
    </row>
    <row r="17" spans="1:18" x14ac:dyDescent="0.2">
      <c r="A17" s="1"/>
      <c r="B17" s="1" t="s">
        <v>5</v>
      </c>
      <c r="C17" s="3" t="s">
        <v>39</v>
      </c>
      <c r="F17" s="20">
        <v>6601.56</v>
      </c>
      <c r="G17" s="10" t="s">
        <v>40</v>
      </c>
      <c r="H17" s="4" t="s">
        <v>12</v>
      </c>
      <c r="I17" s="4" t="s">
        <v>56</v>
      </c>
      <c r="J17" s="11"/>
      <c r="K17" s="11"/>
      <c r="L17" s="1"/>
      <c r="M17" s="1"/>
      <c r="N17" s="1"/>
      <c r="O17" s="1"/>
    </row>
    <row r="18" spans="1:18" x14ac:dyDescent="0.2">
      <c r="A18" s="1"/>
      <c r="B18" s="1" t="s">
        <v>1</v>
      </c>
      <c r="C18" s="3" t="s">
        <v>2</v>
      </c>
      <c r="D18" s="3"/>
      <c r="E18" s="3"/>
      <c r="F18" s="20">
        <v>-6601.56</v>
      </c>
      <c r="G18" s="10" t="s">
        <v>40</v>
      </c>
      <c r="H18" s="4" t="s">
        <v>12</v>
      </c>
      <c r="I18" s="4" t="s">
        <v>56</v>
      </c>
      <c r="J18" s="11"/>
      <c r="K18" s="11"/>
      <c r="L18" s="1"/>
      <c r="M18" s="1"/>
      <c r="N18" s="1"/>
      <c r="O18" s="1"/>
    </row>
    <row r="19" spans="1:18" x14ac:dyDescent="0.2">
      <c r="A19" s="1"/>
      <c r="B19" s="1" t="s">
        <v>5</v>
      </c>
      <c r="C19" s="3" t="s">
        <v>3</v>
      </c>
      <c r="D19" s="3"/>
      <c r="E19" s="3"/>
      <c r="F19" s="20">
        <v>765.63</v>
      </c>
      <c r="G19" s="30" t="s">
        <v>31</v>
      </c>
      <c r="H19" s="4" t="s">
        <v>30</v>
      </c>
      <c r="I19" s="4" t="s">
        <v>56</v>
      </c>
      <c r="J19" s="23"/>
      <c r="K19" s="11"/>
      <c r="L19" s="1"/>
      <c r="M19" s="1"/>
      <c r="N19" s="1"/>
      <c r="O19" s="1"/>
    </row>
    <row r="20" spans="1:18" x14ac:dyDescent="0.2">
      <c r="A20" s="1"/>
      <c r="B20" s="1" t="s">
        <v>1</v>
      </c>
      <c r="C20" s="3" t="s">
        <v>2</v>
      </c>
      <c r="D20" s="3"/>
      <c r="E20" s="3"/>
      <c r="F20" s="20">
        <v>-765.63</v>
      </c>
      <c r="G20" s="30" t="s">
        <v>31</v>
      </c>
      <c r="H20" s="4" t="s">
        <v>30</v>
      </c>
      <c r="I20" s="4" t="s">
        <v>56</v>
      </c>
      <c r="J20" s="23"/>
      <c r="K20" s="11"/>
      <c r="L20" s="1"/>
      <c r="M20" s="1"/>
      <c r="N20" s="1"/>
      <c r="O20" s="1"/>
    </row>
    <row r="21" spans="1:18" x14ac:dyDescent="0.2">
      <c r="A21" s="1"/>
      <c r="B21" s="1" t="s">
        <v>5</v>
      </c>
      <c r="C21" s="3" t="s">
        <v>49</v>
      </c>
      <c r="D21" s="3"/>
      <c r="E21" s="3"/>
      <c r="F21" s="20">
        <v>17101.05</v>
      </c>
      <c r="G21" s="10" t="s">
        <v>50</v>
      </c>
      <c r="H21" s="4" t="s">
        <v>51</v>
      </c>
      <c r="I21" s="4" t="s">
        <v>56</v>
      </c>
      <c r="J21" s="11"/>
      <c r="K21" s="11"/>
      <c r="L21" s="1"/>
      <c r="M21" s="1"/>
      <c r="N21" s="1"/>
      <c r="O21" s="1"/>
    </row>
    <row r="22" spans="1:18" x14ac:dyDescent="0.2">
      <c r="A22" s="1"/>
      <c r="B22" s="1" t="s">
        <v>1</v>
      </c>
      <c r="C22" s="3" t="s">
        <v>2</v>
      </c>
      <c r="D22" s="3"/>
      <c r="E22" s="3"/>
      <c r="F22" s="20">
        <v>-17101.05</v>
      </c>
      <c r="G22" s="10" t="s">
        <v>50</v>
      </c>
      <c r="H22" s="4" t="s">
        <v>51</v>
      </c>
      <c r="I22" s="4" t="s">
        <v>56</v>
      </c>
      <c r="J22" s="11"/>
      <c r="K22" s="11"/>
      <c r="L22" s="1"/>
      <c r="M22" s="1"/>
      <c r="N22" s="1"/>
      <c r="O22" s="1"/>
    </row>
    <row r="23" spans="1:18" x14ac:dyDescent="0.2">
      <c r="A23" s="1"/>
      <c r="B23" s="1" t="s">
        <v>5</v>
      </c>
      <c r="C23" s="3" t="s">
        <v>10</v>
      </c>
      <c r="D23" s="3"/>
      <c r="E23" s="3"/>
      <c r="F23" s="20">
        <v>487.25</v>
      </c>
      <c r="G23" s="30" t="s">
        <v>46</v>
      </c>
      <c r="H23" s="4" t="s">
        <v>12</v>
      </c>
      <c r="I23" s="4" t="s">
        <v>56</v>
      </c>
      <c r="J23" s="23"/>
      <c r="K23" s="11"/>
      <c r="L23" s="1"/>
      <c r="M23" s="1"/>
      <c r="N23" s="1"/>
      <c r="O23" s="1"/>
    </row>
    <row r="24" spans="1:18" x14ac:dyDescent="0.2">
      <c r="A24" s="1"/>
      <c r="B24" s="1" t="s">
        <v>5</v>
      </c>
      <c r="C24" s="3" t="s">
        <v>52</v>
      </c>
      <c r="D24" s="3"/>
      <c r="E24" s="3"/>
      <c r="F24" s="20">
        <v>-487.25</v>
      </c>
      <c r="G24" s="30" t="s">
        <v>46</v>
      </c>
      <c r="H24" s="4" t="s">
        <v>12</v>
      </c>
      <c r="I24" s="4" t="s">
        <v>56</v>
      </c>
      <c r="J24" s="23"/>
      <c r="K24" s="11"/>
      <c r="L24" s="1"/>
      <c r="M24" s="1"/>
      <c r="N24" s="1"/>
      <c r="O24" s="1"/>
    </row>
    <row r="25" spans="1:18" x14ac:dyDescent="0.2">
      <c r="A25" s="1"/>
      <c r="B25" s="19" t="s">
        <v>5</v>
      </c>
      <c r="C25" s="17" t="s">
        <v>53</v>
      </c>
      <c r="D25" s="17"/>
      <c r="E25" s="17"/>
      <c r="F25" s="22">
        <v>5042.0600000000004</v>
      </c>
      <c r="G25" s="31" t="s">
        <v>54</v>
      </c>
      <c r="H25" s="16" t="s">
        <v>12</v>
      </c>
      <c r="I25" s="4" t="s">
        <v>56</v>
      </c>
      <c r="J25" s="23"/>
      <c r="K25" s="11"/>
      <c r="L25" s="1"/>
      <c r="M25" s="1"/>
      <c r="N25" s="1"/>
      <c r="O25" s="1"/>
    </row>
    <row r="26" spans="1:18" x14ac:dyDescent="0.2">
      <c r="A26" s="1"/>
      <c r="B26" s="19" t="s">
        <v>1</v>
      </c>
      <c r="C26" s="17" t="s">
        <v>2</v>
      </c>
      <c r="D26" s="17"/>
      <c r="E26" s="17"/>
      <c r="F26" s="22">
        <v>-5042.0600000000004</v>
      </c>
      <c r="G26" s="31" t="s">
        <v>54</v>
      </c>
      <c r="H26" s="16" t="s">
        <v>12</v>
      </c>
      <c r="I26" s="4" t="s">
        <v>56</v>
      </c>
      <c r="J26" s="23"/>
      <c r="K26" s="1"/>
      <c r="L26" s="3"/>
      <c r="M26" s="3"/>
      <c r="N26" s="3"/>
      <c r="O26" s="20"/>
      <c r="P26" s="30"/>
      <c r="Q26" s="4"/>
      <c r="R26" s="4"/>
    </row>
    <row r="27" spans="1:18" x14ac:dyDescent="0.2">
      <c r="A27" s="1"/>
      <c r="B27" s="1" t="s">
        <v>5</v>
      </c>
      <c r="C27" s="3" t="s">
        <v>4</v>
      </c>
      <c r="D27" s="3"/>
      <c r="E27" s="3"/>
      <c r="F27" s="20">
        <v>44404.480000000003</v>
      </c>
      <c r="G27" s="10" t="s">
        <v>42</v>
      </c>
      <c r="H27" s="4"/>
      <c r="I27" s="4" t="s">
        <v>56</v>
      </c>
      <c r="J27" s="11"/>
      <c r="K27" s="1"/>
      <c r="L27" s="3"/>
      <c r="M27" s="3"/>
      <c r="N27" s="3"/>
      <c r="O27" s="20"/>
      <c r="P27" s="30"/>
      <c r="Q27" s="4"/>
      <c r="R27" s="4"/>
    </row>
    <row r="28" spans="1:18" x14ac:dyDescent="0.2">
      <c r="A28" s="1"/>
      <c r="B28" s="1" t="s">
        <v>1</v>
      </c>
      <c r="C28" s="3" t="s">
        <v>16</v>
      </c>
      <c r="D28" s="3"/>
      <c r="E28" s="3"/>
      <c r="F28" s="20">
        <v>-44404.480000000003</v>
      </c>
      <c r="G28" s="10" t="s">
        <v>42</v>
      </c>
      <c r="H28" s="4"/>
      <c r="I28" s="4" t="s">
        <v>56</v>
      </c>
      <c r="J28" s="11"/>
      <c r="K28" s="11"/>
      <c r="L28" s="1"/>
      <c r="M28" s="1"/>
      <c r="N28" s="1"/>
      <c r="O28" s="1"/>
    </row>
    <row r="29" spans="1:18" x14ac:dyDescent="0.2">
      <c r="A29" s="1"/>
      <c r="B29" s="1"/>
      <c r="C29" s="12"/>
      <c r="D29" s="12"/>
      <c r="E29" s="12"/>
      <c r="F29" s="5"/>
      <c r="G29" s="13"/>
      <c r="H29" s="4"/>
      <c r="I29" s="4"/>
      <c r="J29" s="7"/>
      <c r="K29" s="1"/>
      <c r="L29" s="1"/>
      <c r="M29" s="1"/>
      <c r="N29" s="1"/>
      <c r="O29" s="1"/>
    </row>
    <row r="30" spans="1:18" ht="15" thickBot="1" x14ac:dyDescent="0.25">
      <c r="A30" s="1"/>
      <c r="B30" s="1"/>
      <c r="C30" s="3" t="s">
        <v>15</v>
      </c>
      <c r="D30" s="3"/>
      <c r="E30" s="3"/>
      <c r="F30" s="21">
        <f>SUMIF(F7:F28,"&lt;0",F7:F28)</f>
        <v>-82317.850000000006</v>
      </c>
      <c r="G30" s="13" t="s">
        <v>13</v>
      </c>
      <c r="H30" s="4"/>
      <c r="I30" s="4"/>
      <c r="J30" s="7"/>
      <c r="K30" s="1"/>
      <c r="L30" s="1"/>
      <c r="M30" s="1"/>
      <c r="N30" s="1"/>
      <c r="O30" s="1"/>
    </row>
    <row r="31" spans="1:18" ht="15" thickTop="1" x14ac:dyDescent="0.2">
      <c r="A31" s="1"/>
      <c r="B31" s="1"/>
      <c r="C31" s="3"/>
      <c r="D31" s="3"/>
      <c r="E31" s="3"/>
      <c r="F31" s="5"/>
      <c r="G31" s="10"/>
      <c r="H31" s="4"/>
      <c r="I31" s="4"/>
      <c r="J31" s="7"/>
      <c r="K31" s="1"/>
      <c r="L31" s="1"/>
      <c r="M31" s="1"/>
      <c r="N31" s="1"/>
      <c r="O31" s="1"/>
    </row>
    <row r="35" spans="2:9" x14ac:dyDescent="0.2">
      <c r="B35" s="4" t="s">
        <v>5</v>
      </c>
      <c r="C35" s="3" t="s">
        <v>7</v>
      </c>
      <c r="D35" s="3"/>
      <c r="E35" s="3"/>
      <c r="F35" s="20">
        <v>7143.75</v>
      </c>
      <c r="G35" s="10" t="s">
        <v>26</v>
      </c>
      <c r="H35" s="4" t="s">
        <v>17</v>
      </c>
      <c r="I35" s="4" t="s">
        <v>56</v>
      </c>
    </row>
    <row r="36" spans="2:9" x14ac:dyDescent="0.2">
      <c r="B36" s="4" t="s">
        <v>5</v>
      </c>
      <c r="C36" s="3" t="s">
        <v>6</v>
      </c>
      <c r="D36" s="3"/>
      <c r="E36" s="3"/>
      <c r="F36" s="20">
        <v>-7143.75</v>
      </c>
      <c r="G36" s="10" t="s">
        <v>26</v>
      </c>
      <c r="H36" s="4" t="s">
        <v>17</v>
      </c>
      <c r="I36" s="4" t="s">
        <v>56</v>
      </c>
    </row>
    <row r="37" spans="2:9" x14ac:dyDescent="0.2">
      <c r="B37" s="4" t="s">
        <v>5</v>
      </c>
      <c r="C37" s="3" t="s">
        <v>7</v>
      </c>
      <c r="D37" s="3"/>
      <c r="E37" s="3"/>
      <c r="F37" s="20">
        <v>1976.42</v>
      </c>
      <c r="G37" s="10" t="s">
        <v>27</v>
      </c>
      <c r="H37" s="4" t="s">
        <v>12</v>
      </c>
      <c r="I37" s="4" t="s">
        <v>56</v>
      </c>
    </row>
    <row r="38" spans="2:9" x14ac:dyDescent="0.2">
      <c r="B38" s="4" t="s">
        <v>5</v>
      </c>
      <c r="C38" s="3" t="s">
        <v>6</v>
      </c>
      <c r="D38" s="3"/>
      <c r="E38" s="3"/>
      <c r="F38" s="20">
        <v>-1976.42</v>
      </c>
      <c r="G38" s="10" t="s">
        <v>27</v>
      </c>
      <c r="H38" s="4" t="s">
        <v>12</v>
      </c>
      <c r="I38" s="4" t="s">
        <v>56</v>
      </c>
    </row>
    <row r="39" spans="2:9" x14ac:dyDescent="0.2">
      <c r="B39" s="4" t="s">
        <v>5</v>
      </c>
      <c r="C39" s="3" t="s">
        <v>7</v>
      </c>
      <c r="D39" s="3"/>
      <c r="E39" s="3"/>
      <c r="F39" s="20">
        <v>1079.17</v>
      </c>
      <c r="G39" s="10" t="s">
        <v>32</v>
      </c>
      <c r="H39" s="4" t="s">
        <v>12</v>
      </c>
      <c r="I39" s="4" t="s">
        <v>56</v>
      </c>
    </row>
    <row r="40" spans="2:9" x14ac:dyDescent="0.2">
      <c r="B40" s="4" t="s">
        <v>5</v>
      </c>
      <c r="C40" s="3" t="s">
        <v>6</v>
      </c>
      <c r="D40" s="3"/>
      <c r="E40" s="3"/>
      <c r="F40" s="20">
        <v>-1079.17</v>
      </c>
      <c r="G40" s="10" t="s">
        <v>32</v>
      </c>
      <c r="H40" s="4" t="s">
        <v>12</v>
      </c>
      <c r="I40" s="4" t="s">
        <v>56</v>
      </c>
    </row>
    <row r="41" spans="2:9" x14ac:dyDescent="0.2">
      <c r="B41" s="4" t="s">
        <v>5</v>
      </c>
      <c r="C41" s="3" t="s">
        <v>7</v>
      </c>
      <c r="D41" s="3"/>
      <c r="E41" s="3"/>
      <c r="F41" s="20">
        <v>1701.92</v>
      </c>
      <c r="G41" s="10" t="s">
        <v>33</v>
      </c>
      <c r="H41" s="4" t="s">
        <v>12</v>
      </c>
      <c r="I41" s="4" t="s">
        <v>56</v>
      </c>
    </row>
    <row r="42" spans="2:9" x14ac:dyDescent="0.2">
      <c r="B42" s="4" t="s">
        <v>5</v>
      </c>
      <c r="C42" s="3" t="s">
        <v>6</v>
      </c>
      <c r="D42" s="3"/>
      <c r="E42" s="3"/>
      <c r="F42" s="20">
        <v>-1701.92</v>
      </c>
      <c r="G42" s="10" t="s">
        <v>33</v>
      </c>
      <c r="H42" s="4" t="s">
        <v>12</v>
      </c>
      <c r="I42" s="4" t="s">
        <v>56</v>
      </c>
    </row>
    <row r="43" spans="2:9" x14ac:dyDescent="0.2">
      <c r="B43" s="4" t="s">
        <v>5</v>
      </c>
      <c r="C43" s="3" t="s">
        <v>7</v>
      </c>
      <c r="D43" s="3"/>
      <c r="E43" s="3"/>
      <c r="F43" s="20">
        <v>3202.58</v>
      </c>
      <c r="G43" s="10" t="s">
        <v>41</v>
      </c>
      <c r="H43" s="4" t="s">
        <v>12</v>
      </c>
      <c r="I43" s="4" t="s">
        <v>56</v>
      </c>
    </row>
    <row r="44" spans="2:9" x14ac:dyDescent="0.2">
      <c r="B44" s="4" t="s">
        <v>5</v>
      </c>
      <c r="C44" s="3" t="s">
        <v>6</v>
      </c>
      <c r="D44" s="3"/>
      <c r="E44" s="3"/>
      <c r="F44" s="20">
        <v>-3202.58</v>
      </c>
      <c r="G44" s="10" t="s">
        <v>41</v>
      </c>
      <c r="H44" s="4" t="s">
        <v>12</v>
      </c>
      <c r="I44" s="4" t="s">
        <v>56</v>
      </c>
    </row>
    <row r="45" spans="2:9" x14ac:dyDescent="0.2">
      <c r="B45" s="4" t="s">
        <v>5</v>
      </c>
      <c r="C45" s="3" t="s">
        <v>7</v>
      </c>
      <c r="D45" s="3"/>
      <c r="E45" s="3"/>
      <c r="F45" s="20">
        <v>474.44</v>
      </c>
      <c r="G45" s="10" t="s">
        <v>43</v>
      </c>
      <c r="H45" s="4" t="s">
        <v>12</v>
      </c>
      <c r="I45" s="4" t="s">
        <v>56</v>
      </c>
    </row>
    <row r="46" spans="2:9" x14ac:dyDescent="0.2">
      <c r="B46" s="4" t="s">
        <v>5</v>
      </c>
      <c r="C46" s="3" t="s">
        <v>6</v>
      </c>
      <c r="D46" s="3"/>
      <c r="E46" s="3"/>
      <c r="F46" s="20">
        <v>-474.44</v>
      </c>
      <c r="G46" s="10" t="s">
        <v>43</v>
      </c>
      <c r="H46" s="4" t="s">
        <v>12</v>
      </c>
      <c r="I46" s="4" t="s">
        <v>56</v>
      </c>
    </row>
    <row r="47" spans="2:9" x14ac:dyDescent="0.2">
      <c r="B47" s="4" t="s">
        <v>5</v>
      </c>
      <c r="C47" s="3" t="s">
        <v>7</v>
      </c>
      <c r="D47" s="3"/>
      <c r="E47" s="3"/>
      <c r="F47" s="20">
        <v>665.42</v>
      </c>
      <c r="G47" s="10" t="s">
        <v>44</v>
      </c>
      <c r="H47" s="4" t="s">
        <v>12</v>
      </c>
      <c r="I47" s="4" t="s">
        <v>56</v>
      </c>
    </row>
    <row r="48" spans="2:9" x14ac:dyDescent="0.2">
      <c r="B48" s="4" t="s">
        <v>5</v>
      </c>
      <c r="C48" s="3" t="s">
        <v>6</v>
      </c>
      <c r="D48" s="3"/>
      <c r="E48" s="3"/>
      <c r="F48" s="20">
        <v>-665.42</v>
      </c>
      <c r="G48" s="10" t="s">
        <v>44</v>
      </c>
      <c r="H48" s="4" t="s">
        <v>12</v>
      </c>
      <c r="I48" s="4" t="s">
        <v>56</v>
      </c>
    </row>
    <row r="49" spans="2:9" x14ac:dyDescent="0.2">
      <c r="B49" s="4" t="s">
        <v>5</v>
      </c>
      <c r="C49" s="3" t="s">
        <v>7</v>
      </c>
      <c r="D49" s="3"/>
      <c r="E49" s="3"/>
      <c r="F49" s="20">
        <v>1493.25</v>
      </c>
      <c r="G49" s="10" t="s">
        <v>45</v>
      </c>
      <c r="H49" s="4" t="s">
        <v>12</v>
      </c>
      <c r="I49" s="4" t="s">
        <v>56</v>
      </c>
    </row>
    <row r="50" spans="2:9" x14ac:dyDescent="0.2">
      <c r="B50" s="4" t="s">
        <v>5</v>
      </c>
      <c r="C50" s="3" t="s">
        <v>6</v>
      </c>
      <c r="D50" s="3"/>
      <c r="E50" s="3"/>
      <c r="F50" s="20">
        <v>-1493.25</v>
      </c>
      <c r="G50" s="10" t="s">
        <v>45</v>
      </c>
      <c r="H50" s="4" t="s">
        <v>12</v>
      </c>
      <c r="I50" s="4" t="s">
        <v>56</v>
      </c>
    </row>
    <row r="51" spans="2:9" x14ac:dyDescent="0.2">
      <c r="B51" s="4" t="s">
        <v>5</v>
      </c>
      <c r="C51" s="3" t="s">
        <v>7</v>
      </c>
      <c r="D51" s="3"/>
      <c r="E51" s="3"/>
      <c r="F51" s="20">
        <v>3613.92</v>
      </c>
      <c r="G51" s="10" t="s">
        <v>47</v>
      </c>
      <c r="H51" s="4" t="s">
        <v>18</v>
      </c>
      <c r="I51" s="4" t="s">
        <v>56</v>
      </c>
    </row>
    <row r="52" spans="2:9" x14ac:dyDescent="0.2">
      <c r="B52" s="4" t="s">
        <v>5</v>
      </c>
      <c r="C52" s="3" t="s">
        <v>6</v>
      </c>
      <c r="D52" s="3"/>
      <c r="E52" s="3"/>
      <c r="F52" s="20">
        <v>-3613.92</v>
      </c>
      <c r="G52" s="10" t="s">
        <v>47</v>
      </c>
      <c r="H52" s="4" t="s">
        <v>18</v>
      </c>
      <c r="I52" s="4" t="s">
        <v>56</v>
      </c>
    </row>
    <row r="53" spans="2:9" x14ac:dyDescent="0.2">
      <c r="B53" s="4" t="s">
        <v>5</v>
      </c>
      <c r="C53" s="3" t="s">
        <v>7</v>
      </c>
      <c r="D53" s="3"/>
      <c r="E53" s="3"/>
      <c r="F53" s="20">
        <v>2562.92</v>
      </c>
      <c r="G53" s="10" t="s">
        <v>48</v>
      </c>
      <c r="H53" s="4" t="s">
        <v>12</v>
      </c>
      <c r="I53" s="4" t="s">
        <v>56</v>
      </c>
    </row>
    <row r="54" spans="2:9" x14ac:dyDescent="0.2">
      <c r="B54" s="4" t="s">
        <v>5</v>
      </c>
      <c r="C54" s="3" t="s">
        <v>6</v>
      </c>
      <c r="D54" s="3"/>
      <c r="E54" s="3"/>
      <c r="F54" s="20">
        <v>-2562.92</v>
      </c>
      <c r="G54" s="10" t="s">
        <v>48</v>
      </c>
      <c r="H54" s="4" t="s">
        <v>12</v>
      </c>
      <c r="I54" s="4" t="s">
        <v>56</v>
      </c>
    </row>
    <row r="55" spans="2:9" x14ac:dyDescent="0.2">
      <c r="B55" s="16" t="s">
        <v>5</v>
      </c>
      <c r="C55" s="17" t="s">
        <v>7</v>
      </c>
      <c r="D55" s="17"/>
      <c r="E55" s="17"/>
      <c r="F55" s="22">
        <v>1101.83</v>
      </c>
      <c r="G55" s="18" t="s">
        <v>55</v>
      </c>
      <c r="H55" s="16" t="s">
        <v>12</v>
      </c>
      <c r="I55" s="4" t="s">
        <v>56</v>
      </c>
    </row>
    <row r="56" spans="2:9" x14ac:dyDescent="0.2">
      <c r="B56" s="16" t="s">
        <v>5</v>
      </c>
      <c r="C56" s="17" t="s">
        <v>6</v>
      </c>
      <c r="D56" s="17"/>
      <c r="E56" s="17"/>
      <c r="F56" s="22">
        <v>-1101.83</v>
      </c>
      <c r="G56" s="18" t="s">
        <v>55</v>
      </c>
      <c r="H56" s="16" t="s">
        <v>12</v>
      </c>
      <c r="I56" s="4" t="s">
        <v>56</v>
      </c>
    </row>
    <row r="60" spans="2:9" ht="15" thickBot="1" x14ac:dyDescent="0.25">
      <c r="C60" t="s">
        <v>14</v>
      </c>
      <c r="F60" s="21">
        <f>SUMIF(F35:F58,"&lt;0",F35:F58)</f>
        <v>-25015.620000000003</v>
      </c>
      <c r="G60" t="s">
        <v>13</v>
      </c>
    </row>
    <row r="61" spans="2:9" ht="15" thickTop="1" x14ac:dyDescent="0.2"/>
  </sheetData>
  <autoFilter ref="B6:I14" xr:uid="{E75F0CD7-8C26-4173-8973-B3509135FC85}"/>
  <hyperlinks>
    <hyperlink ref="F1" r:id="rId1" xr:uid="{261F5A88-8FA9-4FC0-BECA-08CC18C3E536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May-26 Jnl</vt:lpstr>
      <vt:lpstr>Apr-26 Jnl</vt:lpstr>
      <vt:lpstr>Mar-26 Jnl </vt:lpstr>
      <vt:lpstr>Feb-26 Jnl</vt:lpstr>
      <vt:lpstr>Feb-26_under threshold</vt:lpstr>
      <vt:lpstr>Jan-26 Jnl</vt:lpstr>
      <vt:lpstr>Dec-25 Jnl</vt:lpstr>
      <vt:lpstr>Nov-25 jnl</vt:lpstr>
      <vt:lpstr>Oct-25 jnl</vt:lpstr>
      <vt:lpstr>Sep-25 jnl</vt:lpstr>
      <vt:lpstr>Aug-25 jnl</vt:lpstr>
      <vt:lpstr>Jul-25 jnl</vt:lpstr>
      <vt:lpstr> </vt:lpstr>
      <vt:lpstr>Jun-25 jnl</vt:lpstr>
      <vt:lpstr>Prepayment Journal - May 25</vt:lpstr>
      <vt:lpstr>Prepayment Journal - April 25</vt:lpstr>
      <vt:lpstr>Prepayment Journal - March 25</vt:lpstr>
      <vt:lpstr>Prepayment Journal - Feb 25</vt:lpstr>
      <vt:lpstr>Prepayment Journal - Jan 25</vt:lpstr>
      <vt:lpstr>Prepayment Journal - Dec 24</vt:lpstr>
      <vt:lpstr>Prepayment Journal - Nov 24</vt:lpstr>
      <vt:lpstr>Prepayment Journal - Oct 24</vt:lpstr>
      <vt:lpstr>Prepayment Journal - Sep 24</vt:lpstr>
      <vt:lpstr>Prepayment Journal - Aug 24</vt:lpstr>
      <vt:lpstr>Prepayment Journal - Jul 24</vt:lpstr>
    </vt:vector>
  </TitlesOfParts>
  <Company>Logan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Katy</dc:creator>
  <cp:lastModifiedBy>Spero Efstathiadis</cp:lastModifiedBy>
  <cp:lastPrinted>2015-06-23T05:23:55Z</cp:lastPrinted>
  <dcterms:created xsi:type="dcterms:W3CDTF">2015-02-09T05:44:27Z</dcterms:created>
  <dcterms:modified xsi:type="dcterms:W3CDTF">2026-06-17T22:11:10Z</dcterms:modified>
</cp:coreProperties>
</file>