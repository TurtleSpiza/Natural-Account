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gist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<sst xmlns="http://schemas.openxmlformats.org/spreadsheetml/2006/main" count="109" uniqueCount="71">
  <si>
    <t xml:space="preserve">LCC Parks 4090000  —  Account Review Register</t>
  </si>
  <si>
    <t xml:space="preserve">Four-limb verification: PK | Natural account | Evidence | Tax compliance.  RED blocker  AMBER confirm  GREEN clear.  Running journal batch CN-23167.  Updated 9-Jun-2026 (integrated 9-Jun-2026: 73563 recode sign-correction carried; 73564 tax and 73563 evidence reverted to AMBER per the evidence rule).  73533 cleared GREEN (9-Jun): 7-Eleven receipt sighted and $6.55 recoded to 73512; hotel GST substantiation waived by Spero.</t>
  </si>
  <si>
    <t xml:space="preserve">Account</t>
  </si>
  <si>
    <t xml:space="preserve">Account name</t>
  </si>
  <si>
    <t xml:space="preserve">Section / PK in scope</t>
  </si>
  <si>
    <t xml:space="preserve">$ ex-GST</t>
  </si>
  <si>
    <t xml:space="preserve">$ incl GST</t>
  </si>
  <si>
    <t xml:space="preserve">L1 PK</t>
  </si>
  <si>
    <t xml:space="preserve">L2 NA</t>
  </si>
  <si>
    <t xml:space="preserve">L3 Evid</t>
  </si>
  <si>
    <t xml:space="preserve">L4 Tax</t>
  </si>
  <si>
    <t xml:space="preserve">Overall</t>
  </si>
  <si>
    <t xml:space="preserve">Finding</t>
  </si>
  <si>
    <t xml:space="preserve">Open actions</t>
  </si>
  <si>
    <t xml:space="preserve">Evidence location</t>
  </si>
  <si>
    <t xml:space="preserve">Jrnl ref</t>
  </si>
  <si>
    <t xml:space="preserve">Reviewed</t>
  </si>
  <si>
    <t xml:space="preserve">73564</t>
  </si>
  <si>
    <t xml:space="preserve">IT Equipment &amp; Applications</t>
  </si>
  <si>
    <t xml:space="preserve">Full account: 9 svc codes, 20 employee recharges</t>
  </si>
  <si>
    <t xml:space="preserve">AMBER</t>
  </si>
  <si>
    <t xml:space="preserve">Full account $43,393.37 ex-GST, 36 lines (was partial $1,929.27). Findings: (a) 6 software/subscription lines $1,822.45 belong in 73566 IT Software Licence Fees (Esri, Anthropic, Body2 x2, 2 licence bundles); chart + P10 Canva/VisitUs precedent. (b) 9 of 20 recharge lines $4,416.27 off officer home PK incl confirmed Fry Depots-&gt;Trees miscode and likely AnneMarie/Caroline King mixup. (c) Esri INV000555 tax COMPLIANT (ABN PASS, GST exact, 1 of 7 seats). Body2 L18/L19 = correct monthly recognition of multi-year sub, not duplicates. Bulk Apple lines (L35/L36, $28,843.29) sighted: Exceed ICT INV-13660/INV-17543, ABN 62 633 979 414 PASS, GST exact, reconcile; 18 iPads sub-threshold (P&amp;A advisory).  EVIDENCE/TAX CORRECTION (9-Jun): only 3 external invoices sighted (Esri INV000555, Exceed INV-13660, INV-17543). FIVE external-supply refs NOT sighted/tax-unverified: 2412569490 Single Incident Support (5 lines $522.76), INAU004378 license bundles ($474), GJ076194/GJ075813 Body2 software ($372 each), TE005499 Anthropic ($36.14). Also SEVEN no-attachment recharge lines (not six): adds L20 IJ072790 SR# 201404 $429; total $6,689.87. Tax limb reverts to AMBER. PK ATTRIBUTION (9-Jun): Spero set officer home-PK convention and confirmed 3 of 9 off-home lines: L04 Robertson 20151-&gt;20319 $30, L25 Dressman 20191-&gt;20001 $500, L33 Fry 20241-&gt;20151 $1,929.27 (total $2,459.27), staged as net-moves in recode sub-batch B (nets $0.00). 6 lines remain open ($1,957, mostly Anne-Marie King incl L08/L24 Caroline King name query).</t>
  </si>
  <si>
    <t xml:space="preserve">1 Finance accept 73564-&gt;73566 software recode $1,822.45 (held); confirm Body2 moved or left. 2 Confirm IT-recharge PK convention (home vs supported-team) for 9 lines. 3 Fry attribution CONFIRMED PK000001 (analyst); both positions map to PK000001. Release net-move 20241/PK000055-&gt;20151/PK000001 on SR-0315517 sighting. 4 Resolve King L08/L24 svc20191/PK000082. 5 Sight 7 no-attach SR backups: SR-0316577, SR-0315241, SR#204868, SR-0312575, SR#201404, SR-0315517, SR#200930 ($6,689.87). 6 Sight + tax-check 5 external invoices: 2412569490, INAU004378, GJ076194, GJ075813, TE005499. 6 Query L34 $3,761.60 quantum. 7 Advisory: P&amp;A register for iPad/iPhone fleet. UPDATE 9-Jun: PK convention = officer home PK (Spero); 3 net-moves staged (Robertson/Dressman/Fry); sight SR219175/SR235810/SR-0315517 to clear their evidence limb; 6 King/Shearman lines still pending.</t>
  </si>
  <si>
    <t xml:space="preserve">NA73564_Evidence/ (Esri INV000555 sighted; ledger extract); NA73564_GENJNL_Recode.txt (held)</t>
  </si>
  <si>
    <t xml:space="preserve">CN-23167 (held: A 73564-&gt;73566 sw; B 3 PK net-moves)</t>
  </si>
  <si>
    <t xml:space="preserve">9-Jun-2026</t>
  </si>
  <si>
    <t xml:space="preserve">72111</t>
  </si>
  <si>
    <t xml:space="preserve">Minor Equipment &amp; Supplies</t>
  </si>
  <si>
    <t xml:space="preserve">Two overlapping passes (see NA72111 note); account $67,055</t>
  </si>
  <si>
    <t xml:space="preserve">GREEN</t>
  </si>
  <si>
    <t xml:space="preserve">RED</t>
  </si>
  <si>
    <t xml:space="preserve">AP-invoice pass: $2,260.36 of $3,433.91 miscoded (Tennyson signage 72222, Ultimate PPE 72113, STIHL GTA 40 72315, INITIATOR chem 72112). Doc46 journal pass recodes $22,028 off 72111 across 11 NAs. The two OVERLAP (Tennyson 27577 $335 in both) and cannot be summed. EVIDENCE SIGHTED 9-Jun (Ultimate/Woodmans/Tennyson set C00267478, all ABNs PASS): 3 Trees-PK (20241/PK000055) recodes now STAGED in NA72111_GENJNL_Recode.txt - trousers PIK2270125 $292.09 and pants PIK2267644 $402.59 to 72113 PPE (partial, off mixed invoices), STIHL GTA 40 PIK2267816 $439.68 to 72315 parks P&amp;A (full); nets $0.00. Tennyson 27577 $335 evidence sighted, 72222 recode still HELD (Doc46 dedup). Woodmans 6429672 $54.41 correct in 72111.</t>
  </si>
  <si>
    <t xml:space="preserve">1 Resolve TE005091 RED blocker (J12 risers $363.64 double-count vs inv 626529478). 2 Dedupe Doc46 vs AP populations before posting. 3 Carry PPE/STIHL/decal/INITIATOR confirmations to Finance email. See NA72111_Reconciliation_Note.md. UPDATE 9-Jun: PPE destination set to 72113 by Spero; 3 recodes staged; STIHL and PPE/decal evidence gaps closed. Still open: TE005091 dedup, Doc46-vs-AP population match, untested remainder.</t>
  </si>
  <si>
    <t xml:space="preserve">NA72111 note; _CarryForward Doc46/Doc45 source journals</t>
  </si>
  <si>
    <t xml:space="preserve">CN-23167 (held; NA72111_GENJNL_Recode.txt 3 lines)</t>
  </si>
  <si>
    <t xml:space="preserve">72312</t>
  </si>
  <si>
    <t xml:space="preserve">Office &amp; Library Equipment</t>
  </si>
  <si>
    <t xml:space="preserve">IKEA PK000493 svc20392 (PCard) + Empire PK000001 svc20151 (AP)</t>
  </si>
  <si>
    <t xml:space="preserve">$2,461.27 of $2,461.27 (100%) miscoded out of 72312; IKEA EKET cabinets and Empire chair gas lifts + desk power + install all belong in 72313 Furniture &amp; Fittings. IKEA line PK000493 CONFIRMED valid (Flying Gang, Park Services, svc 20392) per analyst sub-PK ledger; PK preserved as transacted, no PK move. Both ABNs checksum PASS.</t>
  </si>
  <si>
    <t xml:space="preserve">1 Finance accept 72312 to 72313 recode in full-reversal format, then release CN-23167. 2 CAVEAT: pk_validator fails PK000493 (absent from installed maps which carry only PK000022 for svc 20392); add the Flying Gang sub-PK to lcc-coding-review so the recode validates. 3 Advisory: fix line 02 narration.</t>
  </si>
  <si>
    <t xml:space="preserve">NA72312_Evidence/ (IKEA TE004431; Empire RL196475; ledger extract)</t>
  </si>
  <si>
    <t xml:space="preserve">CN-23167 (held)</t>
  </si>
  <si>
    <t xml:space="preserve">8-Jun-2026</t>
  </si>
  <si>
    <t xml:space="preserve">73533</t>
  </si>
  <si>
    <t xml:space="preserve">Interstate Travel &amp; Accommodation</t>
  </si>
  <si>
    <t xml:space="preserve">Quinn PK000001 svc20151 (single BNE-MEL-BNE trip)</t>
  </si>
  <si>
    <t xml:space="preserve">$1,015.15 of $1,021.70 confirmed interstate. TE005080 = ONE PCard ref over TWO lines: hotel $288.18 (L07) + 7-Eleven $6.55 (L02). BOTH NOW RESOLVED (9-Jun). 7-Eleven receipt SIGHTED: 7-Eleven 1130 Melb Queen St, ABN 86 960 363 023 checksum PASS, TAX INVOICE, 1x ham pesto sandwich $7.20 incl, GST $0.65, ex $6.55; cover slip "Dinner/Breakfast", Quinn. A meal during travel never sits in 73531-73534, so the $6.55 RECODES to 73512 Non-FBT (Reason B refreshment; sole traveller, no alcohol/social = not 73511); pair POSTED, nets $0.00. Hotel: Booking.com doc has no ABN and is not a tax invoice; the $28.82 GST substantiation is WAIVED BY SPERO (directive 9-Jun), accepted as-is. Residual ATO exposure on the $28.82 ITC noted. Airfare/Uber/Cabcharge/CTM coding all correct.</t>
  </si>
  <si>
    <t xml:space="preserve">None gating. Advisory only: obtain the ibis Melbourne (Accor) tax invoice if convenient to retire the $28.82 ITC exposure noted in the finding. Recode pair ($6.55 73533-&gt;73512) ready in batch.</t>
  </si>
  <si>
    <t xml:space="preserve">NA73533_Evidence/ (7-Eleven receipt L02 + Booking.com ibis hotel L07 both filed; ledger extract)</t>
  </si>
  <si>
    <t xml:space="preserve">CN-23167 ($6.55 73533-&gt;73512 posted)</t>
  </si>
  <si>
    <t xml:space="preserve">73563</t>
  </si>
  <si>
    <t xml:space="preserve">Printing &amp; Stationery</t>
  </si>
  <si>
    <t xml:space="preserve">PK000001 svc20151 + PK000086 svc20141 + PK000082 svc20191</t>
  </si>
  <si>
    <t xml:space="preserve">$6,354.47 of $9,495.37 (66.9%) miscoded out of 73563. [Recode sign-corrected 9-Jun: P1-P10 PK000001 PPE pair direction fixed; was $6,307.33.] Catch-all WINC stationery order used for tearoom, IT, cleaning, batteries, chemical, PPE. Feb WINC 9901763737 ($1,240.45) and Officeworks TE005250 ($352.73) NOW SIGHTED; both follow the same pattern. WINC ABN &amp; Officeworks ABN checksum PASS. EVIDENCE CORRECTION (9-Jun): only 2 of 11 WINC line-detail invoices sighted (9901763737 Feb, 9901782965 April). The P1-P10 audit is derived analysis, not primary evidence. NINE WINC invoices NOT sighted: 9901690129, 9901699602, 9901709054, 9901718415, 9901727996, 9901737473, 9901746332, 9901754676, 9901773647. Evidence limb reverts to AMBER.</t>
  </si>
  <si>
    <t xml:space="preserve">1 Confirm Finance accepts WINC systemic recode out of 73563. 2 Confirm TE005250 desk risers 72313 vs 72111. 3 Confirm 73512 movements Reason B (filter 50/50). 4 Release CN-23167. + Sight the 9 unsighted WINC source invoices (9901690129, 9901699602, 9901709054, 9901718415, 9901727996, 9901737473, 9901746332, 9901754676, 9901773647) for line-level support of the recode.</t>
  </si>
  <si>
    <t xml:space="preserve">NA73563_Evidence/ (WINC P1-P10 audit, April, Feb, Officeworks 628185694, recon, ledger)</t>
  </si>
  <si>
    <t xml:space="preserve">72114</t>
  </si>
  <si>
    <t xml:space="preserve">Uniforms</t>
  </si>
  <si>
    <t xml:space="preserve">Reali PK split (subset); account $26,236</t>
  </si>
  <si>
    <t xml:space="preserve">N/A</t>
  </si>
  <si>
    <t xml:space="preserve">3-Jun Reali PK split $1,059.76 confirmed subset (~4%). GJ SOURCE NOW SIGHTED (Document Reconstruction, doc 202603161072172000000001, ledger 26SLACT): a BALANCED multi-account recode batch (nets $0.00). Its 72114 block credits $10,650.27 from 1-20001-72114 narrated 'Institute of Public Works Engineering Au' (IPWEA) and DEBITS the same $10,650.27 across 16 service-level 72114 (Uniforms) PKs. CONCERN: if the $10,650.27 is a genuine IPWEA professional charge it should leave 72114 entirely (73542 Professional Membership most likely, or 73541 Conferences / 73544 Training), not be redistributed WITHIN Uniforms. Wider Reali standing-order set ($17,288.98) now provided (C00223414 zip), not yet worked.</t>
  </si>
  <si>
    <t xml:space="preserve">1 Confirm whether the reconstruction batch is POSTED or PROPOSED; if posted, the IPWEA $10,650.27 is already spread across Uniforms service PKs. 2 Obtain the underlying IPWEA invoice to confirm nature (membership vs conference vs training) and set destination (73542/73541/73544); it should not sit in 72114. 3 Work the now-provided Reali set at full scope. 4 Confirm net-movement vs full-reversal format. Same batch also shows other apparent miscodes outside scope (e.g. Empire Office Furniture $4,300 in 73544 Training).</t>
  </si>
  <si>
    <t xml:space="preserve">NA72114_Scope_Note.md; Document_Reconstruction (GJ source) sighted; C00223414 Reali set provided</t>
  </si>
  <si>
    <t xml:space="preserve">73140</t>
  </si>
  <si>
    <t xml:space="preserve">Pre-Employment Background Checks</t>
  </si>
  <si>
    <t xml:space="preserve">CV Check PK000001 svc20001</t>
  </si>
  <si>
    <t xml:space="preserve">Carried from 3-Jun pass. 21 lines, single vendor (CV Check), narration consistent, NA matches chart definition; coding correct. $58.02 GJ EOY reversal normal. Tier-3 sighting only: AP invoices not sighted, so evidence and tax limbs remain open.</t>
  </si>
  <si>
    <t xml:space="preserve">1 Sight a sample of CV Check AP invoices to confirm evidence and tax limbs. 2 On sighting, clear to GREEN (no recode expected).</t>
  </si>
  <si>
    <t xml:space="preserve">3-Jun review queue finding (no deliverable bundle this pass)</t>
  </si>
  <si>
    <t xml:space="preserve">n/a (no recode)</t>
  </si>
  <si>
    <t xml:space="preserve">TOTAL reviewed $ (this register)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</si>
</sst>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egoe UI"/>
      <family val="0"/>
      <charset val="1"/>
    </font>
    <font>
      <i val="true"/>
      <sz val="9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sz val="9"/>
      <name val="Segoe UI"/>
      <family val="0"/>
      <charset val="1"/>
    </font>
    <font>
      <b val="true"/>
      <sz val="9"/>
      <name val="Segoe U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A2236"/>
        <bgColor rgb="FF1F3864"/>
      </patternFill>
    </fill>
    <fill>
      <patternFill patternType="solid">
        <fgColor rgb="FF1F3864"/>
        <bgColor rgb="FF333399"/>
      </patternFill>
    </fill>
    <fill>
      <patternFill patternType="solid">
        <fgColor rgb="FFFFC7CE"/>
        <bgColor rgb="FFD9D9D9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rgb="FFD9D9D9"/>
        <bgColor rgb="FFC6EF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1A22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6"/>
    <col collapsed="false" customWidth="true" hidden="false" outlineLevel="0" max="3" min="3" style="1" width="30"/>
    <col collapsed="false" customWidth="true" hidden="false" outlineLevel="0" max="5" min="4" style="1" width="12"/>
    <col collapsed="false" customWidth="true" hidden="false" outlineLevel="0" max="9" min="6" style="1" width="7"/>
    <col collapsed="false" customWidth="true" hidden="false" outlineLevel="0" max="10" min="10" style="1" width="8"/>
    <col collapsed="false" customWidth="true" hidden="false" outlineLevel="0" max="12" min="11" style="1" width="52"/>
    <col collapsed="false" customWidth="true" hidden="false" outlineLevel="0" max="13" min="13" style="1" width="34"/>
    <col collapsed="false" customWidth="true" hidden="false" outlineLevel="0" max="14" min="14" style="1" width="14"/>
    <col collapsed="false" customWidth="true" hidden="false" outlineLevel="0" max="15" min="15" style="1" width="11"/>
  </cols>
  <sheetData>
    <row r="1" customFormat="false" ht="24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4" customFormat="false" ht="23.2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</row>
    <row r="5" customFormat="false" ht="53.25" hidden="false" customHeight="true" outlineLevel="0" collapsed="false">
      <c r="A5" s="5" t="s">
        <v>17</v>
      </c>
      <c r="B5" s="5" t="s">
        <v>18</v>
      </c>
      <c r="C5" s="5" t="s">
        <v>19</v>
      </c>
      <c r="D5" s="6" t="n">
        <v>43393.37</v>
      </c>
      <c r="E5" s="6" t="n">
        <v>47732.71</v>
      </c>
      <c r="F5" s="7" t="s">
        <v>20</v>
      </c>
      <c r="G5" s="8" t="s">
        <v>20</v>
      </c>
      <c r="H5" s="9" t="s">
        <v>20</v>
      </c>
      <c r="I5" s="10" t="s">
        <v>20</v>
      </c>
      <c r="J5" s="9" t="s">
        <v>20</v>
      </c>
      <c r="K5" s="5" t="s">
        <v>21</v>
      </c>
      <c r="L5" s="5" t="s">
        <v>22</v>
      </c>
      <c r="M5" s="5" t="s">
        <v>23</v>
      </c>
      <c r="N5" s="5" t="s">
        <v>24</v>
      </c>
      <c r="O5" s="5" t="s">
        <v>25</v>
      </c>
    </row>
    <row r="6" customFormat="false" ht="53.25" hidden="false" customHeight="true" outlineLevel="0" collapsed="false">
      <c r="A6" s="5" t="s">
        <v>26</v>
      </c>
      <c r="B6" s="5" t="s">
        <v>27</v>
      </c>
      <c r="C6" s="5" t="s">
        <v>28</v>
      </c>
      <c r="D6" s="6" t="n">
        <v>3433.91</v>
      </c>
      <c r="E6" s="6" t="n">
        <v>3777.3</v>
      </c>
      <c r="F6" s="8" t="s">
        <v>29</v>
      </c>
      <c r="G6" s="7" t="s">
        <v>30</v>
      </c>
      <c r="H6" s="8" t="s">
        <v>29</v>
      </c>
      <c r="I6" s="8" t="s">
        <v>29</v>
      </c>
      <c r="J6" s="9" t="s">
        <v>20</v>
      </c>
      <c r="K6" s="5" t="s">
        <v>31</v>
      </c>
      <c r="L6" s="5" t="s">
        <v>32</v>
      </c>
      <c r="M6" s="5" t="s">
        <v>33</v>
      </c>
      <c r="N6" s="5" t="s">
        <v>34</v>
      </c>
      <c r="O6" s="5" t="s">
        <v>25</v>
      </c>
    </row>
    <row r="7" customFormat="false" ht="42.75" hidden="false" customHeight="true" outlineLevel="0" collapsed="false">
      <c r="A7" s="5" t="s">
        <v>35</v>
      </c>
      <c r="B7" s="5" t="s">
        <v>36</v>
      </c>
      <c r="C7" s="5" t="s">
        <v>37</v>
      </c>
      <c r="D7" s="6" t="n">
        <v>2461.27</v>
      </c>
      <c r="E7" s="6" t="n">
        <v>2707.4</v>
      </c>
      <c r="F7" s="9" t="s">
        <v>29</v>
      </c>
      <c r="G7" s="7" t="s">
        <v>30</v>
      </c>
      <c r="H7" s="8" t="s">
        <v>29</v>
      </c>
      <c r="I7" s="8" t="s">
        <v>29</v>
      </c>
      <c r="J7" s="9" t="s">
        <v>20</v>
      </c>
      <c r="K7" s="5" t="s">
        <v>38</v>
      </c>
      <c r="L7" s="5" t="s">
        <v>39</v>
      </c>
      <c r="M7" s="5" t="s">
        <v>40</v>
      </c>
      <c r="N7" s="5" t="s">
        <v>41</v>
      </c>
      <c r="O7" s="5" t="s">
        <v>42</v>
      </c>
    </row>
    <row r="8" customFormat="false" ht="53.25" hidden="false" customHeight="true" outlineLevel="0" collapsed="false">
      <c r="A8" s="5" t="s">
        <v>43</v>
      </c>
      <c r="B8" s="5" t="s">
        <v>44</v>
      </c>
      <c r="C8" s="5" t="s">
        <v>45</v>
      </c>
      <c r="D8" s="6" t="n">
        <v>1021.7</v>
      </c>
      <c r="E8" s="6" t="n">
        <v>1123.87</v>
      </c>
      <c r="F8" s="8" t="s">
        <v>29</v>
      </c>
      <c r="G8" s="8" t="s">
        <v>29</v>
      </c>
      <c r="H8" s="8" t="s">
        <v>29</v>
      </c>
      <c r="I8" s="8" t="s">
        <v>29</v>
      </c>
      <c r="J8" s="9" t="s">
        <v>29</v>
      </c>
      <c r="K8" s="5" t="s">
        <v>46</v>
      </c>
      <c r="L8" s="5" t="s">
        <v>47</v>
      </c>
      <c r="M8" s="5" t="s">
        <v>48</v>
      </c>
      <c r="N8" s="5" t="s">
        <v>49</v>
      </c>
      <c r="O8" s="5" t="s">
        <v>25</v>
      </c>
    </row>
    <row r="9" customFormat="false" ht="63.75" hidden="false" customHeight="true" outlineLevel="0" collapsed="false">
      <c r="A9" s="5" t="s">
        <v>50</v>
      </c>
      <c r="B9" s="5" t="s">
        <v>51</v>
      </c>
      <c r="C9" s="5" t="s">
        <v>52</v>
      </c>
      <c r="D9" s="6" t="n">
        <v>9495.37</v>
      </c>
      <c r="E9" s="6" t="n">
        <v>10444.91</v>
      </c>
      <c r="F9" s="8" t="s">
        <v>29</v>
      </c>
      <c r="G9" s="7" t="s">
        <v>30</v>
      </c>
      <c r="H9" s="8" t="s">
        <v>20</v>
      </c>
      <c r="I9" s="8" t="s">
        <v>29</v>
      </c>
      <c r="J9" s="9" t="s">
        <v>20</v>
      </c>
      <c r="K9" s="5" t="s">
        <v>53</v>
      </c>
      <c r="L9" s="5" t="s">
        <v>54</v>
      </c>
      <c r="M9" s="5" t="s">
        <v>55</v>
      </c>
      <c r="N9" s="5" t="s">
        <v>41</v>
      </c>
      <c r="O9" s="5" t="s">
        <v>25</v>
      </c>
    </row>
    <row r="10" customFormat="false" ht="53.25" hidden="false" customHeight="true" outlineLevel="0" collapsed="false">
      <c r="A10" s="5" t="s">
        <v>56</v>
      </c>
      <c r="B10" s="5" t="s">
        <v>57</v>
      </c>
      <c r="C10" s="5" t="s">
        <v>58</v>
      </c>
      <c r="D10" s="6" t="n">
        <v>1059.76</v>
      </c>
      <c r="E10" s="6" t="n">
        <v>1165.74</v>
      </c>
      <c r="F10" s="9" t="s">
        <v>20</v>
      </c>
      <c r="G10" s="8" t="s">
        <v>29</v>
      </c>
      <c r="H10" s="9" t="s">
        <v>20</v>
      </c>
      <c r="I10" s="10" t="s">
        <v>59</v>
      </c>
      <c r="J10" s="9" t="s">
        <v>20</v>
      </c>
      <c r="K10" s="5" t="s">
        <v>60</v>
      </c>
      <c r="L10" s="5" t="s">
        <v>61</v>
      </c>
      <c r="M10" s="5" t="s">
        <v>62</v>
      </c>
      <c r="N10" s="5" t="s">
        <v>41</v>
      </c>
      <c r="O10" s="5" t="s">
        <v>25</v>
      </c>
    </row>
    <row r="11" customFormat="false" ht="53.25" hidden="false" customHeight="true" outlineLevel="0" collapsed="false">
      <c r="A11" s="5" t="s">
        <v>63</v>
      </c>
      <c r="B11" s="5" t="s">
        <v>64</v>
      </c>
      <c r="C11" s="5" t="s">
        <v>65</v>
      </c>
      <c r="D11" s="6" t="n">
        <v>3703.03</v>
      </c>
      <c r="E11" s="6" t="n">
        <v>4073.33</v>
      </c>
      <c r="F11" s="8" t="s">
        <v>29</v>
      </c>
      <c r="G11" s="8" t="s">
        <v>29</v>
      </c>
      <c r="H11" s="9" t="s">
        <v>20</v>
      </c>
      <c r="I11" s="9" t="s">
        <v>20</v>
      </c>
      <c r="J11" s="9" t="s">
        <v>20</v>
      </c>
      <c r="K11" s="5" t="s">
        <v>66</v>
      </c>
      <c r="L11" s="5" t="s">
        <v>67</v>
      </c>
      <c r="M11" s="5" t="s">
        <v>68</v>
      </c>
      <c r="N11" s="5" t="s">
        <v>69</v>
      </c>
      <c r="O11" s="5" t="s">
        <v>25</v>
      </c>
    </row>
    <row r="12" customFormat="false" ht="15" hidden="false" customHeight="true" outlineLevel="0" collapsed="false">
      <c r="C12" s="11" t="s">
        <v>70</v>
      </c>
      <c r="D12" s="12" t="n">
        <f aca="false">SUM(D5:D11)</f>
        <v>64568.41</v>
      </c>
      <c r="E12" s="12" t="n">
        <f aca="false">SUM(E5:E11)</f>
        <v>71025.26</v>
      </c>
    </row>
  </sheetData>
  <mergeCells count="2">
    <mergeCell ref="A1:O1"/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2026-06-08T22:42:49Z</dcterms:created>
  <dc:creator>openpyxl</dc:creator>
  <dc:description/>
  <dc:language>en-US</dc:language>
  <cp:lastModifiedBy/>
  <dcterms:modified xsi:type="dcterms:W3CDTF">2026-06-09T08:47:30Z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