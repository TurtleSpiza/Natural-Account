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Regist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i val="1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9"/>
    </font>
    <font>
      <name val="Segoe UI"/>
      <charset val="1"/>
      <family val="0"/>
      <b val="1"/>
      <sz val="9"/>
    </font>
  </fonts>
  <fills count="8">
    <fill>
      <patternFill/>
    </fill>
    <fill>
      <patternFill patternType="gray125"/>
    </fill>
    <fill>
      <patternFill patternType="solid">
        <fgColor rgb="FF1A2236"/>
        <bgColor rgb="FF1F3864"/>
      </patternFill>
    </fill>
    <fill>
      <patternFill patternType="solid">
        <fgColor rgb="FF1F3864"/>
        <bgColor rgb="FF333399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9D9D9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A223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O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4" min="1" max="1"/>
    <col width="26" customWidth="1" style="14" min="2" max="2"/>
    <col width="30" customWidth="1" style="14" min="3" max="3"/>
    <col width="12" customWidth="1" style="14" min="4" max="5"/>
    <col width="7" customWidth="1" style="14" min="6" max="9"/>
    <col width="8" customWidth="1" style="14" min="10" max="10"/>
    <col width="52" customWidth="1" style="14" min="11" max="12"/>
    <col width="34" customWidth="1" style="14" min="13" max="13"/>
    <col width="14" customWidth="1" style="14" min="14" max="14"/>
    <col width="11" customWidth="1" style="14" min="15" max="15"/>
  </cols>
  <sheetData>
    <row r="1" ht="24" customHeight="1" s="15">
      <c r="A1" s="16" t="inlineStr">
        <is>
          <t>LCC Parks 4090000  —  Account Review Register</t>
        </is>
      </c>
    </row>
    <row r="2" ht="15" customHeight="1" s="15">
      <c r="A2" s="17" t="inlineStr">
        <is>
          <t>Four-limb verification: PK | Natural account | Evidence | Tax compliance.  RED blocker  AMBER confirm  GREEN clear.  Running journal batch CN-23167.  Updated 9-Jun-2026 (integrated 9-Jun-2026: 73563 recode sign-correction carried; 73564 tax and 73563 evidence reverted to AMBER per the evidence rule).  73533 cleared GREEN (9-Jun): 7-Eleven receipt sighted and $6.55 recoded to 73512; hotel GST substantiation waived by Spero.  POLICY 9-Jun: no emails are sent (Finance included); decisions are Spero's and prepared recodes are journal-ready (no Finance-acceptance gate). Outstanding lines live in this register and the live journal 00_Live_Recode_Journal.xlsx.</t>
        </is>
      </c>
    </row>
    <row r="4" ht="23.25" customHeight="1" s="15">
      <c r="A4" s="18" t="inlineStr">
        <is>
          <t>Account</t>
        </is>
      </c>
      <c r="B4" s="18" t="inlineStr">
        <is>
          <t>Account name</t>
        </is>
      </c>
      <c r="C4" s="18" t="inlineStr">
        <is>
          <t>Section / PK in scope</t>
        </is>
      </c>
      <c r="D4" s="18" t="inlineStr">
        <is>
          <t>$ ex-GST</t>
        </is>
      </c>
      <c r="E4" s="18" t="inlineStr">
        <is>
          <t>$ incl GST</t>
        </is>
      </c>
      <c r="F4" s="18" t="inlineStr">
        <is>
          <t>L1 PK</t>
        </is>
      </c>
      <c r="G4" s="18" t="inlineStr">
        <is>
          <t>L2 NA</t>
        </is>
      </c>
      <c r="H4" s="18" t="inlineStr">
        <is>
          <t>L3 Evid</t>
        </is>
      </c>
      <c r="I4" s="18" t="inlineStr">
        <is>
          <t>L4 Tax</t>
        </is>
      </c>
      <c r="J4" s="18" t="inlineStr">
        <is>
          <t>Overall</t>
        </is>
      </c>
      <c r="K4" s="18" t="inlineStr">
        <is>
          <t>Finding</t>
        </is>
      </c>
      <c r="L4" s="18" t="inlineStr">
        <is>
          <t>Open actions</t>
        </is>
      </c>
      <c r="M4" s="18" t="inlineStr">
        <is>
          <t>Evidence location</t>
        </is>
      </c>
      <c r="N4" s="18" t="inlineStr">
        <is>
          <t>Jrnl ref</t>
        </is>
      </c>
      <c r="O4" s="18" t="inlineStr">
        <is>
          <t>Reviewed</t>
        </is>
      </c>
    </row>
    <row r="5" ht="53.25" customHeight="1" s="15">
      <c r="A5" s="19" t="inlineStr">
        <is>
          <t>73564</t>
        </is>
      </c>
      <c r="B5" s="19" t="inlineStr">
        <is>
          <t>IT Equipment &amp; Applications</t>
        </is>
      </c>
      <c r="C5" s="19" t="inlineStr">
        <is>
          <t>Full account: 9 svc codes, 20 employee recharges</t>
        </is>
      </c>
      <c r="D5" s="20" t="n">
        <v>43393.37</v>
      </c>
      <c r="E5" s="20" t="n">
        <v>47732.71</v>
      </c>
      <c r="F5" s="21" t="inlineStr">
        <is>
          <t>AMBER</t>
        </is>
      </c>
      <c r="G5" s="22" t="inlineStr">
        <is>
          <t>AMBER</t>
        </is>
      </c>
      <c r="H5" s="23" t="inlineStr">
        <is>
          <t>AMBER</t>
        </is>
      </c>
      <c r="I5" s="24" t="inlineStr">
        <is>
          <t>AMBER</t>
        </is>
      </c>
      <c r="J5" s="23" t="inlineStr">
        <is>
          <t>AMBER</t>
        </is>
      </c>
      <c r="K5" s="19" t="inlineStr">
        <is>
          <t>Full account $43,393.37 ex-GST, 36 lines (was partial $1,929.27). Findings: (a) 6 software/subscription lines $1,822.45 belong in 73566 IT Software Licence Fees (Esri, Anthropic, Body2 x2, 2 licence bundles); chart + P10 Canva/VisitUs precedent. (b) 9 of 20 recharge lines $4,416.27 off officer home PK incl confirmed Fry Depots-&gt;Trees miscode and likely AnneMarie/Caroline King mixup. (c) Esri INV000555 tax COMPLIANT (ABN PASS, GST exact, 1 of 7 seats). Body2 L18/L19 = correct monthly recognition of multi-year sub, not duplicates. Bulk Apple lines (L35/L36, $28,843.29) sighted: Exceed ICT INV-13660/INV-17543, ABN 62 633 979 414 PASS, GST exact, reconcile; 18 iPads sub-threshold (P&amp;A advisory).  EVIDENCE/TAX CORRECTION (9-Jun): only 3 external invoices sighted (Esri INV000555, Exceed INV-13660, INV-17543). FIVE external-supply refs NOT sighted/tax-unverified: 2412569490 Single Incident Support (5 lines $522.76), INAU004378 license bundles ($474), GJ076194/GJ075813 Body2 software ($372 each), TE005499 Anthropic ($36.14). Also SEVEN no-attachment recharge lines (not six): adds L20 IJ072790 SR# 201404 $429; total $6,689.87. Tax limb reverts to AMBER. PK ATTRIBUTION (9-Jun): Spero set officer home-PK convention and confirmed 3 of 9 off-home lines: L04 Robertson 20151-&gt;20319 $30, L25 Dressman 20191-&gt;20001 $500, L33 Fry 20241-&gt;20151 $1,929.27 (total $2,459.27), staged as net-moves in recode sub-batch B (nets $0.00). 6 lines remain open ($1,957, mostly Anne-Marie King incl L08/L24 Caroline King name query).</t>
        </is>
      </c>
      <c r="L5" s="19" t="inlineStr">
        <is>
          <t>1 Finance accept 73564-&gt;73566 software recode $1,822.45 (held); confirm Body2 moved or left. 2 Confirm IT-recharge PK convention (home vs supported-team) for 9 lines. 3 Fry attribution CONFIRMED PK000001 (analyst); both positions map to PK000001. Release net-move 20241/PK000055-&gt;20151/PK000001 on SR-0315517 sighting. 4 Resolve King L08/L24 svc20191/PK000082. 5 Sight 7 no-attach SR backups: SR-0316577, SR-0315241, SR#204868, SR-0312575, SR#201404, SR-0315517, SR#200930 ($6,689.87). 6 Sight + tax-check 5 external invoices: 2412569490, INAU004378, GJ076194, GJ075813, TE005499. 6 Query L34 $3,761.60 quantum. 7 Advisory: P&amp;A register for iPad/iPhone fleet. UPDATE 9-Jun: PK convention = officer home PK (Spero); 3 net-moves staged (Robertson/Dressman/Fry); sight SR219175/SR235810/SR-0315517 to clear their evidence limb; 6 King/Shearman lines still pending.</t>
        </is>
      </c>
      <c r="M5" s="19" t="inlineStr">
        <is>
          <t>NA73564_Evidence/ (Esri INV000555 sighted; ledger extract); NA73564_GENJNL_Recode.txt (held; IT recharge schedule Feb-2026 sighted 10-Jun)</t>
        </is>
      </c>
      <c r="N5" s="19" t="inlineStr">
        <is>
          <t>CN-23167 (journal-ready, Spero; A 73564-&gt;73566 software, B 3 PK net-moves)</t>
        </is>
      </c>
      <c r="O5" s="19" t="inlineStr">
        <is>
          <t>9-Jun-2026</t>
        </is>
      </c>
    </row>
    <row r="6" ht="53.25" customHeight="1" s="15">
      <c r="A6" s="19" t="inlineStr">
        <is>
          <t>72111</t>
        </is>
      </c>
      <c r="B6" s="19" t="inlineStr">
        <is>
          <t>Minor Equipment &amp; Supplies</t>
        </is>
      </c>
      <c r="C6" s="19" t="inlineStr">
        <is>
          <t>Two overlapping passes (see NA72111 note); account $67,055</t>
        </is>
      </c>
      <c r="D6" s="20" t="n">
        <v>3433.91</v>
      </c>
      <c r="E6" s="20" t="n">
        <v>3777.3</v>
      </c>
      <c r="F6" s="22" t="inlineStr">
        <is>
          <t>GREEN</t>
        </is>
      </c>
      <c r="G6" s="21" t="inlineStr">
        <is>
          <t>RED</t>
        </is>
      </c>
      <c r="H6" s="22" t="inlineStr">
        <is>
          <t>GREEN</t>
        </is>
      </c>
      <c r="I6" s="22" t="inlineStr">
        <is>
          <t>GREEN</t>
        </is>
      </c>
      <c r="J6" s="23" t="inlineStr">
        <is>
          <t>AMBER</t>
        </is>
      </c>
      <c r="K6" s="19" t="inlineStr">
        <is>
          <t>AP-invoice pass: $2,260.36 of $3,433.91 miscoded (Tennyson signage 72222, Ultimate PPE 72113, STIHL GTA 40 72315, INITIATOR chem 72112). Doc46 journal pass recodes $22,028 off 72111 across 11 NAs. The two OVERLAP (Tennyson 27577 $335 in both) and cannot be summed. EVIDENCE SIGHTED 9-Jun (Ultimate/Woodmans/Tennyson set C00267478, all ABNs PASS): 3 Trees-PK (20241/PK000055) recodes now STAGED in NA72111_GENJNL_Recode.txt - trousers PIK2270125 $292.09 and pants PIK2267644 $402.59 to 72113 PPE (partial, off mixed invoices), STIHL GTA 40 PIK2267816 $439.68 to 72315 parks P&amp;A (full); nets $0.00. Tennyson 27577 $335 evidence sighted, 72222 recode still HELD (Doc46 dedup). Woodmans 6429672 $54.41 correct in 72111. SET 2 staged 9-Jun (Motorcycles R Us PPE, svc 20301/PK000084, Spero directive): doc10286878 4 items $883.49 partial + doc10287279 pants $179.95 full = $1,063.44 ex to 72113. EVIDENCE GAP: Moto R Us invoices not packaged, ABN/GST unverified. Combined 72111 recode now $2,197.80 out ($1,758.12 to 72113, $439.68 to 72315), nets $0.00. SET 3 staged 9-Jun (scrap-plaque income reclass, Spero directive): -$448.00 ex "returned plaques for scrap" (SC10906) is sale income miscoded as a credit in 72111 expense on Depots PK000001; reclass to 64411 Sale of materials (revenue, unrestricted) on Cemeteries svc 20451/PK000402. Income reclass, signs inverted (Dr 72111 +448, Cr 64411 -448). Source doc SC10906 not sighted. Combined 72111 recode now 12 lines, net 72111 movement -$1,749.80, batch nets $0.00. SET 4 + DIRECTIVE 9-Jun: Spero standing directive - instructed lines override criteria and are PREPARED FOR JOURNAL (source-doc gaps audit-noted, not blocking). Set 4: TE004824 Officeworks 624206983 (ABN PASS, sighted) Posca PC5M markers $41.05 ex to 73563 stationery. 14-line recode now PREPARED; net 72111 -$1,790.85, nets $0.00 (72113 +1758.12, 72315 +439.68, 73563 +41.05, 64411 -448.00). Advisory: 3 OTTO desk risers $54.52 ex = 72313 candidate, not journalled pending instruction. | 10-Jun DEDUP CLOSED: the Doc46/AP overlap resolves to J22 only; 41 carried Doc46 items match 41 distinct ledger lines (37 full, 4 within-line partials, remainders $74.14 stay), zero collisions across all twelve journal streams (00_Doc46_AP_Dedup_10-Jun-2026.md). | 18-Jun: full 72111 ledger PROVIDED (371 lines $68,112.06, 196 with attachments); large untested remainder now line-visible.</t>
        </is>
      </c>
      <c r="L6" s="19" t="inlineStr">
        <is>
          <t>1 Upload the 72111 streams (in the live journal). 2 Process GSTE-01 to 03 BAS adjustments ($69.50). 3 Spero scope call on the $63,621.56 untested remainder. Oasis/Pac Fire/Bunnings receipt GAPs closed 10-Jun-2026 (all four sighted, ABNs PASS, reconcile to the cent); Doc46 partial-recode remainders now content-known (PPE/decor candidates, un-instructed).</t>
        </is>
      </c>
      <c r="M6" s="19" t="inlineStr">
        <is>
          <t>NA72111 note; _CarryForward Doc46/Doc45 source journals</t>
        </is>
      </c>
      <c r="N6" s="19" t="inlineStr">
        <is>
          <t>CN-23167 (PREPARED; NA72111_GENJNL_Recode.txt 14 lines, 4 sets)</t>
        </is>
      </c>
      <c r="O6" s="19" t="inlineStr">
        <is>
          <t>9-Jun-2026</t>
        </is>
      </c>
    </row>
    <row r="7" ht="42.75" customHeight="1" s="15">
      <c r="A7" s="19" t="inlineStr">
        <is>
          <t>72312</t>
        </is>
      </c>
      <c r="B7" s="19" t="inlineStr">
        <is>
          <t>Office &amp; Library Equipment</t>
        </is>
      </c>
      <c r="C7" s="19" t="inlineStr">
        <is>
          <t>IKEA PK000493 svc20392 (PCard) + Empire PK000001 svc20151 (AP)</t>
        </is>
      </c>
      <c r="D7" s="20" t="n">
        <v>2461.27</v>
      </c>
      <c r="E7" s="20" t="n">
        <v>2707.4</v>
      </c>
      <c r="F7" s="23" t="inlineStr">
        <is>
          <t>GREEN</t>
        </is>
      </c>
      <c r="G7" s="21" t="inlineStr">
        <is>
          <t>RED</t>
        </is>
      </c>
      <c r="H7" s="22" t="inlineStr">
        <is>
          <t>GREEN</t>
        </is>
      </c>
      <c r="I7" s="22" t="inlineStr">
        <is>
          <t>GREEN</t>
        </is>
      </c>
      <c r="J7" s="23" t="inlineStr">
        <is>
          <t>AMBER</t>
        </is>
      </c>
      <c r="K7" s="19" t="inlineStr">
        <is>
          <t>$2,461.27 of $2,461.27 (100%) miscoded out of 72312; IKEA EKET cabinets and Empire chair gas lifts + desk power + install all belong in 72313 Furniture &amp; Fittings. IKEA line PK000493 CONFIRMED valid (Flying Gang, Park Services, svc 20392) per analyst sub-PK ledger; PK preserved as transacted, no PK move. Both ABNs checksum PASS.</t>
        </is>
      </c>
      <c r="L7" s="19" t="inlineStr">
        <is>
          <t>1 Finance accept 72312 to 72313 recode in full-reversal format, then release CN-23167. 2 CAVEAT: pk_validator fails PK000493 (absent from installed maps which carry only PK000022 for svc 20392); add the Flying Gang sub-PK to lcc-coding-review so the recode validates. 3 Advisory: fix line 02 narration.</t>
        </is>
      </c>
      <c r="M7" s="19" t="inlineStr">
        <is>
          <t>NA72312_Evidence/ (IKEA TE004431; Empire RL196475; ledger extract)</t>
        </is>
      </c>
      <c r="N7" s="19" t="inlineStr">
        <is>
          <t>CN-23167 (journal-ready, Spero)</t>
        </is>
      </c>
      <c r="O7" s="19" t="inlineStr">
        <is>
          <t>8-Jun-2026</t>
        </is>
      </c>
    </row>
    <row r="8" ht="53.25" customHeight="1" s="15">
      <c r="A8" s="19" t="inlineStr">
        <is>
          <t>73533</t>
        </is>
      </c>
      <c r="B8" s="19" t="inlineStr">
        <is>
          <t>Interstate Travel &amp; Accommodation</t>
        </is>
      </c>
      <c r="C8" s="19" t="inlineStr">
        <is>
          <t>Quinn PK000001 svc20151 (single BNE-MEL-BNE trip)</t>
        </is>
      </c>
      <c r="D8" s="20" t="n">
        <v>1021.7</v>
      </c>
      <c r="E8" s="20" t="n">
        <v>1123.87</v>
      </c>
      <c r="F8" s="22" t="inlineStr">
        <is>
          <t>GREEN</t>
        </is>
      </c>
      <c r="G8" s="22" t="inlineStr">
        <is>
          <t>GREEN</t>
        </is>
      </c>
      <c r="H8" s="22" t="inlineStr">
        <is>
          <t>GREEN</t>
        </is>
      </c>
      <c r="I8" s="22" t="inlineStr">
        <is>
          <t>GREEN</t>
        </is>
      </c>
      <c r="J8" s="23" t="inlineStr">
        <is>
          <t>GREEN</t>
        </is>
      </c>
      <c r="K8" s="19" t="inlineStr">
        <is>
          <t>$1,015.15 of $1,021.70 confirmed interstate. TE005080 = ONE PCard ref over TWO lines: hotel $288.18 (L07) + 7-Eleven $6.55 (L02). BOTH NOW RESOLVED (9-Jun). 7-Eleven receipt SIGHTED: 7-Eleven 1130 Melb Queen St, ABN 86 960 363 023 checksum PASS, TAX INVOICE, 1x ham pesto sandwich $7.20 incl, GST $0.65, ex $6.55; cover slip "Dinner/Breakfast", Quinn. A meal during travel never sits in 73531-73534, so the $6.55 RECODES to 73512 Non-FBT (Reason B refreshment; sole traveller, no alcohol/social = not 73511); pair POSTED, nets $0.00. Hotel: Booking.com doc has no ABN and is not a tax invoice; the $28.82 GST substantiation is WAIVED BY SPERO (directive 9-Jun), accepted as-is. Residual ATO exposure on the $28.82 ITC noted. Airfare/Uber/Cabcharge/CTM coding all correct.</t>
        </is>
      </c>
      <c r="L8" s="19" t="inlineStr">
        <is>
          <t>None gating. Advisory only: obtain the ibis Melbourne (Accor) tax invoice if convenient to retire the $28.82 ITC exposure noted in the finding. Recode pair ($6.55 73533-&gt;73512) ready in batch.</t>
        </is>
      </c>
      <c r="M8" s="19" t="inlineStr">
        <is>
          <t>NA73533_Evidence/ (7-Eleven receipt L02 + Booking.com ibis hotel L07 both filed; ledger extract)</t>
        </is>
      </c>
      <c r="N8" s="19" t="inlineStr">
        <is>
          <t>CN-23167 ($6.55 73533-&gt;73512 posted)</t>
        </is>
      </c>
      <c r="O8" s="19" t="inlineStr">
        <is>
          <t>9-Jun-2026</t>
        </is>
      </c>
    </row>
    <row r="9" ht="63.75" customHeight="1" s="15">
      <c r="A9" s="19" t="inlineStr">
        <is>
          <t>73563</t>
        </is>
      </c>
      <c r="B9" s="19" t="inlineStr">
        <is>
          <t>Printing &amp; Stationery</t>
        </is>
      </c>
      <c r="C9" s="19" t="inlineStr">
        <is>
          <t>PK000001 svc20151 + PK000086 svc20141 + PK000082 svc20191</t>
        </is>
      </c>
      <c r="D9" s="20" t="n">
        <v>9495.370000000001</v>
      </c>
      <c r="E9" s="20" t="n">
        <v>10444.91</v>
      </c>
      <c r="F9" s="22" t="inlineStr">
        <is>
          <t>GREEN</t>
        </is>
      </c>
      <c r="G9" s="21" t="inlineStr">
        <is>
          <t>RED</t>
        </is>
      </c>
      <c r="H9" s="22" t="inlineStr">
        <is>
          <t>GREEN</t>
        </is>
      </c>
      <c r="I9" s="22" t="inlineStr">
        <is>
          <t>GREEN</t>
        </is>
      </c>
      <c r="J9" s="23" t="inlineStr">
        <is>
          <t>AMBER</t>
        </is>
      </c>
      <c r="K9" s="19" t="inlineStr">
        <is>
          <t>$6,354.47 of $9,495.37 (66.9%) miscoded out of 73563 (WINC catch-all + Officeworks TE005250); recode journal-ready. Evidence re-verified 10-Jun-2026: all eleven WINC tax-invoice summaries sighted and reconciled per cost centre to the cent (GL ex-GST base equals invoice ex-GST every month); GST-free refreshment content (34 lines $1,195.79) correctly booked off invoice GST, no phantom ITC; stores lines 094908/096380 closed under the Marsden convention (envelope item 207144, code collision documented). TE004125 ($166.40) sighted 10-Jun-2026: Kibble tax invoice 00067913, ABN PASS, GST $16.64 exact, reconciles to the cent (Anita Moore PCard ...1627; FY25-dated invoice posted P1 FY26, late-reconciliation advisory). Sole evidence residual: TE005154 $136.80, own backup unsighted.</t>
        </is>
      </c>
      <c r="L9" s="19" t="inlineStr">
        <is>
          <t>1 Upload the 73563 recode (in the live journal). 2 50/50-batch data check on the 73512 movements (Reason B). 3 Sight the TE005154 backup ($136.80) - the last evidence item - or Spero waiver.</t>
        </is>
      </c>
      <c r="M9" s="19" t="inlineStr">
        <is>
          <t>NA73563_Evidence/ (11 WINC invoices incl 9 newly sighted P1-P10, Officeworks 628185694, audit, recon, ledger)</t>
        </is>
      </c>
      <c r="N9" s="19" t="inlineStr">
        <is>
          <t>CN-23167 (journal-ready, Spero)</t>
        </is>
      </c>
      <c r="O9" s="19" t="inlineStr">
        <is>
          <t>9-Jun-2026</t>
        </is>
      </c>
    </row>
    <row r="10" ht="53.25" customHeight="1" s="15">
      <c r="A10" s="19" t="inlineStr">
        <is>
          <t>72114</t>
        </is>
      </c>
      <c r="B10" s="19" t="inlineStr">
        <is>
          <t>Uniforms</t>
        </is>
      </c>
      <c r="C10" s="19" t="inlineStr">
        <is>
          <t>Reali PK split (subset); account $26,236</t>
        </is>
      </c>
      <c r="D10" s="20" t="n">
        <v>1059.76</v>
      </c>
      <c r="E10" s="20" t="n">
        <v>1165.74</v>
      </c>
      <c r="F10" s="23" t="inlineStr">
        <is>
          <t>AMBER</t>
        </is>
      </c>
      <c r="G10" s="22" t="inlineStr">
        <is>
          <t>GREEN</t>
        </is>
      </c>
      <c r="H10" s="23" t="inlineStr">
        <is>
          <t>AMBER</t>
        </is>
      </c>
      <c r="I10" s="24" t="inlineStr">
        <is>
          <t>N/A</t>
        </is>
      </c>
      <c r="J10" s="23" t="inlineStr">
        <is>
          <t>AMBER</t>
        </is>
      </c>
      <c r="K10" s="19" t="inlineStr">
        <is>
          <t>3-Jun Reali PK split $1,059.76 confirmed subset (~4%). GJ SOURCE NOW SIGHTED (Document Reconstruction, doc 202603161072172000000001, ledger 26SLACT): a BALANCED multi-account recode batch (nets $0.00). Its 72114 block credits $10,650.27 from 1-20001-72114 narrated 'Institute of Public Works Engineering Au' (IPWEA) and DEBITS the same $10,650.27 across 16 service-level 72114 (Uniforms) PKs. CONCERN: if the $10,650.27 is a genuine IPWEA professional charge it should leave 72114 entirely (73542 Professional Membership most likely, or 73541 Conferences / 73544 Training), not be redistributed WITHIN Uniforms. Wider Reali standing-order set ($17,288.98) now provided (C00223414 zip), not yet worked. LIVE LISTING 9-Jun: 00_Uniform_Listing_72114.xlsx built from fresh TechOne export - full account 103 lines $26,236.42, 22 service codes. L1 Svc/PK 98 GREEN / 5 AMBER (off-home/unmapped); 57 of 103 lines have NO attachment (RED evidence); 46 have attachments (pending sighting). IPWEA -$10,650.27 (GJ078546) flagged to 73542. Reviewed-$ in this register stays the $1,059.76 Reali subset; the listing is the live per-line state. | 18-Jun: full 72114 ledger PROVIDED (112 lines $27,590.02, 51 with attachments); the $25,176.66 untested remainder is now line-visible for review.</t>
        </is>
      </c>
      <c r="L10" s="19" t="inlineStr">
        <is>
          <t>1 Confirm whether the reconstruction batch is POSTED or PROPOSED; if posted, the IPWEA $10,650.27 is already spread across Uniforms service PKs. 2 Obtain the underlying IPWEA invoice to confirm nature (membership vs conference vs training) and set destination (73542/73541/73544); it should not sit in 72114. 3 Work the now-provided Reali set at full scope. 4 Confirm net-movement vs full-reversal format. Same batch also shows other apparent miscodes outside scope (e.g. Empire Office Furniture $4,300 in 73544 Training). | 10-Jun: Reali Mar-2026 invoice sighted (GSTE-06 $0.01 note); officer split basis captured, not journalled</t>
        </is>
      </c>
      <c r="M10" s="19" t="inlineStr">
        <is>
          <t>NA72114_Scope_Note.md; Document_Reconstruction (GJ source) sighted; C00223414 Reali set provided; 00_Uniform_Listing_72114.xlsx (full account, per-line)</t>
        </is>
      </c>
      <c r="N10" s="19" t="inlineStr">
        <is>
          <t>CN-23167 (journal-ready, Spero)</t>
        </is>
      </c>
      <c r="O10" s="19" t="inlineStr">
        <is>
          <t>9-Jun-2026</t>
        </is>
      </c>
    </row>
    <row r="11" ht="53.25" customHeight="1" s="15">
      <c r="A11" s="19" t="inlineStr">
        <is>
          <t>73140</t>
        </is>
      </c>
      <c r="B11" s="19" t="inlineStr">
        <is>
          <t>Pre-Employment Background Checks</t>
        </is>
      </c>
      <c r="C11" s="19" t="inlineStr">
        <is>
          <t>CV Check PK000001 svc20001</t>
        </is>
      </c>
      <c r="D11" s="20" t="n">
        <v>3703.03</v>
      </c>
      <c r="E11" s="20" t="n">
        <v>4073.33</v>
      </c>
      <c r="F11" s="22" t="inlineStr">
        <is>
          <t>GREEN</t>
        </is>
      </c>
      <c r="G11" s="22" t="inlineStr">
        <is>
          <t>GREEN</t>
        </is>
      </c>
      <c r="H11" s="23" t="inlineStr">
        <is>
          <t>AMBER</t>
        </is>
      </c>
      <c r="I11" s="23" t="inlineStr">
        <is>
          <t>AMBER</t>
        </is>
      </c>
      <c r="J11" s="23" t="inlineStr">
        <is>
          <t>AMBER</t>
        </is>
      </c>
      <c r="K11" s="19" t="inlineStr">
        <is>
          <t>Carried from 3-Jun pass. 21 lines, single vendor (CV Check), narration consistent, NA matches chart definition; coding correct. $58.02 GJ EOY reversal normal. Tier-3 sighting only: AP invoices not sighted, so evidence and tax limbs remain open. 11-Jun-2026: five Kinatico Limited tax invoices received in intake (ABN 25 111 728 842, PO 801790, monthly pre-employment screening; Kinatico is the CVCheck parent): P00075671 Jul-2025, P00081314 Dec-2025, P00082255 Jan-2026, P00083290 Feb-2026, P00086890 May-2026. All five AP document numbers searched across every 11-Jun ledger export: zero hits. Held unapplied in 07_Intake_Held_Kinatico/ per the evidence rule; no limb moves until matched to 73140 ledger lines. | 17-Jun: five held Kinatico invoices VERIFIED (ABN 25 111 728 842 checksum PASS, GST exact to the cent on all five). Reconciliation: they total $7,996.86 ex-GST, 2.16x the 73140 SE2 balance of $3,703.03, so the monthly invoices bill the whole council and the Parks slice cannot be attributed. Correctly held unapplied; evidence limb stays AMBER pending the FY26 73140 ledger extract. | 18-Jun: 73140 ledger SIGHTED, reconciles $3,703.03 exact (22 lines, all att=Y). Two vendors found - CV Check/Kinatico and JobFit standing order. The five held Kinatico invoices ATTRIBUTED to their ledger lines by P-number (Parks slice $632.09; the invoices bill the whole council). Remaining evidence: 6 more CV Check months + 10 JobFit lines, all att=Y in TechOne.</t>
        </is>
      </c>
      <c r="L11" s="19" t="inlineStr">
        <is>
          <t>1 Sight a sample of CV Check AP invoices to confirm evidence and tax limbs. 2 On sighting, clear to GREEN (no recode expected). 3 Pull the FY26 73140 ledger extract and match the five held Kinatico invoices by month and amount before any limb moves.</t>
        </is>
      </c>
      <c r="M11" s="19" t="inlineStr">
        <is>
          <t>3-Jun review queue finding (no deliverable bundle this pass); 07_Intake_Held_Kinatico/ (5 Kinatico invoices, canonically renamed, held unapplied)</t>
        </is>
      </c>
      <c r="N11" s="19" t="inlineStr">
        <is>
          <t>n/a (no recode)</t>
        </is>
      </c>
      <c r="O11" s="19" t="inlineStr">
        <is>
          <t>18-Jun-2026 (ledger sighted; Kinatico attributed)</t>
        </is>
      </c>
    </row>
    <row r="12" ht="15" customHeight="1" s="15">
      <c r="A12" s="19" t="inlineStr">
        <is>
          <t>73511</t>
        </is>
      </c>
      <c r="B12" s="19" t="inlineStr">
        <is>
          <t>Entertainment &amp; Hospitality (FBT)</t>
        </is>
      </c>
      <c r="C12" s="19" t="inlineStr">
        <is>
          <t>7 svc codes (Natural Areas x3, Depots, Mgmt, Planning, Park Services); 126 lines incl Finance 50/50 batch pairs</t>
        </is>
      </c>
      <c r="D12" s="20" t="n">
        <v>5384.57</v>
      </c>
      <c r="E12" s="20" t="n">
        <v>5923.03</v>
      </c>
      <c r="F12" s="22" t="inlineStr">
        <is>
          <t>AMBER</t>
        </is>
      </c>
      <c r="G12" s="22" t="inlineStr">
        <is>
          <t>AMBER</t>
        </is>
      </c>
      <c r="H12" s="23" t="inlineStr">
        <is>
          <t>AMBER</t>
        </is>
      </c>
      <c r="I12" s="23" t="inlineStr">
        <is>
          <t>AMBER</t>
        </is>
      </c>
      <c r="J12" s="23" t="inlineStr">
        <is>
          <t>AMBER</t>
        </is>
      </c>
      <c r="K12" s="19" t="inlineStr">
        <is>
          <t>Full account $5,384.57 ex-GST net of Finance FBT batch pairs (58 lines net $0.00, set aside; 2 AP003801 re-posts live). Annotated export = claims, not Tier 1; candidates quantified, NOT journalled: $762.33 to 73512 (amenity $334.71, non-employee $301.71, training catering $125.91), Warnholtz $744.30 to 73544, $23.56 utensils to 72111; Daily Blooms $88.14 customer-gift query. STAY-FBT $3,664.79 incl unsighted INV-9747 $2,445.45. One $4.18 doesnt-reconcile RED; $97.27 unannotated. | 11-Jun: INV-9747 SIGHTED - Greenbank Services Club (ABN 64 442 003 715 PASS, ABR active + GST reg, business name matches), EOY celebration 3-Dec-2025, food $2,690.00 incl = GL $2,445.45 x 1.1 exact, GST disclosure exact. STAY-FBT verdict now on Tier 1. Residual traces: $700 room hire payment and $200 bond return.</t>
        </is>
      </c>
      <c r="L12" s="19" t="inlineStr">
        <is>
          <t>1 Spero ruling on the 73512/73544/72111 candidate set + Daily Blooms class 2 Sight INV-9747 ($2,445.45, vendor unidentified) and Warnholtz 001 3 Identify Hoffmann/Bahry/Warnholtz/Salisnew (not in employee map); confirm Mann/Rosmarin sections 4 Receipts for the PCard food population (GST-free mix) 5 Classify 4 unannotated lines | 11-Jun: INV-9747 sighted and vendor identified (item 2 partially closed; Warnholtz 001 remains). New: trace the $700 room hire payment and $200 bond return on the Greenbank engagement.</t>
        </is>
      </c>
      <c r="M12" s="19" t="inlineStr">
        <is>
          <t>NA73511_Evidence/ (annotated ledger extract; no receipts sighted)</t>
        </is>
      </c>
      <c r="N12" s="19" t="inlineStr">
        <is>
          <t>n/a (no recode staged)</t>
        </is>
      </c>
      <c r="O12" s="19" t="inlineStr">
        <is>
          <t>10-Jun-2026</t>
        </is>
      </c>
    </row>
    <row r="13" ht="137.25" customHeight="1" s="15">
      <c r="A13" s="19" t="inlineStr">
        <is>
          <t>73128</t>
        </is>
      </c>
      <c r="B13" s="19" t="inlineStr">
        <is>
          <t>Other services</t>
        </is>
      </c>
      <c r="C13" s="19" t="inlineStr">
        <is>
          <t>TCB milk standing order PO 709655, PK000001 svc20151 Depots (57 PUR + 4 GJ075544 lines) + Raj Aggarwal bond pair (nets $0.00)</t>
        </is>
      </c>
      <c r="D13" s="20" t="n">
        <v>1854.7</v>
      </c>
      <c r="E13" s="20" t="n">
        <v>1915.81</v>
      </c>
      <c r="F13" s="22" t="inlineStr">
        <is>
          <t>GREEN</t>
        </is>
      </c>
      <c r="G13" s="22" t="inlineStr">
        <is>
          <t>RED</t>
        </is>
      </c>
      <c r="H13" s="23" t="inlineStr">
        <is>
          <t>GREEN</t>
        </is>
      </c>
      <c r="I13" s="23" t="inlineStr">
        <is>
          <t>GREEN</t>
        </is>
      </c>
      <c r="J13" s="23" t="inlineStr">
        <is>
          <t>AMBER</t>
        </is>
      </c>
      <c r="K13" s="19" t="inlineStr">
        <is>
          <t>$1,854.70 of $1,854.70 (100%) of the milk spend miscoded to 73128 last-resort services; goods purchase belongs in 73512 Entertainment &amp; Hospitality Non-FBT (recode instructed by Spero 10-Jun-2026). All 50 unique invoices and the bond refund documents sighted; account reconciles to the ledger with no residual. 16 GST errors confirmed, $61.11 ITC over-claimed Jun-2025 to mid-Sep-2025 (corrected at source from INV-399504), recorded GSTE-07 to GSTE-22; bond refund net-nil GST timing note $272.73 recorded GSTE-23. ABR live record 10-Jun-2026 confirms TCB Distributors Pty Ltd active and GST registered. Incl-GST column carries the GST-free invoice value $1,915.81 (GL $1,854.70 + $61.11 under-keyed base), not ex x 1.1. | 18-Jun: TCB binder RE-EXTRACTED. The SecondIntake binder (C00216123) split into 25 standalone hash-verified TCB invoice PDFs (pages 3-27) + a separately-bundled Mundoolun Community Group refund matter (ABR + Qld Country Bank statement + email chain, pages 1-2/28-36) that was mis-filed in the binder. 56 of 114 journal lines moved CONSOLIDATED-&gt;PRESENT; the other 25 invoices (58 lines) are not in this binder (first intake). GST ERROR confirmed: TCB invoices show $0.00 GST but were booked with GST.</t>
        </is>
      </c>
      <c r="L13" s="19" t="inlineStr">
        <is>
          <t>1 Upload NA73128_GENJNL_Recode.txt (122 lines, 61 pairs, nets $0.00, direction verified). 2 Process the $61.11 BAS adjustment (GSTE-07 to GSTE-22); no GENJNL movement. 3 Package the 56 per-line evidence PDFs into NA73128_Evidence/ (sighted 10-Jun-2026, SHA-256 fingerprints held in NA73128_Workstream_Manifest_10-Jun-2026.csv; only the compressed second-intake binder is carried this bundle).</t>
        </is>
      </c>
      <c r="M13" s="19" t="inlineStr">
        <is>
          <t>NA73128_Evidence/ (second-intake binder C00216123; ledger extract; ABR record); NA73128_Evidence_Manifest.csv (59 rows, no GAP)</t>
        </is>
      </c>
      <c r="N13" s="19" t="inlineStr">
        <is>
          <t>CN-23167 (journal-ready, Spero 10-Jun-2026)</t>
        </is>
      </c>
      <c r="O13" s="19" t="inlineStr">
        <is>
          <t>18-Jun-2026 (binder re-extracted)</t>
        </is>
      </c>
    </row>
    <row r="14" ht="15" customHeight="1" s="15">
      <c r="A14" s="19" t="inlineStr">
        <is>
          <t>73433</t>
        </is>
      </c>
      <c r="B14" s="19" t="inlineStr">
        <is>
          <t>Other Fees &amp; Charges</t>
        </is>
      </c>
      <c r="C14" s="19" t="inlineStr">
        <is>
          <t>Two lines: QUT parking PK000087 svc20001 + blue card recode-in PK000075 svc20411</t>
        </is>
      </c>
      <c r="D14" s="20" t="n">
        <v>139.25</v>
      </c>
      <c r="E14" s="20" t="n">
        <v>153.18</v>
      </c>
      <c r="F14" s="22" t="inlineStr">
        <is>
          <t>AMBER</t>
        </is>
      </c>
      <c r="G14" s="22" t="inlineStr">
        <is>
          <t>RED</t>
        </is>
      </c>
      <c r="H14" s="22" t="inlineStr">
        <is>
          <t>GREEN</t>
        </is>
      </c>
      <c r="I14" s="23" t="inlineStr">
        <is>
          <t>AMBER</t>
        </is>
      </c>
      <c r="J14" s="23" t="inlineStr">
        <is>
          <t>AMBER</t>
        </is>
      </c>
      <c r="K14" s="19" t="inlineStr">
        <is>
          <t>$34.55 of $139.25 (24.8%) miscoded: QUT visitor parking belongs in 73531 Local Travel SEQ (GJ078933 precedent). Blue card $104.70 correctly recoded in from 73544; original TE004496 receipt unsighted. | 11-Jun: TE004496 receipt SIGHTED - Blue Card Services 56213618922, Preussner renewal $104.70, Div 81 GST exempt, booked gross with no ITC, Dyba PCard, slip coded PK000075-73544. Evidence gap CLOSED. | 17-Jun: manifest-vs-register conflict RECONCILED - the TE004496 Blue Card receipt (56213618922, $104.70 Div 81 exempt) is held and SIGHTED (NA73433_L02, SHA 95f8b186 verified); a stale duplicate GAP row was removed from the manifest. Both 73433 lines (TE005281, TE004496) now sighted.</t>
        </is>
      </c>
      <c r="L14" s="19" t="inlineStr">
        <is>
          <t>1 Upload NA73433_GENJNL_Recode.txt (in the live journal; 73433-&gt;73531 $34.55, PK000087, nets $0.00, direction verified). 2 TE004496 blue card receipt SIGHTED 11-Jun-2026 (gap closed). 3 Confirm TE005281 cardholder.</t>
        </is>
      </c>
      <c r="M14" s="19" t="inlineStr">
        <is>
          <t>NA73433_Evidence/ (QUT receipt TE005281, hash-verified)</t>
        </is>
      </c>
      <c r="N14" s="19" t="inlineStr">
        <is>
          <t>CN-23167 (journal-ready, Spero 10-Jun-2026; NA73433 stream in the live journal)</t>
        </is>
      </c>
      <c r="O14" s="19" t="inlineStr">
        <is>
          <t>10-Jun-2026</t>
        </is>
      </c>
    </row>
    <row r="15" ht="63.75" customHeight="1" s="15">
      <c r="A15" s="19" t="inlineStr">
        <is>
          <t>73512</t>
        </is>
      </c>
      <c r="B15" s="19" t="inlineStr">
        <is>
          <t>Entertainment &amp; Hospitality Non-FBT</t>
        </is>
      </c>
      <c r="C15" s="19" t="inlineStr">
        <is>
          <t>122 lines, 7 svc codes; volunteer reimbursements + FBT batch micro-lines</t>
        </is>
      </c>
      <c r="D15" s="20" t="n">
        <v>5520.97</v>
      </c>
      <c r="E15" s="20" t="n">
        <v>6073.07</v>
      </c>
      <c r="F15" s="22" t="inlineStr">
        <is>
          <t>AMBER</t>
        </is>
      </c>
      <c r="G15" s="22" t="inlineStr">
        <is>
          <t>AMBER</t>
        </is>
      </c>
      <c r="H15" s="23" t="inlineStr">
        <is>
          <t>AMBER</t>
        </is>
      </c>
      <c r="I15" s="23" t="inlineStr">
        <is>
          <t>AMBER</t>
        </is>
      </c>
      <c r="J15" s="23" t="inlineStr">
        <is>
          <t>AMBER</t>
        </is>
      </c>
      <c r="K15" s="19" t="inlineStr">
        <is>
          <t>Account reconciles to the cent. 5 of 6 volunteer reimbursements fully evidenced (Hoffmann x3, Preussner x2, GST exact, identity matched); Warnholtz AP003847 asymmetry resolved (GSTE-24). Open: Quote 5468 $1,656.50 vendor unknown (largest unevidenced line), Salisnew ~$234, ~100 FBT-batch micro-lines.</t>
        </is>
      </c>
      <c r="L15" s="19" t="inlineStr">
        <is>
          <t>1 Sight 12052026 Preussner receipt $27.79. 2 Identify Quote 5468 vendor + invoice. 3 Salisnew receipts x6. 4 Micro-line population: pcard docs OR Spero waiver. 5 Confirm TE005497/AP003877 $97.00+$7.90 split.</t>
        </is>
      </c>
      <c r="M15" s="19" t="inlineStr">
        <is>
          <t>NA73512_Evidence/ (5 receipts + 2 identity docs, hash-verified; identity docs carry full bank details, restrict to folder)</t>
        </is>
      </c>
      <c r="N15" s="19" t="inlineStr">
        <is>
          <t>n/a (no recode staged)</t>
        </is>
      </c>
      <c r="O15" s="19" t="inlineStr">
        <is>
          <t>10-Jun-2026</t>
        </is>
      </c>
    </row>
    <row r="16" ht="168" customHeight="1" s="15">
      <c r="A16" s="19" t="inlineStr">
        <is>
          <t>73544</t>
        </is>
      </c>
      <c r="B16" s="19" t="inlineStr">
        <is>
          <t>Training &amp; Development</t>
        </is>
      </c>
      <c r="C16" s="19" t="inlineStr">
        <is>
          <t>Full account: 41 lines, $69,232.16; 17 vendor docs + back-charges intake sighted</t>
        </is>
      </c>
      <c r="D16" s="20" t="n">
        <v>69232.16</v>
      </c>
      <c r="E16" s="20" t="n">
        <v>76155.38</v>
      </c>
      <c r="F16" s="22" t="inlineStr">
        <is>
          <t>AMBER</t>
        </is>
      </c>
      <c r="G16" s="22" t="inlineStr">
        <is>
          <t>AMBER</t>
        </is>
      </c>
      <c r="H16" s="23" t="inlineStr">
        <is>
          <t>AMBER</t>
        </is>
      </c>
      <c r="I16" s="23" t="inlineStr">
        <is>
          <t>AMBER</t>
        </is>
      </c>
      <c r="J16" s="23" t="inlineStr">
        <is>
          <t>AMBER</t>
        </is>
      </c>
      <c r="K16" s="19" t="inlineStr">
        <is>
          <t>Account reconciles. 21 references evidenced incl Whitehead $18,750, Fire Mgmt $10,500, Bendelta $8,966.28 (consultancy recode candidate to 73601), BAL $1,767 (73541 candidate; HLW dossier sighted, tax invoice outstanding), PSIA narration error. GST errors: Blue Dog $11.73 (GSTE-25), Barter $9.52 (GSTE-26), OIR $8.76 corrected (GSTE-27). 11-Jun: PK-split recode STAGED $2,131.46 (GJ079650 chargebacks $949.64 + ACCA split $1,181.82, 9 lines, nets $0.00, re-verified); Pryor/Hambly held; Preussner GJ078933 reopened as a destination query (73545 vs 7B411 on the $931.20 leg). | 11-Jun: GJ076597 backup + L&amp;D email SIGHTED (non-attendance recharge batch, nets $0.00; Pryor $214.00 and Hambly $294.42 evidenced as L&amp;D non-attendance, home-PK ruling remains). OIR source receipt SIGHTED: licensee Renee Hoyle, $96.35, PK000383 ParkCare; Hood audit email corroborates GSTE-27. | 17-Jun: SIX journal backups SIGHTED (L23-L28), each a balanced Document Reconstruction netting $0.00 (IJ074222, GJ078710, GJ078895, GJ077155, GJ079267, GJ078296); journal-backup gap CLOSED. ACCA INV-11404 deficiency was stale: invoice held at L10 since 10-Jun (SHA 6126cdf2); EVID overlay lines 159-161 relinked to EVID-0148 from a stale placeholder (matcher miss corrected). Internal journals post cross-ledger to 26PSLACT/26RMACT/WW03; NA 73544 consistent throughout.</t>
        </is>
      </c>
      <c r="L16" s="19" t="inlineStr">
        <is>
          <t>1 Upload NA73544_GENJNL_Recode.txt (in the live journal). 2 Spero rulings: Bendelta-&gt;73601 $8,966.28; BAL 73541-vs-73544 $1,767; Warnholtz concurrence; Pryor PK000044-vs-PK000003 $214.00; Hambly $294.42 (not in map); Preussner destination query. 3 Sight: HLW tax invoice, OIR source receipt, 7 journal backups ~$11,100. 4 Confirm Moore/Moir/Funk services (EOM report). 5 BAS: GSTE-25/26 reversals. | 11-Jun: journal backups now 6 outstanding (~$10,600: IJ074222, GJ078710, GJ078895, GJ077155, GJ079267, GJ078296); OIR source receipt CLOSED. | 17-Jun: item 3 journal backups (6) CLOSED at L23-L28; ACCA deficiency closed (relinked, was stale). Residual on item 3: HLW (BAL) compliant tax invoice still outstanding (tax limb AMBER). Items 1,2,4,5 unchanged (Bendelta/BAL/Pryor/Hambly/Preussner rulings still with Spero; BAL workshop receipt $1,943.70 in intake does NOT match $1,767 TE004334 - reconcile before it closes the 73541 candidate).</t>
        </is>
      </c>
      <c r="M16" s="19" t="inlineStr">
        <is>
          <t>NA73544_Evidence/ (46 files: 17-Jun added L23-L28 journal backups, SHA-verified)</t>
        </is>
      </c>
      <c r="N16" s="19" t="inlineStr">
        <is>
          <t>CN-23167 (journal-ready, Spero 11-Jun-2026; NA73544 PK-split stream in the live journal)</t>
        </is>
      </c>
      <c r="O16" s="19" t="inlineStr">
        <is>
          <t>17-Jun-2026</t>
        </is>
      </c>
    </row>
    <row r="17" ht="157.5" customHeight="1" s="15">
      <c r="A17" s="19" t="inlineStr">
        <is>
          <t>73212</t>
        </is>
      </c>
      <c r="B17" s="19" t="inlineStr">
        <is>
          <t>Major Contracts (3 section exports)</t>
        </is>
      </c>
      <c r="C17" s="19" t="inlineStr">
        <is>
          <t>Water Parks svc20802 $900 + Design&amp;Capital svc20191 $15,100 + s4090230 $38,242.75</t>
        </is>
      </c>
      <c r="D17" s="20" t="n">
        <v>54242.75</v>
      </c>
      <c r="E17" s="20" t="n">
        <v>59667.03</v>
      </c>
      <c r="F17" s="22" t="inlineStr">
        <is>
          <t>AMBER</t>
        </is>
      </c>
      <c r="G17" s="22" t="inlineStr">
        <is>
          <t>RED</t>
        </is>
      </c>
      <c r="H17" s="23" t="inlineStr">
        <is>
          <t>AMBER</t>
        </is>
      </c>
      <c r="I17" s="23" t="inlineStr">
        <is>
          <t>AMBER</t>
        </is>
      </c>
      <c r="J17" s="23" t="inlineStr">
        <is>
          <t>AMBER</t>
        </is>
      </c>
      <c r="K17" s="19" t="inlineStr">
        <is>
          <t>A1 Strategy $15,100 (PO 708258) fails 73212 twice: four-element consultancy test met AND PO sits under the $20,000 floor; recode candidate to 73601 held (Tier 1 complete: 3 invoices + ABR x2 + ASIC, GST exact, hours recompute). Aust Care $630 invoice names PK000496, ledger charged PK000469 (PK recode candidate). GJ079210 -$66,183.82 one-sided Play Force move is the open dollar; ~$30,000 standing-order lines vendor-blind. | 11-Jun: GJ079210 backup SIGHTED - balanced 6-line PK move PK000035 to PK000022 (73123 $79,418 / 73212 $66,183.82 / 73211 $5,635), nets $0.00, direction correct; the $66,184 open dollar CLOSES as explained (narration crossover advisory; PK000510/511 not in maps). GJ076924 backup SIGHTED - 95-line balanced redistribution, $1,914 leg explained. | 17-Jun: Materials reclassification PK000372 (svc 20551 Fuel Reduction Burn) evidenced - EMU INV-0367/0389/0395 ($26,414.08) SIGHTED as the 72111-&gt;73212 destination legs of posted journal XRef 934000000001 (directive-authorised, nets $0.00). See workstream 08_Materials_Recode_PK000372. Not a new recode; already posted.</t>
        </is>
      </c>
      <c r="L17" s="19" t="inlineStr">
        <is>
          <t>1 Spero rulings: A1 $15,100 73212-&gt;73601 (73603 alt); Aust Care PK000469-&gt;PK000496 $630. 2 GJ079210 + GJ076924 backups CLOSED 11-Jun-2026 (sighted, balanced, direction verified). 3 Vendor invoices for s4090230 standing orders (~$30,000). 4 Contracts vs the $20k floor: LCC-09-2022, Aust Care SO, Play Force. 5 Trace IPWEA $343.20 part-payment. 6 Confirm Anita Moore home service (OrgRisk invoice now corroborates Acting Parks Manager).</t>
        </is>
      </c>
      <c r="M17" s="19" t="inlineStr">
        <is>
          <t>NA73212_Evidence/ (8 files, hash-verified)</t>
        </is>
      </c>
      <c r="N17" s="19" t="inlineStr">
        <is>
          <t>n/a (candidates held, no recode staged)</t>
        </is>
      </c>
      <c r="O17" s="19" t="inlineStr">
        <is>
          <t>17-Jun-2026 (intake disposition)</t>
        </is>
      </c>
    </row>
    <row r="18" ht="168" customHeight="1" s="15">
      <c r="A18" s="19" t="inlineStr">
        <is>
          <t>73215</t>
        </is>
      </c>
      <c r="B18" s="19" t="inlineStr">
        <is>
          <t>Major Contracts - Partnership (Alliance)</t>
        </is>
      </c>
      <c r="C18" s="19" t="inlineStr">
        <is>
          <t>Full account: PK000366 svc20511 (3 invoices) + 2 zero split lines</t>
        </is>
      </c>
      <c r="D18" s="20" t="n">
        <v>4739</v>
      </c>
      <c r="E18" s="20" t="n">
        <v>5212.9</v>
      </c>
      <c r="F18" s="22" t="inlineStr">
        <is>
          <t>GREEN</t>
        </is>
      </c>
      <c r="G18" s="22" t="inlineStr">
        <is>
          <t>RED</t>
        </is>
      </c>
      <c r="H18" s="23" t="inlineStr">
        <is>
          <t>GREEN</t>
        </is>
      </c>
      <c r="I18" s="23" t="inlineStr">
        <is>
          <t>GREEN</t>
        </is>
      </c>
      <c r="J18" s="23" t="inlineStr">
        <is>
          <t>AMBER</t>
        </is>
      </c>
      <c r="K18" s="19" t="inlineStr">
        <is>
          <t>$4,739.00 of $4,739.00 (100%) miscoded into 73215, a RESTRICTED Alliance account (CEO approval required); none of the spend is Alliance partnership work. All 3 invoices SIGHTED 11-Jun-2026 and reconcile to the cent: TEC 3043 $2,340.00 (mow/brushcut Bromley St Cornubia, PAR/336K/2024), Austspray 155797 $900.00 (fenceline clean-up Yarrabilba), Austspray 157909 $1,499.00 (Frankland Ave infill planting). All on PK000366 General Landscape Improvement Fund, matching invoice PK refs. ABNs checksum PASS, ABR active + GST registered (TEC 11 600 627 343; Austspray 89 122 731 775); GST exact on all three. SE2 reconciles exact ($4,739.00). Recode candidate 73215 to 73126 Landscapers &amp; Gardeners, full-reversal, 3 pairs, nets $0.00; destination validates (pk_validator OK PK000366/20511/73126); source leg trips the 73215 restriction flag by design.</t>
        </is>
      </c>
      <c r="L18" s="19" t="inlineStr">
        <is>
          <t>1 Spero ruling on the 73215 to 73126 recode $4,739.00 (candidate held, un-instructed; restriction handling on the source leg to confirm). 2 Advisory: vendor masked by STANDING ORDER 24/25 narrations; invoices supply Tier 1.</t>
        </is>
      </c>
      <c r="M18" s="19" t="inlineStr">
        <is>
          <t>NA73215_Evidence/ (3 invoices + ledger extract, SHA-256 in NA73215_Evidence_Manifest.csv)</t>
        </is>
      </c>
      <c r="N18" s="19" t="inlineStr">
        <is>
          <t>n/a (candidate held, no recode staged)</t>
        </is>
      </c>
      <c r="O18" s="19" t="inlineStr">
        <is>
          <t>11-Jun-2026</t>
        </is>
      </c>
    </row>
    <row r="19" ht="137.25" customHeight="1" s="15">
      <c r="A19" s="19" t="inlineStr">
        <is>
          <t>73601</t>
        </is>
      </c>
      <c r="B19" s="19" t="inlineStr">
        <is>
          <t>Management Consultancies</t>
        </is>
      </c>
      <c r="C19" s="19" t="inlineStr">
        <is>
          <t>Full account: PK000087 svc20001 (single engagement, Org Risk Consulting)</t>
        </is>
      </c>
      <c r="D19" s="20" t="n">
        <v>46003.66</v>
      </c>
      <c r="E19" s="20" t="n">
        <v>50604.03</v>
      </c>
      <c r="F19" s="22" t="inlineStr">
        <is>
          <t>GREEN</t>
        </is>
      </c>
      <c r="G19" s="22" t="inlineStr">
        <is>
          <t>GREEN</t>
        </is>
      </c>
      <c r="H19" s="22" t="inlineStr">
        <is>
          <t>GREEN</t>
        </is>
      </c>
      <c r="I19" s="22" t="inlineStr">
        <is>
          <t>GREEN</t>
        </is>
      </c>
      <c r="J19" s="22" t="inlineStr">
        <is>
          <t>GREEN</t>
        </is>
      </c>
      <c r="K19" s="19" t="inlineStr">
        <is>
          <t>Full account parsed, 9 lines $46,003.66, reconciles to SE2 exact. Single engagement: Organisational Risk Consulting Pty Ltd, Parks Branch WHS Gap Analysis (Consultancy Agreement, T&amp;M, consultant Andrea Paynter, PO 711200/712924). 1 of 9 invoices sighted: INV-251010(2) $2,132.63 via GJ078546, GST $213.26 exact, $2,345.89 incl = GL x 1.1 exact; consultancy four-element test met on the face; 73601 correct. Invoice addressee corroborates Anita Moore as Acting Parks Manager (bears on her home-service confirmation). 8 invoices $43,871.03 UNSIGHTED (INV-250714, 250811-13, 250910-13): evidence and tax limbs AMBER per the evidence rule. Budget $45,000; $1,003.66 (2.2%) over. | 17-Jun MERGE: 8 Org Risk Consulting invoices sighted ($43,871.03 exact), ABN 27 651 588 662 PASS, GST exact; account 9 of 9, GREEN (ported from PR-8 reconciliation).</t>
        </is>
      </c>
      <c r="L19" s="19" t="inlineStr">
        <is>
          <t>1 Obtain the 8 Org Risk invoices ($43,871.03). 2 Run ABR/ASIC dossier on ABN 27 651 588 662 when the set lands. 3 Check engagement period vs the 12-month contractor cap (runs 30-Jul-2025 onward on sighted docs).</t>
        </is>
      </c>
      <c r="M19" s="19" t="inlineStr">
        <is>
          <t>NA73601_Evidence/ (INV-251010(2) + ledger extract); NA73601_Evidence_Manifest.csv (gap-listed)</t>
        </is>
      </c>
      <c r="N19" s="19" t="inlineStr">
        <is>
          <t>n/a (no recode expected; coding correct on sighted line)</t>
        </is>
      </c>
      <c r="O19" s="19" t="inlineStr">
        <is>
          <t>17-Jun-2026 (8 invoices sighted; GREEN)</t>
        </is>
      </c>
    </row>
    <row r="20" ht="157.5" customHeight="1" s="15">
      <c r="A20" s="19" t="inlineStr">
        <is>
          <t>73123</t>
        </is>
      </c>
      <c r="B20" s="19" t="inlineStr">
        <is>
          <t>Maintenance Services</t>
        </is>
      </c>
      <c r="C20" s="19" t="inlineStr">
        <is>
          <t>Full branch export received 11-Jun-2026 (3,776 lines); OPENED, not reconciled</t>
        </is>
      </c>
      <c r="D20" s="20" t="n">
        <v>0</v>
      </c>
      <c r="E20" s="20" t="n">
        <v>0</v>
      </c>
      <c r="F20" s="22" t="inlineStr">
        <is>
          <t>n/a</t>
        </is>
      </c>
      <c r="G20" s="22" t="inlineStr">
        <is>
          <t>n/a</t>
        </is>
      </c>
      <c r="H20" s="23" t="inlineStr">
        <is>
          <t>n/a</t>
        </is>
      </c>
      <c r="I20" s="23" t="inlineStr">
        <is>
          <t>n/a</t>
        </is>
      </c>
      <c r="J20" s="23" t="inlineStr">
        <is>
          <t>OPENED</t>
        </is>
      </c>
      <c r="K20" s="19" t="inlineStr">
        <is>
          <t>OPENED ONLY, no limb rated. Export sums $3,951,109.43 vs SE2 (8-Jun) $3,900,770.79: gap $50,338.64 unresolved (suspected export row duplication - 365 exact-duplicate rows $20,201.46, accrual legs appearing in triplicate - and/or 8-to-11-Jun P12 timing). Per session rule no conclusions until reconciled, so Reviewed-$ stays $0. Profile: AP $3,971,119.30 over 3,339 rows; GL net -$23,019.35 (self-reversing EOM accruals + 2 Pool Shop recodes out); top services 20392 $1,304,200 and 20481 $1,273,366 (65% of dollars); 12 no-attachment rows $321,060.51. GJ079210 condition-assessment legs ($79,418 pair) net zero inside the account, backup sighted. Known trap: 73123/73212 reclassification pair, read combined. Sub-extracts s4090210 ($2,985.97, small Depots preventative maintenance, plausibly clean) and s4090230 ($31,995.72) on hand.</t>
        </is>
      </c>
      <c r="L20" s="19" t="inlineStr">
        <is>
          <t>1 Resolve the $50,338.64 export-vs-SE2 gap (re-pull or P12 diff) BEFORE any line work. 2 Read jointly with 73212 (GJ076924 redistribution touches both). 3 Plan line review by service: 20392 and 20481 first.</t>
        </is>
      </c>
      <c r="M20" s="19" t="inlineStr">
        <is>
          <t>NA73123_Scope_Note.md; NA73123_Evidence/ (full + 2 section ledger extracts)</t>
        </is>
      </c>
      <c r="N20" s="19" t="inlineStr">
        <is>
          <t>n/a (not worked)</t>
        </is>
      </c>
      <c r="O20" s="19" t="inlineStr">
        <is>
          <t>11-Jun-2026 (opened)</t>
        </is>
      </c>
    </row>
    <row r="21" ht="126.75" customHeight="1" s="15">
      <c r="A21" s="19" t="inlineStr">
        <is>
          <t>73211</t>
        </is>
      </c>
      <c r="B21" s="19" t="inlineStr">
        <is>
          <t>Minor Contracts (below $20,000)</t>
        </is>
      </c>
      <c r="C21" s="19" t="inlineStr">
        <is>
          <t>Full account: 114 lines, 23 cost codes; section subsets verified (Natural Areas $116,963.24, Depots $23,626.58)</t>
        </is>
      </c>
      <c r="D21" s="20" t="n">
        <v>267532.19</v>
      </c>
      <c r="E21" s="20" t="n">
        <v>294285.41</v>
      </c>
      <c r="F21" s="23" t="inlineStr">
        <is>
          <t>AMBER</t>
        </is>
      </c>
      <c r="G21" s="23" t="inlineStr">
        <is>
          <t>AMBER</t>
        </is>
      </c>
      <c r="H21" s="23" t="inlineStr">
        <is>
          <t>AMBER</t>
        </is>
      </c>
      <c r="I21" s="23" t="inlineStr">
        <is>
          <t>AMBER</t>
        </is>
      </c>
      <c r="J21" s="23" t="inlineStr">
        <is>
          <t>AMBER</t>
        </is>
      </c>
      <c r="K21" s="19" t="inlineStr">
        <is>
          <t>Reconciles to SE2 to the cent at the established scope ($236,378.27). 17-Jun-2026 evidence pass: 14 source invoices sighted exact to GL on the x1.1 test (Lockwise 2906937/2908705, TBM 97461/583/626/780, T2 3222869/3223786, Easy Signs 698933AU/713170AU, T&amp;H Levai INV-38877, 9016, Australasia 34828, 00735), all 8 distinct vendor ABN checksums PASS, GST math clean (no GST errors). Ausecology INV-4029 $8,480 + INV-4030 $6,360 sighted but $450 residual in GJ078960 and vendor ABN not on invoice (NARROWED). Evidence sighted now $208,815.65 of $236,378.27 (88.3%), $223,655.65 (94.6%) incl Ausecology narrowed. | 17-Jun MERGE: refreshed to 120 lines $267,532.19 (+6 P12 lines from the 17-Jun re-export, +$31,153.92) and 16 outstanding invoices sighted (+$66,404.23; Lothian, TBM, Ausecology, T2 Electrical, IDM, Radio Logan, Treescape, T&amp;H Levai, Wildlife Qld) - ported from PR-8. | 17-Jun: Materials Journal intake closed two more evidence gaps - EWN INV-14768 ($375.00) and Wallum 00059013 ($276.80) now SIGHTED. Four gaps remain: Provac INV-00037183 ($2,050, no source), Telstra Dec-25 ($727.95, intake scan image-only), Wallum 00031055/79/85/86 ($1,668) and 00060617/47 ($493.40).</t>
        </is>
      </c>
      <c r="L21" s="19" t="inlineStr">
        <is>
          <t>Residual evidence GAP (~$5,505 quantified + EWN): small series 00059013/00031055/79/85/86/00060617/47 ($2,438.20), Provac INV-00037183 ($2,050), Telstra Dec-25 ($727.95), EWN INV-14768 (amount tbc); Ausecology $450 residual + vendor ABN. SCOPE: fresh 17-Jun export totals $267,532.19 vs register $236,378.27, delta $31,153.92 (suspected added P11/P12 lines incl 8 Org Risk Consulting WHS invoices INV-250714/811-813/910-913 present in intake but absent from 73211 ledger refs) - reconcile before changing scope. F1-F7 and candidate rulings still Spero's.</t>
        </is>
      </c>
      <c r="M21" s="19" t="inlineStr">
        <is>
          <t>02_NA73211_Minor_Contracts/ (verification record + 11-Jun + 17-Jun addenda; NA73211_Evidence/ 59 files; NA73211_Evidence_Manifest.csv; NA73211_EvidencePass_17-Jun-2026.csv)</t>
        </is>
      </c>
      <c r="N21" s="19" t="inlineStr">
        <is>
          <t>n/a (no recode staged; findings held un-instructed)</t>
        </is>
      </c>
      <c r="O21" s="19" t="inlineStr">
        <is>
          <t>17-Jun-2026 (intake disposition)</t>
        </is>
      </c>
    </row>
    <row r="22" ht="178.5" customHeight="1" s="15">
      <c r="A22" s="19" t="inlineStr">
        <is>
          <t>62121/62125</t>
        </is>
      </c>
      <c r="B22" s="19" t="inlineStr">
        <is>
          <t>Cemetery Revenue (Garside query)</t>
        </is>
      </c>
      <c r="C22" s="19" t="inlineStr">
        <is>
          <t>PK000400 pre-purchase lines 1-20446-62125 + related 62121 lines (svc 20446, 20131, 20453)</t>
        </is>
      </c>
      <c r="D22" s="20" t="n">
        <v>3711.73</v>
      </c>
      <c r="E22" s="20" t="n">
        <v>3867</v>
      </c>
      <c r="F22" s="23" t="inlineStr">
        <is>
          <t>AMBER</t>
        </is>
      </c>
      <c r="G22" s="22" t="inlineStr">
        <is>
          <t>GREEN</t>
        </is>
      </c>
      <c r="H22" s="23" t="inlineStr">
        <is>
          <t>AMBER</t>
        </is>
      </c>
      <c r="I22" s="23" t="inlineStr">
        <is>
          <t>AMBER</t>
        </is>
      </c>
      <c r="J22" s="23" t="inlineStr">
        <is>
          <t>AMBER</t>
        </is>
      </c>
      <c r="K22" s="19" t="inlineStr">
        <is>
          <t>Garside query (29-Aug-2025) already actioned in-ledger: GJ076150 (1-Sep-2025) reversed both PK000400 lines ($1,552.73 + $2,159.00 = $3,711.73) off 1-20446-62125. Five sighted documents reconcile to the cent; the King paper trail is closed (498178 charged GST in error, CN 140775 credited, 501999 reissued GST-correct: plot $3,493 GST-free + ashes interments $1,708 incl); CN 140799 Timmins plot-fee error cleared. GST treatment consistent across all five documents (plots GST-free, interments taxable); nil GST Errors Register entries. E incl GST is per-line ($1,552.73 x 1.1 = $1,708.00 taxable + $2,159.00 GST-free), not a blanket 1.1 uplift. Open: GJ076150 destination legs sit outside the supplied export; 20453/PK000440 burial fees 505970 ($2,812.73 SUSKI) and 506368 ($204.55 HALA'UFIA) unsighted. NA limb advisory only: the ashes interment component arguably sits closer to 62121 than 62125; immaterial to the recode.</t>
        </is>
      </c>
      <c r="L22" s="19" t="inlineStr">
        <is>
          <t>1 Pull the GJ076150 destination legs and confirm the receiving PK disburses to svc 20451 (the point of the query). 2 Sight invoices 505970 and 506368. 3 Spero scope call on the second revenue export (1-20151-62121 event fees, 56 lines, -$61,364.17, parsed and totalled only).</t>
        </is>
      </c>
      <c r="M22" s="19" t="inlineStr">
        <is>
          <t>03_Cemetery_Revenue_62121_62125/ (CEM_Verification_Record.md; Evidence/ 6 files incl the Garside email)</t>
        </is>
      </c>
      <c r="N22" s="19" t="inlineStr">
        <is>
          <t>n/a (correction already in-ledger via GJ076150)</t>
        </is>
      </c>
      <c r="O22" s="19" t="inlineStr">
        <is>
          <t>11-Jun-2026</t>
        </is>
      </c>
    </row>
    <row r="23" ht="126.75" customHeight="1" s="15">
      <c r="A23" s="19" t="inlineStr">
        <is>
          <t>7B532</t>
        </is>
      </c>
      <c r="B23" s="19" t="inlineStr">
        <is>
          <t>Internal - Spoils (Cemeteries)</t>
        </is>
      </c>
      <c r="C23" s="19" t="inlineStr">
        <is>
          <t>3 internal journal lines, 1-20451-7B532, PK000403</t>
        </is>
      </c>
      <c r="D23" s="20" t="n">
        <v>2944</v>
      </c>
      <c r="E23" s="20" t="n">
        <v>2944</v>
      </c>
      <c r="F23" s="22" t="inlineStr">
        <is>
          <t>GREEN</t>
        </is>
      </c>
      <c r="G23" s="22" t="inlineStr">
        <is>
          <t>GREEN</t>
        </is>
      </c>
      <c r="H23" s="23" t="inlineStr">
        <is>
          <t>AMBER</t>
        </is>
      </c>
      <c r="I23" s="24" t="inlineStr">
        <is>
          <t>n/a</t>
        </is>
      </c>
      <c r="J23" s="23" t="inlineStr">
        <is>
          <t>AMBER</t>
        </is>
      </c>
      <c r="K23" s="19" t="inlineStr">
        <is>
          <t>Rate established from evidence: $16 per unit (IJ073064 $480 = 30 units x $16 exact on the 16-Sep-2025 Bega Road sheet; the 28-Jul-2025 sheet's single 77-unit load x $16 = $1,232 exact). IJ073064 cleared GREEN; one IJ072723 $1,232 posting evidenced by the sheet; the identical second IJ072723 posting ($1,232, same reference, date and narration) is a probable duplicate over-charge to Cemeteries, supported by no sighted sheet. Held AMBER not RED: the narration week-ending field is corrupt ("Quarry Returns W/E 01-Jan-1900 Week 0"), so a weekly charge basis with a second 77-unit load that week cannot be excluded. E incl GST = ex-GST (internal charges, no GST uplift).</t>
        </is>
      </c>
      <c r="L23" s="19" t="inlineStr">
        <is>
          <t>1 Obtain the Bega Road sheets for the week 28-Jul-2025 to 3-Aug-2025 to resolve the probable $1,232 duplicate. 2 Raise the quarry-returns week-ending field corruption with the system owner (affects all 7B532 narrations).</t>
        </is>
      </c>
      <c r="M23" s="19" t="inlineStr">
        <is>
          <t>04_NA7B532_Internal_Spoils/ (NA7B532_Verification_Record.md; evidence manifest; 2 Bega Road sheets)</t>
        </is>
      </c>
      <c r="N23" s="19" t="inlineStr">
        <is>
          <t>n/a (no recode staged; duplicate unconfirmed)</t>
        </is>
      </c>
      <c r="O23" s="19" t="inlineStr">
        <is>
          <t>11-Jun-2026</t>
        </is>
      </c>
    </row>
    <row r="24" ht="116.25" customHeight="1" s="15">
      <c r="A24" s="19" t="inlineStr">
        <is>
          <t>7B214</t>
        </is>
      </c>
      <c r="B24" s="19" t="inlineStr">
        <is>
          <t>Internal - Maintenance Services</t>
        </is>
      </c>
      <c r="C24" s="19" t="inlineStr">
        <is>
          <t>3 internal journal lines (svc 20151, 20392, 20361)</t>
        </is>
      </c>
      <c r="D24" s="20" t="n">
        <v>7570.5</v>
      </c>
      <c r="E24" s="20" t="n">
        <v>7570.5</v>
      </c>
      <c r="F24" s="23" t="inlineStr">
        <is>
          <t>AMBER</t>
        </is>
      </c>
      <c r="G24" s="23" t="inlineStr">
        <is>
          <t>AMBER</t>
        </is>
      </c>
      <c r="H24" s="23" t="inlineStr">
        <is>
          <t>AMBER</t>
        </is>
      </c>
      <c r="I24" s="24" t="inlineStr">
        <is>
          <t>n/a</t>
        </is>
      </c>
      <c r="J24" s="23" t="inlineStr">
        <is>
          <t>AMBER</t>
        </is>
      </c>
      <c r="K24" s="19" t="inlineStr">
        <is>
          <t>IJ074028 Marsden rodent control $82.50 cleared on Tier 1 (CSL invoice sheet: half-hour treatment 3-Feb-2026, after-hours nil; Durant email 5-Feb-2026; internal oncharge passed through at invoice price, exact). Remaining $7,488 unsighted: IJ073869 Tully Memorial Park signage modification $3,600 (Transport Operations oncharge; classification query, reads closer to works than maintenance services, confirm on sighting) and IJ074845 DA/4574 backflow annual renewal notices DIV99 $3,888 (plausible 7B214 content; svc 20361 attribution to confirm). E incl GST = ex-GST (internal charges, no GST uplift).</t>
        </is>
      </c>
      <c r="L24" s="19" t="inlineStr">
        <is>
          <t>1 Obtain the Transport Operations oncharge backup for IJ073869 ($3,600). 2 Obtain DA/4574 for IJ074845 ($3,888) and confirm the svc 20361 attribution.</t>
        </is>
      </c>
      <c r="M24" s="19" t="inlineStr">
        <is>
          <t>05_NA7B214_Internal_Maintenance/ (NA7B214_Verification_Record.md; evidence manifest; CSL sheet + Durant email)</t>
        </is>
      </c>
      <c r="N24" s="19" t="inlineStr">
        <is>
          <t>n/a (no recode staged)</t>
        </is>
      </c>
      <c r="O24" s="19" t="inlineStr">
        <is>
          <t>11-Jun-2026</t>
        </is>
      </c>
    </row>
    <row r="25" ht="105.75" customHeight="1" s="15">
      <c r="A25" s="19" t="inlineStr">
        <is>
          <t>73541</t>
        </is>
      </c>
      <c r="B25" s="19" t="inlineStr">
        <is>
          <t>Conferences &amp; Seminar Fees</t>
        </is>
      </c>
      <c r="C25" s="19" t="inlineStr">
        <is>
          <t>6 lines net (svc 20641 PCard + closed recode and reversal pairs)</t>
        </is>
      </c>
      <c r="D25" s="20" t="n">
        <v>642.14</v>
      </c>
      <c r="E25" s="20" t="n">
        <v>706.35</v>
      </c>
      <c r="F25" s="22" t="inlineStr">
        <is>
          <t>GREEN</t>
        </is>
      </c>
      <c r="G25" s="22" t="inlineStr">
        <is>
          <t>GREEN</t>
        </is>
      </c>
      <c r="H25" s="23" t="inlineStr">
        <is>
          <t>AMBER</t>
        </is>
      </c>
      <c r="I25" s="23" t="inlineStr">
        <is>
          <t>AMBER</t>
        </is>
      </c>
      <c r="J25" s="23" t="inlineStr">
        <is>
          <t>AMBER</t>
        </is>
      </c>
      <c r="K25" s="19" t="inlineStr">
        <is>
          <t>TE004218 $6.05 Gold Coast parking miscode CLOSED: recoded to 73531 via GJ078933 (14-Apr-2026), pair nets $0.00, direction correct; this also closes the restored 3-Jun travel flag on TE004218. GJ075544 +/-$44.89 EOY 2024/25 AP reversal pair nets out; the Canungra accommodation content is an FY25 advisory (accommodation never belongs on 73541). Open: TE004922 Trailbuilders conference registration $626.48 unsighted (correct 73541 content on its face) plus a $15.66 international transaction fee, strictly a financing cost, immaterial, advisory only.</t>
        </is>
      </c>
      <c r="L25" s="19" t="inlineStr">
        <is>
          <t>1 Sight the Trailbuilders registration backup for TE004922 ($642.14 combined) on the PCard reconciliation.</t>
        </is>
      </c>
      <c r="M25" s="19" t="inlineStr">
        <is>
          <t>06_NA73541_Conferences/NA73541_Notes_and_Kinatico_Intake.md (none sighted)</t>
        </is>
      </c>
      <c r="N25" s="19" t="inlineStr">
        <is>
          <t>n/a (TE004218 recode already in-ledger via GJ078933)</t>
        </is>
      </c>
      <c r="O25" s="19" t="inlineStr">
        <is>
          <t>11-Jun-2026</t>
        </is>
      </c>
    </row>
    <row r="26" ht="15" customHeight="1" s="15">
      <c r="A26" s="19" t="inlineStr">
        <is>
          <t>73122</t>
        </is>
      </c>
      <c r="B26" s="19" t="inlineStr">
        <is>
          <t>Garbage Collection</t>
        </is>
      </c>
      <c r="C26" s="19" t="inlineStr">
        <is>
          <t>PK000001 svc20151 + PK000022 svc20392</t>
        </is>
      </c>
      <c r="D26" s="20" t="n">
        <v>21876.6</v>
      </c>
      <c r="E26" s="20" t="n">
        <v>24064.26</v>
      </c>
      <c r="F26" s="22" t="inlineStr">
        <is>
          <t>GREEN</t>
        </is>
      </c>
      <c r="G26" s="22" t="inlineStr">
        <is>
          <t>GREEN</t>
        </is>
      </c>
      <c r="H26" s="23" t="inlineStr">
        <is>
          <t>AMBER</t>
        </is>
      </c>
      <c r="I26" s="23" t="inlineStr">
        <is>
          <t>AMBER</t>
        </is>
      </c>
      <c r="J26" s="23" t="inlineStr">
        <is>
          <t>AMBER</t>
        </is>
      </c>
      <c r="K26" s="19" t="inlineStr">
        <is>
          <t>Cleanaway allocated garbage slice; coding correct, reconciles to SE2 $0.00. F1 5 of 9 months unsighted; F2 no Parks tax invoice by design; F3 EOM accrual nets $0.00; F4 ABN not sighted.</t>
        </is>
      </c>
      <c r="L26" s="19" t="inlineStr">
        <is>
          <t>4: Cleanaway statements Jul/Sep/Dec 2025; 7 monthly allocation journals; sight &amp; validate Cleanaway ABN; Sep GJ077308 attachment flag N.</t>
        </is>
      </c>
      <c r="M26" s="19" t="inlineStr">
        <is>
          <t>NA73122_Evidence/ + 4 council-wide Cleanaway statements fingerprinted in manifest</t>
        </is>
      </c>
      <c r="N26" s="19" t="inlineStr">
        <is>
          <t>NIL recode (coding correct)</t>
        </is>
      </c>
      <c r="O26" s="19" t="inlineStr">
        <is>
          <t>17-Jun-2026</t>
        </is>
      </c>
    </row>
    <row r="27" ht="15" customHeight="1" s="15">
      <c r="A27" s="19" t="inlineStr">
        <is>
          <t>7B213</t>
        </is>
      </c>
      <c r="B27" s="19" t="inlineStr">
        <is>
          <t>Internal - Medical Services (Immunisation)</t>
        </is>
      </c>
      <c r="C27" s="19" t="inlineStr">
        <is>
          <t>Whole-branch immunisation on NatAreas PK000432 (svc 20318); 70 lines P2-P12</t>
        </is>
      </c>
      <c r="D27" s="20" t="n">
        <v>4861.7</v>
      </c>
      <c r="E27" s="20" t="n">
        <v>4861.7</v>
      </c>
      <c r="F27" s="23" t="inlineStr">
        <is>
          <t>AMBER</t>
        </is>
      </c>
      <c r="G27" s="22" t="inlineStr">
        <is>
          <t>GREEN</t>
        </is>
      </c>
      <c r="H27" s="22" t="inlineStr">
        <is>
          <t>GREEN</t>
        </is>
      </c>
      <c r="I27" s="25" t="inlineStr">
        <is>
          <t>n/a</t>
        </is>
      </c>
      <c r="J27" s="23" t="inlineStr">
        <is>
          <t>AMBER</t>
        </is>
      </c>
      <c r="K27" s="19" t="inlineStr">
        <is>
          <t>Internal immunisation recharge, $4,861.70 ex-GST over 70 lines P2-P12, miscoded at PK level: Internal_Medical.XLSM 'Lookup Values' row 23 maps the whole 4090000 Parks branch to one ledger line PK000432-7B213 (svc 20318 Natural Areas), so every Parks employee's immunisation charge lands on Natural Areas regardless of section. Natural account 7B213 and the per-line amounts are not in dispute (L2 GREEN); the defect is Limb 1 PK attribution. Staged svc-PK split reallocates $3,799.50 over 17 pairs to home PKs (Park Maintenance PK000003/PK000012, Rangers PK000084, Trees PK000433, Park Services PK000435, NatAreas PK000431), nets $0.00, source PK000432 signed sum -$3,799.50, every pair passes pk_validator and the 40-char cap. Stays on PK000432: $541.30 (James Lloyd-Jones $338.30, Renee Hoyle $82.00 correct; Arno Schneider $121.00 held pending section). Off-branch (not Parks) $520.90 incl a $146.30 duplicate, cross-branch, needs Finance. Sonya Karlsson/Christian De Leon/Gregory Cavell are Spero-instructed placements (not on the roster). Internal account: no GST event, L4 n/a. SE2 reconciliation not yet performed; no account-level GREEN until it ties. | 18-Jun: EVIDENCE CITED. Parks 4090000 7B213 ledger export sighted - 70 lines reconcile $4,861.70 exact, all 11 source IJs match line-for-line; Internal Immunisation Services Journal (per-person/vaccine source) also held. Evidence limb GREEN. Tax limb n/a (internal charge).</t>
        </is>
      </c>
      <c r="L27" s="19" t="inlineStr">
        <is>
          <t>1 Supply Arno Schneider's section to add his pair to the recode. 2 Confirm whether Park Maintenance staff resolve to PK000012 vs PK000003 by substantive position. 3 Hand the off-branch SL reversal draft and the $146.30 duplicate query to Finance. 4 Fix Internal_Medical.XLSM row 23 to a per-section Parks lookup so the miscode stops recurring. 5 Sight the immunisation IJ backings (evidence GAP, all 70 lines unsighted). 6 Tie the export to SE2 to the cent.</t>
        </is>
      </c>
      <c r="M27" s="19" t="inlineStr">
        <is>
          <t>NA7B213_Verification_Record.md; NA7B213_GENJNL_Recode.txt; NA7B213_Employee_PK_Mapping.csv; NA7B213_Held_Items.md; NA7B213_Evidence/ (GAP, unsighted)</t>
        </is>
      </c>
      <c r="N27" s="19" t="inlineStr">
        <is>
          <t>CN-23167 (journal-ready, Spero; $3,799.50 svc-PK split, 17 pairs, nets $0.00)</t>
        </is>
      </c>
      <c r="O27" s="19" t="inlineStr">
        <is>
          <t>18-Jun-2026 (70 lines cited)</t>
        </is>
      </c>
    </row>
    <row r="28" ht="15" customHeight="1" s="15">
      <c r="C28" s="26" t="inlineStr">
        <is>
          <t>TOTAL reviewed $ (this register)</t>
        </is>
      </c>
      <c r="D28" s="27">
        <f>SUM(D5:D27)</f>
        <v/>
      </c>
      <c r="E28" s="27">
        <f>SUM(E5:E27)</f>
        <v/>
      </c>
    </row>
  </sheetData>
  <mergeCells count="2">
    <mergeCell ref="A1:O1"/>
    <mergeCell ref="A2:O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2026-06-08T22:42:49Z</dcterms:created>
  <dcterms:modified xsi:type="dcterms:W3CDTF">2026-06-17T22:59:23Z</dcterms:modified>
  <cp:revision>0</cp:revision>
</cp:coreProperties>
</file>