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<sst xmlns="http://schemas.openxmlformats.org/spreadsheetml/2006/main" count="304" uniqueCount="183">
  <si>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</si>
  <si>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</si>
  <si>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</si>
  <si>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</si>
  <si>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</si>
  <si>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</si>
  <si>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</si>
  <si>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</si>
  <si>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</si>
  <si>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</si>
  <si>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</si>
  <si>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</si>
  <si>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</si>
  <si>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</si>
  <si>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</si>
  <si>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</si>
  <si>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</si>
  <si>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</si>
  <si>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</si>
  <si>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</si>
  <si>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</si>
  <si>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</si>
  <si>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</si>
  <si>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</si>
  <si>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</si>
  <si>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</si>
  <si>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</si>
  <si>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</si>
  <si>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</si>
  <si>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</si>
  <si>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</si>
  <si>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</si>
  <si>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</si>
  <si>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</si>
  <si>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</si>
  <si>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</si>
  <si>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</si>
  <si>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</si>
  <si>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</si>
  <si>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</si>
  <si>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</si>
  <si>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</si>
  <si>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</si>
  <si>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</si>
  <si>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</si>
  <si>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</si>
  <si>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</si>
  <si>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</si>
  <si>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</si>
  <si>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</si>
  <si>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</si>
  <si>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</si>
  <si>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</si>
  <si>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</si>
  <si>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</si>
  <si>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</si>
  <si>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</si>
  <si>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</si>
  <si>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</si>
  <si>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</si>
  <si>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</si>
  <si>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</si>
  <si>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</si>
  <si>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</si>
  <si>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</si>
  <si>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</si>
  <si>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</t>
  </si>
  <si>
    <t xml:space="preserve">1 Sight a sample of CV Check AP invoices to confirm evidence and tax limbs. 2 On sighting, clear to GREEN (no recode expected). 3 Pull the FY26 73140 ledger extract and match the five held Kinatico invoices by month and amount before any limb moves.</t>
  </si>
  <si>
    <t xml:space="preserve">3-Jun review queue finding (no deliverable bundle this pass); 07_Intake_Held_Kinatico/ (5 Kinatico invoices, canonically renamed, held unapplied)</t>
  </si>
  <si>
    <t xml:space="preserve">n/a (no recode)</t>
  </si>
  <si>
    <t xml:space="preserve">9-Jun-2026 (Kinatico intake held 11-Jun-2026)</t>
  </si>
  <si>
    <t xml:space="preserve">73511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</si>
  <si>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</si>
  <si>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</si>
  <si>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</si>
  <si>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</si>
  <si>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</si>
  <si>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</si>
  <si>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</si>
  <si>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73128</t>
  </si>
  <si>
    <t xml:space="preserve">Other services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</si>
  <si>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</si>
  <si>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</si>
  <si>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</si>
  <si>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</si>
  <si>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</si>
  <si>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73433</t>
  </si>
  <si>
    <t xml:space="preserve">Other Fees &amp; Charges</t>
  </si>
  <si>
    <t xml:space="preserve">Two lines: QUT parking PK000087 svc20001 + blue card recode-in PK000075 svc20411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</si>
  <si>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</si>
  <si>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</si>
  <si>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</si>
  <si>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</si>
  <si>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73512</t>
  </si>
  <si>
    <t xml:space="preserve">Entertainment &amp; Hospitality Non-FBT</t>
  </si>
  <si>
    <t xml:space="preserve">122 lines, 7 svc codes; volunteer reimbursements + FBT batch micro-lines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</si>
  <si>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</si>
  <si>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</si>
  <si>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</si>
  <si>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73544</t>
  </si>
  <si>
    <t xml:space="preserve">Training &amp; Development</t>
  </si>
  <si>
    <t xml:space="preserve">Full account: 41 lines, $69,232.16; 17 vendor docs + back-charges intake sighted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</si>
  <si>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</si>
  <si>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</si>
  <si>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</si>
  <si>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</si>
  <si>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11-Jun-2026</t>
  </si>
  <si>
    <t xml:space="preserve">73212</t>
  </si>
  <si>
    <t xml:space="preserve">Major Contracts (3 section exports)</t>
  </si>
  <si>
    <t xml:space="preserve">Water Parks svc20802 $900 + Design&amp;Capital svc20191 $15,100 + s4090230 $38,242.75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</si>
  <si>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</si>
  <si>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</si>
  <si>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</si>
  <si>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</si>
  <si>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73215</t>
  </si>
  <si>
    <t xml:space="preserve">Major Contracts - Partnership (Alliance)</t>
  </si>
  <si>
    <t xml:space="preserve">Full account: PK000366 svc20511 (3 invoices) + 2 zero split lines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</si>
  <si>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</si>
  <si>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</si>
  <si>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</si>
  <si>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</si>
  <si>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73601</t>
  </si>
  <si>
    <t xml:space="preserve">Management Consultancies</t>
  </si>
  <si>
    <t xml:space="preserve">Full account: PK000087 svc20001 (single engagement, Org Risk Consulting)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</si>
  <si>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EVIDENCE CLOSED 16-Jun-2026: the eight outstanding Organisational Risk Consulting weekly invoices (INV-250714/250811/250812/250813/250910/250911/250912/250913) are sighted in the 17-Jun intake, summing to $43,871.03 exact against the GAP; ABN 27 651 588 662 checksum PASS, GST disclosed = ex x 0.1 and incl = ex x 1.1 on every invoice. With L03 already sighted the account is 9 of 9 invoices, $46,003.66 reconciled to the cent. L3 Evidence and L4 Tax move to GREEN; account is now GREEN.</t>
  </si>
  <si>
    <t xml:space="preserve">Account fully evidenced and reconciled; no open actions. (Prior 8-invoice GAP closed 16-Jun-2026.)</t>
  </si>
  <si>
    <t xml:space="preserve">NA73601_Evidence/ (9 of 9 invoices sighted; ledger extract); NA73601_Evidence_Manifest.csv</t>
  </si>
  <si>
    <t xml:space="preserve">n/a (no recode expected; coding correct on sighted line)</t>
  </si>
  <si>
    <t xml:space="preserve">16-Jun-2026 (8 invoices sighted; account GREEN)</t>
  </si>
  <si>
    <t xml:space="preserve">73123</t>
  </si>
  <si>
    <t xml:space="preserve">Maintenance Services</t>
  </si>
  <si>
    <t xml:space="preserve">Full branch export received 11-Jun-2026 (3,776 lines); OPENED, not reconciled</t>
  </si>
  <si>
    <t xml:space="preserve">n/a</t>
  </si>
  <si>
    <t xml:space="preserve">OPENED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</si>
  <si>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</si>
  <si>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</si>
  <si>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</si>
  <si>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</si>
  <si>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</si>
  <si>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73211</t>
  </si>
  <si>
    <t xml:space="preserve">Minor Contracts (below $20,000)</t>
  </si>
  <si>
    <t xml:space="preserve">Full account: 114 lines, 23 cost codes; section subsets verified (Natural Areas $116,963.24, Depots $23,626.58)</t>
  </si>
  <si>
    <t xml:space="preserve">Reconciles to SE2 to the cent ($236,378.27, variance $0.00). Six findings: F1 $5,635 double-posted to PK000022 (GJ079190 duplicates GJ079210; phantom -$5,635 credit on 20392/PK000511; both narrated "Timber Treatment (PK000510)", describing neither); F2 ~$98,005 above-threshold contract spend, 73212 candidates (LCC31326 $25,848.08; Destination Trails series $43,114; Chronicle series $29,042.45); F3 training/equipment on a contracts account (PRINCE2 $2,440 to 73544; GJ078546 legs PSIA $4,300 + IPWEA $2,788 + chair $370.05 to 72313, destinations unverified); F4 GJ078546 $11,098.91 consultancy reversal destination unverified, plus Provac $2,050 grave-dig plant hire inbound query; F5 SC10918 -$154 plaque credit on Depots PK000001 (cemeteries item); F6 advisory $0.01 RL195364 variance line. No line carries sighted Tier 1 evidence (attachment flags are not sighting); no recode dollar populated, no GENJNL (un-instructed). 11-Jun-2026 intake C00228240: 43 evidence documents sighted and filed, $157,051.42 of $236,378.27 (66.4%) now evidenced, every document exact to its GL line on the x1.1 test; 18 ABN checksums PASS; INCON ABR sighted (active, GST registered, Edenstone name matches; young-entity NOTE). F5 (SC10918 scrap credit) and F6 ($0.01 = Empire GST rounding cent) CLOSED. F1 enriched: Gihani 6-May-2026 email instructs PK000510 to PK000023 and PK000511 to PK000022; both GJ079190/GJ079210 posted to PK000022, so GJ079190 is the 510 batch misposted or a duplicate - ruling now includes the correct re-post destination. NEW F7: TE004838 Message Media $242.40 posted 1-20241-73211 against a cover slip coding PK000055-73212. New classification candidates: Firesight $12,800 to 73601 (consultancy test reads met); Chronicle INV-0868 $5,812.45 software to 73566; Tennyson 27168 $1,058 signage to 72222; SC10918 scrap income to 64411; Telstra series $9,237.48 telecoms query; INCON $25,848.08 is materials supply not contract services. RE-EXPORT 16-Jun-2026 (ledger dated 17-Jun): account refreshed from 114 lines $236,378.27 to 120 lines $267,532.19. The prior 114 lines are unchanged; 6 new P12 lines add $31,153.92 (INV-0356 Destination Trails $24,340.00 plus five standing-order lines: 00031242 $3,665, INV-1407 $1,541.82, 00031269 $1,083, 00001168 $400, 00061080 $124.10). The 6 new lines and ~30 supporting documents received this session (AP coversheets, Document Reconstructions, FBT/GST correction working, P6 accruals, two journal .msg emails) are archived raw in _Sources_16-Jun-2026/NA73211_ReExport_17-Jun/ and NOT yet worked; the 6 lines sit PENDING in the listing, evidence and tax limbs unmoved. EVIDENCE 16-Jun-2026: 16 of the outstanding invoices are sighted from the 17-Jun intake (Lothian 2906937 $10,200 and 2908705 $17,000; TrailBuilders TBM 00097461/583/626/780; Ausecology INV-4029 $8,480 and INV-4030 $6,360; T2 Electrical 3222869/3223786; IDM 698933AU/713170AU; Radio Logan 9016; Treescape 34828; T&amp;H Levai INV-38877; Wildlife Qld 00735), +$66,404.23, all ABNs checksum PASS and GST exact. Six GAPs remain (Provac INV-00037183 $2,050, Telstra Dec-25 $727.95, EWN INV-14768, standing orders 00059013/00031055.../00060617...) plus the 6 new P12 lines unworked; Blackout catering inv 5468 received, an NA-classification candidate (73511/73512), held. L3 Evidence stays AMBER on the residue.</t>
  </si>
  <si>
    <t xml:space="preserve">1 Spero instruction on F1 GJ079190 (reversal, and whether the 510 batch re-posts to PK000023 per the Gihani email). 2 Spero rulings on the candidate set: F2 contract-floor recodes; F3 training/chair destinations (PSIA, IPWEA, DDLS, Empire now evidenced); Firesight 73601; Chronicle 73566/survey; Tennyson 72222; SC10918 64411 + cemeteries attribution; TE004838 (F7); Telstra telecoms; INCON materials. 3 Obtain the residual gap list (manifest GAP rows): 2906937 $10,200; 2908705 $17,000; TBM x4 $15,604.11; Ausecology INV-4029/4030 $14,840; Provac INV-00037183 $2,050; Telstra Dec-25 $727.95; T2 3222869/3223786 $1,820; 698933AU/713170AU $2,433.44; EWN INV-14768; 9016 $1,710; 00735 $200; 34828 $546.68; INV-38877 $2,250; 00059013/00031xxx/00060xxx series $2,438.20. 4 ABR sightings queue (17 suppliers). 5 IPWEA $343.20 part-payment posting trace ($312.00 ex + $31.20 GST).</t>
  </si>
  <si>
    <t xml:space="preserve">02_NA73211_Minor_Contracts/ (verification record + addendum; NA73211_Evidence/ 43 files, SHA-256 manifest with GAP rows; Related/ Gihani F1 email, DocRecon, T2 email, FBT 73511 source workbook)</t>
  </si>
  <si>
    <t xml:space="preserve">n/a (no recode staged; findings held un-instructed)</t>
  </si>
  <si>
    <t xml:space="preserve">16-Jun-2026 (re-export 17-Jun: +6 P12 lines, +$31,153.92)</t>
  </si>
  <si>
    <t xml:space="preserve">62121/62125</t>
  </si>
  <si>
    <t xml:space="preserve">Cemetery Revenue (Garside query)</t>
  </si>
  <si>
    <t xml:space="preserve">PK000400 pre-purchase lines 1-20446-62125 + related 62121 lines (svc 20446, 20131, 20453)</t>
  </si>
  <si>
    <t xml:space="preserve"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</si>
  <si>
    <t xml:space="preserve"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</si>
  <si>
    <t xml:space="preserve">03_Cemetery_Revenue_62121_62125/ (CEM_Verification_Record.md; Evidence/ 6 files incl the Garside email)</t>
  </si>
  <si>
    <t xml:space="preserve">n/a (correction already in-ledger via GJ076150)</t>
  </si>
  <si>
    <t xml:space="preserve">7B532</t>
  </si>
  <si>
    <t xml:space="preserve">Internal - Spoils (Cemeteries)</t>
  </si>
  <si>
    <t xml:space="preserve">3 internal journal lines, 1-20451-7B532, PK000403</t>
  </si>
  <si>
    <t xml:space="preserve"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</si>
  <si>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</si>
  <si>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(NA7B532_Verification_Record.md; evidence manifest; 2 Bega Road sheets)</t>
  </si>
  <si>
    <t xml:space="preserve">n/a (no recode staged; duplicate unconfirmed)</t>
  </si>
  <si>
    <t xml:space="preserve">7B214</t>
  </si>
  <si>
    <t xml:space="preserve">Internal - Maintenance Services</t>
  </si>
  <si>
    <t xml:space="preserve">3 internal journal lines (svc 20151, 20392, 20361)</t>
  </si>
  <si>
    <t xml:space="preserve"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</si>
  <si>
    <t xml:space="preserve">1 Obtain the Transport Operations oncharge backup for IJ073869 ($3,600). 2 Obtain DA/4574 for IJ074845 ($3,888) and confirm the svc 20361 attribution.</t>
  </si>
  <si>
    <t xml:space="preserve">05_NA7B214_Internal_Maintenance/ (NA7B214_Verification_Record.md; evidence manifest; CSL sheet + Durant email)</t>
  </si>
  <si>
    <t xml:space="preserve">73541</t>
  </si>
  <si>
    <t xml:space="preserve">Conferences &amp; Seminar Fees</t>
  </si>
  <si>
    <t xml:space="preserve">6 lines net (svc 20641 PCard + closed recode and reversal pairs)</t>
  </si>
  <si>
    <t xml:space="preserve"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</si>
  <si>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</si>
  <si>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</si>
  <si>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</si>
  <si>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7B213</t>
  </si>
  <si>
    <t xml:space="preserve">Internal - Medical Services (Immunisation)</t>
  </si>
  <si>
    <t xml:space="preserve">Whole-branch immunisation on NatAreas PK000432 (svc 20318); 70 lines P2-P12</t>
  </si>
  <si>
    <t xml:space="preserve"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</t>
  </si>
  <si>
    <t xml:space="preserve"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</si>
  <si>
    <t xml:space="preserve">NA7B213_Verification_Record.md; NA7B213_GENJNL_Recode.txt; NA7B213_Employee_PK_Mapping.csv; NA7B213_Held_Items.md; NA7B213_Evidence/ (GAP, unsighted)</t>
  </si>
  <si>
    <t xml:space="preserve">CN-23167 (journal-ready, Spero; $3,799.50 svc-PK split, 17 pairs, nets $0.00)</t>
  </si>
  <si>
    <t xml:space="preserve">16-Jun-2026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</si>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</sst>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29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70</v>
      </c>
    </row>
    <row r="12" customFormat="false" ht="15" hidden="false" customHeight="true" outlineLevel="0" collapsed="false">
      <c r="A12" s="5" t="s">
        <v>71</v>
      </c>
      <c r="B12" s="5" t="s">
        <v>72</v>
      </c>
      <c r="C12" s="5" t="s">
        <v>73</v>
      </c>
      <c r="D12" s="6" t="n">
        <v>5384.57</v>
      </c>
      <c r="E12" s="6" t="n">
        <v>5923.03</v>
      </c>
      <c r="F12" s="8" t="s">
        <v>20</v>
      </c>
      <c r="G12" s="8" t="s">
        <v>20</v>
      </c>
      <c r="H12" s="9" t="s">
        <v>20</v>
      </c>
      <c r="I12" s="9" t="s">
        <v>20</v>
      </c>
      <c r="J12" s="9" t="s">
        <v>20</v>
      </c>
      <c r="K12" s="5" t="s">
        <v>74</v>
      </c>
      <c r="L12" s="5" t="s">
        <v>75</v>
      </c>
      <c r="M12" s="5" t="s">
        <v>76</v>
      </c>
      <c r="N12" s="5" t="s">
        <v>77</v>
      </c>
      <c r="O12" s="5" t="s">
        <v>78</v>
      </c>
    </row>
    <row r="13" customFormat="false" ht="137.25" hidden="false" customHeight="true" outlineLevel="0" collapsed="false">
      <c r="A13" s="5" t="s">
        <v>79</v>
      </c>
      <c r="B13" s="5" t="s">
        <v>80</v>
      </c>
      <c r="C13" s="5" t="s">
        <v>81</v>
      </c>
      <c r="D13" s="6" t="n">
        <v>1854.7</v>
      </c>
      <c r="E13" s="6" t="n">
        <v>1915.81</v>
      </c>
      <c r="F13" s="8" t="s">
        <v>29</v>
      </c>
      <c r="G13" s="8" t="s">
        <v>30</v>
      </c>
      <c r="H13" s="9" t="s">
        <v>29</v>
      </c>
      <c r="I13" s="9" t="s">
        <v>29</v>
      </c>
      <c r="J13" s="9" t="s">
        <v>20</v>
      </c>
      <c r="K13" s="5" t="s">
        <v>82</v>
      </c>
      <c r="L13" s="5" t="s">
        <v>83</v>
      </c>
      <c r="M13" s="5" t="s">
        <v>84</v>
      </c>
      <c r="N13" s="5" t="s">
        <v>85</v>
      </c>
      <c r="O13" s="5" t="s">
        <v>78</v>
      </c>
    </row>
    <row r="14" customFormat="false" ht="15" hidden="false" customHeight="true" outlineLevel="0" collapsed="false">
      <c r="A14" s="5" t="s">
        <v>86</v>
      </c>
      <c r="B14" s="5" t="s">
        <v>87</v>
      </c>
      <c r="C14" s="5" t="s">
        <v>88</v>
      </c>
      <c r="D14" s="6" t="n">
        <v>139.25</v>
      </c>
      <c r="E14" s="6" t="n">
        <v>153.18</v>
      </c>
      <c r="F14" s="8" t="s">
        <v>20</v>
      </c>
      <c r="G14" s="8" t="s">
        <v>30</v>
      </c>
      <c r="H14" s="9" t="s">
        <v>20</v>
      </c>
      <c r="I14" s="9" t="s">
        <v>20</v>
      </c>
      <c r="J14" s="9" t="s">
        <v>20</v>
      </c>
      <c r="K14" s="5" t="s">
        <v>89</v>
      </c>
      <c r="L14" s="5" t="s">
        <v>90</v>
      </c>
      <c r="M14" s="5" t="s">
        <v>91</v>
      </c>
      <c r="N14" s="5" t="s">
        <v>92</v>
      </c>
      <c r="O14" s="5" t="s">
        <v>78</v>
      </c>
    </row>
    <row r="15" customFormat="false" ht="53.25" hidden="false" customHeight="true" outlineLevel="0" collapsed="false">
      <c r="A15" s="5" t="s">
        <v>93</v>
      </c>
      <c r="B15" s="5" t="s">
        <v>94</v>
      </c>
      <c r="C15" s="5" t="s">
        <v>95</v>
      </c>
      <c r="D15" s="6" t="n">
        <v>5520.97</v>
      </c>
      <c r="E15" s="6" t="n">
        <v>6073.07</v>
      </c>
      <c r="F15" s="8" t="s">
        <v>20</v>
      </c>
      <c r="G15" s="8" t="s">
        <v>20</v>
      </c>
      <c r="H15" s="9" t="s">
        <v>20</v>
      </c>
      <c r="I15" s="9" t="s">
        <v>20</v>
      </c>
      <c r="J15" s="9" t="s">
        <v>20</v>
      </c>
      <c r="K15" s="5" t="s">
        <v>96</v>
      </c>
      <c r="L15" s="5" t="s">
        <v>97</v>
      </c>
      <c r="M15" s="5" t="s">
        <v>98</v>
      </c>
      <c r="N15" s="5" t="s">
        <v>77</v>
      </c>
      <c r="O15" s="5" t="s">
        <v>78</v>
      </c>
    </row>
    <row r="16" customFormat="false" ht="137.25" hidden="false" customHeight="true" outlineLevel="0" collapsed="false">
      <c r="A16" s="5" t="s">
        <v>99</v>
      </c>
      <c r="B16" s="5" t="s">
        <v>100</v>
      </c>
      <c r="C16" s="5" t="s">
        <v>101</v>
      </c>
      <c r="D16" s="6" t="n">
        <v>69232.16</v>
      </c>
      <c r="E16" s="6" t="n">
        <v>76155.38</v>
      </c>
      <c r="F16" s="8" t="s">
        <v>20</v>
      </c>
      <c r="G16" s="8" t="s">
        <v>20</v>
      </c>
      <c r="H16" s="9" t="s">
        <v>20</v>
      </c>
      <c r="I16" s="9" t="s">
        <v>20</v>
      </c>
      <c r="J16" s="9" t="s">
        <v>20</v>
      </c>
      <c r="K16" s="5" t="s">
        <v>102</v>
      </c>
      <c r="L16" s="5" t="s">
        <v>103</v>
      </c>
      <c r="M16" s="5" t="s">
        <v>104</v>
      </c>
      <c r="N16" s="5" t="s">
        <v>105</v>
      </c>
      <c r="O16" s="5" t="s">
        <v>106</v>
      </c>
    </row>
    <row r="17" customFormat="false" ht="116.25" hidden="false" customHeight="true" outlineLevel="0" collapsed="false">
      <c r="A17" s="5" t="s">
        <v>107</v>
      </c>
      <c r="B17" s="5" t="s">
        <v>108</v>
      </c>
      <c r="C17" s="5" t="s">
        <v>109</v>
      </c>
      <c r="D17" s="6" t="n">
        <v>54242.75</v>
      </c>
      <c r="E17" s="6" t="n">
        <v>59667.03</v>
      </c>
      <c r="F17" s="8" t="s">
        <v>20</v>
      </c>
      <c r="G17" s="8" t="s">
        <v>30</v>
      </c>
      <c r="H17" s="9" t="s">
        <v>20</v>
      </c>
      <c r="I17" s="9" t="s">
        <v>20</v>
      </c>
      <c r="J17" s="9" t="s">
        <v>20</v>
      </c>
      <c r="K17" s="5" t="s">
        <v>110</v>
      </c>
      <c r="L17" s="5" t="s">
        <v>111</v>
      </c>
      <c r="M17" s="5" t="s">
        <v>112</v>
      </c>
      <c r="N17" s="5" t="s">
        <v>113</v>
      </c>
      <c r="O17" s="5" t="s">
        <v>78</v>
      </c>
    </row>
    <row r="18" customFormat="false" ht="126.75" hidden="false" customHeight="true" outlineLevel="0" collapsed="false">
      <c r="A18" s="5" t="s">
        <v>114</v>
      </c>
      <c r="B18" s="5" t="s">
        <v>115</v>
      </c>
      <c r="C18" s="5" t="s">
        <v>116</v>
      </c>
      <c r="D18" s="6" t="n">
        <v>4739</v>
      </c>
      <c r="E18" s="6" t="n">
        <v>5212.9</v>
      </c>
      <c r="F18" s="8" t="s">
        <v>29</v>
      </c>
      <c r="G18" s="8" t="s">
        <v>30</v>
      </c>
      <c r="H18" s="9" t="s">
        <v>29</v>
      </c>
      <c r="I18" s="9" t="s">
        <v>29</v>
      </c>
      <c r="J18" s="9" t="s">
        <v>20</v>
      </c>
      <c r="K18" s="5" t="s">
        <v>117</v>
      </c>
      <c r="L18" s="5" t="s">
        <v>118</v>
      </c>
      <c r="M18" s="5" t="s">
        <v>119</v>
      </c>
      <c r="N18" s="5" t="s">
        <v>120</v>
      </c>
      <c r="O18" s="5" t="s">
        <v>106</v>
      </c>
    </row>
    <row r="19" customFormat="false" ht="105.75" hidden="false" customHeight="true" outlineLevel="0" collapsed="false">
      <c r="A19" s="5" t="s">
        <v>121</v>
      </c>
      <c r="B19" s="5" t="s">
        <v>122</v>
      </c>
      <c r="C19" s="5" t="s">
        <v>123</v>
      </c>
      <c r="D19" s="6" t="n">
        <v>46003.66</v>
      </c>
      <c r="E19" s="6" t="n">
        <v>50604.03</v>
      </c>
      <c r="F19" s="8" t="s">
        <v>29</v>
      </c>
      <c r="G19" s="8" t="s">
        <v>29</v>
      </c>
      <c r="H19" s="8" t="s">
        <v>29</v>
      </c>
      <c r="I19" s="8" t="s">
        <v>29</v>
      </c>
      <c r="J19" s="8" t="s">
        <v>29</v>
      </c>
      <c r="K19" s="5" t="s">
        <v>124</v>
      </c>
      <c r="L19" s="5" t="s">
        <v>125</v>
      </c>
      <c r="M19" s="5" t="s">
        <v>126</v>
      </c>
      <c r="N19" s="5" t="s">
        <v>127</v>
      </c>
      <c r="O19" s="5" t="s">
        <v>128</v>
      </c>
    </row>
    <row r="20" customFormat="false" ht="126.75" hidden="false" customHeight="true" outlineLevel="0" collapsed="false">
      <c r="A20" s="5" t="s">
        <v>129</v>
      </c>
      <c r="B20" s="5" t="s">
        <v>130</v>
      </c>
      <c r="C20" s="5" t="s">
        <v>131</v>
      </c>
      <c r="D20" s="6" t="n">
        <v>0</v>
      </c>
      <c r="E20" s="6" t="n">
        <v>0</v>
      </c>
      <c r="F20" s="8" t="s">
        <v>132</v>
      </c>
      <c r="G20" s="8" t="s">
        <v>132</v>
      </c>
      <c r="H20" s="9" t="s">
        <v>132</v>
      </c>
      <c r="I20" s="9" t="s">
        <v>132</v>
      </c>
      <c r="J20" s="9" t="s">
        <v>133</v>
      </c>
      <c r="K20" s="5" t="s">
        <v>134</v>
      </c>
      <c r="L20" s="5" t="s">
        <v>135</v>
      </c>
      <c r="M20" s="5" t="s">
        <v>136</v>
      </c>
      <c r="N20" s="5" t="s">
        <v>137</v>
      </c>
      <c r="O20" s="5" t="s">
        <v>138</v>
      </c>
    </row>
    <row r="21" customFormat="false" ht="294" hidden="false" customHeight="true" outlineLevel="0" collapsed="false">
      <c r="A21" s="5" t="s">
        <v>139</v>
      </c>
      <c r="B21" s="5" t="s">
        <v>140</v>
      </c>
      <c r="C21" s="5" t="s">
        <v>141</v>
      </c>
      <c r="D21" s="6" t="n">
        <v>267532.19</v>
      </c>
      <c r="E21" s="6" t="n">
        <v>294285.41</v>
      </c>
      <c r="F21" s="9" t="s">
        <v>20</v>
      </c>
      <c r="G21" s="9" t="s">
        <v>20</v>
      </c>
      <c r="H21" s="9" t="s">
        <v>20</v>
      </c>
      <c r="I21" s="9" t="s">
        <v>20</v>
      </c>
      <c r="J21" s="9" t="s">
        <v>20</v>
      </c>
      <c r="K21" s="5" t="s">
        <v>142</v>
      </c>
      <c r="L21" s="5" t="s">
        <v>143</v>
      </c>
      <c r="M21" s="5" t="s">
        <v>144</v>
      </c>
      <c r="N21" s="5" t="s">
        <v>145</v>
      </c>
      <c r="O21" s="5" t="s">
        <v>146</v>
      </c>
    </row>
    <row r="22" customFormat="false" ht="137.25" hidden="false" customHeight="true" outlineLevel="0" collapsed="false">
      <c r="A22" s="5" t="s">
        <v>147</v>
      </c>
      <c r="B22" s="5" t="s">
        <v>148</v>
      </c>
      <c r="C22" s="5" t="s">
        <v>149</v>
      </c>
      <c r="D22" s="6" t="n">
        <v>3711.73</v>
      </c>
      <c r="E22" s="6" t="n">
        <v>3867</v>
      </c>
      <c r="F22" s="9" t="s">
        <v>20</v>
      </c>
      <c r="G22" s="8" t="s">
        <v>29</v>
      </c>
      <c r="H22" s="9" t="s">
        <v>20</v>
      </c>
      <c r="I22" s="9" t="s">
        <v>20</v>
      </c>
      <c r="J22" s="9" t="s">
        <v>20</v>
      </c>
      <c r="K22" s="5" t="s">
        <v>150</v>
      </c>
      <c r="L22" s="5" t="s">
        <v>151</v>
      </c>
      <c r="M22" s="5" t="s">
        <v>152</v>
      </c>
      <c r="N22" s="5" t="s">
        <v>153</v>
      </c>
      <c r="O22" s="5" t="s">
        <v>106</v>
      </c>
    </row>
    <row r="23" customFormat="false" ht="105.75" hidden="false" customHeight="true" outlineLevel="0" collapsed="false">
      <c r="A23" s="5" t="s">
        <v>154</v>
      </c>
      <c r="B23" s="5" t="s">
        <v>155</v>
      </c>
      <c r="C23" s="5" t="s">
        <v>156</v>
      </c>
      <c r="D23" s="6" t="n">
        <v>2944</v>
      </c>
      <c r="E23" s="6" t="n">
        <v>2944</v>
      </c>
      <c r="F23" s="8" t="s">
        <v>29</v>
      </c>
      <c r="G23" s="8" t="s">
        <v>29</v>
      </c>
      <c r="H23" s="9" t="s">
        <v>20</v>
      </c>
      <c r="I23" s="10" t="s">
        <v>132</v>
      </c>
      <c r="J23" s="9" t="s">
        <v>20</v>
      </c>
      <c r="K23" s="5" t="s">
        <v>157</v>
      </c>
      <c r="L23" s="5" t="s">
        <v>158</v>
      </c>
      <c r="M23" s="5" t="s">
        <v>159</v>
      </c>
      <c r="N23" s="5" t="s">
        <v>160</v>
      </c>
      <c r="O23" s="5" t="s">
        <v>106</v>
      </c>
    </row>
    <row r="24" customFormat="false" ht="95.25" hidden="false" customHeight="true" outlineLevel="0" collapsed="false">
      <c r="A24" s="5" t="s">
        <v>161</v>
      </c>
      <c r="B24" s="5" t="s">
        <v>162</v>
      </c>
      <c r="C24" s="5" t="s">
        <v>163</v>
      </c>
      <c r="D24" s="6" t="n">
        <v>7570.5</v>
      </c>
      <c r="E24" s="6" t="n">
        <v>7570.5</v>
      </c>
      <c r="F24" s="9" t="s">
        <v>20</v>
      </c>
      <c r="G24" s="9" t="s">
        <v>20</v>
      </c>
      <c r="H24" s="9" t="s">
        <v>20</v>
      </c>
      <c r="I24" s="10" t="s">
        <v>132</v>
      </c>
      <c r="J24" s="9" t="s">
        <v>20</v>
      </c>
      <c r="K24" s="5" t="s">
        <v>164</v>
      </c>
      <c r="L24" s="5" t="s">
        <v>165</v>
      </c>
      <c r="M24" s="5" t="s">
        <v>166</v>
      </c>
      <c r="N24" s="5" t="s">
        <v>77</v>
      </c>
      <c r="O24" s="5" t="s">
        <v>106</v>
      </c>
    </row>
    <row r="25" customFormat="false" ht="84.75" hidden="false" customHeight="true" outlineLevel="0" collapsed="false">
      <c r="A25" s="5" t="s">
        <v>167</v>
      </c>
      <c r="B25" s="5" t="s">
        <v>168</v>
      </c>
      <c r="C25" s="5" t="s">
        <v>169</v>
      </c>
      <c r="D25" s="6" t="n">
        <v>642.14</v>
      </c>
      <c r="E25" s="6" t="n">
        <v>706.35</v>
      </c>
      <c r="F25" s="8" t="s">
        <v>29</v>
      </c>
      <c r="G25" s="8" t="s">
        <v>29</v>
      </c>
      <c r="H25" s="9" t="s">
        <v>20</v>
      </c>
      <c r="I25" s="9" t="s">
        <v>20</v>
      </c>
      <c r="J25" s="9" t="s">
        <v>20</v>
      </c>
      <c r="K25" s="5" t="s">
        <v>170</v>
      </c>
      <c r="L25" s="5" t="s">
        <v>171</v>
      </c>
      <c r="M25" s="5" t="s">
        <v>172</v>
      </c>
      <c r="N25" s="5" t="s">
        <v>173</v>
      </c>
      <c r="O25" s="5" t="s">
        <v>106</v>
      </c>
    </row>
    <row r="26" customFormat="false" ht="15" hidden="false" customHeight="true" outlineLevel="0" collapsed="false">
      <c r="A26" s="5" t="s">
        <v>174</v>
      </c>
      <c r="B26" s="5" t="s">
        <v>175</v>
      </c>
      <c r="C26" s="5" t="s">
        <v>176</v>
      </c>
      <c r="D26" s="6" t="n">
        <v>4861.7</v>
      </c>
      <c r="E26" s="6" t="n">
        <v>4861.7</v>
      </c>
      <c r="F26" s="9" t="s">
        <v>20</v>
      </c>
      <c r="G26" s="8" t="s">
        <v>29</v>
      </c>
      <c r="H26" s="9" t="s">
        <v>20</v>
      </c>
      <c r="I26" s="11" t="s">
        <v>132</v>
      </c>
      <c r="J26" s="9" t="s">
        <v>20</v>
      </c>
      <c r="K26" s="5" t="s">
        <v>177</v>
      </c>
      <c r="L26" s="5" t="s">
        <v>178</v>
      </c>
      <c r="M26" s="5" t="s">
        <v>179</v>
      </c>
      <c r="N26" s="5" t="s">
        <v>180</v>
      </c>
      <c r="O26" s="5" t="s">
        <v>181</v>
      </c>
    </row>
    <row r="27" customFormat="false" ht="15" hidden="false" customHeight="true" outlineLevel="0" collapsed="false">
      <c r="C27" s="12" t="s">
        <v>182</v>
      </c>
      <c r="D27" s="13" t="n">
        <f aca="false">SUM(D5:D26)</f>
        <v>538947.73</v>
      </c>
      <c r="E27" s="13" t="n">
        <f aca="false">SUM(E5:E26)</f>
        <v>590964.65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2026-06-16T23:56:14Z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