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<sst xmlns="http://schemas.openxmlformats.org/spreadsheetml/2006/main" count="109" uniqueCount="69">
  <si>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</si>
  <si>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</si>
  <si>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</si>
  <si>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</si>
  <si>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</si>
  <si>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</si>
  <si>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</si>
  <si>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</si>
  <si>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</si>
  <si>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</si>
  <si>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</si>
  <si>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</si>
  <si>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</si>
  <si>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</si>
  <si>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</si>
  <si>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</si>
  <si>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</si>
  <si>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</si>
  <si>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</si>
  <si>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</si>
  <si>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</si>
  <si>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</si>
  <si>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</t>
  </si>
  <si>
    <t xml:space="preserve">NA73564_Evidence/ (Esri INV000555 sighted; ledger extract); NA73564_GENJNL_Recode.txt (held)</t>
  </si>
  <si>
    <t xml:space="preserve">CN-23167 (held)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</si>
  <si>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</si>
  <si>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</si>
  <si>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</si>
  <si>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</si>
  <si>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</si>
  <si>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</si>
  <si>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</t>
  </si>
  <si>
    <t xml:space="preserve">1 Resolve TE005091 RED blocker (J12 risers $363.64 double-count vs inv 626529478). 2 Dedupe Doc46 vs AP populations before posting. 3 Carry PPE/STIHL/decal/INITIATOR confirmations to Finance email. See NA72111_Reconciliation_Note.md.</t>
  </si>
  <si>
    <t xml:space="preserve">NA72111 note; _CarryForward Doc46/Doc45 source journals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</si>
  <si>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</si>
  <si>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</si>
  <si>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</si>
  <si>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</si>
  <si>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</si>
  <si>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</si>
  <si>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</si>
  <si>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</si>
  <si>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</si>
  <si>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</si>
  <si>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</si>
  <si>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</si>
  <si>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</si>
  <si>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</si>
  <si>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</si>
  <si>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</si>
  <si>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</si>
  <si>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73563. [Recode sign-corrected 9-Jun: P1-P10 PK000001 PPE pair direction fixed; was $6,307.33.] Catch-all WINC stationery order used for tearoom, IT, cleaning, batteries, chemical, PPE. Feb WINC 9901763737 ($1,240.45) and Officeworks TE005250 ($352.73) NOW SIGHTED; both follow the same pattern. WINC ABN &amp; Officeworks ABN checksum PASS. EVIDENCE CORRECTION (9-Jun): only 2 of 11 WINC line-detail invoices sighted (9901763737 Feb, 9901782965 April). The P1-P10 audit is derived analysis, not primary evidence. NINE WINC invoices NOT sighted: 9901690129, 9901699602, 9901709054, 9901718415, 9901727996, 9901737473, 9901746332, 9901754676, 9901773647. Evidence limb reverts to AMBER.</t>
  </si>
  <si>
    <t xml:space="preserve">1 Confirm Finance accepts WINC systemic recode out of 73563. 2 Confirm TE005250 desk risers 72313 vs 72111. 3 Confirm 73512 movements Reason B (filter 50/50). 4 Release CN-23167. + Sight the 9 unsighted WINC source invoices (9901690129, 9901699602, 9901709054, 9901718415, 9901727996, 9901737473, 9901746332, 9901754676, 9901773647) for line-level support of the recode.</t>
  </si>
  <si>
    <t xml:space="preserve">NA73563_Evidence/ (WINC P1-P10 audit, April, Feb, Officeworks 628185694,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</si>
  <si>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</si>
  <si>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</si>
  <si>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</si>
  <si>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</si>
  <si>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</si>
  <si>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</t>
  </si>
  <si>
    <t xml:space="preserve">NA72114_Scope_Note.md; Document_Reconstruction (GJ source) sighted; C00223414 Reali set provided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</si>
  <si>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</si>
  <si>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</si>
  <si>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</si>
  <si>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</si>
  <si>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</si>
  <si>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</si>
  <si>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</si>
  <si>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TOTAL reviewed $ (this register)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</si>
</sst>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11" t="n">
        <v>3433.91</v>
      </c>
      <c r="E6" s="11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24</v>
      </c>
      <c r="O6" s="5" t="s">
        <v>25</v>
      </c>
    </row>
    <row r="7" customFormat="false" ht="42.75" hidden="false" customHeight="true" outlineLevel="0" collapsed="false">
      <c r="A7" s="5" t="s">
        <v>34</v>
      </c>
      <c r="B7" s="5" t="s">
        <v>35</v>
      </c>
      <c r="C7" s="5" t="s">
        <v>36</v>
      </c>
      <c r="D7" s="11" t="n">
        <v>2461.27</v>
      </c>
      <c r="E7" s="11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37</v>
      </c>
      <c r="L7" s="5" t="s">
        <v>38</v>
      </c>
      <c r="M7" s="5" t="s">
        <v>39</v>
      </c>
      <c r="N7" s="5" t="s">
        <v>24</v>
      </c>
      <c r="O7" s="5" t="s">
        <v>40</v>
      </c>
    </row>
    <row r="8" customFormat="false" ht="53.25" hidden="false" customHeight="true" outlineLevel="0" collapsed="false">
      <c r="A8" s="5" t="s">
        <v>41</v>
      </c>
      <c r="B8" s="5" t="s">
        <v>42</v>
      </c>
      <c r="C8" s="5" t="s">
        <v>43</v>
      </c>
      <c r="D8" s="11" t="n">
        <v>1021.7</v>
      </c>
      <c r="E8" s="11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44</v>
      </c>
      <c r="L8" s="5" t="s">
        <v>45</v>
      </c>
      <c r="M8" s="5" t="s">
        <v>46</v>
      </c>
      <c r="N8" s="5" t="s">
        <v>47</v>
      </c>
      <c r="O8" s="5" t="s">
        <v>25</v>
      </c>
    </row>
    <row r="9" customFormat="false" ht="63.75" hidden="false" customHeight="true" outlineLevel="0" collapsed="false">
      <c r="A9" s="5" t="s">
        <v>48</v>
      </c>
      <c r="B9" s="5" t="s">
        <v>49</v>
      </c>
      <c r="C9" s="5" t="s">
        <v>50</v>
      </c>
      <c r="D9" s="11" t="n">
        <v>9495.37</v>
      </c>
      <c r="E9" s="11" t="n">
        <v>10444.91</v>
      </c>
      <c r="F9" s="8" t="s">
        <v>29</v>
      </c>
      <c r="G9" s="7" t="s">
        <v>30</v>
      </c>
      <c r="H9" s="8" t="s">
        <v>20</v>
      </c>
      <c r="I9" s="8" t="s">
        <v>29</v>
      </c>
      <c r="J9" s="9" t="s">
        <v>20</v>
      </c>
      <c r="K9" s="5" t="s">
        <v>51</v>
      </c>
      <c r="L9" s="5" t="s">
        <v>52</v>
      </c>
      <c r="M9" s="5" t="s">
        <v>53</v>
      </c>
      <c r="N9" s="5" t="s">
        <v>24</v>
      </c>
      <c r="O9" s="5" t="s">
        <v>25</v>
      </c>
    </row>
    <row r="10" customFormat="false" ht="53.25" hidden="false" customHeight="true" outlineLevel="0" collapsed="false">
      <c r="A10" s="5" t="s">
        <v>54</v>
      </c>
      <c r="B10" s="5" t="s">
        <v>55</v>
      </c>
      <c r="C10" s="5" t="s">
        <v>56</v>
      </c>
      <c r="D10" s="11" t="n">
        <v>1059.76</v>
      </c>
      <c r="E10" s="11" t="n">
        <v>1165.74</v>
      </c>
      <c r="F10" s="9" t="s">
        <v>20</v>
      </c>
      <c r="G10" s="8" t="s">
        <v>29</v>
      </c>
      <c r="H10" s="9" t="s">
        <v>20</v>
      </c>
      <c r="I10" s="10" t="s">
        <v>57</v>
      </c>
      <c r="J10" s="9" t="s">
        <v>20</v>
      </c>
      <c r="K10" s="5" t="s">
        <v>58</v>
      </c>
      <c r="L10" s="5" t="s">
        <v>59</v>
      </c>
      <c r="M10" s="5" t="s">
        <v>60</v>
      </c>
      <c r="N10" s="5" t="s">
        <v>24</v>
      </c>
      <c r="O10" s="5" t="s">
        <v>25</v>
      </c>
    </row>
    <row r="11" customFormat="false" ht="53.25" hidden="false" customHeight="true" outlineLevel="0" collapsed="false">
      <c r="A11" s="5" t="s">
        <v>61</v>
      </c>
      <c r="B11" s="5" t="s">
        <v>62</v>
      </c>
      <c r="C11" s="5" t="s">
        <v>63</v>
      </c>
      <c r="D11" s="11" t="n">
        <v>3703.03</v>
      </c>
      <c r="E11" s="11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64</v>
      </c>
      <c r="L11" s="5" t="s">
        <v>65</v>
      </c>
      <c r="M11" s="5" t="s">
        <v>66</v>
      </c>
      <c r="N11" s="5" t="s">
        <v>67</v>
      </c>
      <c r="O11" s="5" t="s">
        <v>25</v>
      </c>
    </row>
    <row r="12" customFormat="false" ht="15" hidden="false" customHeight="true" outlineLevel="0" collapsed="false">
      <c r="C12" s="12" t="s">
        <v>68</v>
      </c>
      <c r="D12" s="13" t="n">
        <f aca="false">SUM(D5:D11)</f>
        <v>64568.41</v>
      </c>
      <c r="E12" s="13" t="n">
        <f aca="false">SUM(E5:E11)</f>
        <v>71025.26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2026-06-09T08:31:14Z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