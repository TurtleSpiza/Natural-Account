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$#,##0.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9"/>
    </font>
    <font>
      <name val="Segoe UI"/>
      <charset val="1"/>
      <family val="0"/>
      <b val="1"/>
      <sz val="9"/>
    </font>
  </fonts>
  <fills count="8">
    <fill>
      <patternFill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5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2" min="1" max="1"/>
    <col width="26" customWidth="1" style="12" min="2" max="2"/>
    <col width="30" customWidth="1" style="12" min="3" max="3"/>
    <col width="12" customWidth="1" style="12" min="4" max="5"/>
    <col width="7" customWidth="1" style="12" min="6" max="9"/>
    <col width="8" customWidth="1" style="12" min="10" max="10"/>
    <col width="52" customWidth="1" style="12" min="11" max="12"/>
    <col width="34" customWidth="1" style="12" min="13" max="13"/>
    <col width="14" customWidth="1" style="12" min="14" max="14"/>
    <col width="11" customWidth="1" style="12" min="15" max="15"/>
  </cols>
  <sheetData>
    <row r="1" ht="24" customHeight="1" s="13">
      <c r="A1" s="14" t="inlineStr">
        <is>
          <t>LCC Parks 4090000  —  Account Review Register</t>
        </is>
      </c>
    </row>
    <row r="2" ht="15" customHeight="1" s="13">
      <c r="A2" s="15" t="inlineStr">
        <is>
          <t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</t>
        </is>
      </c>
    </row>
    <row r="4" ht="23.85" customHeight="1" s="13">
      <c r="A4" s="16" t="inlineStr">
        <is>
          <t>Account</t>
        </is>
      </c>
      <c r="B4" s="16" t="inlineStr">
        <is>
          <t>Account name</t>
        </is>
      </c>
      <c r="C4" s="16" t="inlineStr">
        <is>
          <t>Section / PK in scope</t>
        </is>
      </c>
      <c r="D4" s="16" t="inlineStr">
        <is>
          <t>$ ex-GST</t>
        </is>
      </c>
      <c r="E4" s="16" t="inlineStr">
        <is>
          <t>$ incl GST</t>
        </is>
      </c>
      <c r="F4" s="16" t="inlineStr">
        <is>
          <t>L1 PK</t>
        </is>
      </c>
      <c r="G4" s="16" t="inlineStr">
        <is>
          <t>L2 NA</t>
        </is>
      </c>
      <c r="H4" s="16" t="inlineStr">
        <is>
          <t>L3 Evid</t>
        </is>
      </c>
      <c r="I4" s="16" t="inlineStr">
        <is>
          <t>L4 Tax</t>
        </is>
      </c>
      <c r="J4" s="16" t="inlineStr">
        <is>
          <t>Overall</t>
        </is>
      </c>
      <c r="K4" s="16" t="inlineStr">
        <is>
          <t>Finding</t>
        </is>
      </c>
      <c r="L4" s="16" t="inlineStr">
        <is>
          <t>Open actions</t>
        </is>
      </c>
      <c r="M4" s="16" t="inlineStr">
        <is>
          <t>Evidence location</t>
        </is>
      </c>
      <c r="N4" s="16" t="inlineStr">
        <is>
          <t>Jrnl ref</t>
        </is>
      </c>
      <c r="O4" s="16" t="inlineStr">
        <is>
          <t>Reviewed</t>
        </is>
      </c>
    </row>
    <row r="5" ht="53.7" customHeight="1" s="13">
      <c r="A5" s="23" t="inlineStr">
        <is>
          <t>73564</t>
        </is>
      </c>
      <c r="B5" s="23" t="inlineStr">
        <is>
          <t>IT Equipment &amp; Applications</t>
        </is>
      </c>
      <c r="C5" s="23" t="inlineStr">
        <is>
          <t>Full account: 9 svc codes, 20 employee recharges</t>
        </is>
      </c>
      <c r="D5" s="18" t="n">
        <v>43393.37</v>
      </c>
      <c r="E5" s="18" t="n">
        <v>47732.71</v>
      </c>
      <c r="F5" s="26" t="inlineStr">
        <is>
          <t>AMBER</t>
        </is>
      </c>
      <c r="G5" s="25" t="inlineStr">
        <is>
          <t>AMBER</t>
        </is>
      </c>
      <c r="H5" s="27" t="inlineStr">
        <is>
          <t>AMBER</t>
        </is>
      </c>
      <c r="I5" s="28" t="inlineStr">
        <is>
          <t>AMBER</t>
        </is>
      </c>
      <c r="J5" s="27" t="inlineStr">
        <is>
          <t>AMBER</t>
        </is>
      </c>
      <c r="K5" s="23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</t>
        </is>
      </c>
      <c r="L5" s="23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</t>
        </is>
      </c>
      <c r="M5" s="23" t="inlineStr">
        <is>
          <t>NA73564_Evidence/ (Esri INV000555 sighted; ledger extract); NA73564_GENJNL_Recode.txt (held)</t>
        </is>
      </c>
      <c r="N5" s="23" t="inlineStr">
        <is>
          <t>CN-23167 (held)</t>
        </is>
      </c>
      <c r="O5" s="23" t="inlineStr">
        <is>
          <t>9-Jun-2026</t>
        </is>
      </c>
    </row>
    <row r="6" ht="53.7" customHeight="1" s="13">
      <c r="A6" s="23" t="inlineStr">
        <is>
          <t>72111</t>
        </is>
      </c>
      <c r="B6" s="23" t="inlineStr">
        <is>
          <t>Minor Equipment &amp; Supplies</t>
        </is>
      </c>
      <c r="C6" s="23" t="inlineStr">
        <is>
          <t>Two overlapping passes (see NA72111 note); account $67,055</t>
        </is>
      </c>
      <c r="D6" s="24" t="n">
        <v>3433.91</v>
      </c>
      <c r="E6" s="24" t="n">
        <v>3777.3</v>
      </c>
      <c r="F6" s="25" t="inlineStr">
        <is>
          <t>GREEN</t>
        </is>
      </c>
      <c r="G6" s="26" t="inlineStr">
        <is>
          <t>RED</t>
        </is>
      </c>
      <c r="H6" s="25" t="inlineStr">
        <is>
          <t>GREEN</t>
        </is>
      </c>
      <c r="I6" s="25" t="inlineStr">
        <is>
          <t>GREEN</t>
        </is>
      </c>
      <c r="J6" s="27" t="inlineStr">
        <is>
          <t>AMBER</t>
        </is>
      </c>
      <c r="K6" s="23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</t>
        </is>
      </c>
      <c r="L6" s="23" t="inlineStr">
        <is>
          <t>1 Resolve TE005091 RED blocker (J12 risers $363.64 double-count vs inv 626529478). 2 Dedupe Doc46 vs AP populations before posting. 3 Carry PPE/STIHL/decal/INITIATOR confirmations to Finance email. See NA72111_Reconciliation_Note.md.</t>
        </is>
      </c>
      <c r="M6" s="23" t="inlineStr">
        <is>
          <t>NA72111 note; _CarryForward Doc46/Doc45 source journals</t>
        </is>
      </c>
      <c r="N6" s="23" t="inlineStr">
        <is>
          <t>CN-23167 (held)</t>
        </is>
      </c>
      <c r="O6" s="23" t="inlineStr">
        <is>
          <t>9-Jun-2026</t>
        </is>
      </c>
    </row>
    <row r="7" ht="43.25" customHeight="1" s="13">
      <c r="A7" s="23" t="inlineStr">
        <is>
          <t>72312</t>
        </is>
      </c>
      <c r="B7" s="23" t="inlineStr">
        <is>
          <t>Office &amp; Library Equipment</t>
        </is>
      </c>
      <c r="C7" s="23" t="inlineStr">
        <is>
          <t>IKEA PK000493 svc20392 (PCard) + Empire PK000001 svc20151 (AP)</t>
        </is>
      </c>
      <c r="D7" s="24" t="n">
        <v>2461.27</v>
      </c>
      <c r="E7" s="24" t="n">
        <v>2707.4</v>
      </c>
      <c r="F7" s="27" t="inlineStr">
        <is>
          <t>GREEN</t>
        </is>
      </c>
      <c r="G7" s="26" t="inlineStr">
        <is>
          <t>RED</t>
        </is>
      </c>
      <c r="H7" s="25" t="inlineStr">
        <is>
          <t>GREEN</t>
        </is>
      </c>
      <c r="I7" s="25" t="inlineStr">
        <is>
          <t>GREEN</t>
        </is>
      </c>
      <c r="J7" s="27" t="inlineStr">
        <is>
          <t>AMBER</t>
        </is>
      </c>
      <c r="K7" s="23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L7" s="23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M7" s="23" t="inlineStr">
        <is>
          <t>NA72312_Evidence/ (IKEA TE004431; Empire RL196475; ledger extract)</t>
        </is>
      </c>
      <c r="N7" s="23" t="inlineStr">
        <is>
          <t>CN-23167 (held)</t>
        </is>
      </c>
      <c r="O7" s="23" t="inlineStr">
        <is>
          <t>8-Jun-2026</t>
        </is>
      </c>
    </row>
    <row r="8" ht="53.7" customHeight="1" s="13">
      <c r="A8" s="23" t="inlineStr">
        <is>
          <t>73533</t>
        </is>
      </c>
      <c r="B8" s="23" t="inlineStr">
        <is>
          <t>Interstate Travel &amp; Accommodation</t>
        </is>
      </c>
      <c r="C8" s="23" t="inlineStr">
        <is>
          <t>Quinn PK000001 svc20151 (single BNE-MEL-BNE trip)</t>
        </is>
      </c>
      <c r="D8" s="24" t="n">
        <v>1021.7</v>
      </c>
      <c r="E8" s="24" t="n">
        <v>1123.87</v>
      </c>
      <c r="F8" s="25" t="inlineStr">
        <is>
          <t>GREEN</t>
        </is>
      </c>
      <c r="G8" s="25" t="inlineStr">
        <is>
          <t>GREEN</t>
        </is>
      </c>
      <c r="H8" s="25" t="inlineStr">
        <is>
          <t>GREEN</t>
        </is>
      </c>
      <c r="I8" s="25" t="inlineStr">
        <is>
          <t>AMBER</t>
        </is>
      </c>
      <c r="J8" s="27" t="inlineStr">
        <is>
          <t>AMBER</t>
        </is>
      </c>
      <c r="K8" s="23" t="inlineStr">
        <is>
          <t>$1,015.15 of $1,021.70 confirmed interstate. TE005080 is ONE PCard ref over TWO lines: hotel $288.18 (L07) + 7-Eleven $6.55 (L02). TE005080 hotel backup NOW SIGHTED (Booking.com ibis Melbourne, $317 incl, 20-21 Jan 2026, Quinn). TAX GAP: Booking.com doc carries no ABN and states it is not a tax invoice and cannot be used to claim GST; the $28.82 GST credit on the $288.18 line is unsubstantiated. 7-Eleven $6.55 receipt still NOT sighted (confirmed not in TE005080 backup).</t>
        </is>
      </c>
      <c r="L8" s="23" t="inlineStr">
        <is>
          <t>1 Obtain ibis Melbourne (Accor) tax invoice for the $288.18 accommodation to substantiate the $28.82 GST, or treat GST as non-claimable. 2 Sight the 7-Eleven $6.55 receipt; a travel-day 7-Eleven buy is likely a meal, recode to 73511/73512 (meals never in 73531-73534); $6.55 is immaterial (0.6%) if a de minimis close is preferred. Hotel + airfare + Uber + Cabcharge + CTM coding all correct.</t>
        </is>
      </c>
      <c r="M8" s="23" t="inlineStr">
        <is>
          <t>NA73533_Evidence/ + TE005080 hotel backup (Booking.com ibis) now filed</t>
        </is>
      </c>
      <c r="N8" s="23" t="inlineStr">
        <is>
          <t>CN-23167 (nil posted)</t>
        </is>
      </c>
      <c r="O8" s="23" t="inlineStr">
        <is>
          <t>9-Jun-2026</t>
        </is>
      </c>
    </row>
    <row r="9" ht="64.15000000000001" customHeight="1" s="13">
      <c r="A9" s="23" t="inlineStr">
        <is>
          <t>73563</t>
        </is>
      </c>
      <c r="B9" s="23" t="inlineStr">
        <is>
          <t>Printing &amp; Stationery</t>
        </is>
      </c>
      <c r="C9" s="23" t="inlineStr">
        <is>
          <t>PK000001 svc20151 + PK000086 svc20141 + PK000082 svc20191</t>
        </is>
      </c>
      <c r="D9" s="24" t="n">
        <v>9495.370000000001</v>
      </c>
      <c r="E9" s="24" t="n">
        <v>10444.91</v>
      </c>
      <c r="F9" s="25" t="inlineStr">
        <is>
          <t>GREEN</t>
        </is>
      </c>
      <c r="G9" s="26" t="inlineStr">
        <is>
          <t>RED</t>
        </is>
      </c>
      <c r="H9" s="25" t="inlineStr">
        <is>
          <t>AMBER</t>
        </is>
      </c>
      <c r="I9" s="25" t="inlineStr">
        <is>
          <t>GREEN</t>
        </is>
      </c>
      <c r="J9" s="27" t="inlineStr">
        <is>
          <t>AMBER</t>
        </is>
      </c>
      <c r="K9" s="23" t="inlineStr">
        <is>
          <t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</t>
        </is>
      </c>
      <c r="L9" s="23" t="inlineStr">
        <is>
          <t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</t>
        </is>
      </c>
      <c r="M9" s="23" t="inlineStr">
        <is>
          <t>NA73563_Evidence/ (WINC P1-P10 audit, April, Feb, Officeworks 628185694, recon, ledger)</t>
        </is>
      </c>
      <c r="N9" s="23" t="inlineStr">
        <is>
          <t>CN-23167 (held)</t>
        </is>
      </c>
      <c r="O9" s="23" t="inlineStr">
        <is>
          <t>9-Jun-2026</t>
        </is>
      </c>
    </row>
    <row r="10" ht="53.7" customHeight="1" s="13">
      <c r="A10" s="23" t="inlineStr">
        <is>
          <t>72114</t>
        </is>
      </c>
      <c r="B10" s="23" t="inlineStr">
        <is>
          <t>Uniforms</t>
        </is>
      </c>
      <c r="C10" s="23" t="inlineStr">
        <is>
          <t>Reali PK split (subset); account $26,236</t>
        </is>
      </c>
      <c r="D10" s="24" t="n">
        <v>1059.76</v>
      </c>
      <c r="E10" s="24" t="n">
        <v>1165.74</v>
      </c>
      <c r="F10" s="27" t="inlineStr">
        <is>
          <t>AMBER</t>
        </is>
      </c>
      <c r="G10" s="25" t="inlineStr">
        <is>
          <t>GREEN</t>
        </is>
      </c>
      <c r="H10" s="27" t="inlineStr">
        <is>
          <t>AMBER</t>
        </is>
      </c>
      <c r="I10" s="28" t="inlineStr">
        <is>
          <t>N/A</t>
        </is>
      </c>
      <c r="J10" s="27" t="inlineStr">
        <is>
          <t>AMBER</t>
        </is>
      </c>
      <c r="K10" s="23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</t>
        </is>
      </c>
      <c r="L10" s="23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      </is>
      </c>
      <c r="M10" s="23" t="inlineStr">
        <is>
          <t>NA72114_Scope_Note.md; Document_Reconstruction (GJ source) sighted; C00223414 Reali set provided</t>
        </is>
      </c>
      <c r="N10" s="23" t="inlineStr">
        <is>
          <t>CN-23167 (held)</t>
        </is>
      </c>
      <c r="O10" s="23" t="inlineStr">
        <is>
          <t>9-Jun-2026</t>
        </is>
      </c>
    </row>
    <row r="11" ht="53.7" customHeight="1" s="13">
      <c r="A11" s="23" t="inlineStr">
        <is>
          <t>73140</t>
        </is>
      </c>
      <c r="B11" s="23" t="inlineStr">
        <is>
          <t>Pre-Employment Background Checks</t>
        </is>
      </c>
      <c r="C11" s="23" t="inlineStr">
        <is>
          <t>CV Check PK000001 svc20001</t>
        </is>
      </c>
      <c r="D11" s="24" t="n">
        <v>3703.03</v>
      </c>
      <c r="E11" s="24" t="n">
        <v>4073.33</v>
      </c>
      <c r="F11" s="25" t="inlineStr">
        <is>
          <t>GREEN</t>
        </is>
      </c>
      <c r="G11" s="25" t="inlineStr">
        <is>
          <t>GREEN</t>
        </is>
      </c>
      <c r="H11" s="27" t="inlineStr">
        <is>
          <t>AMBER</t>
        </is>
      </c>
      <c r="I11" s="27" t="inlineStr">
        <is>
          <t>AMBER</t>
        </is>
      </c>
      <c r="J11" s="27" t="inlineStr">
        <is>
          <t>AMBER</t>
        </is>
      </c>
      <c r="K11" s="23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</t>
        </is>
      </c>
      <c r="L11" s="23" t="inlineStr">
        <is>
          <t>1 Sight a sample of CV Check AP invoices to confirm evidence and tax limbs. 2 On sighting, clear to GREEN (no recode expected).</t>
        </is>
      </c>
      <c r="M11" s="23" t="inlineStr">
        <is>
          <t>3-Jun review queue finding (no deliverable bundle this pass)</t>
        </is>
      </c>
      <c r="N11" s="23" t="inlineStr">
        <is>
          <t>n/a (no recode)</t>
        </is>
      </c>
      <c r="O11" s="23" t="inlineStr">
        <is>
          <t>9-Jun-2026</t>
        </is>
      </c>
    </row>
    <row r="12" ht="15" customHeight="1" s="13">
      <c r="C12" s="29" t="inlineStr">
        <is>
          <t>TOTAL reviewed $ (this register)</t>
        </is>
      </c>
      <c r="D12" s="30">
        <f>SUM(D5:D11)</f>
        <v/>
      </c>
      <c r="E12" s="30">
        <f>SUM(E5:E11)</f>
        <v/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2026-06-08T22:42:49Z</dcterms:created>
  <dcterms:modified xmlns:dcterms="http://purl.org/dc/terms/" xmlns:xsi="http://www.w3.org/2001/XMLSchema-instance" xsi:type="dcterms:W3CDTF">2026-06-09T04:40:11Z</dcterms:modified>
  <cp:revision>0</cp:revision>
</cp:coreProperties>
</file>