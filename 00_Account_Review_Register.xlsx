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Regist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9"/>
    </font>
    <font>
      <name val="Segoe UI"/>
      <charset val="1"/>
      <family val="0"/>
      <b val="1"/>
      <sz val="9"/>
    </font>
  </fonts>
  <fills count="8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" min="1" max="1"/>
    <col width="26" customWidth="1" style="14" min="2" max="2"/>
    <col width="30" customWidth="1" style="14" min="3" max="3"/>
    <col width="12" customWidth="1" style="14" min="4" max="5"/>
    <col width="7" customWidth="1" style="14" min="6" max="9"/>
    <col width="8" customWidth="1" style="14" min="10" max="10"/>
    <col width="52" customWidth="1" style="14" min="11" max="12"/>
    <col width="34" customWidth="1" style="14" min="13" max="13"/>
    <col width="14" customWidth="1" style="14" min="14" max="14"/>
    <col width="11" customWidth="1" style="14" min="15" max="15"/>
  </cols>
  <sheetData>
    <row r="1" ht="24" customHeight="1" s="15">
      <c r="A1" s="16" t="inlineStr">
        <is>
          <t>LCC Parks 4090000  —  Account Review Register</t>
        </is>
      </c>
    </row>
    <row r="2" ht="15" customHeight="1" s="15">
      <c r="A2" s="17" t="inlineStr">
        <is>
          <t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      </is>
      </c>
    </row>
    <row r="4" ht="23.25" customHeight="1" s="15">
      <c r="A4" s="18" t="inlineStr">
        <is>
          <t>Account</t>
        </is>
      </c>
      <c r="B4" s="18" t="inlineStr">
        <is>
          <t>Account name</t>
        </is>
      </c>
      <c r="C4" s="18" t="inlineStr">
        <is>
          <t>Section / PK in scope</t>
        </is>
      </c>
      <c r="D4" s="18" t="inlineStr">
        <is>
          <t>$ ex-GST</t>
        </is>
      </c>
      <c r="E4" s="18" t="inlineStr">
        <is>
          <t>$ incl GST</t>
        </is>
      </c>
      <c r="F4" s="18" t="inlineStr">
        <is>
          <t>L1 PK</t>
        </is>
      </c>
      <c r="G4" s="18" t="inlineStr">
        <is>
          <t>L2 NA</t>
        </is>
      </c>
      <c r="H4" s="18" t="inlineStr">
        <is>
          <t>L3 Evid</t>
        </is>
      </c>
      <c r="I4" s="18" t="inlineStr">
        <is>
          <t>L4 Tax</t>
        </is>
      </c>
      <c r="J4" s="18" t="inlineStr">
        <is>
          <t>Overall</t>
        </is>
      </c>
      <c r="K4" s="18" t="inlineStr">
        <is>
          <t>Finding</t>
        </is>
      </c>
      <c r="L4" s="18" t="inlineStr">
        <is>
          <t>Open actions</t>
        </is>
      </c>
      <c r="M4" s="18" t="inlineStr">
        <is>
          <t>Evidence location</t>
        </is>
      </c>
      <c r="N4" s="18" t="inlineStr">
        <is>
          <t>Jrnl ref</t>
        </is>
      </c>
      <c r="O4" s="18" t="inlineStr">
        <is>
          <t>Reviewed</t>
        </is>
      </c>
    </row>
    <row r="5" ht="53.25" customHeight="1" s="15">
      <c r="A5" s="19" t="inlineStr">
        <is>
          <t>73564</t>
        </is>
      </c>
      <c r="B5" s="19" t="inlineStr">
        <is>
          <t>IT Equipment &amp; Applications</t>
        </is>
      </c>
      <c r="C5" s="19" t="inlineStr">
        <is>
          <t>Full account: 9 svc codes, 20 employee recharges</t>
        </is>
      </c>
      <c r="D5" s="20" t="n">
        <v>43393.37</v>
      </c>
      <c r="E5" s="20" t="n">
        <v>47732.71</v>
      </c>
      <c r="F5" s="21" t="inlineStr">
        <is>
          <t>AMBER</t>
        </is>
      </c>
      <c r="G5" s="22" t="inlineStr">
        <is>
          <t>AMBER</t>
        </is>
      </c>
      <c r="H5" s="23" t="inlineStr">
        <is>
          <t>AMBER</t>
        </is>
      </c>
      <c r="I5" s="24" t="inlineStr">
        <is>
          <t>AMBER</t>
        </is>
      </c>
      <c r="J5" s="23" t="inlineStr">
        <is>
          <t>AMBER</t>
        </is>
      </c>
      <c r="K5" s="19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      </is>
      </c>
      <c r="L5" s="19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M5" s="19" t="inlineStr">
        <is>
          <t>NA73564_Evidence/ (Esri INV000555 sighted; ledger extract); NA73564_GENJNL_Recode.txt (held; IT recharge schedule Feb-2026 sighted 10-Jun)</t>
        </is>
      </c>
      <c r="N5" s="19" t="inlineStr">
        <is>
          <t>CN-23167 (journal-ready, Spero; A 73564-&gt;73566 software, B 3 PK net-moves)</t>
        </is>
      </c>
      <c r="O5" s="19" t="inlineStr">
        <is>
          <t>9-Jun-2026</t>
        </is>
      </c>
    </row>
    <row r="6" ht="53.25" customHeight="1" s="15">
      <c r="A6" s="19" t="inlineStr">
        <is>
          <t>72111</t>
        </is>
      </c>
      <c r="B6" s="19" t="inlineStr">
        <is>
          <t>Minor Equipment &amp; Supplies</t>
        </is>
      </c>
      <c r="C6" s="19" t="inlineStr">
        <is>
          <t>Two overlapping passes (see NA72111 note); account $67,055</t>
        </is>
      </c>
      <c r="D6" s="20" t="n">
        <v>3433.91</v>
      </c>
      <c r="E6" s="20" t="n">
        <v>3777.3</v>
      </c>
      <c r="F6" s="22" t="inlineStr">
        <is>
          <t>GREEN</t>
        </is>
      </c>
      <c r="G6" s="21" t="inlineStr">
        <is>
          <t>RED</t>
        </is>
      </c>
      <c r="H6" s="22" t="inlineStr">
        <is>
          <t>GREEN</t>
        </is>
      </c>
      <c r="I6" s="22" t="inlineStr">
        <is>
          <t>GREEN</t>
        </is>
      </c>
      <c r="J6" s="23" t="inlineStr">
        <is>
          <t>AMBER</t>
        </is>
      </c>
      <c r="K6" s="19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 | 18-Jun: full 72111 ledger PROVIDED (371 lines $68,112.06, 196 with attachments); large untested remainder now line-visible.</t>
        </is>
      </c>
      <c r="L6" s="19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M6" s="19" t="inlineStr">
        <is>
          <t>NA72111 note; _CarryForward Doc46/Doc45 source journals</t>
        </is>
      </c>
      <c r="N6" s="19" t="inlineStr">
        <is>
          <t>CN-23167 (PREPARED; NA72111_GENJNL_Recode.txt 14 lines, 4 sets)</t>
        </is>
      </c>
      <c r="O6" s="19" t="inlineStr">
        <is>
          <t>9-Jun-2026</t>
        </is>
      </c>
    </row>
    <row r="7" ht="42.75" customHeight="1" s="15">
      <c r="A7" s="19" t="inlineStr">
        <is>
          <t>72312</t>
        </is>
      </c>
      <c r="B7" s="19" t="inlineStr">
        <is>
          <t>Office &amp; Library Equipment</t>
        </is>
      </c>
      <c r="C7" s="19" t="inlineStr">
        <is>
          <t>IKEA PK000493 svc20392 (PCard) + Empire PK000001 svc20151 (AP)</t>
        </is>
      </c>
      <c r="D7" s="20" t="n">
        <v>2461.27</v>
      </c>
      <c r="E7" s="20" t="n">
        <v>2707.4</v>
      </c>
      <c r="F7" s="23" t="inlineStr">
        <is>
          <t>GREEN</t>
        </is>
      </c>
      <c r="G7" s="21" t="inlineStr">
        <is>
          <t>RED</t>
        </is>
      </c>
      <c r="H7" s="22" t="inlineStr">
        <is>
          <t>GREEN</t>
        </is>
      </c>
      <c r="I7" s="22" t="inlineStr">
        <is>
          <t>GREEN</t>
        </is>
      </c>
      <c r="J7" s="23" t="inlineStr">
        <is>
          <t>AMBER</t>
        </is>
      </c>
      <c r="K7" s="19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19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19" t="inlineStr">
        <is>
          <t>NA72312_Evidence/ (IKEA TE004431; Empire RL196475; ledger extract)</t>
        </is>
      </c>
      <c r="N7" s="19" t="inlineStr">
        <is>
          <t>CN-23167 (journal-ready, Spero)</t>
        </is>
      </c>
      <c r="O7" s="19" t="inlineStr">
        <is>
          <t>8-Jun-2026</t>
        </is>
      </c>
    </row>
    <row r="8" ht="53.25" customHeight="1" s="15">
      <c r="A8" s="19" t="inlineStr">
        <is>
          <t>73533</t>
        </is>
      </c>
      <c r="B8" s="19" t="inlineStr">
        <is>
          <t>Interstate Travel &amp; Accommodation</t>
        </is>
      </c>
      <c r="C8" s="19" t="inlineStr">
        <is>
          <t>Quinn PK000001 svc20151 (single BNE-MEL-BNE trip)</t>
        </is>
      </c>
      <c r="D8" s="20" t="n">
        <v>1021.7</v>
      </c>
      <c r="E8" s="20" t="n">
        <v>1123.87</v>
      </c>
      <c r="F8" s="22" t="inlineStr">
        <is>
          <t>GREEN</t>
        </is>
      </c>
      <c r="G8" s="22" t="inlineStr">
        <is>
          <t>GREEN</t>
        </is>
      </c>
      <c r="H8" s="22" t="inlineStr">
        <is>
          <t>GREEN</t>
        </is>
      </c>
      <c r="I8" s="22" t="inlineStr">
        <is>
          <t>GREEN</t>
        </is>
      </c>
      <c r="J8" s="23" t="inlineStr">
        <is>
          <t>GREEN</t>
        </is>
      </c>
      <c r="K8" s="19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      </is>
      </c>
      <c r="L8" s="19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M8" s="19" t="inlineStr">
        <is>
          <t>NA73533_Evidence/ (7-Eleven receipt L02 + Booking.com ibis hotel L07 both filed; ledger extract)</t>
        </is>
      </c>
      <c r="N8" s="19" t="inlineStr">
        <is>
          <t>CN-23167 ($6.55 73533-&gt;73512 posted)</t>
        </is>
      </c>
      <c r="O8" s="19" t="inlineStr">
        <is>
          <t>9-Jun-2026</t>
        </is>
      </c>
    </row>
    <row r="9" ht="63.75" customHeight="1" s="15">
      <c r="A9" s="19" t="inlineStr">
        <is>
          <t>73563</t>
        </is>
      </c>
      <c r="B9" s="19" t="inlineStr">
        <is>
          <t>Printing &amp; Stationery</t>
        </is>
      </c>
      <c r="C9" s="19" t="inlineStr">
        <is>
          <t>PK000001 svc20151 + PK000086 svc20141 + PK000082 svc20191</t>
        </is>
      </c>
      <c r="D9" s="20" t="n">
        <v>9495.370000000001</v>
      </c>
      <c r="E9" s="20" t="n">
        <v>10444.91</v>
      </c>
      <c r="F9" s="22" t="inlineStr">
        <is>
          <t>GREEN</t>
        </is>
      </c>
      <c r="G9" s="21" t="inlineStr">
        <is>
          <t>RED</t>
        </is>
      </c>
      <c r="H9" s="22" t="inlineStr">
        <is>
          <t>GREEN</t>
        </is>
      </c>
      <c r="I9" s="22" t="inlineStr">
        <is>
          <t>GREEN</t>
        </is>
      </c>
      <c r="J9" s="23" t="inlineStr">
        <is>
          <t>AMBER</t>
        </is>
      </c>
      <c r="K9" s="19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      </is>
      </c>
      <c r="L9" s="19" t="inlineStr">
        <is>
          <t>1 Upload the 73563 recode (in the live journal). 2 50/50-batch data check on the 73512 movements (Reason B). 3 Sight the TE005154 backup ($136.80) - the last evidence item - or Spero waiver.</t>
        </is>
      </c>
      <c r="M9" s="19" t="inlineStr">
        <is>
          <t>NA73563_Evidence/ (11 WINC invoices incl 9 newly sighted P1-P10, Officeworks 628185694, audit, recon, ledger)</t>
        </is>
      </c>
      <c r="N9" s="19" t="inlineStr">
        <is>
          <t>CN-23167 (journal-ready, Spero)</t>
        </is>
      </c>
      <c r="O9" s="19" t="inlineStr">
        <is>
          <t>9-Jun-2026</t>
        </is>
      </c>
    </row>
    <row r="10" ht="53.25" customHeight="1" s="15">
      <c r="A10" s="19" t="inlineStr">
        <is>
          <t>72114</t>
        </is>
      </c>
      <c r="B10" s="19" t="inlineStr">
        <is>
          <t>Uniforms</t>
        </is>
      </c>
      <c r="C10" s="19" t="inlineStr">
        <is>
          <t>Reali PK split (subset); account $26,236</t>
        </is>
      </c>
      <c r="D10" s="20" t="n">
        <v>1059.76</v>
      </c>
      <c r="E10" s="20" t="n">
        <v>1165.74</v>
      </c>
      <c r="F10" s="23" t="inlineStr">
        <is>
          <t>AMBER</t>
        </is>
      </c>
      <c r="G10" s="22" t="inlineStr">
        <is>
          <t>GREEN</t>
        </is>
      </c>
      <c r="H10" s="23" t="inlineStr">
        <is>
          <t>AMBER</t>
        </is>
      </c>
      <c r="I10" s="24" t="inlineStr">
        <is>
          <t>N/A</t>
        </is>
      </c>
      <c r="J10" s="23" t="inlineStr">
        <is>
          <t>AMBER</t>
        </is>
      </c>
      <c r="K10" s="19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 | 18-Jun: full 72114 ledger PROVIDED (112 lines $27,590.02, 51 with attachments); the $25,176.66 untested remainder is now line-visible for review.</t>
        </is>
      </c>
      <c r="L10" s="19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M10" s="19" t="inlineStr">
        <is>
          <t>NA72114_Scope_Note.md; Document_Reconstruction (GJ source) sighted; C00223414 Reali set provided; 00_Uniform_Listing_72114.xlsx (full account, per-line)</t>
        </is>
      </c>
      <c r="N10" s="19" t="inlineStr">
        <is>
          <t>CN-23167 (journal-ready, Spero)</t>
        </is>
      </c>
      <c r="O10" s="19" t="inlineStr">
        <is>
          <t>9-Jun-2026</t>
        </is>
      </c>
    </row>
    <row r="11" ht="53.25" customHeight="1" s="15">
      <c r="A11" s="19" t="inlineStr">
        <is>
          <t>73140</t>
        </is>
      </c>
      <c r="B11" s="19" t="inlineStr">
        <is>
          <t>Pre-Employment Background Checks</t>
        </is>
      </c>
      <c r="C11" s="19" t="inlineStr">
        <is>
          <t>CV Check PK000001 svc20001</t>
        </is>
      </c>
      <c r="D11" s="20" t="n">
        <v>3703.03</v>
      </c>
      <c r="E11" s="20" t="n">
        <v>4073.33</v>
      </c>
      <c r="F11" s="22" t="inlineStr">
        <is>
          <t>GREEN</t>
        </is>
      </c>
      <c r="G11" s="22" t="inlineStr">
        <is>
          <t>GREEN</t>
        </is>
      </c>
      <c r="H11" s="23" t="inlineStr">
        <is>
          <t>AMBER</t>
        </is>
      </c>
      <c r="I11" s="23" t="inlineStr">
        <is>
          <t>AMBER</t>
        </is>
      </c>
      <c r="J11" s="23" t="inlineStr">
        <is>
          <t>AMBER</t>
        </is>
      </c>
      <c r="K11" s="19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 | 17-Jun: five held Kinatico invoices VERIFIED (ABN 25 111 728 842 checksum PASS, GST exact to the cent on all five). Reconciliation: they total $7,996.86 ex-GST, 2.16x the 73140 SE2 balance of $3,703.03, so the monthly invoices bill the whole council and the Parks slice cannot be attributed. Correctly held unapplied; evidence limb stays AMBER pending the FY26 73140 ledger extract. | 18-Jun: 73140 ledger SIGHTED, reconciles $3,703.03 exact (22 lines, all att=Y). Two vendors found - CV Check/Kinatico and JobFit standing order. The five held Kinatico invoices ATTRIBUTED to their ledger lines by P-number (Parks slice $632.09; the invoices bill the whole council). Remaining evidence: 6 more CV Check months + 10 JobFit lines, all att=Y in TechOne.</t>
        </is>
      </c>
      <c r="L11" s="19" t="inlineStr">
        <is>
          <t>1 Sight a sample of CV Check AP invoices to confirm evidence and tax limbs. 2 On sighting, clear to GREEN (no recode expected). 3 Pull the FY26 73140 ledger extract and match the five held Kinatico invoices by month and amount before any limb moves.</t>
        </is>
      </c>
      <c r="M11" s="19" t="inlineStr">
        <is>
          <t>3-Jun review queue finding (no deliverable bundle this pass); 07_Intake_Held_Kinatico/ (5 Kinatico invoices, canonically renamed, held unapplied)</t>
        </is>
      </c>
      <c r="N11" s="19" t="inlineStr">
        <is>
          <t>n/a (no recode)</t>
        </is>
      </c>
      <c r="O11" s="19" t="inlineStr">
        <is>
          <t>18-Jun-2026 (ledger sighted; Kinatico attributed)</t>
        </is>
      </c>
    </row>
    <row r="12" ht="15" customHeight="1" s="15">
      <c r="A12" s="19" t="inlineStr">
        <is>
          <t>73511</t>
        </is>
      </c>
      <c r="B12" s="19" t="inlineStr">
        <is>
          <t>Entertainment &amp; Hospitality (FBT)</t>
        </is>
      </c>
      <c r="C12" s="19" t="inlineStr">
        <is>
          <t>7 svc codes (Natural Areas x3, Depots, Mgmt, Planning, Park Services); 126 lines incl Finance 50/50 batch pairs</t>
        </is>
      </c>
      <c r="D12" s="20" t="n">
        <v>5384.57</v>
      </c>
      <c r="E12" s="20" t="n">
        <v>5923.03</v>
      </c>
      <c r="F12" s="22" t="inlineStr">
        <is>
          <t>AMBER</t>
        </is>
      </c>
      <c r="G12" s="22" t="inlineStr">
        <is>
          <t>AMBER</t>
        </is>
      </c>
      <c r="H12" s="23" t="inlineStr">
        <is>
          <t>AMBER</t>
        </is>
      </c>
      <c r="I12" s="23" t="inlineStr">
        <is>
          <t>AMBER</t>
        </is>
      </c>
      <c r="J12" s="23" t="inlineStr">
        <is>
          <t>AMBER</t>
        </is>
      </c>
      <c r="K12" s="19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      </is>
      </c>
      <c r="L12" s="19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M12" s="19" t="inlineStr">
        <is>
          <t>NA73511_Evidence/ (annotated ledger extract; no receipts sighted)</t>
        </is>
      </c>
      <c r="N12" s="19" t="inlineStr">
        <is>
          <t>n/a (no recode staged)</t>
        </is>
      </c>
      <c r="O12" s="19" t="inlineStr">
        <is>
          <t>10-Jun-2026</t>
        </is>
      </c>
    </row>
    <row r="13" ht="137.25" customHeight="1" s="15">
      <c r="A13" s="19" t="inlineStr">
        <is>
          <t>73128</t>
        </is>
      </c>
      <c r="B13" s="19" t="inlineStr">
        <is>
          <t>Other services</t>
        </is>
      </c>
      <c r="C13" s="19" t="inlineStr">
        <is>
          <t>TCB milk standing order PO 709655, PK000001 svc20151 Depots (57 PUR + 4 GJ075544 lines) + Raj Aggarwal bond pair (nets $0.00)</t>
        </is>
      </c>
      <c r="D13" s="20" t="n">
        <v>1854.7</v>
      </c>
      <c r="E13" s="20" t="n">
        <v>1915.81</v>
      </c>
      <c r="F13" s="22" t="inlineStr">
        <is>
          <t>GREEN</t>
        </is>
      </c>
      <c r="G13" s="22" t="inlineStr">
        <is>
          <t>RED</t>
        </is>
      </c>
      <c r="H13" s="23" t="inlineStr">
        <is>
          <t>GREEN</t>
        </is>
      </c>
      <c r="I13" s="23" t="inlineStr">
        <is>
          <t>GREEN</t>
        </is>
      </c>
      <c r="J13" s="23" t="inlineStr">
        <is>
          <t>AMBER</t>
        </is>
      </c>
      <c r="K13" s="19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 | 18-Jun: TCB binder RE-EXTRACTED. The SecondIntake binder (C00216123) split into 25 standalone hash-verified TCB invoice PDFs (pages 3-27) + a separately-bundled Mundoolun Community Group refund matter (ABR + Qld Country Bank statement + email chain, pages 1-2/28-36) that was mis-filed in the binder. 56 of 114 journal lines moved CONSOLIDATED-&gt;PRESENT; the other 25 invoices (58 lines) are not in this binder (first intake). GST ERROR confirmed: TCB invoices show $0.00 GST but were booked with GST.</t>
        </is>
      </c>
      <c r="L13" s="19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M13" s="19" t="inlineStr">
        <is>
          <t>NA73128_Evidence/ (second-intake binder C00216123; ledger extract; ABR record); NA73128_Evidence_Manifest.csv (59 rows, no GAP)</t>
        </is>
      </c>
      <c r="N13" s="19" t="inlineStr">
        <is>
          <t>CN-23167 (journal-ready, Spero 10-Jun-2026)</t>
        </is>
      </c>
      <c r="O13" s="19" t="inlineStr">
        <is>
          <t>18-Jun-2026 (binder re-extracted)</t>
        </is>
      </c>
    </row>
    <row r="14" ht="15" customHeight="1" s="15">
      <c r="A14" s="19" t="inlineStr">
        <is>
          <t>73433</t>
        </is>
      </c>
      <c r="B14" s="19" t="inlineStr">
        <is>
          <t>Other Fees &amp; Charges</t>
        </is>
      </c>
      <c r="C14" s="19" t="inlineStr">
        <is>
          <t>Two lines: QUT parking PK000087 svc20001 + blue card recode-in PK000075 svc20411</t>
        </is>
      </c>
      <c r="D14" s="20" t="n">
        <v>139.25</v>
      </c>
      <c r="E14" s="20" t="n">
        <v>153.18</v>
      </c>
      <c r="F14" s="22" t="inlineStr">
        <is>
          <t>AMBER</t>
        </is>
      </c>
      <c r="G14" s="22" t="inlineStr">
        <is>
          <t>RED</t>
        </is>
      </c>
      <c r="H14" s="22" t="inlineStr">
        <is>
          <t>GREEN</t>
        </is>
      </c>
      <c r="I14" s="23" t="inlineStr">
        <is>
          <t>AMBER</t>
        </is>
      </c>
      <c r="J14" s="23" t="inlineStr">
        <is>
          <t>AMBER</t>
        </is>
      </c>
      <c r="K14" s="19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 | 17-Jun: manifest-vs-register conflict RECONCILED - the TE004496 Blue Card receipt (56213618922, $104.70 Div 81 exempt) is held and SIGHTED (NA73433_L02, SHA 95f8b186 verified); a stale duplicate GAP row was removed from the manifest. Both 73433 lines (TE005281, TE004496) now sighted.</t>
        </is>
      </c>
      <c r="L14" s="19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M14" s="19" t="inlineStr">
        <is>
          <t>NA73433_Evidence/ (QUT receipt TE005281, hash-verified)</t>
        </is>
      </c>
      <c r="N14" s="19" t="inlineStr">
        <is>
          <t>CN-23167 (journal-ready, Spero 10-Jun-2026; NA73433 stream in the live journal)</t>
        </is>
      </c>
      <c r="O14" s="19" t="inlineStr">
        <is>
          <t>10-Jun-2026</t>
        </is>
      </c>
    </row>
    <row r="15" ht="63.75" customHeight="1" s="15">
      <c r="A15" s="19" t="inlineStr">
        <is>
          <t>73512</t>
        </is>
      </c>
      <c r="B15" s="19" t="inlineStr">
        <is>
          <t>Entertainment &amp; Hospitality Non-FBT</t>
        </is>
      </c>
      <c r="C15" s="19" t="inlineStr">
        <is>
          <t>122 lines, 7 svc codes; volunteer reimbursements + FBT batch micro-lines</t>
        </is>
      </c>
      <c r="D15" s="20" t="n">
        <v>5520.97</v>
      </c>
      <c r="E15" s="20" t="n">
        <v>6073.07</v>
      </c>
      <c r="F15" s="22" t="inlineStr">
        <is>
          <t>AMBER</t>
        </is>
      </c>
      <c r="G15" s="22" t="inlineStr">
        <is>
          <t>AMBER</t>
        </is>
      </c>
      <c r="H15" s="23" t="inlineStr">
        <is>
          <t>AMBER</t>
        </is>
      </c>
      <c r="I15" s="23" t="inlineStr">
        <is>
          <t>AMBER</t>
        </is>
      </c>
      <c r="J15" s="23" t="inlineStr">
        <is>
          <t>AMBER</t>
        </is>
      </c>
      <c r="K15" s="19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L15" s="19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M15" s="19" t="inlineStr">
        <is>
          <t>NA73512_Evidence/ (5 receipts + 2 identity docs, hash-verified; identity docs carry full bank details, restrict to folder)</t>
        </is>
      </c>
      <c r="N15" s="19" t="inlineStr">
        <is>
          <t>n/a (no recode staged)</t>
        </is>
      </c>
      <c r="O15" s="19" t="inlineStr">
        <is>
          <t>10-Jun-2026</t>
        </is>
      </c>
    </row>
    <row r="16" ht="168" customHeight="1" s="15">
      <c r="A16" s="19" t="inlineStr">
        <is>
          <t>73544</t>
        </is>
      </c>
      <c r="B16" s="19" t="inlineStr">
        <is>
          <t>Training &amp; Development</t>
        </is>
      </c>
      <c r="C16" s="19" t="inlineStr">
        <is>
          <t>Full account: 41 lines, $69,232.16; 17 vendor docs + back-charges intake sighted</t>
        </is>
      </c>
      <c r="D16" s="20" t="n">
        <v>69232.16</v>
      </c>
      <c r="E16" s="20" t="n">
        <v>76155.38</v>
      </c>
      <c r="F16" s="22" t="inlineStr">
        <is>
          <t>AMBER</t>
        </is>
      </c>
      <c r="G16" s="22" t="inlineStr">
        <is>
          <t>AMBER</t>
        </is>
      </c>
      <c r="H16" s="23" t="inlineStr">
        <is>
          <t>AMBER</t>
        </is>
      </c>
      <c r="I16" s="23" t="inlineStr">
        <is>
          <t>AMBER</t>
        </is>
      </c>
      <c r="J16" s="23" t="inlineStr">
        <is>
          <t>AMBER</t>
        </is>
      </c>
      <c r="K16" s="19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      </is>
      </c>
      <c r="L16" s="19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      </is>
      </c>
      <c r="M16" s="19" t="inlineStr">
        <is>
          <t>NA73544_Evidence/ (46 files: 17-Jun added L23-L28 journal backups, SHA-verified)</t>
        </is>
      </c>
      <c r="N16" s="19" t="inlineStr">
        <is>
          <t>CN-23167 (journal-ready, Spero 11-Jun-2026; NA73544 PK-split stream in the live journal)</t>
        </is>
      </c>
      <c r="O16" s="19" t="inlineStr">
        <is>
          <t>17-Jun-2026</t>
        </is>
      </c>
    </row>
    <row r="17" ht="157.5" customHeight="1" s="15">
      <c r="A17" s="19" t="inlineStr">
        <is>
          <t>73212</t>
        </is>
      </c>
      <c r="B17" s="19" t="inlineStr">
        <is>
          <t>Major Contracts (3 section exports)</t>
        </is>
      </c>
      <c r="C17" s="19" t="inlineStr">
        <is>
          <t>Water Parks svc20802 $900 + Design&amp;Capital svc20191 $15,100 + s4090230 $38,242.75</t>
        </is>
      </c>
      <c r="D17" s="20" t="n">
        <v>54242.75</v>
      </c>
      <c r="E17" s="20" t="n">
        <v>59667.03</v>
      </c>
      <c r="F17" s="22" t="inlineStr">
        <is>
          <t>AMBER</t>
        </is>
      </c>
      <c r="G17" s="22" t="inlineStr">
        <is>
          <t>RED</t>
        </is>
      </c>
      <c r="H17" s="23" t="inlineStr">
        <is>
          <t>AMBER</t>
        </is>
      </c>
      <c r="I17" s="23" t="inlineStr">
        <is>
          <t>AMBER</t>
        </is>
      </c>
      <c r="J17" s="23" t="inlineStr">
        <is>
          <t>AMBER</t>
        </is>
      </c>
      <c r="K17" s="19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 | 17-Jun: Materials reclassification PK000372 (svc 20551 Fuel Reduction Burn) evidenced - EMU INV-0367/0389/0395 ($26,414.08) SIGHTED as the 72111-&gt;73212 destination legs of posted journal XRef 934000000001 (directive-authorised, nets $0.00). See workstream 08_Materials_Recode_PK000372. Not a new recode; already posted.</t>
        </is>
      </c>
      <c r="L17" s="19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M17" s="19" t="inlineStr">
        <is>
          <t>NA73212_Evidence/ (8 files, hash-verified)</t>
        </is>
      </c>
      <c r="N17" s="19" t="inlineStr">
        <is>
          <t>n/a (candidates held, no recode staged)</t>
        </is>
      </c>
      <c r="O17" s="19" t="inlineStr">
        <is>
          <t>17-Jun-2026 (intake disposition)</t>
        </is>
      </c>
    </row>
    <row r="18" ht="168" customHeight="1" s="15">
      <c r="A18" s="19" t="inlineStr">
        <is>
          <t>73215</t>
        </is>
      </c>
      <c r="B18" s="19" t="inlineStr">
        <is>
          <t>Major Contracts - Partnership (Alliance)</t>
        </is>
      </c>
      <c r="C18" s="19" t="inlineStr">
        <is>
          <t>Full account: PK000366 svc20511 (3 invoices) + 2 zero split lines</t>
        </is>
      </c>
      <c r="D18" s="20" t="n">
        <v>4739</v>
      </c>
      <c r="E18" s="20" t="n">
        <v>5212.9</v>
      </c>
      <c r="F18" s="22" t="inlineStr">
        <is>
          <t>GREEN</t>
        </is>
      </c>
      <c r="G18" s="22" t="inlineStr">
        <is>
          <t>RED</t>
        </is>
      </c>
      <c r="H18" s="23" t="inlineStr">
        <is>
          <t>GREEN</t>
        </is>
      </c>
      <c r="I18" s="23" t="inlineStr">
        <is>
          <t>GREEN</t>
        </is>
      </c>
      <c r="J18" s="23" t="inlineStr">
        <is>
          <t>AMBER</t>
        </is>
      </c>
      <c r="K18" s="19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      </is>
      </c>
      <c r="L18" s="19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M18" s="19" t="inlineStr">
        <is>
          <t>NA73215_Evidence/ (3 invoices + ledger extract, SHA-256 in NA73215_Evidence_Manifest.csv)</t>
        </is>
      </c>
      <c r="N18" s="19" t="inlineStr">
        <is>
          <t>n/a (candidate held, no recode staged)</t>
        </is>
      </c>
      <c r="O18" s="19" t="inlineStr">
        <is>
          <t>11-Jun-2026</t>
        </is>
      </c>
    </row>
    <row r="19" ht="137.25" customHeight="1" s="15">
      <c r="A19" s="19" t="inlineStr">
        <is>
          <t>73601</t>
        </is>
      </c>
      <c r="B19" s="19" t="inlineStr">
        <is>
          <t>Management Consultancies</t>
        </is>
      </c>
      <c r="C19" s="19" t="inlineStr">
        <is>
          <t>Full account: PK000087 svc20001 (single engagement, Org Risk Consulting)</t>
        </is>
      </c>
      <c r="D19" s="20" t="n">
        <v>46003.66</v>
      </c>
      <c r="E19" s="20" t="n">
        <v>50604.03</v>
      </c>
      <c r="F19" s="22" t="inlineStr">
        <is>
          <t>GREEN</t>
        </is>
      </c>
      <c r="G19" s="22" t="inlineStr">
        <is>
          <t>GREEN</t>
        </is>
      </c>
      <c r="H19" s="22" t="inlineStr">
        <is>
          <t>GREEN</t>
        </is>
      </c>
      <c r="I19" s="22" t="inlineStr">
        <is>
          <t>GREEN</t>
        </is>
      </c>
      <c r="J19" s="22" t="inlineStr">
        <is>
          <t>GREEN</t>
        </is>
      </c>
      <c r="K19" s="19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      </is>
      </c>
      <c r="L19" s="19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M19" s="19" t="inlineStr">
        <is>
          <t>NA73601_Evidence/ (INV-251010(2) + ledger extract); NA73601_Evidence_Manifest.csv (gap-listed)</t>
        </is>
      </c>
      <c r="N19" s="19" t="inlineStr">
        <is>
          <t>n/a (no recode expected; coding correct on sighted line)</t>
        </is>
      </c>
      <c r="O19" s="19" t="inlineStr">
        <is>
          <t>17-Jun-2026 (8 invoices sighted; GREEN)</t>
        </is>
      </c>
    </row>
    <row r="20" ht="157.5" customHeight="1" s="15">
      <c r="A20" s="19" t="inlineStr">
        <is>
          <t>73123</t>
        </is>
      </c>
      <c r="B20" s="19" t="inlineStr">
        <is>
          <t>Maintenance Services</t>
        </is>
      </c>
      <c r="C20" s="19" t="inlineStr">
        <is>
          <t>Full branch export received 11-Jun-2026 (3,776 lines); OPENED, not reconciled</t>
        </is>
      </c>
      <c r="D20" s="20" t="n">
        <v>0</v>
      </c>
      <c r="E20" s="20" t="n">
        <v>0</v>
      </c>
      <c r="F20" s="22" t="inlineStr">
        <is>
          <t>n/a</t>
        </is>
      </c>
      <c r="G20" s="22" t="inlineStr">
        <is>
          <t>n/a</t>
        </is>
      </c>
      <c r="H20" s="23" t="inlineStr">
        <is>
          <t>n/a</t>
        </is>
      </c>
      <c r="I20" s="23" t="inlineStr">
        <is>
          <t>n/a</t>
        </is>
      </c>
      <c r="J20" s="23" t="inlineStr">
        <is>
          <t>OPENED</t>
        </is>
      </c>
      <c r="K20" s="19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 | 18-Jun: reconciliation NARROWED. Export $3,951,109.43 confirmed exact (3,776 lines). Found $18,342.92 genuine duplicate inflation (333 excess lines) + duplicate journal pair RJ013539/RJ013556 (net zero, data-quality flag) + P12 timing -$23,785.70. Residual ~$31,995.72 needs GL confirmation of SE2 exclusions (SE2 is summary-only, no line detail). See 00_Analysis_Findings_PKmap_73123_18-Jun-2026.md.</t>
        </is>
      </c>
      <c r="L20" s="19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M20" s="19" t="inlineStr">
        <is>
          <t>NA73123_Scope_Note.md; NA73123_Evidence/ (full + 2 section ledger extracts)</t>
        </is>
      </c>
      <c r="N20" s="19" t="inlineStr">
        <is>
          <t>n/a (not worked)</t>
        </is>
      </c>
      <c r="O20" s="19" t="inlineStr">
        <is>
          <t>18-Jun-2026 (reconciliation narrowed)</t>
        </is>
      </c>
    </row>
    <row r="21" ht="126.75" customHeight="1" s="15">
      <c r="A21" s="19" t="inlineStr">
        <is>
          <t>73211</t>
        </is>
      </c>
      <c r="B21" s="19" t="inlineStr">
        <is>
          <t>Minor Contracts (below $20,000)</t>
        </is>
      </c>
      <c r="C21" s="19" t="inlineStr">
        <is>
          <t>Full account: 114 lines, 23 cost codes; section subsets verified (Natural Areas $116,963.24, Depots $23,626.58)</t>
        </is>
      </c>
      <c r="D21" s="20" t="n">
        <v>267532.19</v>
      </c>
      <c r="E21" s="20" t="n">
        <v>294285.41</v>
      </c>
      <c r="F21" s="23" t="inlineStr">
        <is>
          <t>AMBER</t>
        </is>
      </c>
      <c r="G21" s="23" t="inlineStr">
        <is>
          <t>AMBER</t>
        </is>
      </c>
      <c r="H21" s="23" t="inlineStr">
        <is>
          <t>AMBER</t>
        </is>
      </c>
      <c r="I21" s="23" t="inlineStr">
        <is>
          <t>AMBER</t>
        </is>
      </c>
      <c r="J21" s="23" t="inlineStr">
        <is>
          <t>AMBER</t>
        </is>
      </c>
      <c r="K21" s="19" t="inlineStr">
        <is>
          <t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 | 17-Jun: Materials Journal intake closed two more evidence gaps - EWN INV-14768 ($375.00) and Wallum 00059013 ($276.80) now SIGHTED. Four gaps remain: Provac INV-00037183 ($2,050, no source), Telstra Dec-25 ($727.95, intake scan image-only), Wallum 00031055/79/85/86 ($1,668) and 00060617/47 ($493.40).</t>
        </is>
      </c>
      <c r="L21" s="19" t="inlineStr">
        <is>
          <t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</t>
        </is>
      </c>
      <c r="M21" s="19" t="inlineStr">
        <is>
          <t>02_NA73211_Minor_Contracts/ (verification record + 11-Jun + 17-Jun addenda; NA73211_Evidence/ 59 files; NA73211_Evidence_Manifest.csv; NA73211_EvidencePass_17-Jun-2026.csv)</t>
        </is>
      </c>
      <c r="N21" s="19" t="inlineStr">
        <is>
          <t>n/a (no recode staged; findings held un-instructed)</t>
        </is>
      </c>
      <c r="O21" s="19" t="inlineStr">
        <is>
          <t>17-Jun-2026 (intake disposition)</t>
        </is>
      </c>
    </row>
    <row r="22" ht="178.5" customHeight="1" s="15">
      <c r="A22" s="19" t="inlineStr">
        <is>
          <t>62121/62125</t>
        </is>
      </c>
      <c r="B22" s="19" t="inlineStr">
        <is>
          <t>Cemetery Revenue (Garside query)</t>
        </is>
      </c>
      <c r="C22" s="19" t="inlineStr">
        <is>
          <t>PK000400 pre-purchase lines 1-20446-62125 + related 62121 lines (svc 20446, 20131, 20453)</t>
        </is>
      </c>
      <c r="D22" s="20" t="n">
        <v>3711.73</v>
      </c>
      <c r="E22" s="20" t="n">
        <v>3867</v>
      </c>
      <c r="F22" s="23" t="inlineStr">
        <is>
          <t>AMBER</t>
        </is>
      </c>
      <c r="G22" s="22" t="inlineStr">
        <is>
          <t>GREEN</t>
        </is>
      </c>
      <c r="H22" s="23" t="inlineStr">
        <is>
          <t>AMBER</t>
        </is>
      </c>
      <c r="I22" s="23" t="inlineStr">
        <is>
          <t>AMBER</t>
        </is>
      </c>
      <c r="J22" s="23" t="inlineStr">
        <is>
          <t>AMBER</t>
        </is>
      </c>
      <c r="K22" s="19" t="inlineStr">
        <is>
          <t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      </is>
      </c>
      <c r="L22" s="19" t="inlineStr">
        <is>
          <t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      </is>
      </c>
      <c r="M22" s="19" t="inlineStr">
        <is>
          <t>03_Cemetery_Revenue_62121_62125/ (CEM_Verification_Record.md; Evidence/ 6 files incl the Garside email)</t>
        </is>
      </c>
      <c r="N22" s="19" t="inlineStr">
        <is>
          <t>n/a (correction already in-ledger via GJ076150)</t>
        </is>
      </c>
      <c r="O22" s="19" t="inlineStr">
        <is>
          <t>11-Jun-2026</t>
        </is>
      </c>
    </row>
    <row r="23" ht="126.75" customHeight="1" s="15">
      <c r="A23" s="19" t="inlineStr">
        <is>
          <t>7B532</t>
        </is>
      </c>
      <c r="B23" s="19" t="inlineStr">
        <is>
          <t>Internal - Spoils (Cemeteries)</t>
        </is>
      </c>
      <c r="C23" s="19" t="inlineStr">
        <is>
          <t>3 internal journal lines, 1-20451-7B532, PK000403</t>
        </is>
      </c>
      <c r="D23" s="20" t="n">
        <v>2944</v>
      </c>
      <c r="E23" s="20" t="n">
        <v>2944</v>
      </c>
      <c r="F23" s="22" t="inlineStr">
        <is>
          <t>GREEN</t>
        </is>
      </c>
      <c r="G23" s="22" t="inlineStr">
        <is>
          <t>GREEN</t>
        </is>
      </c>
      <c r="H23" s="23" t="inlineStr">
        <is>
          <t>AMBER</t>
        </is>
      </c>
      <c r="I23" s="24" t="inlineStr">
        <is>
          <t>n/a</t>
        </is>
      </c>
      <c r="J23" s="23" t="inlineStr">
        <is>
          <t>AMBER</t>
        </is>
      </c>
      <c r="K23" s="19" t="inlineStr">
        <is>
          <t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      </is>
      </c>
      <c r="L23" s="19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M23" s="19" t="inlineStr">
        <is>
          <t>04_NA7B532_Internal_Spoils/ (NA7B532_Verification_Record.md; evidence manifest; 2 Bega Road sheets)</t>
        </is>
      </c>
      <c r="N23" s="19" t="inlineStr">
        <is>
          <t>n/a (no recode staged; duplicate unconfirmed)</t>
        </is>
      </c>
      <c r="O23" s="19" t="inlineStr">
        <is>
          <t>11-Jun-2026</t>
        </is>
      </c>
    </row>
    <row r="24" ht="116.25" customHeight="1" s="15">
      <c r="A24" s="19" t="inlineStr">
        <is>
          <t>7B214</t>
        </is>
      </c>
      <c r="B24" s="19" t="inlineStr">
        <is>
          <t>Internal - Maintenance Services</t>
        </is>
      </c>
      <c r="C24" s="19" t="inlineStr">
        <is>
          <t>3 internal journal lines (svc 20151, 20392, 20361)</t>
        </is>
      </c>
      <c r="D24" s="20" t="n">
        <v>7570.5</v>
      </c>
      <c r="E24" s="20" t="n">
        <v>7570.5</v>
      </c>
      <c r="F24" s="23" t="inlineStr">
        <is>
          <t>AMBER</t>
        </is>
      </c>
      <c r="G24" s="23" t="inlineStr">
        <is>
          <t>AMBER</t>
        </is>
      </c>
      <c r="H24" s="23" t="inlineStr">
        <is>
          <t>AMBER</t>
        </is>
      </c>
      <c r="I24" s="24" t="inlineStr">
        <is>
          <t>n/a</t>
        </is>
      </c>
      <c r="J24" s="23" t="inlineStr">
        <is>
          <t>AMBER</t>
        </is>
      </c>
      <c r="K24" s="19" t="inlineStr">
        <is>
          <t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      </is>
      </c>
      <c r="L24" s="19" t="inlineStr">
        <is>
          <t>1 Obtain the Transport Operations oncharge backup for IJ073869 ($3,600). 2 Obtain DA/4574 for IJ074845 ($3,888) and confirm the svc 20361 attribution.</t>
        </is>
      </c>
      <c r="M24" s="19" t="inlineStr">
        <is>
          <t>05_NA7B214_Internal_Maintenance/ (NA7B214_Verification_Record.md; evidence manifest; CSL sheet + Durant email)</t>
        </is>
      </c>
      <c r="N24" s="19" t="inlineStr">
        <is>
          <t>n/a (no recode staged)</t>
        </is>
      </c>
      <c r="O24" s="19" t="inlineStr">
        <is>
          <t>11-Jun-2026</t>
        </is>
      </c>
    </row>
    <row r="25" ht="105.75" customHeight="1" s="15">
      <c r="A25" s="19" t="inlineStr">
        <is>
          <t>73541</t>
        </is>
      </c>
      <c r="B25" s="19" t="inlineStr">
        <is>
          <t>Conferences &amp; Seminar Fees</t>
        </is>
      </c>
      <c r="C25" s="19" t="inlineStr">
        <is>
          <t>6 lines net (svc 20641 PCard + closed recode and reversal pairs)</t>
        </is>
      </c>
      <c r="D25" s="20" t="n">
        <v>642.14</v>
      </c>
      <c r="E25" s="20" t="n">
        <v>706.35</v>
      </c>
      <c r="F25" s="22" t="inlineStr">
        <is>
          <t>GREEN</t>
        </is>
      </c>
      <c r="G25" s="22" t="inlineStr">
        <is>
          <t>GREEN</t>
        </is>
      </c>
      <c r="H25" s="23" t="inlineStr">
        <is>
          <t>AMBER</t>
        </is>
      </c>
      <c r="I25" s="23" t="inlineStr">
        <is>
          <t>AMBER</t>
        </is>
      </c>
      <c r="J25" s="23" t="inlineStr">
        <is>
          <t>AMBER</t>
        </is>
      </c>
      <c r="K25" s="19" t="inlineStr">
        <is>
          <t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L25" s="19" t="inlineStr">
        <is>
          <t>1 Sight the Trailbuilders registration backup for TE004922 ($642.14 combined) on the PCard reconciliation.</t>
        </is>
      </c>
      <c r="M25" s="19" t="inlineStr">
        <is>
          <t>06_NA73541_Conferences/NA73541_Notes_and_Kinatico_Intake.md (none sighted)</t>
        </is>
      </c>
      <c r="N25" s="19" t="inlineStr">
        <is>
          <t>n/a (TE004218 recode already in-ledger via GJ078933)</t>
        </is>
      </c>
      <c r="O25" s="19" t="inlineStr">
        <is>
          <t>11-Jun-2026</t>
        </is>
      </c>
    </row>
    <row r="26" ht="15" customHeight="1" s="15">
      <c r="A26" s="19" t="inlineStr">
        <is>
          <t>73122</t>
        </is>
      </c>
      <c r="B26" s="19" t="inlineStr">
        <is>
          <t>Garbage Collection</t>
        </is>
      </c>
      <c r="C26" s="19" t="inlineStr">
        <is>
          <t>PK000001 svc20151 + PK000022 svc20392</t>
        </is>
      </c>
      <c r="D26" s="20" t="n">
        <v>21876.6</v>
      </c>
      <c r="E26" s="20" t="n">
        <v>24064.26</v>
      </c>
      <c r="F26" s="22" t="inlineStr">
        <is>
          <t>GREEN</t>
        </is>
      </c>
      <c r="G26" s="22" t="inlineStr">
        <is>
          <t>GREEN</t>
        </is>
      </c>
      <c r="H26" s="23" t="inlineStr">
        <is>
          <t>AMBER</t>
        </is>
      </c>
      <c r="I26" s="23" t="inlineStr">
        <is>
          <t>AMBER</t>
        </is>
      </c>
      <c r="J26" s="23" t="inlineStr">
        <is>
          <t>AMBER</t>
        </is>
      </c>
      <c r="K26" s="19" t="inlineStr">
        <is>
          <t>Cleanaway allocated garbage slice; coding correct, reconciles to SE2 $0.00. F1 5 of 9 months unsighted; F2 no Parks tax invoice by design; F3 EOM accrual nets $0.00; F4 ABN not sighted.</t>
        </is>
      </c>
      <c r="L26" s="19" t="inlineStr">
        <is>
          <t>4: Cleanaway statements Jul/Sep/Dec 2025; 7 monthly allocation journals; sight &amp; validate Cleanaway ABN; Sep GJ077308 attachment flag N.</t>
        </is>
      </c>
      <c r="M26" s="19" t="inlineStr">
        <is>
          <t>NA73122_Evidence/ + 4 council-wide Cleanaway statements fingerprinted in manifest</t>
        </is>
      </c>
      <c r="N26" s="19" t="inlineStr">
        <is>
          <t>NIL recode (coding correct)</t>
        </is>
      </c>
      <c r="O26" s="19" t="inlineStr">
        <is>
          <t>17-Jun-2026</t>
        </is>
      </c>
    </row>
    <row r="27" ht="15" customHeight="1" s="15">
      <c r="A27" s="19" t="inlineStr">
        <is>
          <t>7B213</t>
        </is>
      </c>
      <c r="B27" s="19" t="inlineStr">
        <is>
          <t>Internal - Medical Services (Immunisation)</t>
        </is>
      </c>
      <c r="C27" s="19" t="inlineStr">
        <is>
          <t>Whole-branch immunisation on NatAreas PK000432 (svc 20318); 70 lines P2-P12</t>
        </is>
      </c>
      <c r="D27" s="20" t="n">
        <v>4861.7</v>
      </c>
      <c r="E27" s="20" t="n">
        <v>4861.7</v>
      </c>
      <c r="F27" s="23" t="inlineStr">
        <is>
          <t>AMBER</t>
        </is>
      </c>
      <c r="G27" s="22" t="inlineStr">
        <is>
          <t>GREEN</t>
        </is>
      </c>
      <c r="H27" s="22" t="inlineStr">
        <is>
          <t>GREEN</t>
        </is>
      </c>
      <c r="I27" s="25" t="inlineStr">
        <is>
          <t>n/a</t>
        </is>
      </c>
      <c r="J27" s="23" t="inlineStr">
        <is>
          <t>AMBER</t>
        </is>
      </c>
      <c r="K27" s="19" t="inlineStr">
        <is>
          <t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 | 18-Jun: EVIDENCE CITED. Parks 4090000 7B213 ledger export sighted - 70 lines reconcile $4,861.70 exact, all 11 source IJs match line-for-line; Internal Immunisation Services Journal (per-person/vaccine source) also held. Evidence limb GREEN. Tax limb n/a (internal charge).</t>
        </is>
      </c>
      <c r="L27" s="19" t="inlineStr">
        <is>
          <t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      </is>
      </c>
      <c r="M27" s="19" t="inlineStr">
        <is>
          <t>NA7B213_Verification_Record.md; NA7B213_GENJNL_Recode.txt; NA7B213_Employee_PK_Mapping.csv; NA7B213_Held_Items.md; NA7B213_Evidence/ (GAP, unsighted)</t>
        </is>
      </c>
      <c r="N27" s="19" t="inlineStr">
        <is>
          <t>CN-23167 (journal-ready, Spero; $3,799.50 svc-PK split, 17 pairs, nets $0.00)</t>
        </is>
      </c>
      <c r="O27" s="19" t="inlineStr">
        <is>
          <t>18-Jun-2026 (70 lines cited)</t>
        </is>
      </c>
    </row>
    <row r="28" ht="15" customHeight="1" s="15">
      <c r="C28" s="26" t="inlineStr">
        <is>
          <t>TOTAL reviewed $ (this register)</t>
        </is>
      </c>
      <c r="D28" s="27">
        <f>SUM(D5:D27)</f>
        <v/>
      </c>
      <c r="E28" s="27">
        <f>SUM(E5:E27)</f>
        <v/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2026-06-08T22:42:49Z</dcterms:created>
  <dcterms:modified xsi:type="dcterms:W3CDTF">2026-06-17T23:13:33Z</dcterms:modified>
  <cp:revision>0</cp:revision>
</cp:coreProperties>
</file>