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 | 18-Jun: reconciliation NARROWED. Export $3,951,109.43 confirmed exact (3,776 lines). Found $18,342.92 genuine duplicate inflation (333 excess lines) + duplicate journal pair RJ013539/RJ013556 (net zero, data-quality flag) + P12 timing -$23,785.70. Residual ~$31,995.72 needs GL confirmation of SE2 exclusions (SE2 is summary-only, no line detail). See 00_Analysis_Findings_PKmap_73123_18-Jun-2026.md.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18-Jun-2026 (reconciliation narrowed)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121 lines, 23 cost codes; reconciled to SE2 26SLACT Accum Act p1-12 $268,032.19 to the cent (18-Jun-2026); supersedes prior $236,378.27 scope</t>
        </is>
      </c>
      <c r="D21" s="20" t="n">
        <v>268032.19</v>
      </c>
      <c r="E21" s="20" t="n">
        <v>294835.41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 | 18-Jun-2026: full export ties to SE2 enquiry $268,032.19 (121 lines) to the cent - scope reconciled UP from $236,378.27; the $31,653.92 was genuine P11/P12 activity, SE2-confirmed. Ausecology $450 residual CLOSED via GJ078960 Document Reconstruction (= EWN INV-14566 $75 + INV-14768 $375 legs in the same journal); EWN INV-14768 quantified $375. Wallum 00060617 ($319.60) and Barbs Trees 00031055 ($528.00) SIGHTED exact, ABN checksums PASS. PRINCE2 DOC0079602 confirmed a TWO-LIMB recode: 73211-&gt;73544 AND PK000082-&gt;PK000086 (Duen Jaemjamrat, svc 20141, off-home-PK miscode).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 | 18-Jun: NEW GAPs - 00001190 cemeteries standing order $500 (P12, PK000083, doc 1240297) and Destination Trails INV-0356 $24,340 (P12, above $20k floor, feeds F2). Small-series remainder now 00031079/85/86 + 00060647 ($1,313.80). Telstra Dec-25 already closed via Document Reconstruction 97; vendor PDF C00255407 now in _Sources_18-Jun-2026/ can upgrade it to a vendor sighting later. | 18-Jun pass 2: 15 Barbs/Wallum/RST small-series invoices SIGHTED exact (+$11,458.60), ABNs PASS; residual small-series 6 lines $3,133.70 (00059199/568/569, 00060647/756, 00061080) + Provac $2,050.</t>
        </is>
      </c>
      <c r="M21" s="19" t="inlineStr">
        <is>
          <t>02_NA73211_Minor_Contracts/ (verification record + 11/17/18-Jun addenda; NA73211_Evidence/ 63 files; NA73211_Evidence_Manifest.csv; NA73211_EvidencePass_17-Jun &amp; 18-Jun-2026.csv)</t>
        </is>
      </c>
      <c r="N21" s="19" t="inlineStr">
        <is>
          <t>n/a (no recode staged; findings held un-instructed)</t>
        </is>
      </c>
      <c r="O21" s="19" t="inlineStr">
        <is>
          <t>18-Jun-2026 (evidence pass 2)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</t>
        </is>
      </c>
      <c r="M25" s="19" t="inlineStr">
        <is>
          <t>06_NA73541_Conferences/NA73541_Notes_and_Kinatico_Intake.md (none sighted)</t>
        </is>
      </c>
      <c r="N25" s="19" t="inlineStr">
        <is>
          <t>n/a (TE004218 recode already in-ledger via GJ078933)</t>
        </is>
      </c>
      <c r="O25" s="19" t="inlineStr">
        <is>
          <t>11-Jun-2026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A28" s="14" t="inlineStr">
        <is>
          <t>73124</t>
        </is>
      </c>
      <c r="B28" s="14" t="inlineStr">
        <is>
          <t>Security</t>
        </is>
      </c>
      <c r="C28" s="14" t="inlineStr">
        <is>
          <t>Full account: 28 lines; svc 20302 Parks Security Services holds $263,150.30</t>
        </is>
      </c>
      <c r="D28" s="14" t="n">
        <v>264132.36</v>
      </c>
      <c r="E28" s="14" t="n">
        <v>290545.6</v>
      </c>
      <c r="F28" s="14" t="inlineStr">
        <is>
          <t>GREEN</t>
        </is>
      </c>
      <c r="G28" s="14" t="inlineStr">
        <is>
          <t>GREEN</t>
        </is>
      </c>
      <c r="H28" s="14" t="inlineStr">
        <is>
          <t>AMBER</t>
        </is>
      </c>
      <c r="I28" s="14" t="inlineStr">
        <is>
          <t>AMBER</t>
        </is>
      </c>
      <c r="J28" s="14" t="inlineStr">
        <is>
          <t>AMBER</t>
        </is>
      </c>
      <c r="K28" s="14" t="inlineStr">
        <is>
          <t>Coding-correct, NIL recode. Reconciles to SE2 to the cent ($264,132.36). L1/L2 GREEN: security correctly 73124 (dedicated NA; $27k/mo contract does not push to 73212 floor). Held AMBER on evidence only.</t>
        </is>
      </c>
      <c r="L28" s="14" t="inlineStr">
        <is>
          <t>Sight the 25 security invoices + ~$24,600 credit note; confirm supplier ABN (checksum+ABR) and the Council security contract. No journal.</t>
        </is>
      </c>
      <c r="M28" s="14" t="inlineStr">
        <is>
          <t>NA73124_Verification_Record.md; Ledger_73124_18-Jun-2026.xlsx</t>
        </is>
      </c>
      <c r="N28" s="14" t="inlineStr">
        <is>
          <t>n/a (no recode)</t>
        </is>
      </c>
      <c r="O28" s="14" t="inlineStr">
        <is>
          <t>18-Jun-2026 (4-limb pass)</t>
        </is>
      </c>
    </row>
    <row r="29">
      <c r="A29" s="14" t="inlineStr">
        <is>
          <t>73535</t>
        </is>
      </c>
      <c r="B29" s="14" t="inlineStr">
        <is>
          <t>Tollway Charges</t>
        </is>
      </c>
      <c r="C29" s="14" t="inlineStr">
        <is>
          <t>Full account: 587 lines, 12 toll accounts across 17 svc codes</t>
        </is>
      </c>
      <c r="D29" s="14" t="n">
        <v>46010.25</v>
      </c>
      <c r="E29" s="14" t="n">
        <v>50611.28</v>
      </c>
      <c r="F29" s="14" t="inlineStr">
        <is>
          <t>GREEN</t>
        </is>
      </c>
      <c r="G29" s="14" t="inlineStr">
        <is>
          <t>GREEN</t>
        </is>
      </c>
      <c r="H29" s="14" t="inlineStr">
        <is>
          <t>AMBER</t>
        </is>
      </c>
      <c r="I29" s="14" t="inlineStr">
        <is>
          <t>AMBER</t>
        </is>
      </c>
      <c r="J29" s="14" t="inlineStr">
        <is>
          <t>AMBER</t>
        </is>
      </c>
      <c r="K29" s="14" t="inlineStr">
        <is>
          <t>Coding-correct, NIL recode. Reconciles to SE2 to the cent ($46,010.25). L1/L2 GREEN: all toll-tag charges correctly 73535, attributed to the using section PK. Held AMBER on evidence only.</t>
        </is>
      </c>
      <c r="L29" s="14" t="inlineStr">
        <is>
          <t>Sight the 12 Linkt/GoVia monthly statements; cross-check REGO list to the Parks fleet; confirm provider ABN/GST. No journal.</t>
        </is>
      </c>
      <c r="M29" s="14" t="inlineStr">
        <is>
          <t>NA73535_Verification_Record.md; Ledger_73535_18-Jun-2026.xlsx</t>
        </is>
      </c>
      <c r="N29" s="14" t="inlineStr">
        <is>
          <t>n/a (no recode)</t>
        </is>
      </c>
      <c r="O29" s="14" t="inlineStr">
        <is>
          <t>18-Jun-2026 (4-limb pass)</t>
        </is>
      </c>
    </row>
    <row r="30">
      <c r="C30" s="26" t="inlineStr">
        <is>
          <t>TOTAL reviewed $ (this register)</t>
        </is>
      </c>
      <c r="D30" s="27">
        <f>SUM(D5:D29)</f>
        <v/>
      </c>
      <c r="E30" s="27">
        <f>SUM(E5:E29)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2026-06-18T01:47:33Z</dcterms:modified>
  <cp:revision>0</cp:revision>
</cp:coreProperties>
</file>