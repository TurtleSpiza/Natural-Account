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<sst xmlns="http://schemas.openxmlformats.org/spreadsheetml/2006/main" count="109" uniqueCount="70">
  <si>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</si>
  <si>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</si>
  <si>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</si>
  <si>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</si>
  <si>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</si>
  <si>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</si>
  <si>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</si>
  <si>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</si>
  <si>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</si>
  <si>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</si>
  <si>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</si>
  <si>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</si>
  <si>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</si>
  <si>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</si>
  <si>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</si>
  <si>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</si>
  <si>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</si>
  <si>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</si>
  <si>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</si>
  <si>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</si>
  <si>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</si>
  <si>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</si>
  <si>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</si>
  <si>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(held)</t>
  </si>
  <si>
    <t xml:space="preserve">CN-23167 (held: A 73564-&gt;73566 sw;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</si>
  <si>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</si>
  <si>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</si>
  <si>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</si>
  <si>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</si>
  <si>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</si>
  <si>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</si>
  <si>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</si>
  <si>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</t>
  </si>
  <si>
    <t xml:space="preserve">NA72111 note; _CarryForward Doc46/Doc45 source journals</t>
  </si>
  <si>
    <t xml:space="preserve">CN-23167 (held)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</si>
  <si>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</si>
  <si>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</si>
  <si>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</si>
  <si>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</si>
  <si>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</si>
  <si>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</si>
  <si>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</si>
  <si>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</si>
  <si>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</si>
  <si>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</si>
  <si>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</si>
  <si>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</si>
  <si>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</si>
  <si>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</si>
  <si>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</si>
  <si>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</si>
  <si>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</si>
  <si>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</si>
  <si>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</t>
  </si>
  <si>
    <t xml:space="preserve">NA73563_Evidence/ (WINC P1-P10 audit, April, Feb, Officeworks 628185694,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</si>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</sst>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34</v>
      </c>
      <c r="O7" s="5" t="s">
        <v>41</v>
      </c>
    </row>
    <row r="8" customFormat="false" ht="53.25" hidden="false" customHeight="true" outlineLevel="0" collapsed="false">
      <c r="A8" s="5" t="s">
        <v>42</v>
      </c>
      <c r="B8" s="5" t="s">
        <v>43</v>
      </c>
      <c r="C8" s="5" t="s">
        <v>44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45</v>
      </c>
      <c r="L8" s="5" t="s">
        <v>46</v>
      </c>
      <c r="M8" s="5" t="s">
        <v>47</v>
      </c>
      <c r="N8" s="5" t="s">
        <v>48</v>
      </c>
      <c r="O8" s="5" t="s">
        <v>25</v>
      </c>
    </row>
    <row r="9" customFormat="false" ht="63.75" hidden="false" customHeight="true" outlineLevel="0" collapsed="false">
      <c r="A9" s="5" t="s">
        <v>49</v>
      </c>
      <c r="B9" s="5" t="s">
        <v>50</v>
      </c>
      <c r="C9" s="5" t="s">
        <v>51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20</v>
      </c>
      <c r="I9" s="8" t="s">
        <v>29</v>
      </c>
      <c r="J9" s="9" t="s">
        <v>20</v>
      </c>
      <c r="K9" s="5" t="s">
        <v>52</v>
      </c>
      <c r="L9" s="5" t="s">
        <v>53</v>
      </c>
      <c r="M9" s="5" t="s">
        <v>54</v>
      </c>
      <c r="N9" s="5" t="s">
        <v>34</v>
      </c>
      <c r="O9" s="5" t="s">
        <v>25</v>
      </c>
    </row>
    <row r="10" customFormat="false" ht="53.25" hidden="false" customHeight="true" outlineLevel="0" collapsed="false">
      <c r="A10" s="5" t="s">
        <v>55</v>
      </c>
      <c r="B10" s="5" t="s">
        <v>56</v>
      </c>
      <c r="C10" s="5" t="s">
        <v>57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58</v>
      </c>
      <c r="J10" s="9" t="s">
        <v>20</v>
      </c>
      <c r="K10" s="5" t="s">
        <v>59</v>
      </c>
      <c r="L10" s="5" t="s">
        <v>60</v>
      </c>
      <c r="M10" s="5" t="s">
        <v>61</v>
      </c>
      <c r="N10" s="5" t="s">
        <v>34</v>
      </c>
      <c r="O10" s="5" t="s">
        <v>25</v>
      </c>
    </row>
    <row r="11" customFormat="false" ht="53.25" hidden="false" customHeight="true" outlineLevel="0" collapsed="false">
      <c r="A11" s="5" t="s">
        <v>62</v>
      </c>
      <c r="B11" s="5" t="s">
        <v>63</v>
      </c>
      <c r="C11" s="5" t="s">
        <v>64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65</v>
      </c>
      <c r="L11" s="5" t="s">
        <v>66</v>
      </c>
      <c r="M11" s="5" t="s">
        <v>67</v>
      </c>
      <c r="N11" s="5" t="s">
        <v>68</v>
      </c>
      <c r="O11" s="5" t="s">
        <v>25</v>
      </c>
    </row>
    <row r="12" customFormat="false" ht="15" hidden="false" customHeight="true" outlineLevel="0" collapsed="false">
      <c r="C12" s="11" t="s">
        <v>69</v>
      </c>
      <c r="D12" s="12" t="n">
        <f aca="false">SUM(D5:D11)</f>
        <v>64568.41</v>
      </c>
      <c r="E12" s="12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2026-06-09T08:37:58Z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