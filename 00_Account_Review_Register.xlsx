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i val="1"/>
      <sz val="9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sz val="9"/>
    </font>
    <font>
      <name val="Segoe UI"/>
      <charset val="1"/>
      <family val="0"/>
      <b val="1"/>
      <sz val="9"/>
    </font>
    <font>
      <name val="Segoe UI"/>
      <b val="1"/>
      <sz val="9"/>
    </font>
  </fonts>
  <fills count="11">
    <fill>
      <patternFill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O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3" min="1" max="1"/>
    <col width="26" customWidth="1" style="13" min="2" max="2"/>
    <col width="30" customWidth="1" style="13" min="3" max="3"/>
    <col width="12" customWidth="1" style="13" min="4" max="5"/>
    <col width="7" customWidth="1" style="13" min="6" max="9"/>
    <col width="8" customWidth="1" style="13" min="10" max="10"/>
    <col width="52" customWidth="1" style="13" min="11" max="12"/>
    <col width="34" customWidth="1" style="13" min="13" max="13"/>
    <col width="14" customWidth="1" style="13" min="14" max="14"/>
    <col width="11" customWidth="1" style="13" min="15" max="15"/>
  </cols>
  <sheetData>
    <row r="1" ht="24" customHeight="1" s="14">
      <c r="A1" s="15" t="inlineStr">
        <is>
          <t>LCC Parks 4090000  —  Account Review Register</t>
        </is>
      </c>
    </row>
    <row r="2" ht="15" customHeight="1" s="14">
      <c r="A2" s="16" t="inlineStr">
        <is>
          <t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  POLICY 9-Jun: no emails are sent (Finance included); decisions are Spero's and prepared recodes are journal-ready (no Finance-acceptance gate). Outstanding lines live in this register and the live journal 00_Live_Recode_Journal.xlsx.</t>
        </is>
      </c>
    </row>
    <row r="4" ht="23.25" customHeight="1" s="14">
      <c r="A4" s="17" t="inlineStr">
        <is>
          <t>Account</t>
        </is>
      </c>
      <c r="B4" s="17" t="inlineStr">
        <is>
          <t>Account name</t>
        </is>
      </c>
      <c r="C4" s="17" t="inlineStr">
        <is>
          <t>Section / PK in scope</t>
        </is>
      </c>
      <c r="D4" s="17" t="inlineStr">
        <is>
          <t>$ ex-GST</t>
        </is>
      </c>
      <c r="E4" s="17" t="inlineStr">
        <is>
          <t>$ incl GST</t>
        </is>
      </c>
      <c r="F4" s="17" t="inlineStr">
        <is>
          <t>L1 PK</t>
        </is>
      </c>
      <c r="G4" s="17" t="inlineStr">
        <is>
          <t>L2 NA</t>
        </is>
      </c>
      <c r="H4" s="17" t="inlineStr">
        <is>
          <t>L3 Evid</t>
        </is>
      </c>
      <c r="I4" s="17" t="inlineStr">
        <is>
          <t>L4 Tax</t>
        </is>
      </c>
      <c r="J4" s="17" t="inlineStr">
        <is>
          <t>Overall</t>
        </is>
      </c>
      <c r="K4" s="17" t="inlineStr">
        <is>
          <t>Finding</t>
        </is>
      </c>
      <c r="L4" s="17" t="inlineStr">
        <is>
          <t>Open actions</t>
        </is>
      </c>
      <c r="M4" s="17" t="inlineStr">
        <is>
          <t>Evidence location</t>
        </is>
      </c>
      <c r="N4" s="17" t="inlineStr">
        <is>
          <t>Jrnl ref</t>
        </is>
      </c>
      <c r="O4" s="17" t="inlineStr">
        <is>
          <t>Reviewed</t>
        </is>
      </c>
    </row>
    <row r="5" ht="53.25" customHeight="1" s="14">
      <c r="A5" s="24" t="inlineStr">
        <is>
          <t>73564</t>
        </is>
      </c>
      <c r="B5" s="24" t="inlineStr">
        <is>
          <t>IT Equipment &amp; Applications</t>
        </is>
      </c>
      <c r="C5" s="24" t="inlineStr">
        <is>
          <t>Full account: 9 svc codes, 20 employee recharges</t>
        </is>
      </c>
      <c r="D5" s="25" t="n">
        <v>43393.37</v>
      </c>
      <c r="E5" s="25" t="n">
        <v>47732.71</v>
      </c>
      <c r="F5" s="20" t="inlineStr">
        <is>
          <t>AMBER</t>
        </is>
      </c>
      <c r="G5" s="26" t="inlineStr">
        <is>
          <t>AMBER</t>
        </is>
      </c>
      <c r="H5" s="27" t="inlineStr">
        <is>
          <t>AMBER</t>
        </is>
      </c>
      <c r="I5" s="23" t="inlineStr">
        <is>
          <t>AMBER</t>
        </is>
      </c>
      <c r="J5" s="27" t="inlineStr">
        <is>
          <t>AMBER</t>
        </is>
      </c>
      <c r="K5" s="24" t="inlineStr">
        <is>
          <t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      </is>
      </c>
      <c r="L5" s="24" t="inlineStr">
        <is>
          <t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      </is>
      </c>
      <c r="M5" s="24" t="inlineStr">
        <is>
          <t>NA73564_Evidence/ (Esri INV000555 sighted; ledger extract); NA73564_GENJNL_Recode.txt (held; IT recharge schedule Feb-2026 sighted 10-Jun)</t>
        </is>
      </c>
      <c r="N5" s="24" t="inlineStr">
        <is>
          <t>CN-23167 (journal-ready, Spero; A 73564-&gt;73566 software, B 3 PK net-moves)</t>
        </is>
      </c>
      <c r="O5" s="24" t="inlineStr">
        <is>
          <t>9-Jun-2026</t>
        </is>
      </c>
    </row>
    <row r="6" ht="53.25" customHeight="1" s="14">
      <c r="A6" s="24" t="inlineStr">
        <is>
          <t>72111</t>
        </is>
      </c>
      <c r="B6" s="24" t="inlineStr">
        <is>
          <t>Minor Equipment &amp; Supplies</t>
        </is>
      </c>
      <c r="C6" s="24" t="inlineStr">
        <is>
          <t>Two overlapping passes (see NA72111 note); account $67,055</t>
        </is>
      </c>
      <c r="D6" s="25" t="n">
        <v>3433.91</v>
      </c>
      <c r="E6" s="25" t="n">
        <v>3777.3</v>
      </c>
      <c r="F6" s="26" t="inlineStr">
        <is>
          <t>GREEN</t>
        </is>
      </c>
      <c r="G6" s="20" t="inlineStr">
        <is>
          <t>RED</t>
        </is>
      </c>
      <c r="H6" s="26" t="inlineStr">
        <is>
          <t>GREEN</t>
        </is>
      </c>
      <c r="I6" s="26" t="inlineStr">
        <is>
          <t>GREEN</t>
        </is>
      </c>
      <c r="J6" s="27" t="inlineStr">
        <is>
          <t>AMBER</t>
        </is>
      </c>
      <c r="K6" s="24" t="inlineStr">
        <is>
          <t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 | 10-Jun DEDUP CLOSED: the Doc46/AP overlap resolves to J22 only; 41 carried Doc46 items match 41 distinct ledger lines (37 full, 4 within-line partials, remainders $74.14 stay), zero collisions across all twelve journal streams (00_Doc46_AP_Dedup_10-Jun-2026.md).</t>
        </is>
      </c>
      <c r="L6" s="24" t="inlineStr">
        <is>
          <t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      </is>
      </c>
      <c r="M6" s="24" t="inlineStr">
        <is>
          <t>NA72111 note; _CarryForward Doc46/Doc45 source journals</t>
        </is>
      </c>
      <c r="N6" s="24" t="inlineStr">
        <is>
          <t>CN-23167 (PREPARED; NA72111_GENJNL_Recode.txt 14 lines, 4 sets)</t>
        </is>
      </c>
      <c r="O6" s="24" t="inlineStr">
        <is>
          <t>9-Jun-2026</t>
        </is>
      </c>
    </row>
    <row r="7" ht="42.75" customHeight="1" s="14">
      <c r="A7" s="24" t="inlineStr">
        <is>
          <t>72312</t>
        </is>
      </c>
      <c r="B7" s="24" t="inlineStr">
        <is>
          <t>Office &amp; Library Equipment</t>
        </is>
      </c>
      <c r="C7" s="24" t="inlineStr">
        <is>
          <t>IKEA PK000493 svc20392 (PCard) + Empire PK000001 svc20151 (AP)</t>
        </is>
      </c>
      <c r="D7" s="25" t="n">
        <v>2461.27</v>
      </c>
      <c r="E7" s="25" t="n">
        <v>2707.4</v>
      </c>
      <c r="F7" s="27" t="inlineStr">
        <is>
          <t>GREEN</t>
        </is>
      </c>
      <c r="G7" s="20" t="inlineStr">
        <is>
          <t>RED</t>
        </is>
      </c>
      <c r="H7" s="26" t="inlineStr">
        <is>
          <t>GREEN</t>
        </is>
      </c>
      <c r="I7" s="26" t="inlineStr">
        <is>
          <t>GREEN</t>
        </is>
      </c>
      <c r="J7" s="27" t="inlineStr">
        <is>
          <t>AMBER</t>
        </is>
      </c>
      <c r="K7" s="24" t="inlineStr">
        <is>
          <t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      </is>
      </c>
      <c r="L7" s="24" t="inlineStr">
        <is>
          <t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      </is>
      </c>
      <c r="M7" s="24" t="inlineStr">
        <is>
          <t>NA72312_Evidence/ (IKEA TE004431; Empire RL196475; ledger extract)</t>
        </is>
      </c>
      <c r="N7" s="24" t="inlineStr">
        <is>
          <t>CN-23167 (journal-ready, Spero)</t>
        </is>
      </c>
      <c r="O7" s="24" t="inlineStr">
        <is>
          <t>8-Jun-2026</t>
        </is>
      </c>
    </row>
    <row r="8" ht="53.25" customHeight="1" s="14">
      <c r="A8" s="24" t="inlineStr">
        <is>
          <t>73533</t>
        </is>
      </c>
      <c r="B8" s="24" t="inlineStr">
        <is>
          <t>Interstate Travel &amp; Accommodation</t>
        </is>
      </c>
      <c r="C8" s="24" t="inlineStr">
        <is>
          <t>Quinn PK000001 svc20151 (single BNE-MEL-BNE trip)</t>
        </is>
      </c>
      <c r="D8" s="25" t="n">
        <v>1021.7</v>
      </c>
      <c r="E8" s="25" t="n">
        <v>1123.87</v>
      </c>
      <c r="F8" s="26" t="inlineStr">
        <is>
          <t>GREEN</t>
        </is>
      </c>
      <c r="G8" s="26" t="inlineStr">
        <is>
          <t>GREEN</t>
        </is>
      </c>
      <c r="H8" s="26" t="inlineStr">
        <is>
          <t>GREEN</t>
        </is>
      </c>
      <c r="I8" s="26" t="inlineStr">
        <is>
          <t>GREEN</t>
        </is>
      </c>
      <c r="J8" s="27" t="inlineStr">
        <is>
          <t>GREEN</t>
        </is>
      </c>
      <c r="K8" s="24" t="inlineStr">
        <is>
          <t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      </is>
      </c>
      <c r="L8" s="24" t="inlineStr">
        <is>
          <t>None gating. Advisory only: obtain the ibis Melbourne (Accor) tax invoice if convenient to retire the $28.82 ITC exposure noted in the finding. Recode pair ($6.55 73533-&gt;73512) ready in batch.</t>
        </is>
      </c>
      <c r="M8" s="24" t="inlineStr">
        <is>
          <t>NA73533_Evidence/ (7-Eleven receipt L02 + Booking.com ibis hotel L07 both filed; ledger extract)</t>
        </is>
      </c>
      <c r="N8" s="24" t="inlineStr">
        <is>
          <t>CN-23167 ($6.55 73533-&gt;73512 posted)</t>
        </is>
      </c>
      <c r="O8" s="24" t="inlineStr">
        <is>
          <t>9-Jun-2026</t>
        </is>
      </c>
    </row>
    <row r="9" ht="63.75" customHeight="1" s="14">
      <c r="A9" s="24" t="inlineStr">
        <is>
          <t>73563</t>
        </is>
      </c>
      <c r="B9" s="24" t="inlineStr">
        <is>
          <t>Printing &amp; Stationery</t>
        </is>
      </c>
      <c r="C9" s="24" t="inlineStr">
        <is>
          <t>PK000001 svc20151 + PK000086 svc20141 + PK000082 svc20191</t>
        </is>
      </c>
      <c r="D9" s="25" t="n">
        <v>9495.370000000001</v>
      </c>
      <c r="E9" s="25" t="n">
        <v>10444.91</v>
      </c>
      <c r="F9" s="26" t="inlineStr">
        <is>
          <t>GREEN</t>
        </is>
      </c>
      <c r="G9" s="20" t="inlineStr">
        <is>
          <t>RED</t>
        </is>
      </c>
      <c r="H9" s="26" t="inlineStr">
        <is>
          <t>GREEN</t>
        </is>
      </c>
      <c r="I9" s="26" t="inlineStr">
        <is>
          <t>GREEN</t>
        </is>
      </c>
      <c r="J9" s="27" t="inlineStr">
        <is>
          <t>AMBER</t>
        </is>
      </c>
      <c r="K9" s="24" t="inlineStr">
        <is>
          <t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documented). TE004125 ($166.40) sighted 10-Jun-2026: Kibble tax invoice 00067913, ABN PASS, GST $16.64 exact, reconciles to the cent (Anita Moore PCard ...1627; FY25-dated invoice posted P1 FY26, late-reconciliation advisory). Sole evidence residual: TE005154 $136.80, own backup unsighted.</t>
        </is>
      </c>
      <c r="L9" s="24" t="inlineStr">
        <is>
          <t>1 Upload the 73563 recode (in the live journal). 2 50/50-batch data check on the 73512 movements (Reason B). 3 Sight the TE005154 backup ($136.80) - the last evidence item - or Spero waiver.</t>
        </is>
      </c>
      <c r="M9" s="24" t="inlineStr">
        <is>
          <t>NA73563_Evidence/ (11 WINC invoices incl 9 newly sighted P1-P10, Officeworks 628185694, audit, recon, ledger)</t>
        </is>
      </c>
      <c r="N9" s="24" t="inlineStr">
        <is>
          <t>CN-23167 (journal-ready, Spero)</t>
        </is>
      </c>
      <c r="O9" s="24" t="inlineStr">
        <is>
          <t>9-Jun-2026</t>
        </is>
      </c>
    </row>
    <row r="10" ht="53.25" customHeight="1" s="14">
      <c r="A10" s="24" t="inlineStr">
        <is>
          <t>72114</t>
        </is>
      </c>
      <c r="B10" s="24" t="inlineStr">
        <is>
          <t>Uniforms</t>
        </is>
      </c>
      <c r="C10" s="24" t="inlineStr">
        <is>
          <t>Reali PK split (subset); account $26,236</t>
        </is>
      </c>
      <c r="D10" s="25" t="n">
        <v>1059.76</v>
      </c>
      <c r="E10" s="25" t="n">
        <v>1165.74</v>
      </c>
      <c r="F10" s="27" t="inlineStr">
        <is>
          <t>AMBER</t>
        </is>
      </c>
      <c r="G10" s="26" t="inlineStr">
        <is>
          <t>GREEN</t>
        </is>
      </c>
      <c r="H10" s="27" t="inlineStr">
        <is>
          <t>AMBER</t>
        </is>
      </c>
      <c r="I10" s="23" t="inlineStr">
        <is>
          <t>N/A</t>
        </is>
      </c>
      <c r="J10" s="27" t="inlineStr">
        <is>
          <t>AMBER</t>
        </is>
      </c>
      <c r="K10" s="24" t="inlineStr">
        <is>
          <t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</t>
        </is>
      </c>
      <c r="L10" s="24" t="inlineStr">
        <is>
          <t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      </is>
      </c>
      <c r="M10" s="24" t="inlineStr">
        <is>
          <t>NA72114_Scope_Note.md; Document_Reconstruction (GJ source) sighted; C00223414 Reali set provided; 00_Uniform_Listing_72114.xlsx (full account, per-line)</t>
        </is>
      </c>
      <c r="N10" s="24" t="inlineStr">
        <is>
          <t>CN-23167 (journal-ready, Spero)</t>
        </is>
      </c>
      <c r="O10" s="24" t="inlineStr">
        <is>
          <t>9-Jun-2026</t>
        </is>
      </c>
    </row>
    <row r="11" ht="53.25" customHeight="1" s="14">
      <c r="A11" s="24" t="inlineStr">
        <is>
          <t>73140</t>
        </is>
      </c>
      <c r="B11" s="24" t="inlineStr">
        <is>
          <t>Pre-Employment Background Checks</t>
        </is>
      </c>
      <c r="C11" s="24" t="inlineStr">
        <is>
          <t>CV Check PK000001 svc20001</t>
        </is>
      </c>
      <c r="D11" s="25" t="n">
        <v>3703.03</v>
      </c>
      <c r="E11" s="25" t="n">
        <v>4073.33</v>
      </c>
      <c r="F11" s="26" t="inlineStr">
        <is>
          <t>GREEN</t>
        </is>
      </c>
      <c r="G11" s="26" t="inlineStr">
        <is>
          <t>GREEN</t>
        </is>
      </c>
      <c r="H11" s="27" t="inlineStr">
        <is>
          <t>AMBER</t>
        </is>
      </c>
      <c r="I11" s="27" t="inlineStr">
        <is>
          <t>AMBER</t>
        </is>
      </c>
      <c r="J11" s="27" t="inlineStr">
        <is>
          <t>AMBER</t>
        </is>
      </c>
      <c r="K11" s="24" t="inlineStr">
        <is>
          <t>Carried from 3-Jun pass. 21 lines, single vendor (CV Check), narration consistent, NA matches chart definition; coding correct. $58.02 GJ EOY reversal normal. Tier-3 sighting only: AP invoices not sighted, so evidence and tax limbs remain open. 11-Jun-2026: five Kinatico Limited tax invoices received in intake (ABN 25 111 728 842, PO 801790, monthly pre-employment screening; Kinatico is the CVCheck parent): P00075671 Jul-2025, P00081314 Dec-2025, P00082255 Jan-2026, P00083290 Feb-2026, P00086890 May-2026. All five AP document numbers searched across every 11-Jun ledger export: zero hits. Held unapplied in 07_Intake_Held_Kinatico/ per the evidence rule; no limb moves until matched to 73140 ledger lines.</t>
        </is>
      </c>
      <c r="L11" s="24" t="inlineStr">
        <is>
          <t>1 Sight a sample of CV Check AP invoices to confirm evidence and tax limbs. 2 On sighting, clear to GREEN (no recode expected). 3 Pull the FY26 73140 ledger extract and match the five held Kinatico invoices by month and amount before any limb moves.</t>
        </is>
      </c>
      <c r="M11" s="24" t="inlineStr">
        <is>
          <t>3-Jun review queue finding (no deliverable bundle this pass); 07_Intake_Held_Kinatico/ (5 Kinatico invoices, canonically renamed, held unapplied)</t>
        </is>
      </c>
      <c r="N11" s="24" t="inlineStr">
        <is>
          <t>n/a (no recode)</t>
        </is>
      </c>
      <c r="O11" s="24" t="inlineStr">
        <is>
          <t>9-Jun-2026 (Kinatico intake held 11-Jun-2026)</t>
        </is>
      </c>
    </row>
    <row r="12" ht="15" customHeight="1" s="14">
      <c r="A12" s="24" t="inlineStr">
        <is>
          <t>73511</t>
        </is>
      </c>
      <c r="B12" s="24" t="inlineStr">
        <is>
          <t>Entertainment &amp; Hospitality (FBT)</t>
        </is>
      </c>
      <c r="C12" s="24" t="inlineStr">
        <is>
          <t>7 svc codes (Natural Areas x3, Depots, Mgmt, Planning, Park Services); 126 lines incl Finance 50/50 batch pairs</t>
        </is>
      </c>
      <c r="D12" s="25" t="n">
        <v>5384.57</v>
      </c>
      <c r="E12" s="25" t="n">
        <v>5923.03</v>
      </c>
      <c r="F12" s="26" t="inlineStr">
        <is>
          <t>AMBER</t>
        </is>
      </c>
      <c r="G12" s="26" t="inlineStr">
        <is>
          <t>AMBER</t>
        </is>
      </c>
      <c r="H12" s="27" t="inlineStr">
        <is>
          <t>AMBER</t>
        </is>
      </c>
      <c r="I12" s="27" t="inlineStr">
        <is>
          <t>AMBER</t>
        </is>
      </c>
      <c r="J12" s="27" t="inlineStr">
        <is>
          <t>AMBER</t>
        </is>
      </c>
      <c r="K12" s="24" t="inlineStr">
        <is>
          <t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INV-9747 SIGHTED - Greenbank Services Club (ABN 64 442 003 715 PASS, ABR active + GST reg, business name matches), EOY celebration 3-Dec-2025, food $2,690.00 incl = GL $2,445.45 x 1.1 exact, GST disclosure exact. STAY-FBT verdict now on Tier 1. Residual traces: $700 room hire payment and $200 bond return.</t>
        </is>
      </c>
      <c r="L12" s="24" t="inlineStr">
        <is>
          <t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      </is>
      </c>
      <c r="M12" s="24" t="inlineStr">
        <is>
          <t>NA73511_Evidence/ (annotated ledger extract; no receipts sighted)</t>
        </is>
      </c>
      <c r="N12" s="24" t="inlineStr">
        <is>
          <t>n/a (no recode staged)</t>
        </is>
      </c>
      <c r="O12" s="24" t="inlineStr">
        <is>
          <t>10-Jun-2026</t>
        </is>
      </c>
    </row>
    <row r="13" ht="137.25" customHeight="1" s="14">
      <c r="A13" s="24" t="inlineStr">
        <is>
          <t>73128</t>
        </is>
      </c>
      <c r="B13" s="24" t="inlineStr">
        <is>
          <t>Other services</t>
        </is>
      </c>
      <c r="C13" s="24" t="inlineStr">
        <is>
          <t>TCB milk standing order PO 709655, PK000001 svc20151 Depots (57 PUR + 4 GJ075544 lines) + Raj Aggarwal bond pair (nets $0.00)</t>
        </is>
      </c>
      <c r="D13" s="25" t="n">
        <v>1854.7</v>
      </c>
      <c r="E13" s="25" t="n">
        <v>1915.81</v>
      </c>
      <c r="F13" s="26" t="inlineStr">
        <is>
          <t>GREEN</t>
        </is>
      </c>
      <c r="G13" s="26" t="inlineStr">
        <is>
          <t>RED</t>
        </is>
      </c>
      <c r="H13" s="27" t="inlineStr">
        <is>
          <t>GREEN</t>
        </is>
      </c>
      <c r="I13" s="27" t="inlineStr">
        <is>
          <t>GREEN</t>
        </is>
      </c>
      <c r="J13" s="27" t="inlineStr">
        <is>
          <t>AMBER</t>
        </is>
      </c>
      <c r="K13" s="24" t="inlineStr">
        <is>
          <t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recorded GSTE-23. ABR live record 10-Jun-2026 confirms TCB Distributors Pty Ltd active and GST registered. Incl-GST column carries the GST-free invoice value $1,915.81 (GL $1,854.70 + $61.11 under-keyed base), not ex x 1.1.</t>
        </is>
      </c>
      <c r="L13" s="24" t="inlineStr">
        <is>
          <t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      </is>
      </c>
      <c r="M13" s="24" t="inlineStr">
        <is>
          <t>NA73128_Evidence/ (second-intake binder C00216123; ledger extract; ABR record); NA73128_Evidence_Manifest.csv (59 rows, no GAP)</t>
        </is>
      </c>
      <c r="N13" s="24" t="inlineStr">
        <is>
          <t>CN-23167 (journal-ready, Spero 10-Jun-2026)</t>
        </is>
      </c>
      <c r="O13" s="24" t="inlineStr">
        <is>
          <t>10-Jun-2026</t>
        </is>
      </c>
    </row>
    <row r="14" ht="15" customHeight="1" s="14">
      <c r="A14" s="24" t="inlineStr">
        <is>
          <t>73433</t>
        </is>
      </c>
      <c r="B14" s="24" t="inlineStr">
        <is>
          <t>Other Fees &amp; Charges</t>
        </is>
      </c>
      <c r="C14" s="24" t="inlineStr">
        <is>
          <t>Two lines: QUT parking PK000087 svc20001 + blue card recode-in PK000075 svc20411</t>
        </is>
      </c>
      <c r="D14" s="25" t="n">
        <v>139.25</v>
      </c>
      <c r="E14" s="25" t="n">
        <v>153.18</v>
      </c>
      <c r="F14" s="26" t="inlineStr">
        <is>
          <t>AMBER</t>
        </is>
      </c>
      <c r="G14" s="26" t="inlineStr">
        <is>
          <t>RED</t>
        </is>
      </c>
      <c r="H14" s="27" t="inlineStr">
        <is>
          <t>AMBER</t>
        </is>
      </c>
      <c r="I14" s="27" t="inlineStr">
        <is>
          <t>AMBER</t>
        </is>
      </c>
      <c r="J14" s="27" t="inlineStr">
        <is>
          <t>AMBER</t>
        </is>
      </c>
      <c r="K14" s="24" t="inlineStr">
        <is>
          <t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</t>
        </is>
      </c>
      <c r="L14" s="24" t="inlineStr">
        <is>
          <t>1 Upload NA73433_GENJNL_Recode.txt (in the live journal; 73433-&gt;73531 $34.55, PK000087, nets $0.00, direction verified). 2 TE004496 blue card receipt SIGHTED 11-Jun-2026 (gap closed). 3 Confirm TE005281 cardholder.</t>
        </is>
      </c>
      <c r="M14" s="24" t="inlineStr">
        <is>
          <t>NA73433_Evidence/ (QUT receipt TE005281, hash-verified)</t>
        </is>
      </c>
      <c r="N14" s="24" t="inlineStr">
        <is>
          <t>CN-23167 (journal-ready, Spero 10-Jun-2026; NA73433 stream in the live journal)</t>
        </is>
      </c>
      <c r="O14" s="24" t="inlineStr">
        <is>
          <t>10-Jun-2026</t>
        </is>
      </c>
    </row>
    <row r="15">
      <c r="A15" s="24" t="inlineStr">
        <is>
          <t>73512</t>
        </is>
      </c>
      <c r="B15" s="24" t="inlineStr">
        <is>
          <t>Entertainment &amp; Hospitality Non-FBT</t>
        </is>
      </c>
      <c r="C15" s="24" t="inlineStr">
        <is>
          <t>122 lines, 7 svc codes; volunteer reimbursements + FBT batch micro-lines</t>
        </is>
      </c>
      <c r="D15" s="25" t="n">
        <v>5520.97</v>
      </c>
      <c r="E15" s="25" t="n">
        <v>6073.07</v>
      </c>
      <c r="F15" s="26" t="inlineStr">
        <is>
          <t>AMBER</t>
        </is>
      </c>
      <c r="G15" s="26" t="inlineStr">
        <is>
          <t>AMBER</t>
        </is>
      </c>
      <c r="H15" s="27" t="inlineStr">
        <is>
          <t>AMBER</t>
        </is>
      </c>
      <c r="I15" s="27" t="inlineStr">
        <is>
          <t>AMBER</t>
        </is>
      </c>
      <c r="J15" s="27" t="inlineStr">
        <is>
          <t>AMBER</t>
        </is>
      </c>
      <c r="K15" s="24" t="inlineStr">
        <is>
          <t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      </is>
      </c>
      <c r="L15" s="24" t="inlineStr">
        <is>
          <t>1 Sight 12052026 Preussner receipt $27.79. 2 Identify Quote 5468 vendor + invoice. 3 Salisnew receipts x6. 4 Micro-line population: pcard docs OR Spero waiver. 5 Confirm TE005497/AP003877 $97.00+$7.90 split.</t>
        </is>
      </c>
      <c r="M15" s="24" t="inlineStr">
        <is>
          <t>NA73512_Evidence/ (5 receipts + 2 identity docs, hash-verified; identity docs carry full bank details, restrict to folder)</t>
        </is>
      </c>
      <c r="N15" s="24" t="inlineStr">
        <is>
          <t>n/a (no recode staged)</t>
        </is>
      </c>
      <c r="O15" s="24" t="inlineStr">
        <is>
          <t>10-Jun-2026</t>
        </is>
      </c>
    </row>
    <row r="16">
      <c r="A16" s="24" t="inlineStr">
        <is>
          <t>73544</t>
        </is>
      </c>
      <c r="B16" s="24" t="inlineStr">
        <is>
          <t>Training &amp; Development</t>
        </is>
      </c>
      <c r="C16" s="24" t="inlineStr">
        <is>
          <t>Full account: 41 lines, $69,232.16; 17 vendor docs + back-charges intake sighted</t>
        </is>
      </c>
      <c r="D16" s="25" t="n">
        <v>69232.16</v>
      </c>
      <c r="E16" s="25" t="n">
        <v>76155.38</v>
      </c>
      <c r="F16" s="26" t="inlineStr">
        <is>
          <t>AMBER</t>
        </is>
      </c>
      <c r="G16" s="26" t="inlineStr">
        <is>
          <t>AMBER</t>
        </is>
      </c>
      <c r="H16" s="27" t="inlineStr">
        <is>
          <t>AMBER</t>
        </is>
      </c>
      <c r="I16" s="27" t="inlineStr">
        <is>
          <t>AMBER</t>
        </is>
      </c>
      <c r="J16" s="27" t="inlineStr">
        <is>
          <t>AMBER</t>
        </is>
      </c>
      <c r="K16" s="24" t="inlineStr">
        <is>
          <t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GJ078933 reopened as a destination query (73545 vs 7B411 on the $931.20 leg). | 11-Jun: GJ076597 backup + L&amp;D email SIGHTED (non-attendance recharge batch, nets $0.00; Pryor $214.00 and Hambly $294.42 evidenced as L&amp;D non-attendance, home-PK ruling remains). OIR source receipt SIGHTED: licensee Renee Hoyle, $96.35, PK000383 ParkCare; Hood audit email corroborates GSTE-27.</t>
        </is>
      </c>
      <c r="L16" s="24" t="inlineStr">
        <is>
          <t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</t>
        </is>
      </c>
      <c r="M16" s="24" t="inlineStr">
        <is>
          <t>NA73544_Evidence/ (36 files: session set hash-verified + back-charges set hashed this session)</t>
        </is>
      </c>
      <c r="N16" s="24" t="inlineStr">
        <is>
          <t>CN-23167 (journal-ready, Spero 11-Jun-2026; NA73544 PK-split stream in the live journal)</t>
        </is>
      </c>
      <c r="O16" s="24" t="inlineStr">
        <is>
          <t>11-Jun-2026</t>
        </is>
      </c>
    </row>
    <row r="17">
      <c r="A17" s="24" t="inlineStr">
        <is>
          <t>73212</t>
        </is>
      </c>
      <c r="B17" s="24" t="inlineStr">
        <is>
          <t>Major Contracts (3 section exports)</t>
        </is>
      </c>
      <c r="C17" s="24" t="inlineStr">
        <is>
          <t>Water Parks svc20802 $900 + Design&amp;Capital svc20191 $15,100 + s4090230 $38,242.75</t>
        </is>
      </c>
      <c r="D17" s="25" t="n">
        <v>54242.75</v>
      </c>
      <c r="E17" s="25" t="n">
        <v>59667.03</v>
      </c>
      <c r="F17" s="26" t="inlineStr">
        <is>
          <t>AMBER</t>
        </is>
      </c>
      <c r="G17" s="26" t="inlineStr">
        <is>
          <t>RED</t>
        </is>
      </c>
      <c r="H17" s="27" t="inlineStr">
        <is>
          <t>AMBER</t>
        </is>
      </c>
      <c r="I17" s="27" t="inlineStr">
        <is>
          <t>AMBER</t>
        </is>
      </c>
      <c r="J17" s="27" t="inlineStr">
        <is>
          <t>AMBER</t>
        </is>
      </c>
      <c r="K17" s="24" t="inlineStr">
        <is>
          <t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PK000022 (73123 $79,418 / 73212 $66,183.82 / 73211 $5,635), nets $0.00, direction correct; the $66,184 open dollar CLOSES as explained (narration crossover advisory; PK000510/511 not in maps). GJ076924 backup SIGHTED - 95-line balanced redistribution, $1,914 leg explained.</t>
        </is>
      </c>
      <c r="L17" s="24" t="inlineStr">
        <is>
          <t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      </is>
      </c>
      <c r="M17" s="24" t="inlineStr">
        <is>
          <t>NA73212_Evidence/ (8 files, hash-verified)</t>
        </is>
      </c>
      <c r="N17" s="24" t="inlineStr">
        <is>
          <t>n/a (candidates held, no recode staged)</t>
        </is>
      </c>
      <c r="O17" s="24" t="inlineStr">
        <is>
          <t>10-Jun-2026</t>
        </is>
      </c>
    </row>
    <row r="18">
      <c r="A18" s="24" t="inlineStr">
        <is>
          <t>73215</t>
        </is>
      </c>
      <c r="B18" s="24" t="inlineStr">
        <is>
          <t>Major Contracts - Partnership (Alliance)</t>
        </is>
      </c>
      <c r="C18" s="24" t="inlineStr">
        <is>
          <t>Full account: PK000366 svc20511 (3 invoices) + 2 zero split lines</t>
        </is>
      </c>
      <c r="D18" s="25" t="n">
        <v>4739</v>
      </c>
      <c r="E18" s="25" t="n">
        <v>5212.9</v>
      </c>
      <c r="F18" s="26" t="inlineStr">
        <is>
          <t>GREEN</t>
        </is>
      </c>
      <c r="G18" s="26" t="inlineStr">
        <is>
          <t>RED</t>
        </is>
      </c>
      <c r="H18" s="27" t="inlineStr">
        <is>
          <t>GREEN</t>
        </is>
      </c>
      <c r="I18" s="27" t="inlineStr">
        <is>
          <t>GREEN</t>
        </is>
      </c>
      <c r="J18" s="27" t="inlineStr">
        <is>
          <t>AMBER</t>
        </is>
      </c>
      <c r="K18" s="24" t="inlineStr">
        <is>
          <t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PASS, ABR active + GST registered (TEC 11 600 627 343; Austspray 89 122 731 775); GST exact on all three. SE2 reconciles exact ($4,739.00). Recode candidate 73215 to 73126 Landscapers &amp; Gardeners, full-reversal, 3 pairs, nets $0.00; destination validates (pk_validator OK PK000366/20511/73126); source leg trips the 73215 restriction flag by design.</t>
        </is>
      </c>
      <c r="L18" s="24" t="inlineStr">
        <is>
          <t>1 Spero ruling on the 73215 to 73126 recode $4,739.00 (candidate held, un-instructed; restriction handling on the source leg to confirm). 2 Advisory: vendor masked by STANDING ORDER 24/25 narrations; invoices supply Tier 1.</t>
        </is>
      </c>
      <c r="M18" s="24" t="inlineStr">
        <is>
          <t>NA73215_Evidence/ (3 invoices + ledger extract, SHA-256 in NA73215_Evidence_Manifest.csv)</t>
        </is>
      </c>
      <c r="N18" s="24" t="inlineStr">
        <is>
          <t>n/a (candidate held, no recode staged)</t>
        </is>
      </c>
      <c r="O18" s="24" t="inlineStr">
        <is>
          <t>11-Jun-2026</t>
        </is>
      </c>
    </row>
    <row r="19">
      <c r="A19" s="24" t="inlineStr">
        <is>
          <t>73601</t>
        </is>
      </c>
      <c r="B19" s="24" t="inlineStr">
        <is>
          <t>Management Consultancies</t>
        </is>
      </c>
      <c r="C19" s="24" t="inlineStr">
        <is>
          <t>Full account: PK000087 svc20001 (single engagement, Org Risk Consulting)</t>
        </is>
      </c>
      <c r="D19" s="25" t="n">
        <v>46003.66</v>
      </c>
      <c r="E19" s="25" t="n">
        <v>50604.03</v>
      </c>
      <c r="F19" s="26" t="inlineStr">
        <is>
          <t>GREEN</t>
        </is>
      </c>
      <c r="G19" s="26" t="inlineStr">
        <is>
          <t>GREEN</t>
        </is>
      </c>
      <c r="H19" s="27" t="inlineStr">
        <is>
          <t>AMBER</t>
        </is>
      </c>
      <c r="I19" s="27" t="inlineStr">
        <is>
          <t>AMBER</t>
        </is>
      </c>
      <c r="J19" s="27" t="inlineStr">
        <is>
          <t>AMBER</t>
        </is>
      </c>
      <c r="K19" s="24" t="inlineStr">
        <is>
          <t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 confirmation). 8 invoices $43,871.03 UNSIGHTED (INV-250714, 250811-13, 250910-13): evidence and tax limbs AMBER per the evidence rule. Budget $45,000; $1,003.66 (2.2%) over.</t>
        </is>
      </c>
      <c r="L19" s="24" t="inlineStr">
        <is>
          <t>1 Obtain the 8 Org Risk invoices ($43,871.03). 2 Run ABR/ASIC dossier on ABN 27 651 588 662 when the set lands. 3 Check engagement period vs the 12-month contractor cap (runs 30-Jul-2025 onward on sighted docs).</t>
        </is>
      </c>
      <c r="M19" s="24" t="inlineStr">
        <is>
          <t>NA73601_Evidence/ (INV-251010(2) + ledger extract); NA73601_Evidence_Manifest.csv (gap-listed)</t>
        </is>
      </c>
      <c r="N19" s="24" t="inlineStr">
        <is>
          <t>n/a (no recode expected; coding correct on sighted line)</t>
        </is>
      </c>
      <c r="O19" s="24" t="inlineStr">
        <is>
          <t>11-Jun-2026</t>
        </is>
      </c>
    </row>
    <row r="20">
      <c r="A20" s="24" t="inlineStr">
        <is>
          <t>73123</t>
        </is>
      </c>
      <c r="B20" s="24" t="inlineStr">
        <is>
          <t>Maintenance Services</t>
        </is>
      </c>
      <c r="C20" s="24" t="inlineStr">
        <is>
          <t>Full branch export received 11-Jun-2026 (3,776 lines); OPENED, not reconciled</t>
        </is>
      </c>
      <c r="D20" s="25" t="n">
        <v>0</v>
      </c>
      <c r="E20" s="25" t="n">
        <v>0</v>
      </c>
      <c r="F20" s="26" t="inlineStr">
        <is>
          <t>n/a</t>
        </is>
      </c>
      <c r="G20" s="26" t="inlineStr">
        <is>
          <t>n/a</t>
        </is>
      </c>
      <c r="H20" s="27" t="inlineStr">
        <is>
          <t>n/a</t>
        </is>
      </c>
      <c r="I20" s="27" t="inlineStr">
        <is>
          <t>n/a</t>
        </is>
      </c>
      <c r="J20" s="27" t="inlineStr">
        <is>
          <t>OPENED</t>
        </is>
      </c>
      <c r="K20" s="24" t="inlineStr">
        <is>
          <t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(65% of dollars); 12 no-attachment rows $321,060.51. GJ079210 condition-assessment legs ($79,418 pair) net zero inside the account, backup sighted. Known trap: 73123/73212 reclassification pair, read combined. Sub-extracts s4090210 ($2,985.97, small Depots preventative maintenance, plausibly clean) and s4090230 ($31,995.72) on hand.</t>
        </is>
      </c>
      <c r="L20" s="24" t="inlineStr">
        <is>
          <t>1 Resolve the $50,338.64 export-vs-SE2 gap (re-pull or P12 diff) BEFORE any line work. 2 Read jointly with 73212 (GJ076924 redistribution touches both). 3 Plan line review by service: 20392 and 20481 first.</t>
        </is>
      </c>
      <c r="M20" s="24" t="inlineStr">
        <is>
          <t>NA73123_Scope_Note.md; NA73123_Evidence/ (full + 2 section ledger extracts)</t>
        </is>
      </c>
      <c r="N20" s="24" t="inlineStr">
        <is>
          <t>n/a (not worked)</t>
        </is>
      </c>
      <c r="O20" s="24" t="inlineStr">
        <is>
          <t>11-Jun-2026 (opened)</t>
        </is>
      </c>
    </row>
    <row r="21">
      <c r="A21" s="24" t="inlineStr">
        <is>
          <t>73211</t>
        </is>
      </c>
      <c r="B21" s="24" t="inlineStr">
        <is>
          <t>Minor Contracts (below $20,000)</t>
        </is>
      </c>
      <c r="C21" s="24" t="inlineStr">
        <is>
          <t>Full account: 114 lines, 23 cost codes; section subsets verified (Natural Areas $116,963.24, Depots $23,626.58)</t>
        </is>
      </c>
      <c r="D21" s="25" t="n">
        <v>236378.27</v>
      </c>
      <c r="E21" s="25" t="n">
        <v>260016.1</v>
      </c>
      <c r="F21" s="30" t="inlineStr">
        <is>
          <t>AMBER</t>
        </is>
      </c>
      <c r="G21" s="30" t="inlineStr">
        <is>
          <t>AMBER</t>
        </is>
      </c>
      <c r="H21" s="30" t="inlineStr">
        <is>
          <t>AMBER</t>
        </is>
      </c>
      <c r="I21" s="30" t="inlineStr">
        <is>
          <t>AMBER</t>
        </is>
      </c>
      <c r="J21" s="30" t="inlineStr">
        <is>
          <t>AMBER</t>
        </is>
      </c>
      <c r="K21" s="24" t="inlineStr">
        <is>
          <t>Reconciles to SE2 to the cent ($236,378.27, variance $0.00). Six findings: F1 $5,635 double-posted to PK000022 (GJ079190 duplicates GJ079210; phantom -$5,635 credit on 20392/PK000511; both narrated "Timber Treatment (PK000510)", describing neither); F2 ~$98,005 above-threshold contract spend, 73212 candidates (LCC31326 $25,848.08; Destination Trails series $43,114; Chronicle series $29,042.45); F3 training/equipment on a contracts account (PRINCE2 $2,440 to 73544; GJ078546 legs PSIA $4,300 + IPWEA $2,788 + chair $370.05 to 72313, destinations unverified); F4 GJ078546 $11,098.91 consultancy reversal destination unverified, plus Provac $2,050 grave-dig plant hire inbound query; F5 SC10918 -$154 plaque credit on Depots PK000001 (cemeteries item); F6 advisory $0.01 RL195364 variance line. No line carries sighted Tier 1 evidence (attachment flags are not sighting); no recode dollar populated, no GENJNL (un-instructed). 11-Jun-2026 intake C00228240: 43 evidence documents sighted and filed, $157,051.42 of $236,378.27 (66.4%) now evidenced, every document exact to its GL line on the x1.1 test; 18 ABN checksums PASS; INCON ABR sighted (active, GST registered, Edenstone name matches; young-entity NOTE). F5 (SC10918 scrap credit) and F6 ($0.01 = Empire GST rounding cent) CLOSED. F1 enriched: Gihani 6-May-2026 email instructs PK000510 to PK000023 and PK000511 to PK000022; both GJ079190/GJ079210 posted to PK000022, so GJ079190 is the 510 batch misposted or a duplicate - ruling now includes the correct re-post destination. NEW F7: TE004838 Message Media $242.40 posted 1-20241-73211 against a cover slip coding PK000055-73212. New classification candidates: Firesight $12,800 to 73601 (consultancy test reads met); Chronicle INV-0868 $5,812.45 software to 73566; Tennyson 27168 $1,058 signage to 72222; SC10918 scrap income to 64411; Telstra series $9,237.48 telecoms query; INCON $25,848.08 is materials supply not contract services.</t>
        </is>
      </c>
      <c r="L21" s="24" t="inlineStr">
        <is>
          <t>1 Spero instruction on F1 GJ079190 (reversal, and whether the 510 batch re-posts to PK000023 per the Gihani email). 2 Spero rulings on the candidate set: F2 contract-floor recodes; F3 training/chair destinations (PSIA, IPWEA, DDLS, Empire now evidenced); Firesight 73601; Chronicle 73566/survey; Tennyson 72222; SC10918 64411 + cemeteries attribution; TE004838 (F7); Telstra telecoms; INCON materials. 3 Obtain the residual gap list (manifest GAP rows): 2906937 $10,200; 2908705 $17,000; TBM x4 $15,604.11; Ausecology INV-4029/4030 $14,840; Provac INV-00037183 $2,050; Telstra Dec-25 $727.95; T2 3222869/3223786 $1,820; 698933AU/713170AU $2,433.44; EWN INV-14768; 9016 $1,710; 00735 $200; 34828 $546.68; INV-38877 $2,250; 00059013/00031xxx/00060xxx series $2,438.20. 4 ABR sightings queue (17 suppliers). 5 IPWEA $343.20 part-payment posting trace ($312.00 ex + $31.20 GST).</t>
        </is>
      </c>
      <c r="M21" s="24" t="inlineStr">
        <is>
          <t>02_NA73211_Minor_Contracts/ (verification record + addendum; NA73211_Evidence/ 43 files, SHA-256 manifest with GAP rows; Related/ Gihani F1 email, DocRecon, T2 email, FBT 73511 source workbook)</t>
        </is>
      </c>
      <c r="N21" s="24" t="inlineStr">
        <is>
          <t>n/a (no recode staged; findings held un-instructed)</t>
        </is>
      </c>
      <c r="O21" s="24" t="inlineStr">
        <is>
          <t>11-Jun-2026 (intake C00228240 applied)</t>
        </is>
      </c>
    </row>
    <row r="22">
      <c r="A22" s="24" t="inlineStr">
        <is>
          <t>62121/62125</t>
        </is>
      </c>
      <c r="B22" s="24" t="inlineStr">
        <is>
          <t>Cemetery Revenue (Garside query)</t>
        </is>
      </c>
      <c r="C22" s="24" t="inlineStr">
        <is>
          <t>PK000400 pre-purchase lines 1-20446-62125 + related 62121 lines (svc 20446, 20131, 20453)</t>
        </is>
      </c>
      <c r="D22" s="25" t="n">
        <v>3711.73</v>
      </c>
      <c r="E22" s="25" t="n">
        <v>3867</v>
      </c>
      <c r="F22" s="30" t="inlineStr">
        <is>
          <t>AMBER</t>
        </is>
      </c>
      <c r="G22" s="31" t="inlineStr">
        <is>
          <t>GREEN</t>
        </is>
      </c>
      <c r="H22" s="30" t="inlineStr">
        <is>
          <t>AMBER</t>
        </is>
      </c>
      <c r="I22" s="30" t="inlineStr">
        <is>
          <t>AMBER</t>
        </is>
      </c>
      <c r="J22" s="30" t="inlineStr">
        <is>
          <t>AMBER</t>
        </is>
      </c>
      <c r="K22" s="24" t="inlineStr">
        <is>
          <t>Garside query (29-Aug-2025) already actioned in-ledger: GJ076150 (1-Sep-2025) reversed both PK000400 lines ($1,552.73 + $2,159.00 = $3,711.73) off 1-20446-62125. Five sighted documents reconcile to the cent; the King paper trail is closed (498178 charged GST in error, CN 140775 credited, 501999 reissued GST-correct: plot $3,493 GST-free + ashes interments $1,708 incl); CN 140799 Timmins plot-fee error cleared. GST treatment consistent across all five documents (plots GST-free, interments taxable); nil GST Errors Register entries. E incl GST is per-line ($1,552.73 x 1.1 = $1,708.00 taxable + $2,159.00 GST-free), not a blanket 1.1 uplift. Open: GJ076150 destination legs sit outside the supplied export; 20453/PK000440 burial fees 505970 ($2,812.73 SUSKI) and 506368 ($204.55 HALA'UFIA) unsighted. NA limb advisory only: the ashes interment component arguably sits closer to 62121 than 62125; immaterial to the recode.</t>
        </is>
      </c>
      <c r="L22" s="24" t="inlineStr">
        <is>
          <t>1 Pull the GJ076150 destination legs and confirm the receiving PK disburses to svc 20451 (the point of the query). 2 Sight invoices 505970 and 506368. 3 Spero scope call on the second revenue export (1-20151-62121 event fees, 56 lines, -$61,364.17, parsed and totalled only).</t>
        </is>
      </c>
      <c r="M22" s="24" t="inlineStr">
        <is>
          <t>03_Cemetery_Revenue_62121_62125/ (CEM_Verification_Record.md; Evidence/ 6 files incl the Garside email)</t>
        </is>
      </c>
      <c r="N22" s="24" t="inlineStr">
        <is>
          <t>n/a (correction already in-ledger via GJ076150)</t>
        </is>
      </c>
      <c r="O22" s="24" t="inlineStr">
        <is>
          <t>11-Jun-2026</t>
        </is>
      </c>
    </row>
    <row r="23">
      <c r="A23" s="24" t="inlineStr">
        <is>
          <t>7B532</t>
        </is>
      </c>
      <c r="B23" s="24" t="inlineStr">
        <is>
          <t>Internal - Spoils (Cemeteries)</t>
        </is>
      </c>
      <c r="C23" s="24" t="inlineStr">
        <is>
          <t>3 internal journal lines, 1-20451-7B532, PK000403</t>
        </is>
      </c>
      <c r="D23" s="25" t="n">
        <v>2944</v>
      </c>
      <c r="E23" s="25" t="n">
        <v>2944</v>
      </c>
      <c r="F23" s="31" t="inlineStr">
        <is>
          <t>GREEN</t>
        </is>
      </c>
      <c r="G23" s="31" t="inlineStr">
        <is>
          <t>GREEN</t>
        </is>
      </c>
      <c r="H23" s="30" t="inlineStr">
        <is>
          <t>AMBER</t>
        </is>
      </c>
      <c r="I23" s="32" t="inlineStr">
        <is>
          <t>n/a</t>
        </is>
      </c>
      <c r="J23" s="30" t="inlineStr">
        <is>
          <t>AMBER</t>
        </is>
      </c>
      <c r="K23" s="24" t="inlineStr">
        <is>
          <t>Rate established from evidence: $16 per unit (IJ073064 $480 = 30 units x $16 exact on the 16-Sep-2025 Bega Road sheet; the 28-Jul-2025 sheet's single 77-unit load x $16 = $1,232 exact). IJ073064 cleared GREEN; one IJ072723 $1,232 posting evidenced by the sheet; the identical second IJ072723 posting ($1,232, same reference, date and narration) is a probable duplicate over-charge to Cemeteries, supported by no sighted sheet. Held AMBER not RED: the narration week-ending field is corrupt ("Quarry Returns W/E 01-Jan-1900 Week 0"), so a weekly charge basis with a second 77-unit load that week cannot be excluded. E incl GST = ex-GST (internal charges, no GST uplift).</t>
        </is>
      </c>
      <c r="L23" s="24" t="inlineStr">
        <is>
          <t>1 Obtain the Bega Road sheets for the week 28-Jul-2025 to 3-Aug-2025 to resolve the probable $1,232 duplicate. 2 Raise the quarry-returns week-ending field corruption with the system owner (affects all 7B532 narrations).</t>
        </is>
      </c>
      <c r="M23" s="24" t="inlineStr">
        <is>
          <t>04_NA7B532_Internal_Spoils/ (NA7B532_Verification_Record.md; evidence manifest; 2 Bega Road sheets)</t>
        </is>
      </c>
      <c r="N23" s="24" t="inlineStr">
        <is>
          <t>n/a (no recode staged; duplicate unconfirmed)</t>
        </is>
      </c>
      <c r="O23" s="24" t="inlineStr">
        <is>
          <t>11-Jun-2026</t>
        </is>
      </c>
    </row>
    <row r="24">
      <c r="A24" s="24" t="inlineStr">
        <is>
          <t>7B214</t>
        </is>
      </c>
      <c r="B24" s="24" t="inlineStr">
        <is>
          <t>Internal - Maintenance Services</t>
        </is>
      </c>
      <c r="C24" s="24" t="inlineStr">
        <is>
          <t>3 internal journal lines (svc 20151, 20392, 20361)</t>
        </is>
      </c>
      <c r="D24" s="25" t="n">
        <v>7570.5</v>
      </c>
      <c r="E24" s="25" t="n">
        <v>7570.5</v>
      </c>
      <c r="F24" s="30" t="inlineStr">
        <is>
          <t>AMBER</t>
        </is>
      </c>
      <c r="G24" s="30" t="inlineStr">
        <is>
          <t>AMBER</t>
        </is>
      </c>
      <c r="H24" s="30" t="inlineStr">
        <is>
          <t>AMBER</t>
        </is>
      </c>
      <c r="I24" s="32" t="inlineStr">
        <is>
          <t>n/a</t>
        </is>
      </c>
      <c r="J24" s="30" t="inlineStr">
        <is>
          <t>AMBER</t>
        </is>
      </c>
      <c r="K24" s="24" t="inlineStr">
        <is>
          <t>IJ074028 Marsden rodent control $82.50 cleared on Tier 1 (CSL invoice sheet: half-hour treatment 3-Feb-2026, after-hours nil; Durant email 5-Feb-2026; internal oncharge passed through at invoice price, exact). Remaining $7,488 unsighted: IJ073869 Tully Memorial Park signage modification $3,600 (Transport Operations oncharge; classification query, reads closer to works than maintenance services, confirm on sighting) and IJ074845 DA/4574 backflow annual renewal notices DIV99 $3,888 (plausible 7B214 content; svc 20361 attribution to confirm). E incl GST = ex-GST (internal charges, no GST uplift).</t>
        </is>
      </c>
      <c r="L24" s="24" t="inlineStr">
        <is>
          <t>1 Obtain the Transport Operations oncharge backup for IJ073869 ($3,600). 2 Obtain DA/4574 for IJ074845 ($3,888) and confirm the svc 20361 attribution.</t>
        </is>
      </c>
      <c r="M24" s="24" t="inlineStr">
        <is>
          <t>05_NA7B214_Internal_Maintenance/ (NA7B214_Verification_Record.md; evidence manifest; CSL sheet + Durant email)</t>
        </is>
      </c>
      <c r="N24" s="24" t="inlineStr">
        <is>
          <t>n/a (no recode staged)</t>
        </is>
      </c>
      <c r="O24" s="24" t="inlineStr">
        <is>
          <t>11-Jun-2026</t>
        </is>
      </c>
    </row>
    <row r="25">
      <c r="A25" s="24" t="inlineStr">
        <is>
          <t>73541</t>
        </is>
      </c>
      <c r="B25" s="24" t="inlineStr">
        <is>
          <t>Conferences &amp; Seminar Fees</t>
        </is>
      </c>
      <c r="C25" s="24" t="inlineStr">
        <is>
          <t>6 lines net (svc 20641 PCard + closed recode and reversal pairs)</t>
        </is>
      </c>
      <c r="D25" s="25" t="n">
        <v>642.14</v>
      </c>
      <c r="E25" s="25" t="n">
        <v>706.35</v>
      </c>
      <c r="F25" s="31" t="inlineStr">
        <is>
          <t>GREEN</t>
        </is>
      </c>
      <c r="G25" s="31" t="inlineStr">
        <is>
          <t>GREEN</t>
        </is>
      </c>
      <c r="H25" s="30" t="inlineStr">
        <is>
          <t>AMBER</t>
        </is>
      </c>
      <c r="I25" s="30" t="inlineStr">
        <is>
          <t>AMBER</t>
        </is>
      </c>
      <c r="J25" s="30" t="inlineStr">
        <is>
          <t>AMBER</t>
        </is>
      </c>
      <c r="K25" s="24" t="inlineStr">
        <is>
          <t>TE004218 $6.05 Gold Coast parking miscode CLOSED: recoded to 73531 via GJ078933 (14-Apr-2026), pair nets $0.00, direction correct; this also closes the restored 3-Jun travel flag on TE004218. GJ075544 +/-$44.89 EOY 2024/25 AP reversal pair nets out; the Canungra accommodation content is an FY25 advisory (accommodation never belongs on 73541). Open: TE004922 Trailbuilders conference registration $626.48 unsighted (correct 73541 content on its face) plus a $15.66 international transaction fee, strictly a financing cost, immaterial, advisory only.</t>
        </is>
      </c>
      <c r="L25" s="24" t="inlineStr">
        <is>
          <t>1 Sight the Trailbuilders registration backup for TE004922 ($642.14 combined) on the PCard reconciliation.</t>
        </is>
      </c>
      <c r="M25" s="24" t="inlineStr">
        <is>
          <t>06_NA73541_Conferences/NA73541_Notes_and_Kinatico_Intake.md (none sighted)</t>
        </is>
      </c>
      <c r="N25" s="24" t="inlineStr">
        <is>
          <t>n/a (TE004218 recode already in-ledger via GJ078933)</t>
        </is>
      </c>
      <c r="O25" s="24" t="inlineStr">
        <is>
          <t>11-Jun-2026</t>
        </is>
      </c>
    </row>
    <row r="26">
      <c r="C26" s="28" t="inlineStr">
        <is>
          <t>TOTAL reviewed $ (this register)</t>
        </is>
      </c>
      <c r="D26" s="29">
        <f>SUM(D5:D25)</f>
        <v/>
      </c>
      <c r="E26" s="29">
        <f>SUM(E5:E25)</f>
        <v/>
      </c>
    </row>
  </sheetData>
  <mergeCells count="2">
    <mergeCell ref="A1:O1"/>
    <mergeCell ref="A2:O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2026-06-08T22:42:49Z</dcterms:created>
  <dcterms:modified xmlns:dcterms="http://purl.org/dc/terms/" xmlns:xsi="http://www.w3.org/2001/XMLSchema-instance" xsi:type="dcterms:W3CDTF">2026-06-11T04:53:39Z</dcterms:modified>
  <cp:revision>0</cp:revision>
</cp:coreProperties>
</file>