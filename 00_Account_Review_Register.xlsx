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<sst xmlns="http://schemas.openxmlformats.org/spreadsheetml/2006/main" count="317" uniqueCount="191">
  <si>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</si>
  <si>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</si>
  <si>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</si>
  <si>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</si>
  <si>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</si>
  <si>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</si>
  <si>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</si>
  <si>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</si>
  <si>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</si>
  <si>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</si>
  <si>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</si>
  <si>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</si>
  <si>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</si>
  <si>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</si>
  <si>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</si>
  <si>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</si>
  <si>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</si>
  <si>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</si>
  <si>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</si>
  <si>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</si>
  <si>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</si>
  <si>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</si>
  <si>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</si>
  <si>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</si>
  <si>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</si>
  <si>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</si>
  <si>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</si>
  <si>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</si>
  <si>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</si>
  <si>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</si>
  <si>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</si>
  <si>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 | 18-Jun: full 72111 ledger PROVIDED (371 lines $68,112.06, 196 with attachments); large untested remainder now line-visible.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</si>
  <si>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</si>
  <si>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</si>
  <si>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</si>
  <si>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</si>
  <si>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</si>
  <si>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</si>
  <si>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</si>
  <si>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</si>
  <si>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</si>
  <si>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</si>
  <si>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</si>
  <si>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</si>
  <si>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</si>
  <si>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</si>
  <si>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</si>
  <si>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</si>
  <si>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</si>
  <si>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</si>
  <si>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</si>
  <si>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</si>
  <si>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</si>
  <si>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</si>
  <si>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</si>
  <si>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</si>
  <si>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</si>
  <si>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</si>
  <si>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</si>
  <si>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</si>
  <si>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 | 18-Jun: full 72114 ledger PROVIDED (112 lines $27,590.02, 51 with attachments); the $25,176.66 untested remainder is now line-visible for review.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</si>
  <si>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</si>
  <si>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</si>
  <si>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</si>
  <si>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</si>
  <si>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</si>
  <si>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 | 17-Jun: five held Kinatico invoices VERIFIED (ABN 25 111 728 842 checksum PASS, GST exact to the cent on all five). Reconciliation: they total $7,996.86 ex-GST, 2.16x the 73140 SE2 balance of $3,703.03, so the monthly invoices bill the whole council and the Parks slice cannot be attributed. Correctly held unapplied; evidence limb stays AMBER pending the FY26 73140 ledger extract. | 18-Jun: 73140 ledger SIGHTED, reconciles $3,703.03 exact (22 lines, all att=Y). Two vendors found - CV Check/Kinatico and JobFit standing order. The five held Kinatico invoices ATTRIBUTED to their ledger lines by P-number (Parks slice $632.09; the invoices bill the whole council). Remaining evidence: 6 more CV Check months + 10 JobFit lines, all att=Y in TechOne.</t>
  </si>
  <si>
    <t xml:space="preserve">1 Sight a sample of CV Check AP invoices to confirm evidence and tax limbs. 2 On sighting, clear to GREEN (no recode expected). 3 Pull the FY26 73140 ledger extract and match the five held Kinatico invoices by month and amount before any limb moves.</t>
  </si>
  <si>
    <t xml:space="preserve">3-Jun review queue finding (no deliverable bundle this pass); 07_Intake_Held_Kinatico/ (5 Kinatico invoices, canonically renamed, held unapplied)</t>
  </si>
  <si>
    <t xml:space="preserve">n/a (no recode)</t>
  </si>
  <si>
    <t xml:space="preserve">18-Jun-2026 (ledger sighted; Kinatico attributed)</t>
  </si>
  <si>
    <t xml:space="preserve">73511</t>
  </si>
  <si>
    <t xml:space="preserve">Entertainment &amp; Hospitality (FBT)</t>
  </si>
  <si>
    <t xml:space="preserve">7 svc codes (Natural Areas x3, Depots, Mgmt, Planning, Park Services); 126 lines incl Finance 50/50 batch pairs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</si>
  <si>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</si>
  <si>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</si>
  <si>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</si>
  <si>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n/a (no recode staged)</t>
  </si>
  <si>
    <t xml:space="preserve">10-Jun-2026</t>
  </si>
  <si>
    <t xml:space="preserve">73128</t>
  </si>
  <si>
    <t xml:space="preserve">Other services</t>
  </si>
  <si>
    <t xml:space="preserve">TCB milk standing order PO 709655, PK000001 svc20151 Depots (57 PUR + 4 GJ075544 lines) + Raj Aggarwal bond pair (nets $0.00)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</si>
  <si>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</si>
  <si>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</si>
  <si>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</si>
  <si>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</si>
  <si>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73433</t>
  </si>
  <si>
    <t xml:space="preserve">Other Fees &amp; Charges</t>
  </si>
  <si>
    <t xml:space="preserve">Two lines: QUT parking PK000087 svc20001 + blue card recode-in PK000075 svc20411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</si>
  <si>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 | 17-Jun: manifest-vs-register conflict RECONCILED - the TE004496 Blue Card receipt (56213618922, $104.70 Div 81 exempt) is held and SIGHTED (NA73433_L02, SHA 95f8b186 verified); a stale duplicate GAP row was removed from the manifest. Both 73433 lines (TE005281, TE004496) now sighted.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</si>
  <si>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</si>
  <si>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</si>
  <si>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</si>
  <si>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73512</t>
  </si>
  <si>
    <t xml:space="preserve">Entertainment &amp; Hospitality Non-FBT</t>
  </si>
  <si>
    <t xml:space="preserve">122 lines, 7 svc codes; volunteer reimbursements + FBT batch micro-lines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</si>
  <si>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</si>
  <si>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</si>
  <si>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</si>
  <si>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73544</t>
  </si>
  <si>
    <t xml:space="preserve">Training &amp; Development</t>
  </si>
  <si>
    <t xml:space="preserve">Full account: 41 lines, $69,232.16; 17 vendor docs + back-charges intake sighted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</si>
  <si>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 | 17-Jun: SIX journal backups SIGHTED (L23-L28), each a balanced Document Reconstruction netting $0.00 (IJ074222, GJ078710, GJ078895, GJ077155, GJ079267, GJ078296); journal-backup gap CLOSED. ACCA INV-11404 deficiency was stale: invoice held at L10 since 10-Jun (SHA 6126cdf2); EVID overlay lines 159-161 relinked to EVID-0148 from a stale placeholder (matcher miss corrected). Internal journals post cross-ledger to 26PSLACT/26RMACT/WW03; NA 73544 consistent throughout.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</si>
  <si>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 | 17-Jun: item 3 journal backups (6) CLOSED at L23-L28; ACCA deficiency closed (relinked, was stale). Residual on item 3: HLW (BAL) compliant tax invoice still outstanding (tax limb AMBER). Items 1,2,4,5 unchanged (Bendelta/BAL/Pryor/Hambly/Preussner rulings still with Spero; BAL workshop receipt $1,943.70 in intake does NOT match $1,767 TE004334 - reconcile before it closes the 73541 candidate).</t>
  </si>
  <si>
    <t xml:space="preserve">NA73544_Evidence/ (46 files: 17-Jun added L23-L28 journal backups, SHA-verified)</t>
  </si>
  <si>
    <t xml:space="preserve">CN-23167 (journal-ready, Spero 11-Jun-2026; NA73544 PK-split stream in the live journal)</t>
  </si>
  <si>
    <t xml:space="preserve">17-Jun-2026</t>
  </si>
  <si>
    <t xml:space="preserve">73212</t>
  </si>
  <si>
    <t xml:space="preserve">Major Contracts (3 section exports)</t>
  </si>
  <si>
    <t xml:space="preserve">Water Parks svc20802 $900 + Design&amp;Capital svc20191 $15,100 + s4090230 $38,242.75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</si>
  <si>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 | 17-Jun: Materials reclassification PK000372 (svc 20551 Fuel Reduction Burn) evidenced - EMU INV-0367/0389/0395 ($26,414.08) SIGHTED as the 72111-&gt;73212 destination legs of posted journal XRef 934000000001 (directive-authorised, nets $0.00). See workstream 08_Materials_Recode_PK000372. Not a new recode; already posted.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</si>
  <si>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</si>
  <si>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</si>
  <si>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</si>
  <si>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17-Jun-2026 (intake disposition)</t>
  </si>
  <si>
    <t xml:space="preserve">73215</t>
  </si>
  <si>
    <t xml:space="preserve">Major Contracts - Partnership (Alliance)</t>
  </si>
  <si>
    <t xml:space="preserve">Full account: PK000366 svc20511 (3 invoices) + 2 zero split lines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</si>
  <si>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</si>
  <si>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</si>
  <si>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</si>
  <si>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</si>
  <si>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11-Jun-2026</t>
  </si>
  <si>
    <t xml:space="preserve">73601</t>
  </si>
  <si>
    <t xml:space="preserve">Management Consultancies</t>
  </si>
  <si>
    <t xml:space="preserve">Full account: PK000087 svc20001 (single engagement, Org Risk Consulting)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</si>
  <si>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| 17-Jun MERGE: 8 Org Risk Consulting invoices sighted ($43,871.03 exact), ABN 27 651 588 662 PASS, GST exact; account 9 of 9, GREEN (ported from PR-8 reconciliation).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</si>
  <si>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</si>
  <si>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</si>
  <si>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</si>
  <si>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17-Jun-2026 (8 invoices sighted; GREEN)</t>
  </si>
  <si>
    <t xml:space="preserve">73123</t>
  </si>
  <si>
    <t xml:space="preserve">Maintenance Services</t>
  </si>
  <si>
    <t xml:space="preserve">Full branch export received 11-Jun-2026 (3,776 lines); OPENED, not reconciled</t>
  </si>
  <si>
    <t xml:space="preserve">n/a</t>
  </si>
  <si>
    <t xml:space="preserve">OPENED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</si>
  <si>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</si>
  <si>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</si>
  <si>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</si>
  <si>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</si>
  <si>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</si>
  <si>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73211</t>
  </si>
  <si>
    <t xml:space="preserve">Minor Contracts (below $20,000)</t>
  </si>
  <si>
    <t xml:space="preserve">Full account: 114 lines, 23 cost codes; section subsets verified (Natural Areas $116,963.24, Depots $23,626.58)</t>
  </si>
  <si>
    <t xml:space="preserve">Reconciles to SE2 to the cent at the established scope ($236,378.27). 17-Jun-2026 evidence pass: 14 source invoices sighted exact to GL on the x1.1 test (Lockwise 2906937/2908705, TBM 97461/583/626/780, T2 3222869/3223786, Easy Signs 698933AU/713170AU, T&amp;H Levai INV-38877, 9016, Australasia 34828, 00735), all 8 distinct vendor ABN checksums PASS, GST math clean (no GST errors). Ausecology INV-4029 $8,480 + INV-4030 $6,360 sighted but $450 residual in GJ078960 and vendor ABN not on invoice (NARROWED). Evidence sighted now $208,815.65 of $236,378.27 (88.3%), $223,655.65 (94.6%) incl Ausecology narrowed. | 17-Jun MERGE: refreshed to 120 lines $267,532.19 (+6 P12 lines from the 17-Jun re-export, +$31,153.92) and 16 outstanding invoices sighted (+$66,404.23; Lothian, TBM, Ausecology, T2 Electrical, IDM, Radio Logan, Treescape, T&amp;H Levai, Wildlife Qld) - ported from PR-8. | 17-Jun: Materials Journal intake closed two more evidence gaps - EWN INV-14768 ($375.00) and Wallum 00059013 ($276.80) now SIGHTED. Four gaps remain: Provac INV-00037183 ($2,050, no source), Telstra Dec-25 ($727.95, intake scan image-only), Wallum 00031055/79/85/86 ($1,668) and 00060617/47 ($493.40).</t>
  </si>
  <si>
    <t xml:space="preserve">Residual evidence GAP (~$5,505 quantified + EWN): small series 00059013/00031055/79/85/86/00060617/47 ($2,438.20), Provac INV-00037183 ($2,050), Telstra Dec-25 ($727.95), EWN INV-14768 (amount tbc); Ausecology $450 residual + vendor ABN. SCOPE: fresh 17-Jun export totals $267,532.19 vs register $236,378.27, delta $31,153.92 (suspected added P11/P12 lines incl 8 Org Risk Consulting WHS invoices INV-250714/811-813/910-913 present in intake but absent from 73211 ledger refs) - reconcile before changing scope. F1-F7 and candidate rulings still Spero's.</t>
  </si>
  <si>
    <t xml:space="preserve">02_NA73211_Minor_Contracts/ (verification record + 11-Jun + 17-Jun addenda; NA73211_Evidence/ 59 files; NA73211_Evidence_Manifest.csv; NA73211_EvidencePass_17-Jun-2026.csv)</t>
  </si>
  <si>
    <t xml:space="preserve">n/a (no recode staged; findings held un-instructed)</t>
  </si>
  <si>
    <t xml:space="preserve">62121/62125</t>
  </si>
  <si>
    <t xml:space="preserve">Cemetery Revenue (Garside query)</t>
  </si>
  <si>
    <t xml:space="preserve">PK000400 pre-purchase lines 1-20446-62125 + related 62121 lines (svc 20446, 20131, 20453)</t>
  </si>
  <si>
    <t xml:space="preserve"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</si>
  <si>
    <t xml:space="preserve"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</si>
  <si>
    <t xml:space="preserve">03_Cemetery_Revenue_62121_62125/ (CEM_Verification_Record.md; Evidence/ 6 files incl the Garside email)</t>
  </si>
  <si>
    <t xml:space="preserve">n/a (correction already in-ledger via GJ076150)</t>
  </si>
  <si>
    <t xml:space="preserve">7B532</t>
  </si>
  <si>
    <t xml:space="preserve">Internal - Spoils (Cemeteries)</t>
  </si>
  <si>
    <t xml:space="preserve">3 internal journal lines, 1-20451-7B532, PK000403</t>
  </si>
  <si>
    <t xml:space="preserve"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</si>
  <si>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</si>
  <si>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(NA7B532_Verification_Record.md; evidence manifest; 2 Bega Road sheets)</t>
  </si>
  <si>
    <t xml:space="preserve">n/a (no recode staged; duplicate unconfirmed)</t>
  </si>
  <si>
    <t xml:space="preserve">7B214</t>
  </si>
  <si>
    <t xml:space="preserve">Internal - Maintenance Services</t>
  </si>
  <si>
    <t xml:space="preserve">3 internal journal lines (svc 20151, 20392, 20361)</t>
  </si>
  <si>
    <t xml:space="preserve"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</si>
  <si>
    <t xml:space="preserve">1 Obtain the Transport Operations oncharge backup for IJ073869 ($3,600). 2 Obtain DA/4574 for IJ074845 ($3,888) and confirm the svc 20361 attribution.</t>
  </si>
  <si>
    <t xml:space="preserve">05_NA7B214_Internal_Maintenance/ (NA7B214_Verification_Record.md; evidence manifest; CSL sheet + Durant email)</t>
  </si>
  <si>
    <t xml:space="preserve">73541</t>
  </si>
  <si>
    <t xml:space="preserve">Conferences &amp; Seminar Fees</t>
  </si>
  <si>
    <t xml:space="preserve">6 lines net (svc 20641 PCard + closed recode and reversal pairs)</t>
  </si>
  <si>
    <t xml:space="preserve"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</si>
  <si>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</si>
  <si>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</si>
  <si>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</si>
  <si>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73122</t>
  </si>
  <si>
    <t xml:space="preserve">Garbage Collection</t>
  </si>
  <si>
    <t xml:space="preserve">PK000001 svc20151 + PK000022 svc20392</t>
  </si>
  <si>
    <t xml:space="preserve">Cleanaway allocated garbage slice; coding correct, reconciles to SE2 $0.00. F1 5 of 9 months unsighted; F2 no Parks tax invoice by design; F3 EOM accrual nets $0.00; F4 ABN not sighted.</t>
  </si>
  <si>
    <t xml:space="preserve">4: Cleanaway statements Jul/Sep/Dec 2025; 7 monthly allocation journals; sight &amp; validate Cleanaway ABN; Sep GJ077308 attachment flag N.</t>
  </si>
  <si>
    <t xml:space="preserve">NA73122_Evidence/ + 4 council-wide Cleanaway statements fingerprinted in manifest</t>
  </si>
  <si>
    <t xml:space="preserve">NIL recode (coding correct)</t>
  </si>
  <si>
    <t xml:space="preserve">7B213</t>
  </si>
  <si>
    <t xml:space="preserve">Internal - Medical Services (Immunisation)</t>
  </si>
  <si>
    <t xml:space="preserve">Whole-branch immunisation on NatAreas PK000432 (svc 20318); 70 lines P2-P12</t>
  </si>
  <si>
    <t xml:space="preserve"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 | 18-Jun: EVIDENCE CITED. Parks 4090000 7B213 ledger export sighted - 70 lines reconcile $4,861.70 exact, all 11 source IJs match line-for-line; Internal Immunisation Services Journal (per-person/vaccine source) also held. Evidence limb GREEN. Tax limb n/a (internal charge).</t>
  </si>
  <si>
    <t xml:space="preserve"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</si>
  <si>
    <t xml:space="preserve">NA7B213_Verification_Record.md; NA7B213_GENJNL_Recode.txt; NA7B213_Employee_PK_Mapping.csv; NA7B213_Held_Items.md; NA7B213_Evidence/ (GAP, unsighted)</t>
  </si>
  <si>
    <t xml:space="preserve">CN-23167 (journal-ready, Spero; $3,799.50 svc-PK split, 17 pairs, nets $0.00)</t>
  </si>
  <si>
    <t xml:space="preserve">18-Jun-2026 (70 lines cited)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</si>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</sst>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29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70</v>
      </c>
    </row>
    <row r="12" customFormat="false" ht="15" hidden="false" customHeight="true" outlineLevel="0" collapsed="false">
      <c r="A12" s="5" t="s">
        <v>71</v>
      </c>
      <c r="B12" s="5" t="s">
        <v>72</v>
      </c>
      <c r="C12" s="5" t="s">
        <v>73</v>
      </c>
      <c r="D12" s="6" t="n">
        <v>5384.57</v>
      </c>
      <c r="E12" s="6" t="n">
        <v>5923.03</v>
      </c>
      <c r="F12" s="8" t="s">
        <v>20</v>
      </c>
      <c r="G12" s="8" t="s">
        <v>20</v>
      </c>
      <c r="H12" s="9" t="s">
        <v>20</v>
      </c>
      <c r="I12" s="9" t="s">
        <v>20</v>
      </c>
      <c r="J12" s="9" t="s">
        <v>20</v>
      </c>
      <c r="K12" s="5" t="s">
        <v>74</v>
      </c>
      <c r="L12" s="5" t="s">
        <v>75</v>
      </c>
      <c r="M12" s="5" t="s">
        <v>76</v>
      </c>
      <c r="N12" s="5" t="s">
        <v>77</v>
      </c>
      <c r="O12" s="5" t="s">
        <v>78</v>
      </c>
    </row>
    <row r="13" customFormat="false" ht="137.25" hidden="false" customHeight="true" outlineLevel="0" collapsed="false">
      <c r="A13" s="5" t="s">
        <v>79</v>
      </c>
      <c r="B13" s="5" t="s">
        <v>80</v>
      </c>
      <c r="C13" s="5" t="s">
        <v>81</v>
      </c>
      <c r="D13" s="6" t="n">
        <v>1854.7</v>
      </c>
      <c r="E13" s="6" t="n">
        <v>1915.81</v>
      </c>
      <c r="F13" s="8" t="s">
        <v>29</v>
      </c>
      <c r="G13" s="8" t="s">
        <v>30</v>
      </c>
      <c r="H13" s="9" t="s">
        <v>29</v>
      </c>
      <c r="I13" s="9" t="s">
        <v>29</v>
      </c>
      <c r="J13" s="9" t="s">
        <v>20</v>
      </c>
      <c r="K13" s="5" t="s">
        <v>82</v>
      </c>
      <c r="L13" s="5" t="s">
        <v>83</v>
      </c>
      <c r="M13" s="5" t="s">
        <v>84</v>
      </c>
      <c r="N13" s="5" t="s">
        <v>85</v>
      </c>
      <c r="O13" s="5" t="s">
        <v>78</v>
      </c>
    </row>
    <row r="14" customFormat="false" ht="15" hidden="false" customHeight="true" outlineLevel="0" collapsed="false">
      <c r="A14" s="5" t="s">
        <v>86</v>
      </c>
      <c r="B14" s="5" t="s">
        <v>87</v>
      </c>
      <c r="C14" s="5" t="s">
        <v>88</v>
      </c>
      <c r="D14" s="6" t="n">
        <v>139.25</v>
      </c>
      <c r="E14" s="6" t="n">
        <v>153.18</v>
      </c>
      <c r="F14" s="8" t="s">
        <v>20</v>
      </c>
      <c r="G14" s="8" t="s">
        <v>30</v>
      </c>
      <c r="H14" s="8" t="s">
        <v>29</v>
      </c>
      <c r="I14" s="9" t="s">
        <v>20</v>
      </c>
      <c r="J14" s="9" t="s">
        <v>20</v>
      </c>
      <c r="K14" s="5" t="s">
        <v>89</v>
      </c>
      <c r="L14" s="5" t="s">
        <v>90</v>
      </c>
      <c r="M14" s="5" t="s">
        <v>91</v>
      </c>
      <c r="N14" s="5" t="s">
        <v>92</v>
      </c>
      <c r="O14" s="5" t="s">
        <v>78</v>
      </c>
    </row>
    <row r="15" customFormat="false" ht="63.75" hidden="false" customHeight="true" outlineLevel="0" collapsed="false">
      <c r="A15" s="5" t="s">
        <v>93</v>
      </c>
      <c r="B15" s="5" t="s">
        <v>94</v>
      </c>
      <c r="C15" s="5" t="s">
        <v>95</v>
      </c>
      <c r="D15" s="6" t="n">
        <v>5520.97</v>
      </c>
      <c r="E15" s="6" t="n">
        <v>6073.07</v>
      </c>
      <c r="F15" s="8" t="s">
        <v>20</v>
      </c>
      <c r="G15" s="8" t="s">
        <v>20</v>
      </c>
      <c r="H15" s="9" t="s">
        <v>20</v>
      </c>
      <c r="I15" s="9" t="s">
        <v>20</v>
      </c>
      <c r="J15" s="9" t="s">
        <v>20</v>
      </c>
      <c r="K15" s="5" t="s">
        <v>96</v>
      </c>
      <c r="L15" s="5" t="s">
        <v>97</v>
      </c>
      <c r="M15" s="5" t="s">
        <v>98</v>
      </c>
      <c r="N15" s="5" t="s">
        <v>77</v>
      </c>
      <c r="O15" s="5" t="s">
        <v>78</v>
      </c>
    </row>
    <row r="16" customFormat="false" ht="168" hidden="false" customHeight="true" outlineLevel="0" collapsed="false">
      <c r="A16" s="5" t="s">
        <v>99</v>
      </c>
      <c r="B16" s="5" t="s">
        <v>100</v>
      </c>
      <c r="C16" s="5" t="s">
        <v>101</v>
      </c>
      <c r="D16" s="6" t="n">
        <v>69232.16</v>
      </c>
      <c r="E16" s="6" t="n">
        <v>76155.38</v>
      </c>
      <c r="F16" s="8" t="s">
        <v>20</v>
      </c>
      <c r="G16" s="8" t="s">
        <v>20</v>
      </c>
      <c r="H16" s="9" t="s">
        <v>20</v>
      </c>
      <c r="I16" s="9" t="s">
        <v>20</v>
      </c>
      <c r="J16" s="9" t="s">
        <v>20</v>
      </c>
      <c r="K16" s="5" t="s">
        <v>102</v>
      </c>
      <c r="L16" s="5" t="s">
        <v>103</v>
      </c>
      <c r="M16" s="5" t="s">
        <v>104</v>
      </c>
      <c r="N16" s="5" t="s">
        <v>105</v>
      </c>
      <c r="O16" s="5" t="s">
        <v>106</v>
      </c>
    </row>
    <row r="17" customFormat="false" ht="157.5" hidden="false" customHeight="true" outlineLevel="0" collapsed="false">
      <c r="A17" s="5" t="s">
        <v>107</v>
      </c>
      <c r="B17" s="5" t="s">
        <v>108</v>
      </c>
      <c r="C17" s="5" t="s">
        <v>109</v>
      </c>
      <c r="D17" s="6" t="n">
        <v>54242.75</v>
      </c>
      <c r="E17" s="6" t="n">
        <v>59667.03</v>
      </c>
      <c r="F17" s="8" t="s">
        <v>20</v>
      </c>
      <c r="G17" s="8" t="s">
        <v>30</v>
      </c>
      <c r="H17" s="9" t="s">
        <v>20</v>
      </c>
      <c r="I17" s="9" t="s">
        <v>20</v>
      </c>
      <c r="J17" s="9" t="s">
        <v>20</v>
      </c>
      <c r="K17" s="5" t="s">
        <v>110</v>
      </c>
      <c r="L17" s="5" t="s">
        <v>111</v>
      </c>
      <c r="M17" s="5" t="s">
        <v>112</v>
      </c>
      <c r="N17" s="5" t="s">
        <v>113</v>
      </c>
      <c r="O17" s="5" t="s">
        <v>114</v>
      </c>
    </row>
    <row r="18" customFormat="false" ht="168" hidden="false" customHeight="true" outlineLevel="0" collapsed="false">
      <c r="A18" s="5" t="s">
        <v>115</v>
      </c>
      <c r="B18" s="5" t="s">
        <v>116</v>
      </c>
      <c r="C18" s="5" t="s">
        <v>117</v>
      </c>
      <c r="D18" s="6" t="n">
        <v>4739</v>
      </c>
      <c r="E18" s="6" t="n">
        <v>5212.9</v>
      </c>
      <c r="F18" s="8" t="s">
        <v>29</v>
      </c>
      <c r="G18" s="8" t="s">
        <v>30</v>
      </c>
      <c r="H18" s="9" t="s">
        <v>29</v>
      </c>
      <c r="I18" s="9" t="s">
        <v>29</v>
      </c>
      <c r="J18" s="9" t="s">
        <v>20</v>
      </c>
      <c r="K18" s="5" t="s">
        <v>118</v>
      </c>
      <c r="L18" s="5" t="s">
        <v>119</v>
      </c>
      <c r="M18" s="5" t="s">
        <v>120</v>
      </c>
      <c r="N18" s="5" t="s">
        <v>121</v>
      </c>
      <c r="O18" s="5" t="s">
        <v>122</v>
      </c>
    </row>
    <row r="19" customFormat="false" ht="137.25" hidden="false" customHeight="true" outlineLevel="0" collapsed="false">
      <c r="A19" s="5" t="s">
        <v>123</v>
      </c>
      <c r="B19" s="5" t="s">
        <v>124</v>
      </c>
      <c r="C19" s="5" t="s">
        <v>125</v>
      </c>
      <c r="D19" s="6" t="n">
        <v>46003.66</v>
      </c>
      <c r="E19" s="6" t="n">
        <v>50604.03</v>
      </c>
      <c r="F19" s="8" t="s">
        <v>29</v>
      </c>
      <c r="G19" s="8" t="s">
        <v>29</v>
      </c>
      <c r="H19" s="8" t="s">
        <v>29</v>
      </c>
      <c r="I19" s="8" t="s">
        <v>29</v>
      </c>
      <c r="J19" s="8" t="s">
        <v>29</v>
      </c>
      <c r="K19" s="5" t="s">
        <v>126</v>
      </c>
      <c r="L19" s="5" t="s">
        <v>127</v>
      </c>
      <c r="M19" s="5" t="s">
        <v>128</v>
      </c>
      <c r="N19" s="5" t="s">
        <v>129</v>
      </c>
      <c r="O19" s="5" t="s">
        <v>130</v>
      </c>
    </row>
    <row r="20" customFormat="false" ht="157.5" hidden="false" customHeight="true" outlineLevel="0" collapsed="false">
      <c r="A20" s="5" t="s">
        <v>131</v>
      </c>
      <c r="B20" s="5" t="s">
        <v>132</v>
      </c>
      <c r="C20" s="5" t="s">
        <v>133</v>
      </c>
      <c r="D20" s="6" t="n">
        <v>0</v>
      </c>
      <c r="E20" s="6" t="n">
        <v>0</v>
      </c>
      <c r="F20" s="8" t="s">
        <v>134</v>
      </c>
      <c r="G20" s="8" t="s">
        <v>134</v>
      </c>
      <c r="H20" s="9" t="s">
        <v>134</v>
      </c>
      <c r="I20" s="9" t="s">
        <v>134</v>
      </c>
      <c r="J20" s="9" t="s">
        <v>135</v>
      </c>
      <c r="K20" s="5" t="s">
        <v>136</v>
      </c>
      <c r="L20" s="5" t="s">
        <v>137</v>
      </c>
      <c r="M20" s="5" t="s">
        <v>138</v>
      </c>
      <c r="N20" s="5" t="s">
        <v>139</v>
      </c>
      <c r="O20" s="5" t="s">
        <v>140</v>
      </c>
    </row>
    <row r="21" customFormat="false" ht="126.75" hidden="false" customHeight="true" outlineLevel="0" collapsed="false">
      <c r="A21" s="5" t="s">
        <v>141</v>
      </c>
      <c r="B21" s="5" t="s">
        <v>142</v>
      </c>
      <c r="C21" s="5" t="s">
        <v>143</v>
      </c>
      <c r="D21" s="6" t="n">
        <v>267532.19</v>
      </c>
      <c r="E21" s="6" t="n">
        <v>294285.41</v>
      </c>
      <c r="F21" s="9" t="s">
        <v>20</v>
      </c>
      <c r="G21" s="9" t="s">
        <v>20</v>
      </c>
      <c r="H21" s="9" t="s">
        <v>20</v>
      </c>
      <c r="I21" s="9" t="s">
        <v>20</v>
      </c>
      <c r="J21" s="9" t="s">
        <v>20</v>
      </c>
      <c r="K21" s="5" t="s">
        <v>144</v>
      </c>
      <c r="L21" s="5" t="s">
        <v>145</v>
      </c>
      <c r="M21" s="5" t="s">
        <v>146</v>
      </c>
      <c r="N21" s="5" t="s">
        <v>147</v>
      </c>
      <c r="O21" s="5" t="s">
        <v>114</v>
      </c>
    </row>
    <row r="22" customFormat="false" ht="178.5" hidden="false" customHeight="true" outlineLevel="0" collapsed="false">
      <c r="A22" s="5" t="s">
        <v>148</v>
      </c>
      <c r="B22" s="5" t="s">
        <v>149</v>
      </c>
      <c r="C22" s="5" t="s">
        <v>150</v>
      </c>
      <c r="D22" s="6" t="n">
        <v>3711.73</v>
      </c>
      <c r="E22" s="6" t="n">
        <v>3867</v>
      </c>
      <c r="F22" s="9" t="s">
        <v>20</v>
      </c>
      <c r="G22" s="8" t="s">
        <v>29</v>
      </c>
      <c r="H22" s="9" t="s">
        <v>20</v>
      </c>
      <c r="I22" s="9" t="s">
        <v>20</v>
      </c>
      <c r="J22" s="9" t="s">
        <v>20</v>
      </c>
      <c r="K22" s="5" t="s">
        <v>151</v>
      </c>
      <c r="L22" s="5" t="s">
        <v>152</v>
      </c>
      <c r="M22" s="5" t="s">
        <v>153</v>
      </c>
      <c r="N22" s="5" t="s">
        <v>154</v>
      </c>
      <c r="O22" s="5" t="s">
        <v>122</v>
      </c>
    </row>
    <row r="23" customFormat="false" ht="126.75" hidden="false" customHeight="true" outlineLevel="0" collapsed="false">
      <c r="A23" s="5" t="s">
        <v>155</v>
      </c>
      <c r="B23" s="5" t="s">
        <v>156</v>
      </c>
      <c r="C23" s="5" t="s">
        <v>157</v>
      </c>
      <c r="D23" s="6" t="n">
        <v>2944</v>
      </c>
      <c r="E23" s="6" t="n">
        <v>2944</v>
      </c>
      <c r="F23" s="8" t="s">
        <v>29</v>
      </c>
      <c r="G23" s="8" t="s">
        <v>29</v>
      </c>
      <c r="H23" s="9" t="s">
        <v>20</v>
      </c>
      <c r="I23" s="10" t="s">
        <v>134</v>
      </c>
      <c r="J23" s="9" t="s">
        <v>20</v>
      </c>
      <c r="K23" s="5" t="s">
        <v>158</v>
      </c>
      <c r="L23" s="5" t="s">
        <v>159</v>
      </c>
      <c r="M23" s="5" t="s">
        <v>160</v>
      </c>
      <c r="N23" s="5" t="s">
        <v>161</v>
      </c>
      <c r="O23" s="5" t="s">
        <v>122</v>
      </c>
    </row>
    <row r="24" customFormat="false" ht="116.25" hidden="false" customHeight="true" outlineLevel="0" collapsed="false">
      <c r="A24" s="5" t="s">
        <v>162</v>
      </c>
      <c r="B24" s="5" t="s">
        <v>163</v>
      </c>
      <c r="C24" s="5" t="s">
        <v>164</v>
      </c>
      <c r="D24" s="6" t="n">
        <v>7570.5</v>
      </c>
      <c r="E24" s="6" t="n">
        <v>7570.5</v>
      </c>
      <c r="F24" s="9" t="s">
        <v>20</v>
      </c>
      <c r="G24" s="9" t="s">
        <v>20</v>
      </c>
      <c r="H24" s="9" t="s">
        <v>20</v>
      </c>
      <c r="I24" s="10" t="s">
        <v>134</v>
      </c>
      <c r="J24" s="9" t="s">
        <v>20</v>
      </c>
      <c r="K24" s="5" t="s">
        <v>165</v>
      </c>
      <c r="L24" s="5" t="s">
        <v>166</v>
      </c>
      <c r="M24" s="5" t="s">
        <v>167</v>
      </c>
      <c r="N24" s="5" t="s">
        <v>77</v>
      </c>
      <c r="O24" s="5" t="s">
        <v>122</v>
      </c>
    </row>
    <row r="25" customFormat="false" ht="105.75" hidden="false" customHeight="true" outlineLevel="0" collapsed="false">
      <c r="A25" s="5" t="s">
        <v>168</v>
      </c>
      <c r="B25" s="5" t="s">
        <v>169</v>
      </c>
      <c r="C25" s="5" t="s">
        <v>170</v>
      </c>
      <c r="D25" s="6" t="n">
        <v>642.14</v>
      </c>
      <c r="E25" s="6" t="n">
        <v>706.35</v>
      </c>
      <c r="F25" s="8" t="s">
        <v>29</v>
      </c>
      <c r="G25" s="8" t="s">
        <v>29</v>
      </c>
      <c r="H25" s="9" t="s">
        <v>20</v>
      </c>
      <c r="I25" s="9" t="s">
        <v>20</v>
      </c>
      <c r="J25" s="9" t="s">
        <v>20</v>
      </c>
      <c r="K25" s="5" t="s">
        <v>171</v>
      </c>
      <c r="L25" s="5" t="s">
        <v>172</v>
      </c>
      <c r="M25" s="5" t="s">
        <v>173</v>
      </c>
      <c r="N25" s="5" t="s">
        <v>174</v>
      </c>
      <c r="O25" s="5" t="s">
        <v>122</v>
      </c>
    </row>
    <row r="26" customFormat="false" ht="15" hidden="false" customHeight="true" outlineLevel="0" collapsed="false">
      <c r="A26" s="5" t="s">
        <v>175</v>
      </c>
      <c r="B26" s="5" t="s">
        <v>176</v>
      </c>
      <c r="C26" s="5" t="s">
        <v>177</v>
      </c>
      <c r="D26" s="6" t="n">
        <v>21876.6</v>
      </c>
      <c r="E26" s="6" t="n">
        <v>24064.26</v>
      </c>
      <c r="F26" s="8" t="s">
        <v>29</v>
      </c>
      <c r="G26" s="8" t="s">
        <v>29</v>
      </c>
      <c r="H26" s="9" t="s">
        <v>20</v>
      </c>
      <c r="I26" s="9" t="s">
        <v>20</v>
      </c>
      <c r="J26" s="9" t="s">
        <v>20</v>
      </c>
      <c r="K26" s="5" t="s">
        <v>178</v>
      </c>
      <c r="L26" s="5" t="s">
        <v>179</v>
      </c>
      <c r="M26" s="5" t="s">
        <v>180</v>
      </c>
      <c r="N26" s="5" t="s">
        <v>181</v>
      </c>
      <c r="O26" s="5" t="s">
        <v>106</v>
      </c>
    </row>
    <row r="27" customFormat="false" ht="15" hidden="false" customHeight="true" outlineLevel="0" collapsed="false">
      <c r="A27" s="5" t="s">
        <v>182</v>
      </c>
      <c r="B27" s="5" t="s">
        <v>183</v>
      </c>
      <c r="C27" s="5" t="s">
        <v>184</v>
      </c>
      <c r="D27" s="6" t="n">
        <v>4861.7</v>
      </c>
      <c r="E27" s="6" t="n">
        <v>4861.7</v>
      </c>
      <c r="F27" s="9" t="s">
        <v>20</v>
      </c>
      <c r="G27" s="8" t="s">
        <v>29</v>
      </c>
      <c r="H27" s="8" t="s">
        <v>29</v>
      </c>
      <c r="I27" s="11" t="s">
        <v>134</v>
      </c>
      <c r="J27" s="9" t="s">
        <v>20</v>
      </c>
      <c r="K27" s="5" t="s">
        <v>185</v>
      </c>
      <c r="L27" s="5" t="s">
        <v>186</v>
      </c>
      <c r="M27" s="5" t="s">
        <v>187</v>
      </c>
      <c r="N27" s="5" t="s">
        <v>188</v>
      </c>
      <c r="O27" s="5" t="s">
        <v>189</v>
      </c>
    </row>
    <row r="28" customFormat="false" ht="15" hidden="false" customHeight="true" outlineLevel="0" collapsed="false">
      <c r="C28" s="12" t="s">
        <v>190</v>
      </c>
      <c r="D28" s="13" t="n">
        <f aca="false">SUM(D5:D27)</f>
        <v>560824.33</v>
      </c>
      <c r="E28" s="13" t="n">
        <f aca="false">SUM(E5:E27)</f>
        <v>615028.91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2026-06-17T22:17:24Z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