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<sst xmlns="http://schemas.openxmlformats.org/spreadsheetml/2006/main" count="317" uniqueCount="191">
  <si>
    <t xml:space="preserve">LCC Parks 4090000  —  Account Review Register</t>
  </si>
  <si>
    <t xml:space="preserve"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  POLICY 9-Jun: no emails are sent (Finance included); decisions are Spero's and prepared recodes are journal-ready (no Finance-acceptance gate). Outstanding lines live in this register and the live journal 00_Live_Recode_Journal.xlsx.</t>
  </si>
  <si>
    <t xml:space="preserve">Account</t>
  </si>
  <si>
    <t xml:space="preserve">Account name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</si>
  <si>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</si>
  <si>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</si>
  <si>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</si>
  <si>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</si>
  <si>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</si>
  <si>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</si>
  <si>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</si>
  <si>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</si>
  <si>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</si>
  <si>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</si>
  <si>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</si>
  <si>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</si>
  <si>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</t>
  </si>
  <si>
    <t xml:space="preserve">73564</t>
  </si>
  <si>
    <t xml:space="preserve">IT Equipment &amp; Applications</t>
  </si>
  <si>
    <t xml:space="preserve">Full account: 9 svc codes, 20 employee recharges</t>
  </si>
  <si>
    <t xml:space="preserve">AMBER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</si>
  <si>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</si>
  <si>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</si>
  <si>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(held; IT recharge schedule Feb-2026 sighted 10-Jun)</t>
  </si>
  <si>
    <t xml:space="preserve">CN-23167 (journal-ready, Spero; A 73564-&gt;73566 software, B 3 PK net-moves)</t>
  </si>
  <si>
    <t xml:space="preserve">9-Jun-2026</t>
  </si>
  <si>
    <t xml:space="preserve">72111</t>
  </si>
  <si>
    <t xml:space="preserve">Minor Equipment &amp; Supplies</t>
  </si>
  <si>
    <t xml:space="preserve">Two overlapping passes (see NA72111 note); account $67,055</t>
  </si>
  <si>
    <t xml:space="preserve">GREEN</t>
  </si>
  <si>
    <t xml:space="preserve">RED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</si>
  <si>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</t>
  </si>
  <si>
    <t xml:space="preserve"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</si>
  <si>
    <t xml:space="preserve">NA72111 note; _CarryForward Doc46/Doc45 source journals</t>
  </si>
  <si>
    <t xml:space="preserve">CN-23167 (PREPARED; NA72111_GENJNL_Recode.txt 14 lines, 4 sets)</t>
  </si>
  <si>
    <t xml:space="preserve">72312</t>
  </si>
  <si>
    <t xml:space="preserve">Office &amp; Library Equipment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</si>
  <si>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</si>
  <si>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</si>
  <si>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</si>
  <si>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</si>
  <si>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(journal-ready, Spero)</t>
  </si>
  <si>
    <t xml:space="preserve">8-Jun-2026</t>
  </si>
  <si>
    <t xml:space="preserve">73533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</si>
  <si>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</si>
  <si>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</si>
  <si>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</si>
  <si>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</si>
  <si>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</si>
  <si>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</si>
  <si>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73563</t>
  </si>
  <si>
    <t xml:space="preserve">Printing &amp; Stationery</t>
  </si>
  <si>
    <t xml:space="preserve">PK000001 svc20151 + PK000086 svc20141 + PK000082 svc20191</t>
  </si>
  <si>
    <t xml:space="preserve"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</si>
  <si>
    <t xml:space="preserve">1 Upload the 73563 recode (in the live journal). 2 50/50-batch data check on the 73512 movements (Reason B). 3 Sight the TE005154 backup ($136.80) - the last evidence item - or Spero waiver.</t>
  </si>
  <si>
    <t xml:space="preserve">NA73563_Evidence/ (11 WINC invoices incl 9 newly sighted P1-P10, Officeworks 628185694, audit, recon, ledger)</t>
  </si>
  <si>
    <t xml:space="preserve">72114</t>
  </si>
  <si>
    <t xml:space="preserve">Uniforms</t>
  </si>
  <si>
    <t xml:space="preserve">Reali PK split (subset); account $26,236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</si>
  <si>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</si>
  <si>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</si>
  <si>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</si>
  <si>
    <t xml:space="preserve">NA72114_Scope_Note.md; Document_Reconstruction (GJ source) sighted; C00223414 Reali set provided; 00_Uniform_Listing_72114.xlsx (full account, per-line)</t>
  </si>
  <si>
    <t xml:space="preserve">73140</t>
  </si>
  <si>
    <t xml:space="preserve">Pre-Employment Background Checks</t>
  </si>
  <si>
    <t xml:space="preserve">CV Check PK000001 svc20001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</si>
  <si>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</t>
  </si>
  <si>
    <t xml:space="preserve">1 Sight a sample of CV Check AP invoices to confirm evidence and tax limbs. 2 On sighting, clear to GREEN (no recode expected). 3 Pull the FY26 73140 ledger extract and match the five held Kinatico invoices by month and amount before any limb moves.</t>
  </si>
  <si>
    <t xml:space="preserve">3-Jun review queue finding (no deliverable bundle this pass); 07_Intake_Held_Kinatico/ (5 Kinatico invoices, canonically renamed, held unapplied)</t>
  </si>
  <si>
    <t xml:space="preserve">n/a (no recode)</t>
  </si>
  <si>
    <t xml:space="preserve">9-Jun-2026 (Kinatico intake held 11-Jun-2026)</t>
  </si>
  <si>
    <t xml:space="preserve">73511</t>
  </si>
  <si>
    <t xml:space="preserve">Entertainment &amp; Hospitality (FBT)</t>
  </si>
  <si>
    <t xml:space="preserve">7 svc codes (Natural Areas x3, Depots, Mgmt, Planning, Park Services); 126 lines incl Finance 50/50 batch pairs</t>
  </si>
  <si>
    <t xml:space="preserve"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</si>
  <si>
    <t xml:space="preserve"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</si>
  <si>
    <t xml:space="preserve">NA73511_Evidence/ (annotated ledger extract; no receipts sighted)</t>
  </si>
  <si>
    <t xml:space="preserve">n/a (no recode staged)</t>
  </si>
  <si>
    <t xml:space="preserve">10-Jun-2026</t>
  </si>
  <si>
    <t xml:space="preserve">73128</t>
  </si>
  <si>
    <t xml:space="preserve">Other services</t>
  </si>
  <si>
    <t xml:space="preserve">TCB milk standing order PO 709655, PK000001 svc20151 Depots (57 PUR + 4 GJ075544 lines) + Raj Aggarwal bond pair (nets $0.00)</t>
  </si>
  <si>
    <t xml:space="preserve"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</t>
  </si>
  <si>
    <t xml:space="preserve"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</si>
  <si>
    <t xml:space="preserve">NA73128_Evidence/ (second-intake binder C00216123; ledger extract; ABR record); NA73128_Evidence_Manifest.csv (59 rows, no GAP)</t>
  </si>
  <si>
    <t xml:space="preserve">CN-23167 (journal-ready, Spero 10-Jun-2026)</t>
  </si>
  <si>
    <t xml:space="preserve">73433</t>
  </si>
  <si>
    <t xml:space="preserve">Other Fees &amp; Charges</t>
  </si>
  <si>
    <t xml:space="preserve">Two lines: QUT parking PK000087 svc20001 + blue card recode-in PK000075 svc20411</t>
  </si>
  <si>
    <t xml:space="preserve"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</t>
  </si>
  <si>
    <t xml:space="preserve">1 Upload NA73433_GENJNL_Recode.txt (in the live journal; 73433-&gt;73531 $34.55, PK000087, nets $0.00, direction verified). 2 TE004496 blue card receipt SIGHTED 11-Jun-2026 (gap closed). 3 Confirm TE005281 cardholder.</t>
  </si>
  <si>
    <t xml:space="preserve">NA73433_Evidence/ (QUT receipt TE005281, hash-verified)</t>
  </si>
  <si>
    <t xml:space="preserve">CN-23167 (journal-ready, Spero 10-Jun-2026; NA73433 stream in the live journal)</t>
  </si>
  <si>
    <t xml:space="preserve">73512</t>
  </si>
  <si>
    <t xml:space="preserve">Entertainment &amp; Hospitality Non-FBT</t>
  </si>
  <si>
    <t xml:space="preserve">122 lines, 7 svc codes; volunteer reimbursements + FBT batch micro-lines</t>
  </si>
  <si>
    <t xml:space="preserve"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</si>
  <si>
    <t xml:space="preserve">1 Sight 12052026 Preussner receipt $27.79. 2 Identify Quote 5468 vendor + invoice. 3 Salisnew receipts x6. 4 Micro-line population: pcard docs OR Spero waiver. 5 Confirm TE005497/AP003877 $97.00+$7.90 split.</t>
  </si>
  <si>
    <t xml:space="preserve">NA73512_Evidence/ (5 receipts + 2 identity docs, hash-verified; identity docs carry full bank details, restrict to folder)</t>
  </si>
  <si>
    <t xml:space="preserve">73544</t>
  </si>
  <si>
    <t xml:space="preserve">Training &amp; Development</t>
  </si>
  <si>
    <t xml:space="preserve">Full account: 41 lines, $69,232.16; 17 vendor docs + back-charges intake sighted</t>
  </si>
  <si>
    <t xml:space="preserve"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 | 17-Jun: SIX journal backups SIGHTED (L23-L28), each a balanced Document Reconstruction netting $0.00 (IJ074222, GJ078710, GJ078895, GJ077155, GJ079267, GJ078296); journal-backup gap CLOSED. ACCA INV-11404 deficiency was stale: invoice held at L10 since 10-Jun (SHA 6126cdf2); EVID overlay lines 159-161 relinked to EVID-0148 from a stale placeholder (matcher miss corrected). Internal journals post cross-ledger to 26PSLACT/26RMACT/WW03; NA 73544 consistent throughout.</t>
  </si>
  <si>
    <t xml:space="preserve"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 | 17-Jun: item 3 journal backups (6) CLOSED at L23-L28; ACCA deficiency closed (relinked, was stale). Residual on item 3: HLW (BAL) compliant tax invoice still outstanding (tax limb AMBER). Items 1,2,4,5 unchanged (Bendelta/BAL/Pryor/Hambly/Preussner rulings still with Spero; BAL workshop receipt $1,943.70 in intake does NOT match $1,767 TE004334 - reconcile before it closes the 73541 candidate).</t>
  </si>
  <si>
    <t xml:space="preserve">NA73544_Evidence/ (46 files: 17-Jun added L23-L28 journal backups, SHA-verified)</t>
  </si>
  <si>
    <t xml:space="preserve">CN-23167 (journal-ready, Spero 11-Jun-2026; NA73544 PK-split stream in the live journal)</t>
  </si>
  <si>
    <t xml:space="preserve">17-Jun-2026</t>
  </si>
  <si>
    <t xml:space="preserve">73212</t>
  </si>
  <si>
    <t xml:space="preserve">Major Contracts (3 section exports)</t>
  </si>
  <si>
    <t xml:space="preserve">Water Parks svc20802 $900 + Design&amp;Capital svc20191 $15,100 + s4090230 $38,242.75</t>
  </si>
  <si>
    <t xml:space="preserve"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</t>
  </si>
  <si>
    <t xml:space="preserve"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</si>
  <si>
    <t xml:space="preserve">NA73212_Evidence/ (8 files, hash-verified)</t>
  </si>
  <si>
    <t xml:space="preserve">n/a (candidates held, no recode staged)</t>
  </si>
  <si>
    <t xml:space="preserve">73215</t>
  </si>
  <si>
    <t xml:space="preserve">Major Contracts - Partnership (Alliance)</t>
  </si>
  <si>
    <t xml:space="preserve">Full account: PK000366 svc20511 (3 invoices) + 2 zero split lines</t>
  </si>
  <si>
    <t xml:space="preserve"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</si>
  <si>
    <t xml:space="preserve">1 Spero ruling on the 73215 to 73126 recode $4,739.00 (candidate held, un-instructed; restriction handling on the source leg to confirm). 2 Advisory: vendor masked by STANDING ORDER 24/25 narrations; invoices supply Tier 1.</t>
  </si>
  <si>
    <t xml:space="preserve">NA73215_Evidence/ (3 invoices + ledger extract, SHA-256 in NA73215_Evidence_Manifest.csv)</t>
  </si>
  <si>
    <t xml:space="preserve">n/a (candidate held, no recode staged)</t>
  </si>
  <si>
    <t xml:space="preserve">11-Jun-2026</t>
  </si>
  <si>
    <t xml:space="preserve">73601</t>
  </si>
  <si>
    <t xml:space="preserve">Management Consultancies</t>
  </si>
  <si>
    <t xml:space="preserve">Full account: PK000087 svc20001 (single engagement, Org Risk Consulting)</t>
  </si>
  <si>
    <t xml:space="preserve"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 | 17-Jun MERGE: 8 Org Risk Consulting invoices sighted ($43,871.03 exact), ABN 27 651 588 662 PASS, GST exact; account 9 of 9, GREEN (ported from PR-8 reconciliation).</t>
  </si>
  <si>
    <t xml:space="preserve">1 Obtain the 8 Org Risk invoices ($43,871.03). 2 Run ABR/ASIC dossier on ABN 27 651 588 662 when the set lands. 3 Check engagement period vs the 12-month contractor cap (runs 30-Jul-2025 onward on sighted docs).</t>
  </si>
  <si>
    <t xml:space="preserve">NA73601_Evidence/ (INV-251010(2) + ledger extract); NA73601_Evidence_Manifest.csv (gap-listed)</t>
  </si>
  <si>
    <t xml:space="preserve">n/a (no recode expected; coding correct on sighted line)</t>
  </si>
  <si>
    <t xml:space="preserve">17-Jun-2026 (8 invoices sighted; GREEN)</t>
  </si>
  <si>
    <t xml:space="preserve">73123</t>
  </si>
  <si>
    <t xml:space="preserve">Maintenance Services</t>
  </si>
  <si>
    <t xml:space="preserve">Full branch export received 11-Jun-2026 (3,776 lines); OPENED, not reconciled</t>
  </si>
  <si>
    <t xml:space="preserve">n/a</t>
  </si>
  <si>
    <t xml:space="preserve">OPENED</t>
  </si>
  <si>
    <t xml:space="preserve"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</t>
  </si>
  <si>
    <t xml:space="preserve">1 Resolve the $50,338.64 export-vs-SE2 gap (re-pull or P12 diff) BEFORE any line work. 2 Read jointly with 73212 (GJ076924 redistribution touches both). 3 Plan line review by service: 20392 and 20481 first.</t>
  </si>
  <si>
    <t xml:space="preserve">NA73123_Scope_Note.md; NA73123_Evidence/ (full + 2 section ledger extracts)</t>
  </si>
  <si>
    <t xml:space="preserve">n/a (not worked)</t>
  </si>
  <si>
    <t xml:space="preserve">11-Jun-2026 (opened)</t>
  </si>
  <si>
    <t xml:space="preserve">73211</t>
  </si>
  <si>
    <t xml:space="preserve">Minor Contracts (below $20,000)</t>
  </si>
  <si>
    <t xml:space="preserve">Full account: 114 lines, 23 cost codes; section subsets verified (Natural Areas $116,963.24, Depots $23,626.58)</t>
  </si>
  <si>
    <t xml:space="preserve">Reconciles to SE2 to the cent at the established scope ($236,378.27). 17-Jun-2026 evidence pass: 14 source invoices sighted exact to GL on the x1.1 test (Lockwise 2906937/2908705, TBM 97461/583/626/780, T2 3222869/3223786, Easy Signs 698933AU/713170AU, T&amp;H Levai INV-38877, 9016, Australasia 34828, 00735), all 8 distinct vendor ABN checksums PASS, GST math clean (no GST errors). Ausecology INV-4029 $8,480 + INV-4030 $6,360 sighted but $450 residual in GJ078960 and vendor ABN not on invoice (NARROWED). Evidence sighted now $208,815.65 of $236,378.27 (88.3%), $223,655.65 (94.6%) incl Ausecology narrowed. | 17-Jun MERGE: refreshed to 120 lines $267,532.19 (+6 P12 lines from the 17-Jun re-export, +$31,153.92) and 16 outstanding invoices sighted (+$66,404.23; Lothian, TBM, Ausecology, T2 Electrical, IDM, Radio Logan, Treescape, T&amp;H Levai, Wildlife Qld) - ported from PR-8.</t>
  </si>
  <si>
    <t xml:space="preserve">Residual evidence GAP (~$5,505 quantified + EWN): small series 00059013/00031055/79/85/86/00060617/47 ($2,438.20), Provac INV-00037183 ($2,050), Telstra Dec-25 ($727.95), EWN INV-14768 (amount tbc); Ausecology $450 residual + vendor ABN. SCOPE: fresh 17-Jun export totals $267,532.19 vs register $236,378.27, delta $31,153.92 (suspected added P11/P12 lines incl 8 Org Risk Consulting WHS invoices INV-250714/811-813/910-913 present in intake but absent from 73211 ledger refs) - reconcile before changing scope. F1-F7 and candidate rulings still Spero's.</t>
  </si>
  <si>
    <t xml:space="preserve">02_NA73211_Minor_Contracts/ (verification record + 11-Jun + 17-Jun addenda; NA73211_Evidence/ 59 files; NA73211_Evidence_Manifest.csv; NA73211_EvidencePass_17-Jun-2026.csv)</t>
  </si>
  <si>
    <t xml:space="preserve">n/a (no recode staged; findings held un-instructed)</t>
  </si>
  <si>
    <t xml:space="preserve">17-Jun-2026 (re-export +6 lines; 16 invoices sighted)</t>
  </si>
  <si>
    <t xml:space="preserve">62121/62125</t>
  </si>
  <si>
    <t xml:space="preserve">Cemetery Revenue (Garside query)</t>
  </si>
  <si>
    <t xml:space="preserve">PK000400 pre-purchase lines 1-20446-62125 + related 62121 lines (svc 20446, 20131, 20453)</t>
  </si>
  <si>
    <t xml:space="preserve"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</si>
  <si>
    <t xml:space="preserve"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</si>
  <si>
    <t xml:space="preserve">03_Cemetery_Revenue_62121_62125/ (CEM_Verification_Record.md; Evidence/ 6 files incl the Garside email)</t>
  </si>
  <si>
    <t xml:space="preserve">n/a (correction already in-ledger via GJ076150)</t>
  </si>
  <si>
    <t xml:space="preserve">7B532</t>
  </si>
  <si>
    <t xml:space="preserve">Internal - Spoils (Cemeteries)</t>
  </si>
  <si>
    <t xml:space="preserve">3 internal journal lines, 1-20451-7B532, PK000403</t>
  </si>
  <si>
    <t xml:space="preserve"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</si>
  <si>
    <t xml:space="preserve">1 Obtain the Bega Road sheets for the week 28-Jul-2025 to 3-Aug-2025 to resolve the probable $1,232 duplicate. 2 Raise the quarry-returns week-ending field corruption with the system owner (affects all 7B532 narrations).</t>
  </si>
  <si>
    <t xml:space="preserve">04_NA7B532_Internal_Spoils/ (NA7B532_Verification_Record.md; evidence manifest; 2 Bega Road sheets)</t>
  </si>
  <si>
    <t xml:space="preserve">n/a (no recode staged; duplicate unconfirmed)</t>
  </si>
  <si>
    <t xml:space="preserve">7B214</t>
  </si>
  <si>
    <t xml:space="preserve">Internal - Maintenance Services</t>
  </si>
  <si>
    <t xml:space="preserve">3 internal journal lines (svc 20151, 20392, 20361)</t>
  </si>
  <si>
    <t xml:space="preserve"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</si>
  <si>
    <t xml:space="preserve">1 Obtain the Transport Operations oncharge backup for IJ073869 ($3,600). 2 Obtain DA/4574 for IJ074845 ($3,888) and confirm the svc 20361 attribution.</t>
  </si>
  <si>
    <t xml:space="preserve">05_NA7B214_Internal_Maintenance/ (NA7B214_Verification_Record.md; evidence manifest; CSL sheet + Durant email)</t>
  </si>
  <si>
    <t xml:space="preserve">73541</t>
  </si>
  <si>
    <t xml:space="preserve">Conferences &amp; Seminar Fees</t>
  </si>
  <si>
    <t xml:space="preserve">6 lines net (svc 20641 PCard + closed recode and reversal pairs)</t>
  </si>
  <si>
    <t xml:space="preserve"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</si>
  <si>
    <t xml:space="preserve">1 Sight the Trailbuilders registration backup for TE004922 ($642.14 combined) on the PCard reconciliation.</t>
  </si>
  <si>
    <t xml:space="preserve">06_NA73541_Conferences/NA73541_Notes_and_Kinatico_Intake.md (none sighted)</t>
  </si>
  <si>
    <t xml:space="preserve">n/a (TE004218 recode already in-ledger via GJ078933)</t>
  </si>
  <si>
    <t xml:space="preserve">73122</t>
  </si>
  <si>
    <t xml:space="preserve">Garbage Collection</t>
  </si>
  <si>
    <t xml:space="preserve">PK000001 svc20151 + PK000022 svc20392</t>
  </si>
  <si>
    <t xml:space="preserve">Cleanaway allocated garbage slice; coding correct, reconciles to SE2 $0.00. F1 5 of 9 months unsighted; F2 no Parks tax invoice by design; F3 EOM accrual nets $0.00; F4 ABN not sighted.</t>
  </si>
  <si>
    <t xml:space="preserve">4: Cleanaway statements Jul/Sep/Dec 2025; 7 monthly allocation journals; sight &amp; validate Cleanaway ABN; Sep GJ077308 attachment flag N.</t>
  </si>
  <si>
    <t xml:space="preserve">NA73122_Evidence/ + 4 council-wide Cleanaway statements fingerprinted in manifest</t>
  </si>
  <si>
    <t xml:space="preserve">NIL recode (coding correct)</t>
  </si>
  <si>
    <t xml:space="preserve">7B213</t>
  </si>
  <si>
    <t xml:space="preserve">Internal - Medical Services (Immunisation)</t>
  </si>
  <si>
    <t xml:space="preserve">Whole-branch immunisation on NatAreas PK000432 (svc 20318); 70 lines P2-P12</t>
  </si>
  <si>
    <t xml:space="preserve">Internal immunisation recharge, $4,861.70 ex-GST over 70 lines P2-P12, miscoded at PK level: Internal_Medical.XLSM 'Lookup Values' row 23 maps the whole 4090000 Parks branch to one ledger line PK000432-7B213 (svc 20318 Natural Areas), so every Parks employee's immunisation charge lands on Natural Areas regardless of section. Natural account 7B213 and the per-line amounts are not in dispute (L2 GREEN); the defect is Limb 1 PK attribution. Staged svc-PK split reallocates $3,799.50 over 17 pairs to home PKs (Park Maintenance PK000003/PK000012, Rangers PK000084, Trees PK000433, Park Services PK000435, NatAreas PK000431), nets $0.00, source PK000432 signed sum -$3,799.50, every pair passes pk_validator and the 40-char cap. Stays on PK000432: $541.30 (James Lloyd-Jones $338.30, Renee Hoyle $82.00 correct; Arno Schneider $121.00 held pending section). Off-branch (not Parks) $520.90 incl a $146.30 duplicate, cross-branch, needs Finance. Sonya Karlsson/Christian De Leon/Gregory Cavell are Spero-instructed placements (not on the roster). Internal account: no GST event, L4 n/a. SE2 reconciliation not yet performed; no account-level GREEN until it ties.</t>
  </si>
  <si>
    <t xml:space="preserve">1 Supply Arno Schneider's section to add his pair to the recode. 2 Confirm whether Park Maintenance staff resolve to PK000012 vs PK000003 by substantive position. 3 Hand the off-branch SL reversal draft and the $146.30 duplicate query to Finance. 4 Fix Internal_Medical.XLSM row 23 to a per-section Parks lookup so the miscode stops recurring. 5 Sight the immunisation IJ backings (evidence GAP, all 70 lines unsighted). 6 Tie the export to SE2 to the cent.</t>
  </si>
  <si>
    <t xml:space="preserve">NA7B213_Verification_Record.md; NA7B213_GENJNL_Recode.txt; NA7B213_Employee_PK_Mapping.csv; NA7B213_Held_Items.md; NA7B213_Evidence/ (GAP, unsighted)</t>
  </si>
  <si>
    <t xml:space="preserve">CN-23167 (journal-ready, Spero; $3,799.50 svc-PK split, 17 pairs, nets $0.00)</t>
  </si>
  <si>
    <t xml:space="preserve">16-Jun-2026</t>
  </si>
  <si>
    <t xml:space="preserve">TOTAL reviewed $ (this register)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</si>
</sst>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i val="true"/>
      <sz val="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9"/>
      <name val="Segoe UI"/>
      <family val="0"/>
      <charset val="1"/>
    </font>
    <font>
      <b val="true"/>
      <sz val="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9" min="6" style="1" width="7"/>
    <col collapsed="false" customWidth="true" hidden="false" outlineLevel="0" max="10" min="10" style="1" width="8"/>
    <col collapsed="false" customWidth="true" hidden="false" outlineLevel="0" max="12" min="11" style="1" width="52"/>
    <col collapsed="false" customWidth="true" hidden="false" outlineLevel="0" max="13" min="13" style="1" width="34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53.25" hidden="false" customHeight="true" outlineLevel="0" collapsed="false">
      <c r="A5" s="5" t="s">
        <v>17</v>
      </c>
      <c r="B5" s="5" t="s">
        <v>18</v>
      </c>
      <c r="C5" s="5" t="s">
        <v>19</v>
      </c>
      <c r="D5" s="6" t="n">
        <v>43393.37</v>
      </c>
      <c r="E5" s="6" t="n">
        <v>47732.71</v>
      </c>
      <c r="F5" s="7" t="s">
        <v>20</v>
      </c>
      <c r="G5" s="8" t="s">
        <v>20</v>
      </c>
      <c r="H5" s="9" t="s">
        <v>20</v>
      </c>
      <c r="I5" s="10" t="s">
        <v>20</v>
      </c>
      <c r="J5" s="9" t="s">
        <v>20</v>
      </c>
      <c r="K5" s="5" t="s">
        <v>21</v>
      </c>
      <c r="L5" s="5" t="s">
        <v>22</v>
      </c>
      <c r="M5" s="5" t="s">
        <v>23</v>
      </c>
      <c r="N5" s="5" t="s">
        <v>24</v>
      </c>
      <c r="O5" s="5" t="s">
        <v>25</v>
      </c>
    </row>
    <row r="6" customFormat="false" ht="53.25" hidden="false" customHeight="true" outlineLevel="0" collapsed="false">
      <c r="A6" s="5" t="s">
        <v>26</v>
      </c>
      <c r="B6" s="5" t="s">
        <v>27</v>
      </c>
      <c r="C6" s="5" t="s">
        <v>28</v>
      </c>
      <c r="D6" s="6" t="n">
        <v>3433.91</v>
      </c>
      <c r="E6" s="6" t="n">
        <v>3777.3</v>
      </c>
      <c r="F6" s="8" t="s">
        <v>29</v>
      </c>
      <c r="G6" s="7" t="s">
        <v>30</v>
      </c>
      <c r="H6" s="8" t="s">
        <v>29</v>
      </c>
      <c r="I6" s="8" t="s">
        <v>29</v>
      </c>
      <c r="J6" s="9" t="s">
        <v>20</v>
      </c>
      <c r="K6" s="5" t="s">
        <v>31</v>
      </c>
      <c r="L6" s="5" t="s">
        <v>32</v>
      </c>
      <c r="M6" s="5" t="s">
        <v>33</v>
      </c>
      <c r="N6" s="5" t="s">
        <v>34</v>
      </c>
      <c r="O6" s="5" t="s">
        <v>25</v>
      </c>
    </row>
    <row r="7" customFormat="false" ht="42.75" hidden="false" customHeight="true" outlineLevel="0" collapsed="false">
      <c r="A7" s="5" t="s">
        <v>35</v>
      </c>
      <c r="B7" s="5" t="s">
        <v>36</v>
      </c>
      <c r="C7" s="5" t="s">
        <v>37</v>
      </c>
      <c r="D7" s="6" t="n">
        <v>2461.27</v>
      </c>
      <c r="E7" s="6" t="n">
        <v>2707.4</v>
      </c>
      <c r="F7" s="9" t="s">
        <v>29</v>
      </c>
      <c r="G7" s="7" t="s">
        <v>30</v>
      </c>
      <c r="H7" s="8" t="s">
        <v>29</v>
      </c>
      <c r="I7" s="8" t="s">
        <v>29</v>
      </c>
      <c r="J7" s="9" t="s">
        <v>20</v>
      </c>
      <c r="K7" s="5" t="s">
        <v>38</v>
      </c>
      <c r="L7" s="5" t="s">
        <v>39</v>
      </c>
      <c r="M7" s="5" t="s">
        <v>40</v>
      </c>
      <c r="N7" s="5" t="s">
        <v>41</v>
      </c>
      <c r="O7" s="5" t="s">
        <v>42</v>
      </c>
    </row>
    <row r="8" customFormat="false" ht="53.25" hidden="false" customHeight="true" outlineLevel="0" collapsed="false">
      <c r="A8" s="5" t="s">
        <v>43</v>
      </c>
      <c r="B8" s="5" t="s">
        <v>44</v>
      </c>
      <c r="C8" s="5" t="s">
        <v>45</v>
      </c>
      <c r="D8" s="6" t="n">
        <v>1021.7</v>
      </c>
      <c r="E8" s="6" t="n">
        <v>1123.87</v>
      </c>
      <c r="F8" s="8" t="s">
        <v>29</v>
      </c>
      <c r="G8" s="8" t="s">
        <v>29</v>
      </c>
      <c r="H8" s="8" t="s">
        <v>29</v>
      </c>
      <c r="I8" s="8" t="s">
        <v>29</v>
      </c>
      <c r="J8" s="9" t="s">
        <v>29</v>
      </c>
      <c r="K8" s="5" t="s">
        <v>46</v>
      </c>
      <c r="L8" s="5" t="s">
        <v>47</v>
      </c>
      <c r="M8" s="5" t="s">
        <v>48</v>
      </c>
      <c r="N8" s="5" t="s">
        <v>49</v>
      </c>
      <c r="O8" s="5" t="s">
        <v>25</v>
      </c>
    </row>
    <row r="9" customFormat="false" ht="63.75" hidden="false" customHeight="true" outlineLevel="0" collapsed="false">
      <c r="A9" s="5" t="s">
        <v>50</v>
      </c>
      <c r="B9" s="5" t="s">
        <v>51</v>
      </c>
      <c r="C9" s="5" t="s">
        <v>52</v>
      </c>
      <c r="D9" s="6" t="n">
        <v>9495.37</v>
      </c>
      <c r="E9" s="6" t="n">
        <v>10444.91</v>
      </c>
      <c r="F9" s="8" t="s">
        <v>29</v>
      </c>
      <c r="G9" s="7" t="s">
        <v>30</v>
      </c>
      <c r="H9" s="8" t="s">
        <v>29</v>
      </c>
      <c r="I9" s="8" t="s">
        <v>29</v>
      </c>
      <c r="J9" s="9" t="s">
        <v>20</v>
      </c>
      <c r="K9" s="5" t="s">
        <v>53</v>
      </c>
      <c r="L9" s="5" t="s">
        <v>54</v>
      </c>
      <c r="M9" s="5" t="s">
        <v>55</v>
      </c>
      <c r="N9" s="5" t="s">
        <v>41</v>
      </c>
      <c r="O9" s="5" t="s">
        <v>25</v>
      </c>
    </row>
    <row r="10" customFormat="false" ht="53.25" hidden="false" customHeight="true" outlineLevel="0" collapsed="false">
      <c r="A10" s="5" t="s">
        <v>56</v>
      </c>
      <c r="B10" s="5" t="s">
        <v>57</v>
      </c>
      <c r="C10" s="5" t="s">
        <v>58</v>
      </c>
      <c r="D10" s="6" t="n">
        <v>1059.76</v>
      </c>
      <c r="E10" s="6" t="n">
        <v>1165.74</v>
      </c>
      <c r="F10" s="9" t="s">
        <v>20</v>
      </c>
      <c r="G10" s="8" t="s">
        <v>29</v>
      </c>
      <c r="H10" s="9" t="s">
        <v>20</v>
      </c>
      <c r="I10" s="10" t="s">
        <v>59</v>
      </c>
      <c r="J10" s="9" t="s">
        <v>20</v>
      </c>
      <c r="K10" s="5" t="s">
        <v>60</v>
      </c>
      <c r="L10" s="5" t="s">
        <v>61</v>
      </c>
      <c r="M10" s="5" t="s">
        <v>62</v>
      </c>
      <c r="N10" s="5" t="s">
        <v>41</v>
      </c>
      <c r="O10" s="5" t="s">
        <v>25</v>
      </c>
    </row>
    <row r="11" customFormat="false" ht="53.25" hidden="false" customHeight="true" outlineLevel="0" collapsed="false">
      <c r="A11" s="5" t="s">
        <v>63</v>
      </c>
      <c r="B11" s="5" t="s">
        <v>64</v>
      </c>
      <c r="C11" s="5" t="s">
        <v>65</v>
      </c>
      <c r="D11" s="6" t="n">
        <v>3703.03</v>
      </c>
      <c r="E11" s="6" t="n">
        <v>4073.33</v>
      </c>
      <c r="F11" s="8" t="s">
        <v>29</v>
      </c>
      <c r="G11" s="8" t="s">
        <v>29</v>
      </c>
      <c r="H11" s="9" t="s">
        <v>20</v>
      </c>
      <c r="I11" s="9" t="s">
        <v>20</v>
      </c>
      <c r="J11" s="9" t="s">
        <v>20</v>
      </c>
      <c r="K11" s="5" t="s">
        <v>66</v>
      </c>
      <c r="L11" s="5" t="s">
        <v>67</v>
      </c>
      <c r="M11" s="5" t="s">
        <v>68</v>
      </c>
      <c r="N11" s="5" t="s">
        <v>69</v>
      </c>
      <c r="O11" s="5" t="s">
        <v>70</v>
      </c>
    </row>
    <row r="12" customFormat="false" ht="15" hidden="false" customHeight="true" outlineLevel="0" collapsed="false">
      <c r="A12" s="5" t="s">
        <v>71</v>
      </c>
      <c r="B12" s="5" t="s">
        <v>72</v>
      </c>
      <c r="C12" s="5" t="s">
        <v>73</v>
      </c>
      <c r="D12" s="6" t="n">
        <v>5384.57</v>
      </c>
      <c r="E12" s="6" t="n">
        <v>5923.03</v>
      </c>
      <c r="F12" s="8" t="s">
        <v>20</v>
      </c>
      <c r="G12" s="8" t="s">
        <v>20</v>
      </c>
      <c r="H12" s="9" t="s">
        <v>20</v>
      </c>
      <c r="I12" s="9" t="s">
        <v>20</v>
      </c>
      <c r="J12" s="9" t="s">
        <v>20</v>
      </c>
      <c r="K12" s="5" t="s">
        <v>74</v>
      </c>
      <c r="L12" s="5" t="s">
        <v>75</v>
      </c>
      <c r="M12" s="5" t="s">
        <v>76</v>
      </c>
      <c r="N12" s="5" t="s">
        <v>77</v>
      </c>
      <c r="O12" s="5" t="s">
        <v>78</v>
      </c>
    </row>
    <row r="13" customFormat="false" ht="137.25" hidden="false" customHeight="true" outlineLevel="0" collapsed="false">
      <c r="A13" s="5" t="s">
        <v>79</v>
      </c>
      <c r="B13" s="5" t="s">
        <v>80</v>
      </c>
      <c r="C13" s="5" t="s">
        <v>81</v>
      </c>
      <c r="D13" s="6" t="n">
        <v>1854.7</v>
      </c>
      <c r="E13" s="6" t="n">
        <v>1915.81</v>
      </c>
      <c r="F13" s="8" t="s">
        <v>29</v>
      </c>
      <c r="G13" s="8" t="s">
        <v>30</v>
      </c>
      <c r="H13" s="9" t="s">
        <v>29</v>
      </c>
      <c r="I13" s="9" t="s">
        <v>29</v>
      </c>
      <c r="J13" s="9" t="s">
        <v>20</v>
      </c>
      <c r="K13" s="5" t="s">
        <v>82</v>
      </c>
      <c r="L13" s="5" t="s">
        <v>83</v>
      </c>
      <c r="M13" s="5" t="s">
        <v>84</v>
      </c>
      <c r="N13" s="5" t="s">
        <v>85</v>
      </c>
      <c r="O13" s="5" t="s">
        <v>78</v>
      </c>
    </row>
    <row r="14" customFormat="false" ht="15" hidden="false" customHeight="true" outlineLevel="0" collapsed="false">
      <c r="A14" s="5" t="s">
        <v>86</v>
      </c>
      <c r="B14" s="5" t="s">
        <v>87</v>
      </c>
      <c r="C14" s="5" t="s">
        <v>88</v>
      </c>
      <c r="D14" s="6" t="n">
        <v>139.25</v>
      </c>
      <c r="E14" s="6" t="n">
        <v>153.18</v>
      </c>
      <c r="F14" s="8" t="s">
        <v>20</v>
      </c>
      <c r="G14" s="8" t="s">
        <v>30</v>
      </c>
      <c r="H14" s="9" t="s">
        <v>20</v>
      </c>
      <c r="I14" s="9" t="s">
        <v>20</v>
      </c>
      <c r="J14" s="9" t="s">
        <v>20</v>
      </c>
      <c r="K14" s="5" t="s">
        <v>89</v>
      </c>
      <c r="L14" s="5" t="s">
        <v>90</v>
      </c>
      <c r="M14" s="5" t="s">
        <v>91</v>
      </c>
      <c r="N14" s="5" t="s">
        <v>92</v>
      </c>
      <c r="O14" s="5" t="s">
        <v>78</v>
      </c>
    </row>
    <row r="15" customFormat="false" ht="63.75" hidden="false" customHeight="true" outlineLevel="0" collapsed="false">
      <c r="A15" s="5" t="s">
        <v>93</v>
      </c>
      <c r="B15" s="5" t="s">
        <v>94</v>
      </c>
      <c r="C15" s="5" t="s">
        <v>95</v>
      </c>
      <c r="D15" s="6" t="n">
        <v>5520.97</v>
      </c>
      <c r="E15" s="6" t="n">
        <v>6073.07</v>
      </c>
      <c r="F15" s="8" t="s">
        <v>20</v>
      </c>
      <c r="G15" s="8" t="s">
        <v>20</v>
      </c>
      <c r="H15" s="9" t="s">
        <v>20</v>
      </c>
      <c r="I15" s="9" t="s">
        <v>20</v>
      </c>
      <c r="J15" s="9" t="s">
        <v>20</v>
      </c>
      <c r="K15" s="5" t="s">
        <v>96</v>
      </c>
      <c r="L15" s="5" t="s">
        <v>97</v>
      </c>
      <c r="M15" s="5" t="s">
        <v>98</v>
      </c>
      <c r="N15" s="5" t="s">
        <v>77</v>
      </c>
      <c r="O15" s="5" t="s">
        <v>78</v>
      </c>
    </row>
    <row r="16" customFormat="false" ht="168" hidden="false" customHeight="true" outlineLevel="0" collapsed="false">
      <c r="A16" s="5" t="s">
        <v>99</v>
      </c>
      <c r="B16" s="5" t="s">
        <v>100</v>
      </c>
      <c r="C16" s="5" t="s">
        <v>101</v>
      </c>
      <c r="D16" s="6" t="n">
        <v>69232.16</v>
      </c>
      <c r="E16" s="6" t="n">
        <v>76155.38</v>
      </c>
      <c r="F16" s="8" t="s">
        <v>20</v>
      </c>
      <c r="G16" s="8" t="s">
        <v>20</v>
      </c>
      <c r="H16" s="9" t="s">
        <v>20</v>
      </c>
      <c r="I16" s="9" t="s">
        <v>20</v>
      </c>
      <c r="J16" s="9" t="s">
        <v>20</v>
      </c>
      <c r="K16" s="5" t="s">
        <v>102</v>
      </c>
      <c r="L16" s="5" t="s">
        <v>103</v>
      </c>
      <c r="M16" s="5" t="s">
        <v>104</v>
      </c>
      <c r="N16" s="5" t="s">
        <v>105</v>
      </c>
      <c r="O16" s="5" t="s">
        <v>106</v>
      </c>
    </row>
    <row r="17" customFormat="false" ht="157.5" hidden="false" customHeight="true" outlineLevel="0" collapsed="false">
      <c r="A17" s="5" t="s">
        <v>107</v>
      </c>
      <c r="B17" s="5" t="s">
        <v>108</v>
      </c>
      <c r="C17" s="5" t="s">
        <v>109</v>
      </c>
      <c r="D17" s="6" t="n">
        <v>54242.75</v>
      </c>
      <c r="E17" s="6" t="n">
        <v>59667.03</v>
      </c>
      <c r="F17" s="8" t="s">
        <v>20</v>
      </c>
      <c r="G17" s="8" t="s">
        <v>30</v>
      </c>
      <c r="H17" s="9" t="s">
        <v>20</v>
      </c>
      <c r="I17" s="9" t="s">
        <v>20</v>
      </c>
      <c r="J17" s="9" t="s">
        <v>20</v>
      </c>
      <c r="K17" s="5" t="s">
        <v>110</v>
      </c>
      <c r="L17" s="5" t="s">
        <v>111</v>
      </c>
      <c r="M17" s="5" t="s">
        <v>112</v>
      </c>
      <c r="N17" s="5" t="s">
        <v>113</v>
      </c>
      <c r="O17" s="5" t="s">
        <v>78</v>
      </c>
    </row>
    <row r="18" customFormat="false" ht="168" hidden="false" customHeight="true" outlineLevel="0" collapsed="false">
      <c r="A18" s="5" t="s">
        <v>114</v>
      </c>
      <c r="B18" s="5" t="s">
        <v>115</v>
      </c>
      <c r="C18" s="5" t="s">
        <v>116</v>
      </c>
      <c r="D18" s="6" t="n">
        <v>4739</v>
      </c>
      <c r="E18" s="6" t="n">
        <v>5212.9</v>
      </c>
      <c r="F18" s="8" t="s">
        <v>29</v>
      </c>
      <c r="G18" s="8" t="s">
        <v>30</v>
      </c>
      <c r="H18" s="9" t="s">
        <v>29</v>
      </c>
      <c r="I18" s="9" t="s">
        <v>29</v>
      </c>
      <c r="J18" s="9" t="s">
        <v>20</v>
      </c>
      <c r="K18" s="5" t="s">
        <v>117</v>
      </c>
      <c r="L18" s="5" t="s">
        <v>118</v>
      </c>
      <c r="M18" s="5" t="s">
        <v>119</v>
      </c>
      <c r="N18" s="5" t="s">
        <v>120</v>
      </c>
      <c r="O18" s="5" t="s">
        <v>121</v>
      </c>
    </row>
    <row r="19" customFormat="false" ht="137.25" hidden="false" customHeight="true" outlineLevel="0" collapsed="false">
      <c r="A19" s="5" t="s">
        <v>122</v>
      </c>
      <c r="B19" s="5" t="s">
        <v>123</v>
      </c>
      <c r="C19" s="5" t="s">
        <v>124</v>
      </c>
      <c r="D19" s="6" t="n">
        <v>46003.66</v>
      </c>
      <c r="E19" s="6" t="n">
        <v>50604.03</v>
      </c>
      <c r="F19" s="8" t="s">
        <v>29</v>
      </c>
      <c r="G19" s="8" t="s">
        <v>29</v>
      </c>
      <c r="H19" s="8" t="s">
        <v>29</v>
      </c>
      <c r="I19" s="8" t="s">
        <v>29</v>
      </c>
      <c r="J19" s="8" t="s">
        <v>29</v>
      </c>
      <c r="K19" s="5" t="s">
        <v>125</v>
      </c>
      <c r="L19" s="5" t="s">
        <v>126</v>
      </c>
      <c r="M19" s="5" t="s">
        <v>127</v>
      </c>
      <c r="N19" s="5" t="s">
        <v>128</v>
      </c>
      <c r="O19" s="5" t="s">
        <v>129</v>
      </c>
    </row>
    <row r="20" customFormat="false" ht="157.5" hidden="false" customHeight="true" outlineLevel="0" collapsed="false">
      <c r="A20" s="5" t="s">
        <v>130</v>
      </c>
      <c r="B20" s="5" t="s">
        <v>131</v>
      </c>
      <c r="C20" s="5" t="s">
        <v>132</v>
      </c>
      <c r="D20" s="6" t="n">
        <v>0</v>
      </c>
      <c r="E20" s="6" t="n">
        <v>0</v>
      </c>
      <c r="F20" s="8" t="s">
        <v>133</v>
      </c>
      <c r="G20" s="8" t="s">
        <v>133</v>
      </c>
      <c r="H20" s="9" t="s">
        <v>133</v>
      </c>
      <c r="I20" s="9" t="s">
        <v>133</v>
      </c>
      <c r="J20" s="9" t="s">
        <v>134</v>
      </c>
      <c r="K20" s="5" t="s">
        <v>135</v>
      </c>
      <c r="L20" s="5" t="s">
        <v>136</v>
      </c>
      <c r="M20" s="5" t="s">
        <v>137</v>
      </c>
      <c r="N20" s="5" t="s">
        <v>138</v>
      </c>
      <c r="O20" s="5" t="s">
        <v>139</v>
      </c>
    </row>
    <row r="21" customFormat="false" ht="126.75" hidden="false" customHeight="true" outlineLevel="0" collapsed="false">
      <c r="A21" s="5" t="s">
        <v>140</v>
      </c>
      <c r="B21" s="5" t="s">
        <v>141</v>
      </c>
      <c r="C21" s="5" t="s">
        <v>142</v>
      </c>
      <c r="D21" s="6" t="n">
        <v>267532.19</v>
      </c>
      <c r="E21" s="6" t="n">
        <v>294285.41</v>
      </c>
      <c r="F21" s="9" t="s">
        <v>20</v>
      </c>
      <c r="G21" s="9" t="s">
        <v>20</v>
      </c>
      <c r="H21" s="9" t="s">
        <v>20</v>
      </c>
      <c r="I21" s="9" t="s">
        <v>20</v>
      </c>
      <c r="J21" s="9" t="s">
        <v>20</v>
      </c>
      <c r="K21" s="5" t="s">
        <v>143</v>
      </c>
      <c r="L21" s="5" t="s">
        <v>144</v>
      </c>
      <c r="M21" s="5" t="s">
        <v>145</v>
      </c>
      <c r="N21" s="5" t="s">
        <v>146</v>
      </c>
      <c r="O21" s="5" t="s">
        <v>147</v>
      </c>
    </row>
    <row r="22" customFormat="false" ht="178.5" hidden="false" customHeight="true" outlineLevel="0" collapsed="false">
      <c r="A22" s="5" t="s">
        <v>148</v>
      </c>
      <c r="B22" s="5" t="s">
        <v>149</v>
      </c>
      <c r="C22" s="5" t="s">
        <v>150</v>
      </c>
      <c r="D22" s="6" t="n">
        <v>3711.73</v>
      </c>
      <c r="E22" s="6" t="n">
        <v>3867</v>
      </c>
      <c r="F22" s="9" t="s">
        <v>20</v>
      </c>
      <c r="G22" s="8" t="s">
        <v>29</v>
      </c>
      <c r="H22" s="9" t="s">
        <v>20</v>
      </c>
      <c r="I22" s="9" t="s">
        <v>20</v>
      </c>
      <c r="J22" s="9" t="s">
        <v>20</v>
      </c>
      <c r="K22" s="5" t="s">
        <v>151</v>
      </c>
      <c r="L22" s="5" t="s">
        <v>152</v>
      </c>
      <c r="M22" s="5" t="s">
        <v>153</v>
      </c>
      <c r="N22" s="5" t="s">
        <v>154</v>
      </c>
      <c r="O22" s="5" t="s">
        <v>121</v>
      </c>
    </row>
    <row r="23" customFormat="false" ht="126.75" hidden="false" customHeight="true" outlineLevel="0" collapsed="false">
      <c r="A23" s="5" t="s">
        <v>155</v>
      </c>
      <c r="B23" s="5" t="s">
        <v>156</v>
      </c>
      <c r="C23" s="5" t="s">
        <v>157</v>
      </c>
      <c r="D23" s="6" t="n">
        <v>2944</v>
      </c>
      <c r="E23" s="6" t="n">
        <v>2944</v>
      </c>
      <c r="F23" s="8" t="s">
        <v>29</v>
      </c>
      <c r="G23" s="8" t="s">
        <v>29</v>
      </c>
      <c r="H23" s="9" t="s">
        <v>20</v>
      </c>
      <c r="I23" s="10" t="s">
        <v>133</v>
      </c>
      <c r="J23" s="9" t="s">
        <v>20</v>
      </c>
      <c r="K23" s="5" t="s">
        <v>158</v>
      </c>
      <c r="L23" s="5" t="s">
        <v>159</v>
      </c>
      <c r="M23" s="5" t="s">
        <v>160</v>
      </c>
      <c r="N23" s="5" t="s">
        <v>161</v>
      </c>
      <c r="O23" s="5" t="s">
        <v>121</v>
      </c>
    </row>
    <row r="24" customFormat="false" ht="116.25" hidden="false" customHeight="true" outlineLevel="0" collapsed="false">
      <c r="A24" s="5" t="s">
        <v>162</v>
      </c>
      <c r="B24" s="5" t="s">
        <v>163</v>
      </c>
      <c r="C24" s="5" t="s">
        <v>164</v>
      </c>
      <c r="D24" s="6" t="n">
        <v>7570.5</v>
      </c>
      <c r="E24" s="6" t="n">
        <v>7570.5</v>
      </c>
      <c r="F24" s="9" t="s">
        <v>20</v>
      </c>
      <c r="G24" s="9" t="s">
        <v>20</v>
      </c>
      <c r="H24" s="9" t="s">
        <v>20</v>
      </c>
      <c r="I24" s="10" t="s">
        <v>133</v>
      </c>
      <c r="J24" s="9" t="s">
        <v>20</v>
      </c>
      <c r="K24" s="5" t="s">
        <v>165</v>
      </c>
      <c r="L24" s="5" t="s">
        <v>166</v>
      </c>
      <c r="M24" s="5" t="s">
        <v>167</v>
      </c>
      <c r="N24" s="5" t="s">
        <v>77</v>
      </c>
      <c r="O24" s="5" t="s">
        <v>121</v>
      </c>
    </row>
    <row r="25" customFormat="false" ht="105.75" hidden="false" customHeight="true" outlineLevel="0" collapsed="false">
      <c r="A25" s="5" t="s">
        <v>168</v>
      </c>
      <c r="B25" s="5" t="s">
        <v>169</v>
      </c>
      <c r="C25" s="5" t="s">
        <v>170</v>
      </c>
      <c r="D25" s="6" t="n">
        <v>642.14</v>
      </c>
      <c r="E25" s="6" t="n">
        <v>706.35</v>
      </c>
      <c r="F25" s="8" t="s">
        <v>29</v>
      </c>
      <c r="G25" s="8" t="s">
        <v>29</v>
      </c>
      <c r="H25" s="9" t="s">
        <v>20</v>
      </c>
      <c r="I25" s="9" t="s">
        <v>20</v>
      </c>
      <c r="J25" s="9" t="s">
        <v>20</v>
      </c>
      <c r="K25" s="5" t="s">
        <v>171</v>
      </c>
      <c r="L25" s="5" t="s">
        <v>172</v>
      </c>
      <c r="M25" s="5" t="s">
        <v>173</v>
      </c>
      <c r="N25" s="5" t="s">
        <v>174</v>
      </c>
      <c r="O25" s="5" t="s">
        <v>121</v>
      </c>
    </row>
    <row r="26" customFormat="false" ht="15" hidden="false" customHeight="true" outlineLevel="0" collapsed="false">
      <c r="A26" s="5" t="s">
        <v>175</v>
      </c>
      <c r="B26" s="5" t="s">
        <v>176</v>
      </c>
      <c r="C26" s="5" t="s">
        <v>177</v>
      </c>
      <c r="D26" s="6" t="n">
        <v>21876.6</v>
      </c>
      <c r="E26" s="6" t="n">
        <v>24064.26</v>
      </c>
      <c r="F26" s="8" t="s">
        <v>29</v>
      </c>
      <c r="G26" s="8" t="s">
        <v>29</v>
      </c>
      <c r="H26" s="9" t="s">
        <v>20</v>
      </c>
      <c r="I26" s="9" t="s">
        <v>20</v>
      </c>
      <c r="J26" s="9" t="s">
        <v>20</v>
      </c>
      <c r="K26" s="5" t="s">
        <v>178</v>
      </c>
      <c r="L26" s="5" t="s">
        <v>179</v>
      </c>
      <c r="M26" s="5" t="s">
        <v>180</v>
      </c>
      <c r="N26" s="5" t="s">
        <v>181</v>
      </c>
      <c r="O26" s="5" t="s">
        <v>106</v>
      </c>
    </row>
    <row r="27" customFormat="false" ht="15" hidden="false" customHeight="true" outlineLevel="0" collapsed="false">
      <c r="A27" s="5" t="s">
        <v>182</v>
      </c>
      <c r="B27" s="5" t="s">
        <v>183</v>
      </c>
      <c r="C27" s="5" t="s">
        <v>184</v>
      </c>
      <c r="D27" s="6" t="n">
        <v>4861.7</v>
      </c>
      <c r="E27" s="6" t="n">
        <v>4861.7</v>
      </c>
      <c r="F27" s="9" t="s">
        <v>20</v>
      </c>
      <c r="G27" s="8" t="s">
        <v>29</v>
      </c>
      <c r="H27" s="9" t="s">
        <v>20</v>
      </c>
      <c r="I27" s="11" t="s">
        <v>133</v>
      </c>
      <c r="J27" s="9" t="s">
        <v>20</v>
      </c>
      <c r="K27" s="5" t="s">
        <v>185</v>
      </c>
      <c r="L27" s="5" t="s">
        <v>186</v>
      </c>
      <c r="M27" s="5" t="s">
        <v>187</v>
      </c>
      <c r="N27" s="5" t="s">
        <v>188</v>
      </c>
      <c r="O27" s="5" t="s">
        <v>189</v>
      </c>
    </row>
    <row r="28" customFormat="false" ht="15" hidden="false" customHeight="true" outlineLevel="0" collapsed="false">
      <c r="C28" s="12" t="s">
        <v>190</v>
      </c>
      <c r="D28" s="13" t="n">
        <f aca="false">SUM(D5:D27)</f>
        <v>560824.33</v>
      </c>
      <c r="E28" s="13" t="n">
        <f aca="false">SUM(E5:E27)</f>
        <v>615028.91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2026-06-08T22:42:49Z</dcterms:created>
  <dc:creator>openpyxl</dc:creator>
  <dc:description/>
  <dc:language>en-US</dc:language>
  <cp:lastModifiedBy/>
  <dcterms:modified xsi:type="dcterms:W3CDTF">2026-06-17T04:43:53Z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