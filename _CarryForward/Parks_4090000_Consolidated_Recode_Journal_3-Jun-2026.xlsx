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Consolidated Journal" sheetId="2" state="visible" r:id="rId4"/>
    <sheet name="April WINC Detail" sheetId="3" state="visible" r:id="rId5"/>
    <sheet name="Verification &amp; Finding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<sst xmlns="http://schemas.openxmlformats.org/spreadsheetml/2006/main" count="1781" uniqueCount="414">
  <si>
    <t xml:space="preserve">PARKS BRANCH 4090000 — CONSOLIDATED CODING-REVIEW JOURNAL  |  Reconciliation &amp; Drill-Down</t>
  </si>
  <si>
    <t xml:space="preserve">Spero Karkalemis, Assistant Financial Analyst  •  Prepared 3-Jun-2026  •  All amounts GST-exclusive  •  TechOne PK ledger</t>
  </si>
  <si>
    <t xml:space="preserve">Total lines</t>
  </si>
  <si>
    <t xml:space="preserve">Batch balance</t>
  </si>
  <si>
    <t xml:space="preserve">Review streams</t>
  </si>
  <si>
    <t xml:space="preserve">Gross debits</t>
  </si>
  <si>
    <t xml:space="preserve">5</t>
  </si>
  <si>
    <t xml:space="preserve">Gross credits</t>
  </si>
  <si>
    <t xml:space="preserve">73563 moved out</t>
  </si>
  <si>
    <t xml:space="preserve">72111 moved out</t>
  </si>
  <si>
    <t xml:space="preserve">Outstanding flags</t>
  </si>
  <si>
    <t xml:space="preserve">4</t>
  </si>
  <si>
    <t xml:space="preserve">DRILL 1 — By review stream  (each stream must net to $0.00)</t>
  </si>
  <si>
    <t xml:space="preserve">Review stream</t>
  </si>
  <si>
    <t xml:space="preserve">Lines</t>
  </si>
  <si>
    <t xml:space="preserve">Gross Dr</t>
  </si>
  <si>
    <t xml:space="preserve">Gross Cr</t>
  </si>
  <si>
    <t xml:space="preserve">Net (must=0)</t>
  </si>
  <si>
    <t xml:space="preserve">WINC 73563 P1-P10</t>
  </si>
  <si>
    <t xml:space="preserve">WINC 73563 Apr-2026</t>
  </si>
  <si>
    <t xml:space="preserve">72111 Minor Equip Audit</t>
  </si>
  <si>
    <t xml:space="preserve">PCard Batch (Officeworks/Flair/Oasis)</t>
  </si>
  <si>
    <t xml:space="preserve">Reali Uniforms PK split</t>
  </si>
  <si>
    <t xml:space="preserve">TOTAL</t>
  </si>
  <si>
    <t xml:space="preserve">DRILL 2 — By natural account  (net signed movement: negative = moved OUT, positive = moved IN)</t>
  </si>
  <si>
    <t xml:space="preserve">NA</t>
  </si>
  <si>
    <t xml:space="preserve">Account name</t>
  </si>
  <si>
    <t xml:space="preserve">Net movement</t>
  </si>
  <si>
    <t xml:space="preserve">72111</t>
  </si>
  <si>
    <t xml:space="preserve">Minor Equipment &amp; Supplies</t>
  </si>
  <si>
    <t xml:space="preserve">72112</t>
  </si>
  <si>
    <t xml:space="preserve">Chemical, fertiliser &amp; paints</t>
  </si>
  <si>
    <t xml:space="preserve">72113</t>
  </si>
  <si>
    <t xml:space="preserve">Safety Equipment &amp; Medical</t>
  </si>
  <si>
    <t xml:space="preserve">72114</t>
  </si>
  <si>
    <t xml:space="preserve">Uniforms</t>
  </si>
  <si>
    <t xml:space="preserve">72222</t>
  </si>
  <si>
    <t xml:space="preserve">Signs</t>
  </si>
  <si>
    <t xml:space="preserve">72231</t>
  </si>
  <si>
    <t xml:space="preserve">Landscape Supplies</t>
  </si>
  <si>
    <t xml:space="preserve">72248</t>
  </si>
  <si>
    <t xml:space="preserve">Crusher Dust</t>
  </si>
  <si>
    <t xml:space="preserve">72249</t>
  </si>
  <si>
    <t xml:space="preserve">Topsoil</t>
  </si>
  <si>
    <t xml:space="preserve">72311</t>
  </si>
  <si>
    <t xml:space="preserve">Other Plant &amp; Equipment</t>
  </si>
  <si>
    <t xml:space="preserve">72313</t>
  </si>
  <si>
    <t xml:space="preserve">Furniture &amp; Fittings</t>
  </si>
  <si>
    <t xml:space="preserve">72315</t>
  </si>
  <si>
    <t xml:space="preserve">Parks Assets</t>
  </si>
  <si>
    <t xml:space="preserve">73211</t>
  </si>
  <si>
    <t xml:space="preserve">Contractors</t>
  </si>
  <si>
    <t xml:space="preserve">73220</t>
  </si>
  <si>
    <t xml:space="preserve">Traffic Control</t>
  </si>
  <si>
    <t xml:space="preserve">73512</t>
  </si>
  <si>
    <t xml:space="preserve">Entertainment &amp; Hospitality Non-FBT</t>
  </si>
  <si>
    <t xml:space="preserve">73513</t>
  </si>
  <si>
    <t xml:space="preserve">Employee Reward &amp; Recognition</t>
  </si>
  <si>
    <t xml:space="preserve">73563</t>
  </si>
  <si>
    <t xml:space="preserve">Printing &amp; Stationery</t>
  </si>
  <si>
    <t xml:space="preserve">73564</t>
  </si>
  <si>
    <t xml:space="preserve">IT Equipment &amp; Applications</t>
  </si>
  <si>
    <t xml:space="preserve">TOTAL (must=0)</t>
  </si>
  <si>
    <t xml:space="preserve">DRILL 3 — By PK  (net signed movement: 0 = recode stayed within PK; non-zero = cross-PK relocation)</t>
  </si>
  <si>
    <t xml:space="preserve">PK</t>
  </si>
  <si>
    <t xml:space="preserve">PK000001</t>
  </si>
  <si>
    <t xml:space="preserve">PK000003</t>
  </si>
  <si>
    <t xml:space="preserve">PK000012</t>
  </si>
  <si>
    <t xml:space="preserve">PK000022</t>
  </si>
  <si>
    <t xml:space="preserve">PK000032</t>
  </si>
  <si>
    <t xml:space="preserve">PK000055</t>
  </si>
  <si>
    <t xml:space="preserve">PK000068</t>
  </si>
  <si>
    <t xml:space="preserve">PK000075</t>
  </si>
  <si>
    <t xml:space="preserve">PK000076</t>
  </si>
  <si>
    <t xml:space="preserve">PK000083</t>
  </si>
  <si>
    <t xml:space="preserve">PK000084</t>
  </si>
  <si>
    <t xml:space="preserve">PK000086</t>
  </si>
  <si>
    <t xml:space="preserve">PK000402</t>
  </si>
  <si>
    <t xml:space="preserve">PK000433</t>
  </si>
  <si>
    <t xml:space="preserve">PK000435</t>
  </si>
  <si>
    <t xml:space="preserve">PK000445</t>
  </si>
  <si>
    <t xml:space="preserve">PK000493</t>
  </si>
  <si>
    <t xml:space="preserve">PK000496</t>
  </si>
  <si>
    <t xml:space="preserve">CONSOLIDATED RECODE JOURNAL — TechOne GENJNL (PK Ledger)  |  Parks Branch 4090000  |  Prepared 3-Jun-2026</t>
  </si>
  <si>
    <t xml:space="preserve">40-char per narrative field. Dr positive, Cr negative. Batch must net to $0.00. Streams individually balanced.</t>
  </si>
  <si>
    <t xml:space="preserve">Stream</t>
  </si>
  <si>
    <t xml:space="preserve">LDG</t>
  </si>
  <si>
    <t xml:space="preserve">Account (PK)</t>
  </si>
  <si>
    <t xml:space="preserve">Fund Account</t>
  </si>
  <si>
    <t xml:space="preserve">Resource Group</t>
  </si>
  <si>
    <t xml:space="preserve">Resource (NA)</t>
  </si>
  <si>
    <t xml:space="preserve">Amount</t>
  </si>
  <si>
    <t xml:space="preserve">Narrative 1</t>
  </si>
  <si>
    <t xml:space="preserve">Narrative 2</t>
  </si>
  <si>
    <t xml:space="preserve">Narrative 3</t>
  </si>
  <si>
    <t xml:space="preserve">JOURNAL</t>
  </si>
  <si>
    <t xml:space="preserve">Recode WINC non-stat frm 73563</t>
  </si>
  <si>
    <t xml:space="preserve">Cleaning batt kitchen tools</t>
  </si>
  <si>
    <t xml:space="preserve">To 72111 Minor Equip &amp; Supplies</t>
  </si>
  <si>
    <t xml:space="preserve">Recode WINC fly spray frm 73563</t>
  </si>
  <si>
    <t xml:space="preserve">Mortein insect spray</t>
  </si>
  <si>
    <t xml:space="preserve">To 72112 Chemical &amp; Pesticide</t>
  </si>
  <si>
    <t xml:space="preserve">Recode WINC PPE frm 73563</t>
  </si>
  <si>
    <t xml:space="preserve">First aid vest, nitrile gloves</t>
  </si>
  <si>
    <t xml:space="preserve">To 72113 Safety Equipment</t>
  </si>
  <si>
    <t xml:space="preserve">Recode WINC tearoom frm 73563</t>
  </si>
  <si>
    <t xml:space="preserve">Coffee tea sugar ice (Reason B)</t>
  </si>
  <si>
    <t xml:space="preserve">To 73512 Hospitality Non-FBT</t>
  </si>
  <si>
    <t xml:space="preserve">Recode WINC IT items frm 73563</t>
  </si>
  <si>
    <t xml:space="preserve">Mice, USB cables, kbds, headsets</t>
  </si>
  <si>
    <t xml:space="preserve">To 73564 IT Equipment</t>
  </si>
  <si>
    <t xml:space="preserve">Recode WINC Apr non-stat fr 73563</t>
  </si>
  <si>
    <t xml:space="preserve">Cleaning kitchen batteries</t>
  </si>
  <si>
    <t xml:space="preserve">Recode WINC Apr tearoom fr 73563</t>
  </si>
  <si>
    <t xml:space="preserve">Coffee tea sugar lollies(Rsn B)</t>
  </si>
  <si>
    <t xml:space="preserve">Recode WINC Apr IT fr 73563</t>
  </si>
  <si>
    <t xml:space="preserve">Headset chargers kbd adapter</t>
  </si>
  <si>
    <t xml:space="preserve">To 73564 IT Equipment &amp; Apps</t>
  </si>
  <si>
    <t xml:space="preserve">J1 recode: Pac Fire PPE</t>
  </si>
  <si>
    <t xml:space="preserve">Ref 188512 Svc 20401 (PK000068)</t>
  </si>
  <si>
    <t xml:space="preserve">PPE for fire operations</t>
  </si>
  <si>
    <t xml:space="preserve">From 72111</t>
  </si>
  <si>
    <t xml:space="preserve">J2 recode: Altus Traffic</t>
  </si>
  <si>
    <t xml:space="preserve">Ref 410015740 Svc 20401 (PK000068)</t>
  </si>
  <si>
    <t xml:space="preserve">Traffic control service — Quinzeh Creek</t>
  </si>
  <si>
    <t xml:space="preserve">J3 recode: Industrial Decontamination</t>
  </si>
  <si>
    <t xml:space="preserve">Ref INV-19260 Svc 20401 (PK000068)</t>
  </si>
  <si>
    <t xml:space="preserve">PPE decontamination — wildfire gloves/co</t>
  </si>
  <si>
    <t xml:space="preserve">J4 recode: Industrial Decontamination</t>
  </si>
  <si>
    <t xml:space="preserve">Ref INV-18994 Svc 20401 (PK000068)</t>
  </si>
  <si>
    <t xml:space="preserve">J5 recode: Industrial Decontamination</t>
  </si>
  <si>
    <t xml:space="preserve">Ref INV-19437 Svc 20401 (PK000068)</t>
  </si>
  <si>
    <t xml:space="preserve">J8 recode: Reptile Awareness Displays</t>
  </si>
  <si>
    <t xml:space="preserve">Ref 003-2026 Svc 20411 (PK000075)</t>
  </si>
  <si>
    <t xml:space="preserve">First aid kits — bulk same-item</t>
  </si>
  <si>
    <t xml:space="preserve">J9 recode: Alpha First Aid</t>
  </si>
  <si>
    <t xml:space="preserve">Ref 8168559 Svc 20662 (PK000496)</t>
  </si>
  <si>
    <t xml:space="preserve">J10 recode: Pac Fire</t>
  </si>
  <si>
    <t xml:space="preserve">Ref 188738 Svc 20401 (PK000068)</t>
  </si>
  <si>
    <t xml:space="preserve">Safety boot — individually &gt;$200 (P&amp;A re</t>
  </si>
  <si>
    <t xml:space="preserve">J11 recode: Pac Fire</t>
  </si>
  <si>
    <t xml:space="preserve">Ref 183802 Svc 20401 (PK000068)</t>
  </si>
  <si>
    <t xml:space="preserve">Safety helmet $299.70 + freight $15 — in</t>
  </si>
  <si>
    <t xml:space="preserve">J13 recode: Bunnings</t>
  </si>
  <si>
    <t xml:space="preserve">Ref 8210/02030503 Svc 20181 (PK000012)</t>
  </si>
  <si>
    <t xml:space="preserve">Insecticide + fertiliser</t>
  </si>
  <si>
    <t xml:space="preserve">Plants — landscape supplies</t>
  </si>
  <si>
    <t xml:space="preserve">From 72111 ($0.04 variance remains)</t>
  </si>
  <si>
    <t xml:space="preserve">J14 recode: Bunnings</t>
  </si>
  <si>
    <t xml:space="preserve">Ref 8171/01438782 Svc 20181 (PK000012)</t>
  </si>
  <si>
    <t xml:space="preserve">Ornamental plants — landscape supplies</t>
  </si>
  <si>
    <t xml:space="preserve">J15 recode: Bunnings</t>
  </si>
  <si>
    <t xml:space="preserve">Ref 8210/01369423 Svc 20181 (PK000012)</t>
  </si>
  <si>
    <t xml:space="preserve">Chemicals (+$0.01 rounding to ledger)</t>
  </si>
  <si>
    <t xml:space="preserve">Irrigation/landscape hardware</t>
  </si>
  <si>
    <t xml:space="preserve">J16 recode: Bunnings</t>
  </si>
  <si>
    <t xml:space="preserve">Ref 8210/01349884 Svc 20181 (PK000012)</t>
  </si>
  <si>
    <t xml:space="preserve">Landscape supplies</t>
  </si>
  <si>
    <t xml:space="preserve">J17 recode: Bunnings</t>
  </si>
  <si>
    <t xml:space="preserve">Ref 8171/01240231 Svc 20181 (PK000012)</t>
  </si>
  <si>
    <t xml:space="preserve">Work gloves — PPE</t>
  </si>
  <si>
    <t xml:space="preserve">Lopper — small tool</t>
  </si>
  <si>
    <t xml:space="preserve">J18 recode: Bunnings</t>
  </si>
  <si>
    <t xml:space="preserve">Ref 8171/01259462 Svc 20181 (PK000012)</t>
  </si>
  <si>
    <t xml:space="preserve">Artificial plants</t>
  </si>
  <si>
    <t xml:space="preserve">J19 recode: Bunnings</t>
  </si>
  <si>
    <t xml:space="preserve">Ref 8171/01228418 Svc 20181 (PK000012)</t>
  </si>
  <si>
    <t xml:space="preserve">Plants + chain — landscape supplies</t>
  </si>
  <si>
    <t xml:space="preserve">J20 recode: Spill Station</t>
  </si>
  <si>
    <t xml:space="preserve">Ref 109368 Svc 20181 (PK000012)</t>
  </si>
  <si>
    <t xml:space="preserve">Spill response — safety equipment</t>
  </si>
  <si>
    <t xml:space="preserve">J21 recode: Big Red Truck Fire Rescue</t>
  </si>
  <si>
    <t xml:space="preserve">Ref S206895 Svc 20401 (PK000068)</t>
  </si>
  <si>
    <t xml:space="preserve">Fuel cans — planned burns</t>
  </si>
  <si>
    <t xml:space="preserve">J22 recode: Tennyson Group</t>
  </si>
  <si>
    <t xml:space="preserve">Ref 27577 Svc 20241 (PK000055)</t>
  </si>
  <si>
    <t xml:space="preserve">Branded vehicle signage (PFS)</t>
  </si>
  <si>
    <t xml:space="preserve">J23 recode: Traffic Control Supplies</t>
  </si>
  <si>
    <t xml:space="preserve">Ref 178176 Svc 20401 (PK000068)</t>
  </si>
  <si>
    <t xml:space="preserve">Branded vehicle signage (product, not TC</t>
  </si>
  <si>
    <t xml:space="preserve">J24 recode: Tennyson Group</t>
  </si>
  <si>
    <t xml:space="preserve">Ref 25804 Svc 20412 (PK000076)</t>
  </si>
  <si>
    <t xml:space="preserve">Tree Day corflutes — event signage</t>
  </si>
  <si>
    <t xml:space="preserve">J25 recode: Legacy Monuments</t>
  </si>
  <si>
    <t xml:space="preserve">Ref 2591 Svc 20451 (PK000445)</t>
  </si>
  <si>
    <t xml:space="preserve">Memorial plaque — cemetery (Beenleigh, b</t>
  </si>
  <si>
    <t xml:space="preserve">J26 recode: Fulton Hogan</t>
  </si>
  <si>
    <t xml:space="preserve">Ref 20587563 Svc 20451 (PK000083)</t>
  </si>
  <si>
    <t xml:space="preserve">Topsoil — cemeteries grounds</t>
  </si>
  <si>
    <t xml:space="preserve">J27 recode: Fulton Hogan</t>
  </si>
  <si>
    <t xml:space="preserve">Ref 20672646 Svc 20451 (PK000083)</t>
  </si>
  <si>
    <t xml:space="preserve">J28 recode: Fulton Hogan</t>
  </si>
  <si>
    <t xml:space="preserve">Ref 20736903 Svc 20451 (PK000083)</t>
  </si>
  <si>
    <t xml:space="preserve">J29 recode: Petersen Castings</t>
  </si>
  <si>
    <t xml:space="preserve">Ref 1215 Svc 20392 (PK000022)</t>
  </si>
  <si>
    <t xml:space="preserve">Bin keys — parks assets (bulk same-item)</t>
  </si>
  <si>
    <t xml:space="preserve">J30 recode: Motorcycles R Us</t>
  </si>
  <si>
    <t xml:space="preserve">Ref 10286878 Svc 20301 (PK000084)</t>
  </si>
  <si>
    <t xml:space="preserve">LS2 MX701 helmet 2XL — P&amp;A register (&gt;$2</t>
  </si>
  <si>
    <t xml:space="preserve">Tech 3 boots — P&amp;A register (&gt;$200)</t>
  </si>
  <si>
    <t xml:space="preserve">From 72111 (pants $179.95 + bag $181.77</t>
  </si>
  <si>
    <t xml:space="preserve">J33 recode: Stihl Shop Jimboomba</t>
  </si>
  <si>
    <t xml:space="preserve">Ref 283346 Svc 20181 (PK000012)</t>
  </si>
  <si>
    <t xml:space="preserve">Stihl chargers — bulk same-item (P&amp;A reg</t>
  </si>
  <si>
    <t xml:space="preserve">J34 recode: STKISS INITIATOR RB43</t>
  </si>
  <si>
    <t xml:space="preserve">Ref 096371 Svc 20381 (PK000032)</t>
  </si>
  <si>
    <t xml:space="preserve">INITIATOR 3kg insecticide/fertiliser tab</t>
  </si>
  <si>
    <t xml:space="preserve">J36 recode: Bunnings Underwood</t>
  </si>
  <si>
    <t xml:space="preserve">Ref 8210/00230575 Svc 20181 (PK000012)</t>
  </si>
  <si>
    <t xml:space="preserve">Chemicals + fertiliser</t>
  </si>
  <si>
    <t xml:space="preserve">Safety helmets — PPE</t>
  </si>
  <si>
    <t xml:space="preserve">Landscape Lock 2L paving accessory</t>
  </si>
  <si>
    <t xml:space="preserve">From 72111 (watering can $11.51 remains</t>
  </si>
  <si>
    <t xml:space="preserve">J37 recode: Bunnings Underwood</t>
  </si>
  <si>
    <t xml:space="preserve">Ref 8210/02056322 Svc 20181 (PK000012)</t>
  </si>
  <si>
    <t xml:space="preserve">Powerfeed 10L x2 (bulk) + Osmocote Plus</t>
  </si>
  <si>
    <t xml:space="preserve">Mixed plants (marigold, lemon grass x4,</t>
  </si>
  <si>
    <t xml:space="preserve">J35a recode: STKISS LITTER PIC JF51</t>
  </si>
  <si>
    <t xml:space="preserve">Ref 092580 Svc 20662 (PK000496)</t>
  </si>
  <si>
    <t xml:space="preserve">Litter pickers — field ops (bulk)</t>
  </si>
  <si>
    <t xml:space="preserve">J35b recode: STKISS LCC AWARE RB22</t>
  </si>
  <si>
    <t xml:space="preserve">Ref 093813 Svc 20151 (PK000001)</t>
  </si>
  <si>
    <t xml:space="preserve">LCC Aware tape — site safety consumable</t>
  </si>
  <si>
    <t xml:space="preserve">J35c recode: STKISS SITE BARRI XI11</t>
  </si>
  <si>
    <t xml:space="preserve">Ref 095340 Svc 20392 (PK000493)</t>
  </si>
  <si>
    <t xml:space="preserve">Site barrier mesh — bulk same-item</t>
  </si>
  <si>
    <t xml:space="preserve">J35d recode: STKISS TRIMMER CO RC42</t>
  </si>
  <si>
    <t xml:space="preserve">Ref 095736 Svc 20440 (PK000003)</t>
  </si>
  <si>
    <t xml:space="preserve">Trimmer cord — power tool consumable</t>
  </si>
  <si>
    <t xml:space="preserve">J35e recode: STKISS ELECTROLYT RE21</t>
  </si>
  <si>
    <t xml:space="preserve">Ref 095893 Svc 20301 (PK000084)</t>
  </si>
  <si>
    <t xml:space="preserve">Electrolyte drink — crew heat-illness pr</t>
  </si>
  <si>
    <t xml:space="preserve">J35f recode: STKISS LITTER PIC LF21</t>
  </si>
  <si>
    <t xml:space="preserve">Ref 096300 Svc 20662 (PK000496)</t>
  </si>
  <si>
    <t xml:space="preserve">J35g recode: STKISS LITTER PIC LF21</t>
  </si>
  <si>
    <t xml:space="preserve">Ref 096601 Svc 20151 (PK000001)</t>
  </si>
  <si>
    <t xml:space="preserve">J35h recode: STKISS TRAFFIC CO XF11</t>
  </si>
  <si>
    <t xml:space="preserve">Ref 096664 Svc 20362 (PK000435)</t>
  </si>
  <si>
    <t xml:space="preserve">Traffic cones — bulk same-item</t>
  </si>
  <si>
    <t xml:space="preserve">J35i recode: STKISS TRIMMER CO RC42</t>
  </si>
  <si>
    <t xml:space="preserve">Ref 097341 Svc 20440 (PK000003)</t>
  </si>
  <si>
    <t xml:space="preserve">J35j recode: STKISS TRIMMER CO RC42</t>
  </si>
  <si>
    <t xml:space="preserve">Ref 097673 Svc 20181 (PK000012)</t>
  </si>
  <si>
    <t xml:space="preserve">J35k recode: STKISS STAR PICKE WD26</t>
  </si>
  <si>
    <t xml:space="preserve">Ref 097868 Svc 20181 (PK000012)</t>
  </si>
  <si>
    <t xml:space="preserve">Star pickets — bulk same-item</t>
  </si>
  <si>
    <t xml:space="preserve">22-Jan-2026</t>
  </si>
  <si>
    <t xml:space="preserve">SP FLAIR FLORAL</t>
  </si>
  <si>
    <t xml:space="preserve">13-Jan-2026</t>
  </si>
  <si>
    <t xml:space="preserve">OFFICEWORKS</t>
  </si>
  <si>
    <t xml:space="preserve">3× 2026 Collins A5 Diary</t>
  </si>
  <si>
    <t xml:space="preserve">20× Otto Acrylic Desk Riser Large + 2× N</t>
  </si>
  <si>
    <t xml:space="preserve">1× USB-C / SD Card Reader Adapter</t>
  </si>
  <si>
    <t xml:space="preserve">3× Otto Acrylic Desk Riser Large</t>
  </si>
  <si>
    <t xml:space="preserve">1× Posca PC5M Paint Marker pack of 8</t>
  </si>
  <si>
    <t xml:space="preserve">TE004824</t>
  </si>
  <si>
    <t xml:space="preserve">TE004478</t>
  </si>
  <si>
    <t xml:space="preserve">Reali uniform recode fr 20151</t>
  </si>
  <si>
    <t xml:space="preserve">PO702344 SI consol Mar-2026</t>
  </si>
  <si>
    <t xml:space="preserve">72114 net-mvmt (confirm w Fin)</t>
  </si>
  <si>
    <t xml:space="preserve">72114 net-mvmt incl 1c round</t>
  </si>
  <si>
    <t xml:space="preserve">BATCH NET</t>
  </si>
  <si>
    <t xml:space="preserve">WINC INVOICE 9901782965 — APRIL 2026  |  Line-Item Classification  |  Parks accts 10179376 (PK000001) + 10428958 (PK000086)</t>
  </si>
  <si>
    <t xml:space="preserve">39 Parks lines, all currently coded 73563. Amounts GST-exclusive. GREEN = correctly in 73563; AMBER = miscoded, recode in consolidated journal.</t>
  </si>
  <si>
    <t xml:space="preserve">Item code</t>
  </si>
  <si>
    <t xml:space="preserve">Description</t>
  </si>
  <si>
    <t xml:space="preserve">Qty</t>
  </si>
  <si>
    <t xml:space="preserve">Current</t>
  </si>
  <si>
    <t xml:space="preserve">Suggested</t>
  </si>
  <si>
    <t xml:space="preserve">Treatment</t>
  </si>
  <si>
    <t xml:space="preserve">Status</t>
  </si>
  <si>
    <t xml:space="preserve">85204000</t>
  </si>
  <si>
    <t xml:space="preserve">Nescafe Classic Decaf Inst Coff 375g Tin</t>
  </si>
  <si>
    <t xml:space="preserve">Hospitality refreshments (Reason B)</t>
  </si>
  <si>
    <t xml:space="preserve">MISCODE</t>
  </si>
  <si>
    <t xml:space="preserve">86514699</t>
  </si>
  <si>
    <t xml:space="preserve">Nestle Milo Tin 1.9kg</t>
  </si>
  <si>
    <t xml:space="preserve">86547541</t>
  </si>
  <si>
    <t xml:space="preserve">Lipton Tbg Pk100</t>
  </si>
  <si>
    <t xml:space="preserve">25184215</t>
  </si>
  <si>
    <t xml:space="preserve">Moccona Med Roast Instant Coff 1kg Tin</t>
  </si>
  <si>
    <t xml:space="preserve">86551332</t>
  </si>
  <si>
    <t xml:space="preserve">Any Yr Dry A5 1 Day/Pg</t>
  </si>
  <si>
    <t xml:space="preserve">Stationery / printing</t>
  </si>
  <si>
    <t xml:space="preserve">OK</t>
  </si>
  <si>
    <t xml:space="preserve">25194636</t>
  </si>
  <si>
    <t xml:space="preserve">Energizer Lithium AA Batts 10pk</t>
  </si>
  <si>
    <t xml:space="preserve">Minor equipment / batteries</t>
  </si>
  <si>
    <t xml:space="preserve">87215078</t>
  </si>
  <si>
    <t xml:space="preserve">Winc Rtrct Blpnt Pn Blk 1.0mm Pk 12</t>
  </si>
  <si>
    <t xml:space="preserve">87215079</t>
  </si>
  <si>
    <t xml:space="preserve">Winc Rtrct Blpnt Pn Blu 1.0mm Pk 12</t>
  </si>
  <si>
    <t xml:space="preserve">25204912</t>
  </si>
  <si>
    <t xml:space="preserve">Voyager 4320 Wireless Uc Stereo USB-A</t>
  </si>
  <si>
    <t xml:space="preserve">IT equipment / accessories</t>
  </si>
  <si>
    <t xml:space="preserve">86518485</t>
  </si>
  <si>
    <t xml:space="preserve">Staedtler 351 Wbrd Mrkr St 6</t>
  </si>
  <si>
    <t xml:space="preserve">86602621</t>
  </si>
  <si>
    <t xml:space="preserve">Spirax 571 Notebook A5 300Pg</t>
  </si>
  <si>
    <t xml:space="preserve">18885357</t>
  </si>
  <si>
    <t xml:space="preserve">Winc Spiral Ntebk No. 337 A5 Prf 200 Pgs</t>
  </si>
  <si>
    <t xml:space="preserve">53454002</t>
  </si>
  <si>
    <t xml:space="preserve">Artline 550A Wbrd Mrkr Fn Blk</t>
  </si>
  <si>
    <t xml:space="preserve">87215922</t>
  </si>
  <si>
    <t xml:space="preserve">Kensington Footrest Rocking Black</t>
  </si>
  <si>
    <t xml:space="preserve">Minor equipment / tools</t>
  </si>
  <si>
    <t xml:space="preserve">86657510</t>
  </si>
  <si>
    <t xml:space="preserve">Palmolive Dshwng Liqd 500ml</t>
  </si>
  <si>
    <t xml:space="preserve">Cleaning / minor kitchen supplies</t>
  </si>
  <si>
    <t xml:space="preserve">25234584</t>
  </si>
  <si>
    <t xml:space="preserve">Omsl 15w Auto Wless Carchrgr Ventdash</t>
  </si>
  <si>
    <t xml:space="preserve">25162736</t>
  </si>
  <si>
    <t xml:space="preserve">Winc Car Chgr W/ USB-A Port-Black</t>
  </si>
  <si>
    <t xml:space="preserve">25129026</t>
  </si>
  <si>
    <t xml:space="preserve">Sunshine Raw Sugar 2kg</t>
  </si>
  <si>
    <t xml:space="preserve">03442800</t>
  </si>
  <si>
    <t xml:space="preserve">Winc Notepad Pocket No.330 96Pgs</t>
  </si>
  <si>
    <t xml:space="preserve">25173703</t>
  </si>
  <si>
    <t xml:space="preserve">Cuppa Cartel The Don Coffee Beans 1kg</t>
  </si>
  <si>
    <t xml:space="preserve">25234601</t>
  </si>
  <si>
    <t xml:space="preserve">Cmsl Usbc To4k  HDMI Dck Wsd Crd Rdr</t>
  </si>
  <si>
    <t xml:space="preserve">86632882</t>
  </si>
  <si>
    <t xml:space="preserve">Stabilo Pnt 88 Mrkr Fineliner St 10</t>
  </si>
  <si>
    <t xml:space="preserve">86651288</t>
  </si>
  <si>
    <t xml:space="preserve">90 Perm Mrkr 2.5mm Asstd Cols BX 12</t>
  </si>
  <si>
    <t xml:space="preserve">86695456</t>
  </si>
  <si>
    <t xml:space="preserve">Bostik Blu Tack Rsble Adh 75G</t>
  </si>
  <si>
    <t xml:space="preserve">87124889</t>
  </si>
  <si>
    <t xml:space="preserve">Poly String 80M Wht</t>
  </si>
  <si>
    <t xml:space="preserve">25189138</t>
  </si>
  <si>
    <t xml:space="preserve">Pst-it Spr Stck Nt Rcycld Cbnt Pk Vnneon</t>
  </si>
  <si>
    <t xml:space="preserve">86713672</t>
  </si>
  <si>
    <t xml:space="preserve">Winc Fchrt Pds 600X850mm A1 50Sheet Pkt2</t>
  </si>
  <si>
    <t xml:space="preserve">25234308</t>
  </si>
  <si>
    <t xml:space="preserve">Biopak 2ply Cocktail Napk Wht Pk250</t>
  </si>
  <si>
    <t xml:space="preserve">87074579</t>
  </si>
  <si>
    <t xml:space="preserve">WINC Ppr Pte Lunch Uncted 175mm Pk50</t>
  </si>
  <si>
    <t xml:space="preserve">18892646</t>
  </si>
  <si>
    <t xml:space="preserve">Artline 200 Mrkr Fin 0.4mm Blk</t>
  </si>
  <si>
    <t xml:space="preserve">86633117</t>
  </si>
  <si>
    <t xml:space="preserve">Artline 200 Pens 0.4Mm 8 Asst Cols Bx12</t>
  </si>
  <si>
    <t xml:space="preserve">25232965</t>
  </si>
  <si>
    <t xml:space="preserve">Mk250 Bluetooth Keyb</t>
  </si>
  <si>
    <t xml:space="preserve">18880174</t>
  </si>
  <si>
    <t xml:space="preserve">Kleenex Anti-Bacterial Wet Wipes Pkt15</t>
  </si>
  <si>
    <t xml:space="preserve">87215081</t>
  </si>
  <si>
    <t xml:space="preserve">Winc Rtrct Blpnt Pn Red 1.0mm Pk 12</t>
  </si>
  <si>
    <t xml:space="preserve">86774946</t>
  </si>
  <si>
    <t xml:space="preserve">Allen's Party Mix Lollies 1.3kg</t>
  </si>
  <si>
    <t xml:space="preserve">10006618</t>
  </si>
  <si>
    <t xml:space="preserve">Winc AA Prem Alkal Batt Bx 24</t>
  </si>
  <si>
    <t xml:space="preserve">10006619</t>
  </si>
  <si>
    <t xml:space="preserve">Winc AAA Prem Alkal Batt Bx 24</t>
  </si>
  <si>
    <t xml:space="preserve">Miscoded (recoded out)</t>
  </si>
  <si>
    <t xml:space="preserve">Correctly in 73563</t>
  </si>
  <si>
    <t xml:space="preserve">VERIFICATION &amp; FINDINGS  |  Consolidated Coding-Review Journal  |  Parks Branch 4090000</t>
  </si>
  <si>
    <t xml:space="preserve">RED = blocker, resolve before upload  •  AMBER = confirm before upload  •  GREEN = verified clean  •  Prepared 3-Jun-2026</t>
  </si>
  <si>
    <t xml:space="preserve">1 — BLOCKER (resolve before upload)</t>
  </si>
  <si>
    <t xml:space="preserve">Flag</t>
  </si>
  <si>
    <t xml:space="preserve">Stream / area</t>
  </si>
  <si>
    <t xml:space="preserve">Item / ref</t>
  </si>
  <si>
    <t xml:space="preserve">Finding</t>
  </si>
  <si>
    <t xml:space="preserve">$ impact</t>
  </si>
  <si>
    <t xml:space="preserve">Action required</t>
  </si>
  <si>
    <t xml:space="preserve">RED</t>
  </si>
  <si>
    <t xml:space="preserve">72111 Audit vs PCard Batch</t>
  </si>
  <si>
    <t xml:space="preserve">Doc46 J12 / TE005091 vs Officeworks inv 626529478</t>
  </si>
  <si>
    <t xml:space="preserve">J12 recodes "20 desk risers" 72111 to 72313 ($363.64). The same 20 Otto risers are already split in the PCard Batch (Doc45) recode of Officeworks inv 626529478 ($398.18 = 20 Otto + 2 mesh + adapter). Booking both double-counts the riser relocation.</t>
  </si>
  <si>
    <t xml:space="preserve">CONFIRM TE005091 is the riser line of inv 626529478. If yes, J12 stays removed from the batch (already excluded here). If a separate purchase, re-add J12 (2 lines).</t>
  </si>
  <si>
    <t xml:space="preserve">2 — CONFIRM BEFORE UPLOAD</t>
  </si>
  <si>
    <t xml:space="preserve">AMBER</t>
  </si>
  <si>
    <t xml:space="preserve">PCard Batch (Flair Floral)</t>
  </si>
  <si>
    <t xml:space="preserve">Flair Floral $77.27 / PK000001</t>
  </si>
  <si>
    <t xml:space="preserve">Reversal in Doc45 lifts from 72111, but the P-Card cover slip wrote the cost to 71111 (Full Time Staff). Reversal source must equal the live GL line.</t>
  </si>
  <si>
    <t xml:space="preserve">Confirm live GL coding: if it sits in 71111, change the reversal source from 72111 to 71111 before upload.</t>
  </si>
  <si>
    <t xml:space="preserve">Reali Uniforms</t>
  </si>
  <si>
    <t xml:space="preserve">PO702344 / inv PKLCC2026-0331</t>
  </si>
  <si>
    <t xml:space="preserve">Reali stream uses net-movement format (DR five PKs, CR PK000001); the four other streams use full-reversal. NA 72114 correct throughout, PK split is the only correction.</t>
  </si>
  <si>
    <t xml:space="preserve">Confirm Finance accepts net-movement for this batch, or convert to full-reversal per their preference.</t>
  </si>
  <si>
    <t xml:space="preserve">Travel — Gold Coast parking</t>
  </si>
  <si>
    <t xml:space="preserve">TE004218 / 73541 to 73531</t>
  </si>
  <si>
    <t xml:space="preserve">City of Gold Coast parking $6.05, Craig Logan P-Card 16-Jun-2025, miscoded to 73541 Conferences. SEQ parking belongs in 73531 Local Travel. Not in this batch (need home PK).</t>
  </si>
  <si>
    <t xml:space="preserve">Provide Craig Logan home PK to build the 73541 to 73531 recode line.</t>
  </si>
  <si>
    <t xml:space="preserve">Travel — Cabcharge</t>
  </si>
  <si>
    <t xml:space="preserve">Jan-2026 statement $787.74</t>
  </si>
  <si>
    <t xml:space="preserve">Mixed local SEQ legs (73531) and interstate Melbourne/Geelong legs (73533). Needs per-traveller split. Not in this batch (need current GL coding + per-traveller PK + hotel-to-hotel destination).</t>
  </si>
  <si>
    <t xml:space="preserve">Provide current GL coding, per-traveller PK, and trip destinations to split 73531 vs 73533.</t>
  </si>
  <si>
    <t xml:space="preserve">3 — CARRY-FORWARD OPEN ITEM</t>
  </si>
  <si>
    <t xml:space="preserve">WINC 73563</t>
  </si>
  <si>
    <t xml:space="preserve">inv 9901763737 / Feb-2026</t>
  </si>
  <si>
    <t xml:space="preserve">Hits GL in P9. PDF still absent from the pack, so no line-item classification possible. Flagged in prior findings, remains open.</t>
  </si>
  <si>
    <t xml:space="preserve">Obtain the PDF for inv 9901763737 to complete the WINC 73563 audit trail.</t>
  </si>
  <si>
    <t xml:space="preserve">4 — VERIFIED CLEAN</t>
  </si>
  <si>
    <t xml:space="preserve">GREEN</t>
  </si>
  <si>
    <t xml:space="preserve">Batch integrity</t>
  </si>
  <si>
    <t xml:space="preserve">All 5 streams</t>
  </si>
  <si>
    <t xml:space="preserve">Consolidated batch nets to $0.00. Each stream balances individually: WINC P1-P10, WINC Apr, 72111 Audit (minus J12), PCard Batch, Reali.</t>
  </si>
  <si>
    <t xml:space="preserve">Nil</t>
  </si>
  <si>
    <t xml:space="preserve">None.</t>
  </si>
  <si>
    <t xml:space="preserve">Source docs balance</t>
  </si>
  <si>
    <t xml:space="preserve">Doc45 / Doc46</t>
  </si>
  <si>
    <t xml:space="preserve">TechOne exports Doc File 1227681 (PCard) and 1226060 (72111 audit) both balance to $0.00 as extracted.</t>
  </si>
  <si>
    <t xml:space="preserve">Destination accounts</t>
  </si>
  <si>
    <t xml:space="preserve">All NAs</t>
  </si>
  <si>
    <t xml:space="preserve">Every destination natural account exists in the Chart of Accounts and is UNRESTRICTED (72111/72112/72113/72114/72222/72231/72248/72249/72311/72313/72315/73211/73220/73512/73513/73563/73564).</t>
  </si>
  <si>
    <t xml:space="preserve">PK / service map</t>
  </si>
  <si>
    <t xml:space="preserve">All PKs</t>
  </si>
  <si>
    <t xml:space="preserve">All PKs valid; narration service codes reconcile to the service-section map. Sub-PKs PK000445/PK000083/PK000493 not in the 101-row parent CSV but their services (20451/20392) are valid.</t>
  </si>
  <si>
    <t xml:space="preserve">April classification</t>
  </si>
  <si>
    <t xml:space="preserve">inv 9901782965</t>
  </si>
  <si>
    <t xml:space="preserve">39 Parks lines reconciled: $1,676.26 total = $1,187.61 miscoded + $488.65 correctly in 73563. Aggregate recode matches line detail exactly.</t>
  </si>
  <si>
    <t xml:space="preserve">Travel taxonomy</t>
  </si>
  <si>
    <t xml:space="preserve">73531-73541</t>
  </si>
  <si>
    <t xml:space="preserve">Confirmed: 73531 Local SEQ, 73532 Intrastate QLD, 73533 Interstate, 73534 Overseas, 73535 Tollway, 73541 Conferences (registration only). Gold Coast = SEQ.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</si>
</sst>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\$#,##0.00;[RED]&quot;($&quot;#,##0.00\);\-"/>
  </numFmts>
  <fonts count="2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Segoe UI"/>
      <family val="0"/>
      <charset val="1"/>
    </font>
    <font>
      <sz val="9"/>
      <color rgb="FFD9D9D9"/>
      <name val="Segoe UI"/>
      <family val="0"/>
      <charset val="1"/>
    </font>
    <font>
      <sz val="9"/>
      <color rgb="FFFFFFFF"/>
      <name val="Segoe UI"/>
      <family val="0"/>
      <charset val="1"/>
    </font>
    <font>
      <b val="true"/>
      <sz val="16"/>
      <color rgb="FF7C9CFF"/>
      <name val="Segoe UI"/>
      <family val="0"/>
      <charset val="1"/>
    </font>
    <font>
      <b val="true"/>
      <sz val="11"/>
      <color rgb="FFFFFFFF"/>
      <name val="Segoe UI"/>
      <family val="0"/>
      <charset val="1"/>
    </font>
    <font>
      <b val="true"/>
      <sz val="9"/>
      <color rgb="FFFFFFFF"/>
      <name val="Segoe UI"/>
      <family val="0"/>
      <charset val="1"/>
    </font>
    <font>
      <sz val="9"/>
      <color rgb="FF000000"/>
      <name val="Segoe UI"/>
      <family val="0"/>
      <charset val="1"/>
    </font>
    <font>
      <b val="true"/>
      <sz val="12"/>
      <color rgb="FFFFFFFF"/>
      <name val="Segoe UI"/>
      <family val="0"/>
      <charset val="1"/>
    </font>
    <font>
      <b val="true"/>
      <sz val="10"/>
      <color rgb="FFFFFFFF"/>
      <name val="Segoe UI"/>
      <family val="0"/>
      <charset val="1"/>
    </font>
    <font>
      <b val="true"/>
      <sz val="8"/>
      <color rgb="FF595959"/>
      <name val="Segoe UI"/>
      <family val="0"/>
      <charset val="1"/>
    </font>
    <font>
      <sz val="9"/>
      <color rgb="FFC00000"/>
      <name val="Segoe UI"/>
      <family val="0"/>
      <charset val="1"/>
    </font>
    <font>
      <sz val="8"/>
      <color rgb="FF000000"/>
      <name val="Segoe UI"/>
      <family val="0"/>
      <charset val="1"/>
    </font>
    <font>
      <b val="true"/>
      <sz val="8"/>
      <color rgb="FFC00000"/>
      <name val="Segoe UI"/>
      <family val="0"/>
      <charset val="1"/>
    </font>
    <font>
      <b val="true"/>
      <sz val="8"/>
      <color rgb="FF375623"/>
      <name val="Segoe UI"/>
      <family val="0"/>
      <charset val="1"/>
    </font>
    <font>
      <b val="true"/>
      <sz val="9"/>
      <color rgb="FFC00000"/>
      <name val="Segoe UI"/>
      <family val="0"/>
      <charset val="1"/>
    </font>
    <font>
      <b val="true"/>
      <sz val="9"/>
      <color rgb="FFC8783C"/>
      <name val="Segoe UI"/>
      <family val="0"/>
      <charset val="1"/>
    </font>
    <font>
      <b val="true"/>
      <sz val="9"/>
      <color rgb="FF375623"/>
      <name val="Segoe UI"/>
      <family val="0"/>
      <charset val="1"/>
    </font>
  </fonts>
  <fills count="16">
    <fill>
      <patternFill patternType="none"/>
    </fill>
    <fill>
      <patternFill patternType="gray125"/>
    </fill>
    <fill>
      <patternFill patternType="solid">
        <fgColor rgb="FF1A2236"/>
        <bgColor rgb="FF1F3864"/>
      </patternFill>
    </fill>
    <fill>
      <patternFill patternType="solid">
        <fgColor rgb="FF1F3864"/>
        <bgColor rgb="FF1A2236"/>
      </patternFill>
    </fill>
    <fill>
      <patternFill patternType="solid">
        <fgColor rgb="FF2F5597"/>
        <bgColor rgb="FF1F3864"/>
      </patternFill>
    </fill>
    <fill>
      <patternFill patternType="solid">
        <fgColor rgb="FFFFFFFF"/>
        <bgColor rgb="FFF4F6FA"/>
      </patternFill>
    </fill>
    <fill>
      <patternFill patternType="solid">
        <fgColor rgb="FFF4F6FA"/>
        <bgColor rgb="FFEAF1FB"/>
      </patternFill>
    </fill>
    <fill>
      <patternFill patternType="solid">
        <fgColor rgb="FFEAF1FB"/>
        <bgColor rgb="FFF4F6FA"/>
      </patternFill>
    </fill>
    <fill>
      <patternFill patternType="solid">
        <fgColor rgb="FFDCE8F8"/>
        <bgColor rgb="FFEDE7F6"/>
      </patternFill>
    </fill>
    <fill>
      <patternFill patternType="solid">
        <fgColor rgb="FFFBF0E4"/>
        <bgColor rgb="FFFFF2CC"/>
      </patternFill>
    </fill>
    <fill>
      <patternFill patternType="solid">
        <fgColor rgb="FFEDE7F6"/>
        <bgColor rgb="FFEAF1FB"/>
      </patternFill>
    </fill>
    <fill>
      <patternFill patternType="solid">
        <fgColor rgb="FFFFF2CC"/>
        <bgColor rgb="FFFBF0E4"/>
      </patternFill>
    </fill>
    <fill>
      <patternFill patternType="solid">
        <fgColor rgb="FFE2EFDA"/>
        <bgColor rgb="FFDCE8F8"/>
      </patternFill>
    </fill>
    <fill>
      <patternFill patternType="solid">
        <fgColor rgb="FFC8783C"/>
        <bgColor rgb="FFFF6600"/>
      </patternFill>
    </fill>
    <fill>
      <patternFill patternType="solid">
        <fgColor rgb="FF375623"/>
        <bgColor rgb="FF595959"/>
      </patternFill>
    </fill>
    <fill>
      <patternFill patternType="solid">
        <fgColor rgb="FFFFE0E0"/>
        <bgColor rgb="FFFBF0E4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0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0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0" fillId="5" borderId="1" xfId="0" applyFont="fals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0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0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0" fillId="6" borderId="1" xfId="0" applyFont="fals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4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5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10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3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4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5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10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3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14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3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4" fillId="9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5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10" fillId="9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3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0" fillId="1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5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14" fillId="1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2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8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1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10" fillId="11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6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1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10" fillId="1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7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2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1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9" fillId="1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1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9" fillId="1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8" fillId="1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1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1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10" fillId="1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9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1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0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1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EDE7F6"/>
      <rgbColor rgb="FF808080"/>
      <rgbColor rgb="FF7C9CFF"/>
      <rgbColor rgb="FF993366"/>
      <rgbColor rgb="FFFFF2CC"/>
      <rgbColor rgb="FFEAF1FB"/>
      <rgbColor rgb="FF660066"/>
      <rgbColor rgb="FFC8783C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CE8F8"/>
      <rgbColor rgb="FFE2EFDA"/>
      <rgbColor rgb="FFFBF0E4"/>
      <rgbColor rgb="FFF4F6FA"/>
      <rgbColor rgb="FFFF99CC"/>
      <rgbColor rgb="FFCC99FF"/>
      <rgbColor rgb="FFFFE0E0"/>
      <rgbColor rgb="FF3366FF"/>
      <rgbColor rgb="FF33CCCC"/>
      <rgbColor rgb="FF99CC00"/>
      <rgbColor rgb="FFFFCC00"/>
      <rgbColor rgb="FFFF9900"/>
      <rgbColor rgb="FFFF6600"/>
      <rgbColor rgb="FF595959"/>
      <rgbColor rgb="FFAAAAAA"/>
      <rgbColor rgb="FF1F3864"/>
      <rgbColor rgb="FF339966"/>
      <rgbColor rgb="FF003300"/>
      <rgbColor rgb="FF375623"/>
      <rgbColor rgb="FF993300"/>
      <rgbColor rgb="FF993366"/>
      <rgbColor rgb="FF2F5597"/>
      <rgbColor rgb="FF1A2236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8" min="1" style="0" width="15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5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4" customFormat="false" ht="18" hidden="false" customHeight="true" outlineLevel="0" collapsed="false">
      <c r="A4" s="3" t="s">
        <v>2</v>
      </c>
      <c r="B4" s="3"/>
      <c r="C4" s="3" t="s">
        <v>3</v>
      </c>
      <c r="D4" s="3"/>
      <c r="E4" s="3" t="s">
        <v>4</v>
      </c>
      <c r="F4" s="3"/>
      <c r="G4" s="3" t="s">
        <v>5</v>
      </c>
      <c r="H4" s="3"/>
    </row>
    <row r="5" customFormat="false" ht="33.75" hidden="false" customHeight="true" outlineLevel="0" collapsed="false">
      <c r="A5" s="4" t="n">
        <f aca="false">COUNTA('Consolidated Journal'!$A$5:$A$150)</f>
        <v>146</v>
      </c>
      <c r="B5" s="4"/>
      <c r="C5" s="5" t="n">
        <f aca="false">'Consolidated Journal'!G151</f>
        <v>0</v>
      </c>
      <c r="D5" s="5"/>
      <c r="E5" s="4" t="s">
        <v>6</v>
      </c>
      <c r="F5" s="4"/>
      <c r="G5" s="5" t="n">
        <f aca="false">SUMIF('Consolidated Journal'!$G$5:$G$150,"&gt;0")</f>
        <v>28802.17</v>
      </c>
      <c r="H5" s="5"/>
    </row>
    <row r="7" customFormat="false" ht="18" hidden="false" customHeight="true" outlineLevel="0" collapsed="false">
      <c r="A7" s="3" t="s">
        <v>7</v>
      </c>
      <c r="B7" s="3"/>
      <c r="C7" s="3" t="s">
        <v>8</v>
      </c>
      <c r="D7" s="3"/>
      <c r="E7" s="3" t="s">
        <v>9</v>
      </c>
      <c r="F7" s="3"/>
      <c r="G7" s="3" t="s">
        <v>10</v>
      </c>
      <c r="H7" s="3"/>
    </row>
    <row r="8" customFormat="false" ht="33.75" hidden="false" customHeight="true" outlineLevel="0" collapsed="false">
      <c r="A8" s="5" t="n">
        <f aca="false">SUMIF('Consolidated Journal'!$G$5:$G$150,"&lt;0")</f>
        <v>-28802.17</v>
      </c>
      <c r="B8" s="5"/>
      <c r="C8" s="5" t="n">
        <f aca="false">-SUMIF('Consolidated Journal'!$F$5:$F$150,"73563",'Consolidated Journal'!$G$5:$G$150)</f>
        <v>4908.42</v>
      </c>
      <c r="D8" s="5"/>
      <c r="E8" s="5" t="n">
        <f aca="false">-SUMIF('Consolidated Journal'!$F$5:$F$150,"72111",'Consolidated Journal'!$G$5:$G$150)</f>
        <v>21790.44</v>
      </c>
      <c r="F8" s="5"/>
      <c r="G8" s="4" t="s">
        <v>11</v>
      </c>
      <c r="H8" s="4"/>
    </row>
    <row r="12" customFormat="false" ht="19.5" hidden="false" customHeight="true" outlineLevel="0" collapsed="false">
      <c r="A12" s="6" t="s">
        <v>12</v>
      </c>
      <c r="B12" s="6"/>
      <c r="C12" s="6"/>
      <c r="D12" s="6"/>
      <c r="E12" s="6"/>
      <c r="F12" s="6"/>
      <c r="G12" s="6"/>
      <c r="H12" s="6"/>
    </row>
    <row r="13" customFormat="false" ht="15" hidden="false" customHeight="false" outlineLevel="0" collapsed="false">
      <c r="A13" s="7" t="s">
        <v>13</v>
      </c>
      <c r="B13" s="7" t="s">
        <v>14</v>
      </c>
      <c r="C13" s="7" t="s">
        <v>15</v>
      </c>
      <c r="D13" s="7" t="s">
        <v>16</v>
      </c>
      <c r="E13" s="7" t="s">
        <v>17</v>
      </c>
    </row>
    <row r="14" customFormat="false" ht="22.35" hidden="false" customHeight="false" outlineLevel="0" collapsed="false">
      <c r="A14" s="8" t="s">
        <v>18</v>
      </c>
      <c r="B14" s="9" t="n">
        <f aca="false">COUNTIF('Consolidated Journal'!$A$5:$A$150,A14)</f>
        <v>26</v>
      </c>
      <c r="C14" s="10" t="n">
        <f aca="false">SUMIFS('Consolidated Journal'!$G$5:$G$150,'Consolidated Journal'!$A$5:$A$150,A14,'Consolidated Journal'!$G$5:$G$150,"&gt;0")</f>
        <v>3852.64</v>
      </c>
      <c r="D14" s="10" t="n">
        <f aca="false">SUMIFS('Consolidated Journal'!$G$5:$G$150,'Consolidated Journal'!$A$5:$A$150,A14,'Consolidated Journal'!$G$5:$G$150,"&lt;0")</f>
        <v>-3852.64</v>
      </c>
      <c r="E14" s="11" t="n">
        <f aca="false">SUMIF('Consolidated Journal'!$A$5:$A$150,A14,'Consolidated Journal'!$G$5:$G$150)</f>
        <v>0</v>
      </c>
    </row>
    <row r="15" customFormat="false" ht="22.35" hidden="false" customHeight="false" outlineLevel="0" collapsed="false">
      <c r="A15" s="12" t="s">
        <v>19</v>
      </c>
      <c r="B15" s="13" t="n">
        <f aca="false">COUNTIF('Consolidated Journal'!$A$5:$A$150,A15)</f>
        <v>12</v>
      </c>
      <c r="C15" s="14" t="n">
        <f aca="false">SUMIFS('Consolidated Journal'!$G$5:$G$150,'Consolidated Journal'!$A$5:$A$150,A15,'Consolidated Journal'!$G$5:$G$150,"&gt;0")</f>
        <v>1187.61</v>
      </c>
      <c r="D15" s="14" t="n">
        <f aca="false">SUMIFS('Consolidated Journal'!$G$5:$G$150,'Consolidated Journal'!$A$5:$A$150,A15,'Consolidated Journal'!$G$5:$G$150,"&lt;0")</f>
        <v>-1187.61</v>
      </c>
      <c r="E15" s="15" t="n">
        <f aca="false">SUMIF('Consolidated Journal'!$A$5:$A$150,A15,'Consolidated Journal'!$G$5:$G$150)</f>
        <v>0</v>
      </c>
    </row>
    <row r="16" customFormat="false" ht="22.35" hidden="false" customHeight="false" outlineLevel="0" collapsed="false">
      <c r="A16" s="8" t="s">
        <v>20</v>
      </c>
      <c r="B16" s="9" t="n">
        <f aca="false">COUNTIF('Consolidated Journal'!$A$5:$A$150,A16)</f>
        <v>91</v>
      </c>
      <c r="C16" s="10" t="n">
        <f aca="false">SUMIFS('Consolidated Journal'!$G$5:$G$150,'Consolidated Journal'!$A$5:$A$150,A16,'Consolidated Journal'!$G$5:$G$150,"&gt;0")</f>
        <v>22028.13</v>
      </c>
      <c r="D16" s="10" t="n">
        <f aca="false">SUMIFS('Consolidated Journal'!$G$5:$G$150,'Consolidated Journal'!$A$5:$A$150,A16,'Consolidated Journal'!$G$5:$G$150,"&lt;0")</f>
        <v>-22028.13</v>
      </c>
      <c r="E16" s="11" t="n">
        <f aca="false">SUMIF('Consolidated Journal'!$A$5:$A$150,A16,'Consolidated Journal'!$G$5:$G$150)</f>
        <v>0</v>
      </c>
    </row>
    <row r="17" customFormat="false" ht="32.8" hidden="false" customHeight="false" outlineLevel="0" collapsed="false">
      <c r="A17" s="12" t="s">
        <v>21</v>
      </c>
      <c r="B17" s="13" t="n">
        <f aca="false">COUNTIF('Consolidated Journal'!$A$5:$A$150,A17)</f>
        <v>11</v>
      </c>
      <c r="C17" s="14" t="n">
        <f aca="false">SUMIFS('Consolidated Journal'!$G$5:$G$150,'Consolidated Journal'!$A$5:$A$150,A17,'Consolidated Journal'!$G$5:$G$150,"&gt;0")</f>
        <v>674.03</v>
      </c>
      <c r="D17" s="14" t="n">
        <f aca="false">SUMIFS('Consolidated Journal'!$G$5:$G$150,'Consolidated Journal'!$A$5:$A$150,A17,'Consolidated Journal'!$G$5:$G$150,"&lt;0")</f>
        <v>-674.03</v>
      </c>
      <c r="E17" s="15" t="n">
        <f aca="false">SUMIF('Consolidated Journal'!$A$5:$A$150,A17,'Consolidated Journal'!$G$5:$G$150)</f>
        <v>0</v>
      </c>
    </row>
    <row r="18" customFormat="false" ht="22.35" hidden="false" customHeight="false" outlineLevel="0" collapsed="false">
      <c r="A18" s="8" t="s">
        <v>22</v>
      </c>
      <c r="B18" s="9" t="n">
        <f aca="false">COUNTIF('Consolidated Journal'!$A$5:$A$150,A18)</f>
        <v>6</v>
      </c>
      <c r="C18" s="10" t="n">
        <f aca="false">SUMIFS('Consolidated Journal'!$G$5:$G$150,'Consolidated Journal'!$A$5:$A$150,A18,'Consolidated Journal'!$G$5:$G$150,"&gt;0")</f>
        <v>1059.76</v>
      </c>
      <c r="D18" s="10" t="n">
        <f aca="false">SUMIFS('Consolidated Journal'!$G$5:$G$150,'Consolidated Journal'!$A$5:$A$150,A18,'Consolidated Journal'!$G$5:$G$150,"&lt;0")</f>
        <v>-1059.76</v>
      </c>
      <c r="E18" s="11" t="n">
        <f aca="false">SUMIF('Consolidated Journal'!$A$5:$A$150,A18,'Consolidated Journal'!$G$5:$G$150)</f>
        <v>0</v>
      </c>
    </row>
    <row r="19" customFormat="false" ht="15" hidden="false" customHeight="false" outlineLevel="0" collapsed="false">
      <c r="A19" s="16" t="s">
        <v>23</v>
      </c>
      <c r="B19" s="17" t="n">
        <f aca="false">SUM(B14:B18)</f>
        <v>146</v>
      </c>
      <c r="C19" s="18" t="n">
        <f aca="false">SUM(C14:C18)</f>
        <v>28802.17</v>
      </c>
      <c r="D19" s="18" t="n">
        <f aca="false">SUM(D14:D18)</f>
        <v>-28802.17</v>
      </c>
      <c r="E19" s="18" t="n">
        <f aca="false">SUM(E14:E18)</f>
        <v>0</v>
      </c>
    </row>
    <row r="21" customFormat="false" ht="19.5" hidden="false" customHeight="true" outlineLevel="0" collapsed="false">
      <c r="A21" s="6" t="s">
        <v>24</v>
      </c>
      <c r="B21" s="6"/>
      <c r="C21" s="6"/>
      <c r="D21" s="6"/>
      <c r="E21" s="6"/>
      <c r="F21" s="6"/>
      <c r="G21" s="6"/>
      <c r="H21" s="6"/>
    </row>
    <row r="22" customFormat="false" ht="15" hidden="false" customHeight="false" outlineLevel="0" collapsed="false">
      <c r="A22" s="7" t="s">
        <v>25</v>
      </c>
      <c r="B22" s="7" t="s">
        <v>26</v>
      </c>
      <c r="C22" s="7" t="s">
        <v>27</v>
      </c>
    </row>
    <row r="23" customFormat="false" ht="22.35" hidden="false" customHeight="false" outlineLevel="0" collapsed="false">
      <c r="A23" s="19" t="s">
        <v>28</v>
      </c>
      <c r="B23" s="8" t="s">
        <v>29</v>
      </c>
      <c r="C23" s="11" t="n">
        <f aca="false">SUMIF('Consolidated Journal'!$F$5:$F$150,A23,'Consolidated Journal'!$G$5:$G$150)</f>
        <v>-21790.44</v>
      </c>
    </row>
    <row r="24" customFormat="false" ht="22.35" hidden="false" customHeight="false" outlineLevel="0" collapsed="false">
      <c r="A24" s="20" t="s">
        <v>30</v>
      </c>
      <c r="B24" s="12" t="s">
        <v>31</v>
      </c>
      <c r="C24" s="15" t="n">
        <f aca="false">SUMIF('Consolidated Journal'!$F$5:$F$150,A24,'Consolidated Journal'!$G$5:$G$150)</f>
        <v>1628.93</v>
      </c>
    </row>
    <row r="25" customFormat="false" ht="32.8" hidden="false" customHeight="false" outlineLevel="0" collapsed="false">
      <c r="A25" s="19" t="s">
        <v>32</v>
      </c>
      <c r="B25" s="8" t="s">
        <v>33</v>
      </c>
      <c r="C25" s="11" t="n">
        <f aca="false">SUMIF('Consolidated Journal'!$F$5:$F$150,A25,'Consolidated Journal'!$G$5:$G$150)</f>
        <v>5133.27</v>
      </c>
    </row>
    <row r="26" customFormat="false" ht="15" hidden="false" customHeight="false" outlineLevel="0" collapsed="false">
      <c r="A26" s="20" t="s">
        <v>34</v>
      </c>
      <c r="B26" s="12" t="s">
        <v>35</v>
      </c>
      <c r="C26" s="15" t="n">
        <f aca="false">SUMIF('Consolidated Journal'!$F$5:$F$150,A26,'Consolidated Journal'!$G$5:$G$150)</f>
        <v>0</v>
      </c>
    </row>
    <row r="27" customFormat="false" ht="15" hidden="false" customHeight="false" outlineLevel="0" collapsed="false">
      <c r="A27" s="19" t="s">
        <v>36</v>
      </c>
      <c r="B27" s="8" t="s">
        <v>37</v>
      </c>
      <c r="C27" s="11" t="n">
        <f aca="false">SUMIF('Consolidated Journal'!$F$5:$F$150,A27,'Consolidated Journal'!$G$5:$G$150)</f>
        <v>927</v>
      </c>
    </row>
    <row r="28" customFormat="false" ht="22.35" hidden="false" customHeight="false" outlineLevel="0" collapsed="false">
      <c r="A28" s="20" t="s">
        <v>38</v>
      </c>
      <c r="B28" s="12" t="s">
        <v>39</v>
      </c>
      <c r="C28" s="15" t="n">
        <f aca="false">SUMIF('Consolidated Journal'!$F$5:$F$150,A28,'Consolidated Journal'!$G$5:$G$150)</f>
        <v>1409.84</v>
      </c>
    </row>
    <row r="29" customFormat="false" ht="15" hidden="false" customHeight="false" outlineLevel="0" collapsed="false">
      <c r="A29" s="19" t="s">
        <v>40</v>
      </c>
      <c r="B29" s="8" t="s">
        <v>41</v>
      </c>
      <c r="C29" s="11" t="n">
        <f aca="false">SUMIF('Consolidated Journal'!$F$5:$F$150,A29,'Consolidated Journal'!$G$5:$G$150)</f>
        <v>1387.55</v>
      </c>
    </row>
    <row r="30" customFormat="false" ht="15" hidden="false" customHeight="false" outlineLevel="0" collapsed="false">
      <c r="A30" s="20" t="s">
        <v>42</v>
      </c>
      <c r="B30" s="12" t="s">
        <v>43</v>
      </c>
      <c r="C30" s="15" t="n">
        <f aca="false">SUMIF('Consolidated Journal'!$F$5:$F$150,A30,'Consolidated Journal'!$G$5:$G$150)</f>
        <v>2942.24</v>
      </c>
    </row>
    <row r="31" customFormat="false" ht="22.35" hidden="false" customHeight="false" outlineLevel="0" collapsed="false">
      <c r="A31" s="19" t="s">
        <v>44</v>
      </c>
      <c r="B31" s="8" t="s">
        <v>45</v>
      </c>
      <c r="C31" s="11" t="n">
        <f aca="false">SUMIF('Consolidated Journal'!$F$5:$F$150,A31,'Consolidated Journal'!$G$5:$G$150)</f>
        <v>4286.05</v>
      </c>
    </row>
    <row r="32" customFormat="false" ht="22.35" hidden="false" customHeight="false" outlineLevel="0" collapsed="false">
      <c r="A32" s="20" t="s">
        <v>46</v>
      </c>
      <c r="B32" s="12" t="s">
        <v>47</v>
      </c>
      <c r="C32" s="15" t="n">
        <f aca="false">SUMIF('Consolidated Journal'!$F$5:$F$150,A32,'Consolidated Journal'!$G$5:$G$150)</f>
        <v>452.7</v>
      </c>
    </row>
    <row r="33" customFormat="false" ht="15" hidden="false" customHeight="false" outlineLevel="0" collapsed="false">
      <c r="A33" s="19" t="s">
        <v>48</v>
      </c>
      <c r="B33" s="8" t="s">
        <v>49</v>
      </c>
      <c r="C33" s="11" t="n">
        <f aca="false">SUMIF('Consolidated Journal'!$F$5:$F$150,A33,'Consolidated Journal'!$G$5:$G$150)</f>
        <v>1250</v>
      </c>
    </row>
    <row r="34" customFormat="false" ht="15" hidden="false" customHeight="false" outlineLevel="0" collapsed="false">
      <c r="A34" s="20" t="s">
        <v>50</v>
      </c>
      <c r="B34" s="12" t="s">
        <v>51</v>
      </c>
      <c r="C34" s="15" t="n">
        <f aca="false">SUMIF('Consolidated Journal'!$F$5:$F$150,A34,'Consolidated Journal'!$G$5:$G$150)</f>
        <v>1707.25</v>
      </c>
    </row>
    <row r="35" customFormat="false" ht="15" hidden="false" customHeight="false" outlineLevel="0" collapsed="false">
      <c r="A35" s="19" t="s">
        <v>52</v>
      </c>
      <c r="B35" s="8" t="s">
        <v>53</v>
      </c>
      <c r="C35" s="11" t="n">
        <f aca="false">SUMIF('Consolidated Journal'!$F$5:$F$150,A35,'Consolidated Journal'!$G$5:$G$150)</f>
        <v>1383.29</v>
      </c>
    </row>
    <row r="36" customFormat="false" ht="32.8" hidden="false" customHeight="false" outlineLevel="0" collapsed="false">
      <c r="A36" s="20" t="s">
        <v>54</v>
      </c>
      <c r="B36" s="12" t="s">
        <v>55</v>
      </c>
      <c r="C36" s="15" t="n">
        <f aca="false">SUMIF('Consolidated Journal'!$F$5:$F$150,A36,'Consolidated Journal'!$G$5:$G$150)</f>
        <v>1740.63</v>
      </c>
    </row>
    <row r="37" customFormat="false" ht="32.8" hidden="false" customHeight="false" outlineLevel="0" collapsed="false">
      <c r="A37" s="19" t="s">
        <v>56</v>
      </c>
      <c r="B37" s="8" t="s">
        <v>57</v>
      </c>
      <c r="C37" s="11" t="n">
        <f aca="false">SUMIF('Consolidated Journal'!$F$5:$F$150,A37,'Consolidated Journal'!$G$5:$G$150)</f>
        <v>77.27</v>
      </c>
    </row>
    <row r="38" customFormat="false" ht="22.35" hidden="false" customHeight="false" outlineLevel="0" collapsed="false">
      <c r="A38" s="20" t="s">
        <v>58</v>
      </c>
      <c r="B38" s="12" t="s">
        <v>59</v>
      </c>
      <c r="C38" s="15" t="n">
        <f aca="false">SUMIF('Consolidated Journal'!$F$5:$F$150,A38,'Consolidated Journal'!$G$5:$G$150)</f>
        <v>-4908.42</v>
      </c>
    </row>
    <row r="39" customFormat="false" ht="22.35" hidden="false" customHeight="false" outlineLevel="0" collapsed="false">
      <c r="A39" s="19" t="s">
        <v>60</v>
      </c>
      <c r="B39" s="8" t="s">
        <v>61</v>
      </c>
      <c r="C39" s="11" t="n">
        <f aca="false">SUMIF('Consolidated Journal'!$F$5:$F$150,A39,'Consolidated Journal'!$G$5:$G$150)</f>
        <v>2372.84</v>
      </c>
    </row>
    <row r="40" customFormat="false" ht="15" hidden="false" customHeight="false" outlineLevel="0" collapsed="false">
      <c r="A40" s="21"/>
      <c r="B40" s="22" t="s">
        <v>62</v>
      </c>
      <c r="C40" s="18" t="n">
        <f aca="false">SUM(C23:C39)</f>
        <v>0</v>
      </c>
    </row>
    <row r="42" customFormat="false" ht="19.5" hidden="false" customHeight="true" outlineLevel="0" collapsed="false">
      <c r="A42" s="6" t="s">
        <v>63</v>
      </c>
      <c r="B42" s="6"/>
      <c r="C42" s="6"/>
      <c r="D42" s="6"/>
      <c r="E42" s="6"/>
      <c r="F42" s="6"/>
      <c r="G42" s="6"/>
      <c r="H42" s="6"/>
    </row>
    <row r="43" customFormat="false" ht="15" hidden="false" customHeight="false" outlineLevel="0" collapsed="false">
      <c r="A43" s="7" t="s">
        <v>64</v>
      </c>
      <c r="B43" s="7" t="s">
        <v>14</v>
      </c>
      <c r="C43" s="7" t="s">
        <v>27</v>
      </c>
    </row>
    <row r="44" customFormat="false" ht="15" hidden="false" customHeight="false" outlineLevel="0" collapsed="false">
      <c r="A44" s="19" t="s">
        <v>65</v>
      </c>
      <c r="B44" s="9" t="n">
        <f aca="false">COUNTIF('Consolidated Journal'!$C$5:$C$150,A44)</f>
        <v>36</v>
      </c>
      <c r="C44" s="11" t="n">
        <f aca="false">SUMIF('Consolidated Journal'!$C$5:$C$150,A44,'Consolidated Journal'!$G$5:$G$150)</f>
        <v>-1059.76</v>
      </c>
    </row>
    <row r="45" customFormat="false" ht="15" hidden="false" customHeight="false" outlineLevel="0" collapsed="false">
      <c r="A45" s="20" t="s">
        <v>66</v>
      </c>
      <c r="B45" s="13" t="n">
        <f aca="false">COUNTIF('Consolidated Journal'!$C$5:$C$150,A45)</f>
        <v>5</v>
      </c>
      <c r="C45" s="15" t="n">
        <f aca="false">SUMIF('Consolidated Journal'!$C$5:$C$150,A45,'Consolidated Journal'!$G$5:$G$150)</f>
        <v>45.29</v>
      </c>
    </row>
    <row r="46" customFormat="false" ht="15" hidden="false" customHeight="false" outlineLevel="0" collapsed="false">
      <c r="A46" s="19" t="s">
        <v>67</v>
      </c>
      <c r="B46" s="9" t="n">
        <f aca="false">COUNTIF('Consolidated Journal'!$C$5:$C$150,A46)</f>
        <v>33</v>
      </c>
      <c r="C46" s="11" t="n">
        <f aca="false">SUMIF('Consolidated Journal'!$C$5:$C$150,A46,'Consolidated Journal'!$G$5:$G$150)</f>
        <v>102.78</v>
      </c>
    </row>
    <row r="47" customFormat="false" ht="15" hidden="false" customHeight="false" outlineLevel="0" collapsed="false">
      <c r="A47" s="20" t="s">
        <v>68</v>
      </c>
      <c r="B47" s="13" t="n">
        <f aca="false">COUNTIF('Consolidated Journal'!$C$5:$C$150,A47)</f>
        <v>2</v>
      </c>
      <c r="C47" s="15" t="n">
        <f aca="false">SUMIF('Consolidated Journal'!$C$5:$C$150,A47,'Consolidated Journal'!$G$5:$G$150)</f>
        <v>0</v>
      </c>
    </row>
    <row r="48" customFormat="false" ht="15" hidden="false" customHeight="false" outlineLevel="0" collapsed="false">
      <c r="A48" s="19" t="s">
        <v>69</v>
      </c>
      <c r="B48" s="9" t="n">
        <f aca="false">COUNTIF('Consolidated Journal'!$C$5:$C$150,A48)</f>
        <v>2</v>
      </c>
      <c r="C48" s="11" t="n">
        <f aca="false">SUMIF('Consolidated Journal'!$C$5:$C$150,A48,'Consolidated Journal'!$G$5:$G$150)</f>
        <v>0</v>
      </c>
    </row>
    <row r="49" customFormat="false" ht="15" hidden="false" customHeight="false" outlineLevel="0" collapsed="false">
      <c r="A49" s="20" t="s">
        <v>70</v>
      </c>
      <c r="B49" s="13" t="n">
        <f aca="false">COUNTIF('Consolidated Journal'!$C$5:$C$150,A49)</f>
        <v>2</v>
      </c>
      <c r="C49" s="15" t="n">
        <f aca="false">SUMIF('Consolidated Journal'!$C$5:$C$150,A49,'Consolidated Journal'!$G$5:$G$150)</f>
        <v>0</v>
      </c>
    </row>
    <row r="50" customFormat="false" ht="15" hidden="false" customHeight="false" outlineLevel="0" collapsed="false">
      <c r="A50" s="19" t="s">
        <v>71</v>
      </c>
      <c r="B50" s="9" t="n">
        <f aca="false">COUNTIF('Consolidated Journal'!$C$5:$C$150,A50)</f>
        <v>18</v>
      </c>
      <c r="C50" s="11" t="n">
        <f aca="false">SUMIF('Consolidated Journal'!$C$5:$C$150,A50,'Consolidated Journal'!$G$5:$G$150)</f>
        <v>0</v>
      </c>
    </row>
    <row r="51" customFormat="false" ht="15" hidden="false" customHeight="false" outlineLevel="0" collapsed="false">
      <c r="A51" s="20" t="s">
        <v>72</v>
      </c>
      <c r="B51" s="13" t="n">
        <f aca="false">COUNTIF('Consolidated Journal'!$C$5:$C$150,A51)</f>
        <v>2</v>
      </c>
      <c r="C51" s="15" t="n">
        <f aca="false">SUMIF('Consolidated Journal'!$C$5:$C$150,A51,'Consolidated Journal'!$G$5:$G$150)</f>
        <v>0</v>
      </c>
    </row>
    <row r="52" customFormat="false" ht="15" hidden="false" customHeight="false" outlineLevel="0" collapsed="false">
      <c r="A52" s="19" t="s">
        <v>73</v>
      </c>
      <c r="B52" s="9" t="n">
        <f aca="false">COUNTIF('Consolidated Journal'!$C$5:$C$150,A52)</f>
        <v>2</v>
      </c>
      <c r="C52" s="11" t="n">
        <f aca="false">SUMIF('Consolidated Journal'!$C$5:$C$150,A52,'Consolidated Journal'!$G$5:$G$150)</f>
        <v>0</v>
      </c>
    </row>
    <row r="53" customFormat="false" ht="15" hidden="false" customHeight="false" outlineLevel="0" collapsed="false">
      <c r="A53" s="20" t="s">
        <v>74</v>
      </c>
      <c r="B53" s="13" t="n">
        <f aca="false">COUNTIF('Consolidated Journal'!$C$5:$C$150,A53)</f>
        <v>6</v>
      </c>
      <c r="C53" s="15" t="n">
        <f aca="false">SUMIF('Consolidated Journal'!$C$5:$C$150,A53,'Consolidated Journal'!$G$5:$G$150)</f>
        <v>0</v>
      </c>
    </row>
    <row r="54" customFormat="false" ht="15" hidden="false" customHeight="false" outlineLevel="0" collapsed="false">
      <c r="A54" s="19" t="s">
        <v>75</v>
      </c>
      <c r="B54" s="9" t="n">
        <f aca="false">COUNTIF('Consolidated Journal'!$C$5:$C$150,A54)</f>
        <v>5</v>
      </c>
      <c r="C54" s="11" t="n">
        <f aca="false">SUMIF('Consolidated Journal'!$C$5:$C$150,A54,'Consolidated Journal'!$G$5:$G$150)</f>
        <v>0</v>
      </c>
    </row>
    <row r="55" customFormat="false" ht="15" hidden="false" customHeight="false" outlineLevel="0" collapsed="false">
      <c r="A55" s="20" t="s">
        <v>76</v>
      </c>
      <c r="B55" s="13" t="n">
        <f aca="false">COUNTIF('Consolidated Journal'!$C$5:$C$150,A55)</f>
        <v>18</v>
      </c>
      <c r="C55" s="15" t="n">
        <f aca="false">SUMIF('Consolidated Journal'!$C$5:$C$150,A55,'Consolidated Journal'!$G$5:$G$150)</f>
        <v>0</v>
      </c>
    </row>
    <row r="56" customFormat="false" ht="15" hidden="false" customHeight="false" outlineLevel="0" collapsed="false">
      <c r="A56" s="19" t="s">
        <v>77</v>
      </c>
      <c r="B56" s="9" t="n">
        <f aca="false">COUNTIF('Consolidated Journal'!$C$5:$C$150,A56)</f>
        <v>1</v>
      </c>
      <c r="C56" s="11" t="n">
        <f aca="false">SUMIF('Consolidated Journal'!$C$5:$C$150,A56,'Consolidated Journal'!$G$5:$G$150)</f>
        <v>92.72</v>
      </c>
    </row>
    <row r="57" customFormat="false" ht="15" hidden="false" customHeight="false" outlineLevel="0" collapsed="false">
      <c r="A57" s="20" t="s">
        <v>78</v>
      </c>
      <c r="B57" s="13" t="n">
        <f aca="false">COUNTIF('Consolidated Journal'!$C$5:$C$150,A57)</f>
        <v>1</v>
      </c>
      <c r="C57" s="15" t="n">
        <f aca="false">SUMIF('Consolidated Journal'!$C$5:$C$150,A57,'Consolidated Journal'!$G$5:$G$150)</f>
        <v>229.34</v>
      </c>
    </row>
    <row r="58" customFormat="false" ht="15" hidden="false" customHeight="false" outlineLevel="0" collapsed="false">
      <c r="A58" s="19" t="s">
        <v>79</v>
      </c>
      <c r="B58" s="9" t="n">
        <f aca="false">COUNTIF('Consolidated Journal'!$C$5:$C$150,A58)</f>
        <v>3</v>
      </c>
      <c r="C58" s="11" t="n">
        <f aca="false">SUMIF('Consolidated Journal'!$C$5:$C$150,A58,'Consolidated Journal'!$G$5:$G$150)</f>
        <v>589.63</v>
      </c>
    </row>
    <row r="59" customFormat="false" ht="15" hidden="false" customHeight="false" outlineLevel="0" collapsed="false">
      <c r="A59" s="20" t="s">
        <v>80</v>
      </c>
      <c r="B59" s="13" t="n">
        <f aca="false">COUNTIF('Consolidated Journal'!$C$5:$C$150,A59)</f>
        <v>2</v>
      </c>
      <c r="C59" s="15" t="n">
        <f aca="false">SUMIF('Consolidated Journal'!$C$5:$C$150,A59,'Consolidated Journal'!$G$5:$G$150)</f>
        <v>0</v>
      </c>
    </row>
    <row r="60" customFormat="false" ht="15" hidden="false" customHeight="false" outlineLevel="0" collapsed="false">
      <c r="A60" s="19" t="s">
        <v>81</v>
      </c>
      <c r="B60" s="9" t="n">
        <f aca="false">COUNTIF('Consolidated Journal'!$C$5:$C$150,A60)</f>
        <v>2</v>
      </c>
      <c r="C60" s="11" t="n">
        <f aca="false">SUMIF('Consolidated Journal'!$C$5:$C$150,A60,'Consolidated Journal'!$G$5:$G$150)</f>
        <v>0</v>
      </c>
    </row>
    <row r="61" customFormat="false" ht="15" hidden="false" customHeight="false" outlineLevel="0" collapsed="false">
      <c r="A61" s="20" t="s">
        <v>82</v>
      </c>
      <c r="B61" s="13" t="n">
        <f aca="false">COUNTIF('Consolidated Journal'!$C$5:$C$150,A61)</f>
        <v>6</v>
      </c>
      <c r="C61" s="15" t="n">
        <f aca="false">SUMIF('Consolidated Journal'!$C$5:$C$150,A61,'Consolidated Journal'!$G$5:$G$150)</f>
        <v>0</v>
      </c>
    </row>
    <row r="62" customFormat="false" ht="15" hidden="false" customHeight="false" outlineLevel="0" collapsed="false">
      <c r="A62" s="16" t="s">
        <v>23</v>
      </c>
      <c r="B62" s="17" t="n">
        <f aca="false">SUM(B44:B61)</f>
        <v>146</v>
      </c>
      <c r="C62" s="18" t="n">
        <f aca="false">SUM(C44:C61)</f>
        <v>0</v>
      </c>
    </row>
  </sheetData>
  <mergeCells count="21">
    <mergeCell ref="A1:H1"/>
    <mergeCell ref="A2:H2"/>
    <mergeCell ref="A4:B4"/>
    <mergeCell ref="C4:D4"/>
    <mergeCell ref="E4:F4"/>
    <mergeCell ref="G4:H4"/>
    <mergeCell ref="A5:B5"/>
    <mergeCell ref="C5:D5"/>
    <mergeCell ref="E5:F5"/>
    <mergeCell ref="G5:H5"/>
    <mergeCell ref="A7:B7"/>
    <mergeCell ref="C7:D7"/>
    <mergeCell ref="E7:F7"/>
    <mergeCell ref="G7:H7"/>
    <mergeCell ref="A8:B8"/>
    <mergeCell ref="C8:D8"/>
    <mergeCell ref="E8:F8"/>
    <mergeCell ref="G8:H8"/>
    <mergeCell ref="A12:H12"/>
    <mergeCell ref="A21:H21"/>
    <mergeCell ref="A42:H4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5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5"/>
    <col collapsed="false" customWidth="true" hidden="false" outlineLevel="0" max="5" min="3" style="0" width="13"/>
    <col collapsed="false" customWidth="true" hidden="false" outlineLevel="0" max="6" min="6" style="0" width="12"/>
    <col collapsed="false" customWidth="true" hidden="false" outlineLevel="0" max="7" min="7" style="0" width="13"/>
    <col collapsed="false" customWidth="true" hidden="false" outlineLevel="0" max="10" min="8" style="0" width="30"/>
  </cols>
  <sheetData>
    <row r="1" customFormat="false" ht="25.5" hidden="false" customHeight="true" outlineLevel="0" collapsed="false">
      <c r="A1" s="23" t="s">
        <v>83</v>
      </c>
      <c r="B1" s="23"/>
      <c r="C1" s="23"/>
      <c r="D1" s="23"/>
      <c r="E1" s="23"/>
      <c r="F1" s="23"/>
      <c r="G1" s="23"/>
      <c r="H1" s="23"/>
      <c r="I1" s="23"/>
      <c r="J1" s="23"/>
    </row>
    <row r="2" customFormat="false" ht="15.75" hidden="false" customHeight="true" outlineLevel="0" collapsed="false">
      <c r="A2" s="2" t="s">
        <v>84</v>
      </c>
      <c r="B2" s="2"/>
      <c r="C2" s="2"/>
      <c r="D2" s="2"/>
      <c r="E2" s="2"/>
      <c r="F2" s="2"/>
      <c r="G2" s="2"/>
      <c r="H2" s="2"/>
      <c r="I2" s="2"/>
      <c r="J2" s="2"/>
    </row>
    <row r="4" customFormat="false" ht="23.85" hidden="false" customHeight="false" outlineLevel="0" collapsed="false">
      <c r="A4" s="24" t="s">
        <v>85</v>
      </c>
      <c r="B4" s="24" t="s">
        <v>86</v>
      </c>
      <c r="C4" s="24" t="s">
        <v>87</v>
      </c>
      <c r="D4" s="24" t="s">
        <v>88</v>
      </c>
      <c r="E4" s="24" t="s">
        <v>89</v>
      </c>
      <c r="F4" s="24" t="s">
        <v>90</v>
      </c>
      <c r="G4" s="24" t="s">
        <v>91</v>
      </c>
      <c r="H4" s="24" t="s">
        <v>92</v>
      </c>
      <c r="I4" s="24" t="s">
        <v>93</v>
      </c>
      <c r="J4" s="24" t="s">
        <v>94</v>
      </c>
    </row>
    <row r="5" customFormat="false" ht="15" hidden="false" customHeight="false" outlineLevel="0" collapsed="false">
      <c r="A5" s="25" t="s">
        <v>18</v>
      </c>
      <c r="B5" s="26" t="s">
        <v>64</v>
      </c>
      <c r="C5" s="26" t="s">
        <v>65</v>
      </c>
      <c r="D5" s="26" t="s">
        <v>65</v>
      </c>
      <c r="E5" s="26" t="s">
        <v>95</v>
      </c>
      <c r="F5" s="26" t="s">
        <v>58</v>
      </c>
      <c r="G5" s="27" t="n">
        <v>-498.61</v>
      </c>
      <c r="H5" s="28" t="s">
        <v>96</v>
      </c>
      <c r="I5" s="28" t="s">
        <v>97</v>
      </c>
      <c r="J5" s="28" t="s">
        <v>98</v>
      </c>
    </row>
    <row r="6" customFormat="false" ht="15" hidden="false" customHeight="false" outlineLevel="0" collapsed="false">
      <c r="A6" s="25" t="s">
        <v>18</v>
      </c>
      <c r="B6" s="26" t="s">
        <v>64</v>
      </c>
      <c r="C6" s="26" t="s">
        <v>65</v>
      </c>
      <c r="D6" s="26" t="s">
        <v>65</v>
      </c>
      <c r="E6" s="26" t="s">
        <v>95</v>
      </c>
      <c r="F6" s="26" t="s">
        <v>28</v>
      </c>
      <c r="G6" s="29" t="n">
        <v>498.61</v>
      </c>
      <c r="H6" s="28" t="s">
        <v>96</v>
      </c>
      <c r="I6" s="28" t="s">
        <v>97</v>
      </c>
      <c r="J6" s="28" t="s">
        <v>98</v>
      </c>
    </row>
    <row r="7" customFormat="false" ht="15" hidden="false" customHeight="false" outlineLevel="0" collapsed="false">
      <c r="A7" s="25" t="s">
        <v>18</v>
      </c>
      <c r="B7" s="26" t="s">
        <v>64</v>
      </c>
      <c r="C7" s="26" t="s">
        <v>65</v>
      </c>
      <c r="D7" s="26" t="s">
        <v>65</v>
      </c>
      <c r="E7" s="26" t="s">
        <v>95</v>
      </c>
      <c r="F7" s="26" t="s">
        <v>58</v>
      </c>
      <c r="G7" s="27" t="n">
        <v>-36.62</v>
      </c>
      <c r="H7" s="28" t="s">
        <v>96</v>
      </c>
      <c r="I7" s="28" t="s">
        <v>97</v>
      </c>
      <c r="J7" s="28" t="s">
        <v>98</v>
      </c>
    </row>
    <row r="8" customFormat="false" ht="15" hidden="false" customHeight="false" outlineLevel="0" collapsed="false">
      <c r="A8" s="25" t="s">
        <v>18</v>
      </c>
      <c r="B8" s="26" t="s">
        <v>64</v>
      </c>
      <c r="C8" s="26" t="s">
        <v>65</v>
      </c>
      <c r="D8" s="26" t="s">
        <v>65</v>
      </c>
      <c r="E8" s="26" t="s">
        <v>95</v>
      </c>
      <c r="F8" s="26" t="s">
        <v>28</v>
      </c>
      <c r="G8" s="29" t="n">
        <v>36.62</v>
      </c>
      <c r="H8" s="28" t="s">
        <v>96</v>
      </c>
      <c r="I8" s="28" t="s">
        <v>97</v>
      </c>
      <c r="J8" s="28" t="s">
        <v>98</v>
      </c>
    </row>
    <row r="9" customFormat="false" ht="15" hidden="false" customHeight="false" outlineLevel="0" collapsed="false">
      <c r="A9" s="25" t="s">
        <v>18</v>
      </c>
      <c r="B9" s="26" t="s">
        <v>64</v>
      </c>
      <c r="C9" s="26" t="s">
        <v>65</v>
      </c>
      <c r="D9" s="26" t="s">
        <v>65</v>
      </c>
      <c r="E9" s="26" t="s">
        <v>95</v>
      </c>
      <c r="F9" s="26" t="s">
        <v>58</v>
      </c>
      <c r="G9" s="27" t="n">
        <v>-58.58</v>
      </c>
      <c r="H9" s="28" t="s">
        <v>96</v>
      </c>
      <c r="I9" s="28" t="s">
        <v>97</v>
      </c>
      <c r="J9" s="28" t="s">
        <v>98</v>
      </c>
    </row>
    <row r="10" customFormat="false" ht="15" hidden="false" customHeight="false" outlineLevel="0" collapsed="false">
      <c r="A10" s="25" t="s">
        <v>18</v>
      </c>
      <c r="B10" s="26" t="s">
        <v>64</v>
      </c>
      <c r="C10" s="26" t="s">
        <v>65</v>
      </c>
      <c r="D10" s="26" t="s">
        <v>65</v>
      </c>
      <c r="E10" s="26" t="s">
        <v>95</v>
      </c>
      <c r="F10" s="26" t="s">
        <v>28</v>
      </c>
      <c r="G10" s="29" t="n">
        <v>58.58</v>
      </c>
      <c r="H10" s="28" t="s">
        <v>96</v>
      </c>
      <c r="I10" s="28" t="s">
        <v>97</v>
      </c>
      <c r="J10" s="28" t="s">
        <v>98</v>
      </c>
    </row>
    <row r="11" customFormat="false" ht="15" hidden="false" customHeight="false" outlineLevel="0" collapsed="false">
      <c r="A11" s="25" t="s">
        <v>18</v>
      </c>
      <c r="B11" s="26" t="s">
        <v>64</v>
      </c>
      <c r="C11" s="26" t="s">
        <v>65</v>
      </c>
      <c r="D11" s="26" t="s">
        <v>65</v>
      </c>
      <c r="E11" s="26" t="s">
        <v>95</v>
      </c>
      <c r="F11" s="26" t="s">
        <v>58</v>
      </c>
      <c r="G11" s="27" t="n">
        <v>-15.56</v>
      </c>
      <c r="H11" s="28" t="s">
        <v>99</v>
      </c>
      <c r="I11" s="28" t="s">
        <v>100</v>
      </c>
      <c r="J11" s="28" t="s">
        <v>101</v>
      </c>
    </row>
    <row r="12" customFormat="false" ht="15" hidden="false" customHeight="false" outlineLevel="0" collapsed="false">
      <c r="A12" s="25" t="s">
        <v>18</v>
      </c>
      <c r="B12" s="26" t="s">
        <v>64</v>
      </c>
      <c r="C12" s="26" t="s">
        <v>65</v>
      </c>
      <c r="D12" s="26" t="s">
        <v>65</v>
      </c>
      <c r="E12" s="26" t="s">
        <v>95</v>
      </c>
      <c r="F12" s="26" t="s">
        <v>30</v>
      </c>
      <c r="G12" s="29" t="n">
        <v>15.56</v>
      </c>
      <c r="H12" s="28" t="s">
        <v>99</v>
      </c>
      <c r="I12" s="28" t="s">
        <v>100</v>
      </c>
      <c r="J12" s="28" t="s">
        <v>101</v>
      </c>
    </row>
    <row r="13" customFormat="false" ht="15" hidden="false" customHeight="false" outlineLevel="0" collapsed="false">
      <c r="A13" s="25" t="s">
        <v>18</v>
      </c>
      <c r="B13" s="26" t="s">
        <v>64</v>
      </c>
      <c r="C13" s="26" t="s">
        <v>65</v>
      </c>
      <c r="D13" s="26" t="s">
        <v>65</v>
      </c>
      <c r="E13" s="26" t="s">
        <v>95</v>
      </c>
      <c r="F13" s="26" t="s">
        <v>58</v>
      </c>
      <c r="G13" s="29" t="n">
        <v>23.57</v>
      </c>
      <c r="H13" s="28" t="s">
        <v>102</v>
      </c>
      <c r="I13" s="28" t="s">
        <v>103</v>
      </c>
      <c r="J13" s="28" t="s">
        <v>104</v>
      </c>
    </row>
    <row r="14" customFormat="false" ht="15" hidden="false" customHeight="false" outlineLevel="0" collapsed="false">
      <c r="A14" s="25" t="s">
        <v>18</v>
      </c>
      <c r="B14" s="26" t="s">
        <v>64</v>
      </c>
      <c r="C14" s="26" t="s">
        <v>65</v>
      </c>
      <c r="D14" s="26" t="s">
        <v>65</v>
      </c>
      <c r="E14" s="26" t="s">
        <v>95</v>
      </c>
      <c r="F14" s="26" t="s">
        <v>32</v>
      </c>
      <c r="G14" s="27" t="n">
        <v>-23.57</v>
      </c>
      <c r="H14" s="28" t="s">
        <v>102</v>
      </c>
      <c r="I14" s="28" t="s">
        <v>103</v>
      </c>
      <c r="J14" s="28" t="s">
        <v>104</v>
      </c>
    </row>
    <row r="15" customFormat="false" ht="15" hidden="false" customHeight="false" outlineLevel="0" collapsed="false">
      <c r="A15" s="25" t="s">
        <v>18</v>
      </c>
      <c r="B15" s="26" t="s">
        <v>64</v>
      </c>
      <c r="C15" s="26" t="s">
        <v>65</v>
      </c>
      <c r="D15" s="26" t="s">
        <v>65</v>
      </c>
      <c r="E15" s="26" t="s">
        <v>95</v>
      </c>
      <c r="F15" s="26" t="s">
        <v>58</v>
      </c>
      <c r="G15" s="27" t="n">
        <v>-1305.86</v>
      </c>
      <c r="H15" s="28" t="s">
        <v>105</v>
      </c>
      <c r="I15" s="28" t="s">
        <v>106</v>
      </c>
      <c r="J15" s="28" t="s">
        <v>107</v>
      </c>
    </row>
    <row r="16" customFormat="false" ht="15" hidden="false" customHeight="false" outlineLevel="0" collapsed="false">
      <c r="A16" s="25" t="s">
        <v>18</v>
      </c>
      <c r="B16" s="26" t="s">
        <v>64</v>
      </c>
      <c r="C16" s="26" t="s">
        <v>65</v>
      </c>
      <c r="D16" s="26" t="s">
        <v>65</v>
      </c>
      <c r="E16" s="26" t="s">
        <v>95</v>
      </c>
      <c r="F16" s="26" t="s">
        <v>54</v>
      </c>
      <c r="G16" s="29" t="n">
        <v>1305.86</v>
      </c>
      <c r="H16" s="28" t="s">
        <v>105</v>
      </c>
      <c r="I16" s="28" t="s">
        <v>106</v>
      </c>
      <c r="J16" s="28" t="s">
        <v>107</v>
      </c>
    </row>
    <row r="17" customFormat="false" ht="15" hidden="false" customHeight="false" outlineLevel="0" collapsed="false">
      <c r="A17" s="25" t="s">
        <v>18</v>
      </c>
      <c r="B17" s="26" t="s">
        <v>64</v>
      </c>
      <c r="C17" s="26" t="s">
        <v>65</v>
      </c>
      <c r="D17" s="26" t="s">
        <v>65</v>
      </c>
      <c r="E17" s="26" t="s">
        <v>95</v>
      </c>
      <c r="F17" s="26" t="s">
        <v>58</v>
      </c>
      <c r="G17" s="27" t="n">
        <v>-1375.15</v>
      </c>
      <c r="H17" s="28" t="s">
        <v>108</v>
      </c>
      <c r="I17" s="28" t="s">
        <v>109</v>
      </c>
      <c r="J17" s="28" t="s">
        <v>110</v>
      </c>
    </row>
    <row r="18" customFormat="false" ht="15" hidden="false" customHeight="false" outlineLevel="0" collapsed="false">
      <c r="A18" s="25" t="s">
        <v>18</v>
      </c>
      <c r="B18" s="26" t="s">
        <v>64</v>
      </c>
      <c r="C18" s="26" t="s">
        <v>65</v>
      </c>
      <c r="D18" s="26" t="s">
        <v>65</v>
      </c>
      <c r="E18" s="26" t="s">
        <v>95</v>
      </c>
      <c r="F18" s="26" t="s">
        <v>60</v>
      </c>
      <c r="G18" s="29" t="n">
        <v>1375.15</v>
      </c>
      <c r="H18" s="28" t="s">
        <v>108</v>
      </c>
      <c r="I18" s="28" t="s">
        <v>109</v>
      </c>
      <c r="J18" s="28" t="s">
        <v>110</v>
      </c>
    </row>
    <row r="19" customFormat="false" ht="15" hidden="false" customHeight="false" outlineLevel="0" collapsed="false">
      <c r="A19" s="25" t="s">
        <v>18</v>
      </c>
      <c r="B19" s="26" t="s">
        <v>64</v>
      </c>
      <c r="C19" s="26" t="s">
        <v>76</v>
      </c>
      <c r="D19" s="26" t="s">
        <v>76</v>
      </c>
      <c r="E19" s="26" t="s">
        <v>95</v>
      </c>
      <c r="F19" s="26" t="s">
        <v>58</v>
      </c>
      <c r="G19" s="27" t="n">
        <v>-98.36</v>
      </c>
      <c r="H19" s="28" t="s">
        <v>96</v>
      </c>
      <c r="I19" s="28" t="s">
        <v>97</v>
      </c>
      <c r="J19" s="28" t="s">
        <v>98</v>
      </c>
    </row>
    <row r="20" customFormat="false" ht="15" hidden="false" customHeight="false" outlineLevel="0" collapsed="false">
      <c r="A20" s="25" t="s">
        <v>18</v>
      </c>
      <c r="B20" s="26" t="s">
        <v>64</v>
      </c>
      <c r="C20" s="26" t="s">
        <v>76</v>
      </c>
      <c r="D20" s="26" t="s">
        <v>76</v>
      </c>
      <c r="E20" s="26" t="s">
        <v>95</v>
      </c>
      <c r="F20" s="26" t="s">
        <v>28</v>
      </c>
      <c r="G20" s="29" t="n">
        <v>98.36</v>
      </c>
      <c r="H20" s="28" t="s">
        <v>96</v>
      </c>
      <c r="I20" s="28" t="s">
        <v>97</v>
      </c>
      <c r="J20" s="28" t="s">
        <v>98</v>
      </c>
    </row>
    <row r="21" customFormat="false" ht="15" hidden="false" customHeight="false" outlineLevel="0" collapsed="false">
      <c r="A21" s="25" t="s">
        <v>18</v>
      </c>
      <c r="B21" s="26" t="s">
        <v>64</v>
      </c>
      <c r="C21" s="26" t="s">
        <v>76</v>
      </c>
      <c r="D21" s="26" t="s">
        <v>76</v>
      </c>
      <c r="E21" s="26" t="s">
        <v>95</v>
      </c>
      <c r="F21" s="26" t="s">
        <v>58</v>
      </c>
      <c r="G21" s="27" t="n">
        <v>-25.6</v>
      </c>
      <c r="H21" s="28" t="s">
        <v>96</v>
      </c>
      <c r="I21" s="28" t="s">
        <v>97</v>
      </c>
      <c r="J21" s="28" t="s">
        <v>98</v>
      </c>
    </row>
    <row r="22" customFormat="false" ht="15" hidden="false" customHeight="false" outlineLevel="0" collapsed="false">
      <c r="A22" s="25" t="s">
        <v>18</v>
      </c>
      <c r="B22" s="26" t="s">
        <v>64</v>
      </c>
      <c r="C22" s="26" t="s">
        <v>76</v>
      </c>
      <c r="D22" s="26" t="s">
        <v>76</v>
      </c>
      <c r="E22" s="26" t="s">
        <v>95</v>
      </c>
      <c r="F22" s="26" t="s">
        <v>28</v>
      </c>
      <c r="G22" s="29" t="n">
        <v>25.6</v>
      </c>
      <c r="H22" s="28" t="s">
        <v>96</v>
      </c>
      <c r="I22" s="28" t="s">
        <v>97</v>
      </c>
      <c r="J22" s="28" t="s">
        <v>98</v>
      </c>
    </row>
    <row r="23" customFormat="false" ht="15" hidden="false" customHeight="false" outlineLevel="0" collapsed="false">
      <c r="A23" s="25" t="s">
        <v>18</v>
      </c>
      <c r="B23" s="26" t="s">
        <v>64</v>
      </c>
      <c r="C23" s="26" t="s">
        <v>76</v>
      </c>
      <c r="D23" s="26" t="s">
        <v>76</v>
      </c>
      <c r="E23" s="26" t="s">
        <v>95</v>
      </c>
      <c r="F23" s="26" t="s">
        <v>58</v>
      </c>
      <c r="G23" s="27" t="n">
        <v>-36.82</v>
      </c>
      <c r="H23" s="28" t="s">
        <v>96</v>
      </c>
      <c r="I23" s="28" t="s">
        <v>97</v>
      </c>
      <c r="J23" s="28" t="s">
        <v>98</v>
      </c>
    </row>
    <row r="24" customFormat="false" ht="15" hidden="false" customHeight="false" outlineLevel="0" collapsed="false">
      <c r="A24" s="25" t="s">
        <v>18</v>
      </c>
      <c r="B24" s="26" t="s">
        <v>64</v>
      </c>
      <c r="C24" s="26" t="s">
        <v>76</v>
      </c>
      <c r="D24" s="26" t="s">
        <v>76</v>
      </c>
      <c r="E24" s="26" t="s">
        <v>95</v>
      </c>
      <c r="F24" s="26" t="s">
        <v>28</v>
      </c>
      <c r="G24" s="29" t="n">
        <v>36.82</v>
      </c>
      <c r="H24" s="28" t="s">
        <v>96</v>
      </c>
      <c r="I24" s="28" t="s">
        <v>97</v>
      </c>
      <c r="J24" s="28" t="s">
        <v>98</v>
      </c>
    </row>
    <row r="25" customFormat="false" ht="15" hidden="false" customHeight="false" outlineLevel="0" collapsed="false">
      <c r="A25" s="25" t="s">
        <v>18</v>
      </c>
      <c r="B25" s="26" t="s">
        <v>64</v>
      </c>
      <c r="C25" s="26" t="s">
        <v>76</v>
      </c>
      <c r="D25" s="26" t="s">
        <v>76</v>
      </c>
      <c r="E25" s="26" t="s">
        <v>95</v>
      </c>
      <c r="F25" s="26" t="s">
        <v>58</v>
      </c>
      <c r="G25" s="27" t="n">
        <v>-7.75</v>
      </c>
      <c r="H25" s="28" t="s">
        <v>102</v>
      </c>
      <c r="I25" s="28" t="s">
        <v>103</v>
      </c>
      <c r="J25" s="28" t="s">
        <v>104</v>
      </c>
    </row>
    <row r="26" customFormat="false" ht="15" hidden="false" customHeight="false" outlineLevel="0" collapsed="false">
      <c r="A26" s="25" t="s">
        <v>18</v>
      </c>
      <c r="B26" s="26" t="s">
        <v>64</v>
      </c>
      <c r="C26" s="26" t="s">
        <v>76</v>
      </c>
      <c r="D26" s="26" t="s">
        <v>76</v>
      </c>
      <c r="E26" s="26" t="s">
        <v>95</v>
      </c>
      <c r="F26" s="26" t="s">
        <v>32</v>
      </c>
      <c r="G26" s="29" t="n">
        <v>7.75</v>
      </c>
      <c r="H26" s="28" t="s">
        <v>102</v>
      </c>
      <c r="I26" s="28" t="s">
        <v>103</v>
      </c>
      <c r="J26" s="28" t="s">
        <v>104</v>
      </c>
    </row>
    <row r="27" customFormat="false" ht="15" hidden="false" customHeight="false" outlineLevel="0" collapsed="false">
      <c r="A27" s="25" t="s">
        <v>18</v>
      </c>
      <c r="B27" s="26" t="s">
        <v>64</v>
      </c>
      <c r="C27" s="26" t="s">
        <v>76</v>
      </c>
      <c r="D27" s="26" t="s">
        <v>76</v>
      </c>
      <c r="E27" s="26" t="s">
        <v>95</v>
      </c>
      <c r="F27" s="26" t="s">
        <v>58</v>
      </c>
      <c r="G27" s="27" t="n">
        <v>-13</v>
      </c>
      <c r="H27" s="28" t="s">
        <v>105</v>
      </c>
      <c r="I27" s="28" t="s">
        <v>106</v>
      </c>
      <c r="J27" s="28" t="s">
        <v>107</v>
      </c>
    </row>
    <row r="28" customFormat="false" ht="15" hidden="false" customHeight="false" outlineLevel="0" collapsed="false">
      <c r="A28" s="25" t="s">
        <v>18</v>
      </c>
      <c r="B28" s="26" t="s">
        <v>64</v>
      </c>
      <c r="C28" s="26" t="s">
        <v>76</v>
      </c>
      <c r="D28" s="26" t="s">
        <v>76</v>
      </c>
      <c r="E28" s="26" t="s">
        <v>95</v>
      </c>
      <c r="F28" s="26" t="s">
        <v>54</v>
      </c>
      <c r="G28" s="29" t="n">
        <v>13</v>
      </c>
      <c r="H28" s="28" t="s">
        <v>105</v>
      </c>
      <c r="I28" s="28" t="s">
        <v>106</v>
      </c>
      <c r="J28" s="28" t="s">
        <v>107</v>
      </c>
    </row>
    <row r="29" customFormat="false" ht="15" hidden="false" customHeight="false" outlineLevel="0" collapsed="false">
      <c r="A29" s="25" t="s">
        <v>18</v>
      </c>
      <c r="B29" s="26" t="s">
        <v>64</v>
      </c>
      <c r="C29" s="26" t="s">
        <v>76</v>
      </c>
      <c r="D29" s="26" t="s">
        <v>76</v>
      </c>
      <c r="E29" s="26" t="s">
        <v>95</v>
      </c>
      <c r="F29" s="26" t="s">
        <v>58</v>
      </c>
      <c r="G29" s="27" t="n">
        <v>-357.16</v>
      </c>
      <c r="H29" s="28" t="s">
        <v>108</v>
      </c>
      <c r="I29" s="28" t="s">
        <v>109</v>
      </c>
      <c r="J29" s="28" t="s">
        <v>110</v>
      </c>
    </row>
    <row r="30" customFormat="false" ht="15" hidden="false" customHeight="false" outlineLevel="0" collapsed="false">
      <c r="A30" s="25" t="s">
        <v>18</v>
      </c>
      <c r="B30" s="26" t="s">
        <v>64</v>
      </c>
      <c r="C30" s="26" t="s">
        <v>76</v>
      </c>
      <c r="D30" s="26" t="s">
        <v>76</v>
      </c>
      <c r="E30" s="26" t="s">
        <v>95</v>
      </c>
      <c r="F30" s="26" t="s">
        <v>60</v>
      </c>
      <c r="G30" s="29" t="n">
        <v>357.16</v>
      </c>
      <c r="H30" s="28" t="s">
        <v>108</v>
      </c>
      <c r="I30" s="28" t="s">
        <v>109</v>
      </c>
      <c r="J30" s="28" t="s">
        <v>110</v>
      </c>
    </row>
    <row r="31" customFormat="false" ht="15" hidden="false" customHeight="false" outlineLevel="0" collapsed="false">
      <c r="A31" s="30" t="s">
        <v>19</v>
      </c>
      <c r="B31" s="31" t="s">
        <v>64</v>
      </c>
      <c r="C31" s="31" t="s">
        <v>65</v>
      </c>
      <c r="D31" s="31" t="s">
        <v>65</v>
      </c>
      <c r="E31" s="31" t="s">
        <v>95</v>
      </c>
      <c r="F31" s="31" t="s">
        <v>58</v>
      </c>
      <c r="G31" s="32" t="n">
        <v>-107.07</v>
      </c>
      <c r="H31" s="33" t="s">
        <v>111</v>
      </c>
      <c r="I31" s="33" t="s">
        <v>112</v>
      </c>
      <c r="J31" s="33" t="s">
        <v>98</v>
      </c>
    </row>
    <row r="32" customFormat="false" ht="15" hidden="false" customHeight="false" outlineLevel="0" collapsed="false">
      <c r="A32" s="30" t="s">
        <v>19</v>
      </c>
      <c r="B32" s="31" t="s">
        <v>64</v>
      </c>
      <c r="C32" s="31" t="s">
        <v>65</v>
      </c>
      <c r="D32" s="31" t="s">
        <v>65</v>
      </c>
      <c r="E32" s="31" t="s">
        <v>95</v>
      </c>
      <c r="F32" s="31" t="s">
        <v>28</v>
      </c>
      <c r="G32" s="34" t="n">
        <v>107.07</v>
      </c>
      <c r="H32" s="33" t="s">
        <v>111</v>
      </c>
      <c r="I32" s="33" t="s">
        <v>112</v>
      </c>
      <c r="J32" s="33" t="s">
        <v>98</v>
      </c>
    </row>
    <row r="33" customFormat="false" ht="15" hidden="false" customHeight="false" outlineLevel="0" collapsed="false">
      <c r="A33" s="30" t="s">
        <v>19</v>
      </c>
      <c r="B33" s="31" t="s">
        <v>64</v>
      </c>
      <c r="C33" s="31" t="s">
        <v>65</v>
      </c>
      <c r="D33" s="31" t="s">
        <v>65</v>
      </c>
      <c r="E33" s="31" t="s">
        <v>95</v>
      </c>
      <c r="F33" s="31" t="s">
        <v>58</v>
      </c>
      <c r="G33" s="32" t="n">
        <v>-402.07</v>
      </c>
      <c r="H33" s="33" t="s">
        <v>113</v>
      </c>
      <c r="I33" s="33" t="s">
        <v>114</v>
      </c>
      <c r="J33" s="33" t="s">
        <v>107</v>
      </c>
    </row>
    <row r="34" customFormat="false" ht="15" hidden="false" customHeight="false" outlineLevel="0" collapsed="false">
      <c r="A34" s="30" t="s">
        <v>19</v>
      </c>
      <c r="B34" s="31" t="s">
        <v>64</v>
      </c>
      <c r="C34" s="31" t="s">
        <v>65</v>
      </c>
      <c r="D34" s="31" t="s">
        <v>65</v>
      </c>
      <c r="E34" s="31" t="s">
        <v>95</v>
      </c>
      <c r="F34" s="31" t="s">
        <v>54</v>
      </c>
      <c r="G34" s="34" t="n">
        <v>402.07</v>
      </c>
      <c r="H34" s="33" t="s">
        <v>113</v>
      </c>
      <c r="I34" s="33" t="s">
        <v>114</v>
      </c>
      <c r="J34" s="33" t="s">
        <v>107</v>
      </c>
    </row>
    <row r="35" customFormat="false" ht="15" hidden="false" customHeight="false" outlineLevel="0" collapsed="false">
      <c r="A35" s="30" t="s">
        <v>19</v>
      </c>
      <c r="B35" s="31" t="s">
        <v>64</v>
      </c>
      <c r="C35" s="31" t="s">
        <v>65</v>
      </c>
      <c r="D35" s="31" t="s">
        <v>65</v>
      </c>
      <c r="E35" s="31" t="s">
        <v>95</v>
      </c>
      <c r="F35" s="31" t="s">
        <v>58</v>
      </c>
      <c r="G35" s="32" t="n">
        <v>-507.51</v>
      </c>
      <c r="H35" s="33" t="s">
        <v>115</v>
      </c>
      <c r="I35" s="33" t="s">
        <v>116</v>
      </c>
      <c r="J35" s="33" t="s">
        <v>117</v>
      </c>
    </row>
    <row r="36" customFormat="false" ht="15" hidden="false" customHeight="false" outlineLevel="0" collapsed="false">
      <c r="A36" s="30" t="s">
        <v>19</v>
      </c>
      <c r="B36" s="31" t="s">
        <v>64</v>
      </c>
      <c r="C36" s="31" t="s">
        <v>65</v>
      </c>
      <c r="D36" s="31" t="s">
        <v>65</v>
      </c>
      <c r="E36" s="31" t="s">
        <v>95</v>
      </c>
      <c r="F36" s="31" t="s">
        <v>60</v>
      </c>
      <c r="G36" s="34" t="n">
        <v>507.51</v>
      </c>
      <c r="H36" s="33" t="s">
        <v>115</v>
      </c>
      <c r="I36" s="33" t="s">
        <v>116</v>
      </c>
      <c r="J36" s="33" t="s">
        <v>117</v>
      </c>
    </row>
    <row r="37" customFormat="false" ht="15" hidden="false" customHeight="false" outlineLevel="0" collapsed="false">
      <c r="A37" s="30" t="s">
        <v>19</v>
      </c>
      <c r="B37" s="31" t="s">
        <v>64</v>
      </c>
      <c r="C37" s="31" t="s">
        <v>76</v>
      </c>
      <c r="D37" s="31" t="s">
        <v>76</v>
      </c>
      <c r="E37" s="31" t="s">
        <v>95</v>
      </c>
      <c r="F37" s="31" t="s">
        <v>58</v>
      </c>
      <c r="G37" s="32" t="n">
        <v>-50.06</v>
      </c>
      <c r="H37" s="33" t="s">
        <v>111</v>
      </c>
      <c r="I37" s="33" t="s">
        <v>112</v>
      </c>
      <c r="J37" s="33" t="s">
        <v>98</v>
      </c>
    </row>
    <row r="38" customFormat="false" ht="15" hidden="false" customHeight="false" outlineLevel="0" collapsed="false">
      <c r="A38" s="30" t="s">
        <v>19</v>
      </c>
      <c r="B38" s="31" t="s">
        <v>64</v>
      </c>
      <c r="C38" s="31" t="s">
        <v>76</v>
      </c>
      <c r="D38" s="31" t="s">
        <v>76</v>
      </c>
      <c r="E38" s="31" t="s">
        <v>95</v>
      </c>
      <c r="F38" s="31" t="s">
        <v>28</v>
      </c>
      <c r="G38" s="34" t="n">
        <v>50.06</v>
      </c>
      <c r="H38" s="33" t="s">
        <v>111</v>
      </c>
      <c r="I38" s="33" t="s">
        <v>112</v>
      </c>
      <c r="J38" s="33" t="s">
        <v>98</v>
      </c>
    </row>
    <row r="39" customFormat="false" ht="15" hidden="false" customHeight="false" outlineLevel="0" collapsed="false">
      <c r="A39" s="30" t="s">
        <v>19</v>
      </c>
      <c r="B39" s="31" t="s">
        <v>64</v>
      </c>
      <c r="C39" s="31" t="s">
        <v>76</v>
      </c>
      <c r="D39" s="31" t="s">
        <v>76</v>
      </c>
      <c r="E39" s="31" t="s">
        <v>95</v>
      </c>
      <c r="F39" s="31" t="s">
        <v>58</v>
      </c>
      <c r="G39" s="32" t="n">
        <v>-19.7</v>
      </c>
      <c r="H39" s="33" t="s">
        <v>113</v>
      </c>
      <c r="I39" s="33" t="s">
        <v>114</v>
      </c>
      <c r="J39" s="33" t="s">
        <v>107</v>
      </c>
    </row>
    <row r="40" customFormat="false" ht="15" hidden="false" customHeight="false" outlineLevel="0" collapsed="false">
      <c r="A40" s="30" t="s">
        <v>19</v>
      </c>
      <c r="B40" s="31" t="s">
        <v>64</v>
      </c>
      <c r="C40" s="31" t="s">
        <v>76</v>
      </c>
      <c r="D40" s="31" t="s">
        <v>76</v>
      </c>
      <c r="E40" s="31" t="s">
        <v>95</v>
      </c>
      <c r="F40" s="31" t="s">
        <v>54</v>
      </c>
      <c r="G40" s="34" t="n">
        <v>19.7</v>
      </c>
      <c r="H40" s="33" t="s">
        <v>113</v>
      </c>
      <c r="I40" s="33" t="s">
        <v>114</v>
      </c>
      <c r="J40" s="33" t="s">
        <v>107</v>
      </c>
    </row>
    <row r="41" customFormat="false" ht="15" hidden="false" customHeight="false" outlineLevel="0" collapsed="false">
      <c r="A41" s="30" t="s">
        <v>19</v>
      </c>
      <c r="B41" s="31" t="s">
        <v>64</v>
      </c>
      <c r="C41" s="31" t="s">
        <v>76</v>
      </c>
      <c r="D41" s="31" t="s">
        <v>76</v>
      </c>
      <c r="E41" s="31" t="s">
        <v>95</v>
      </c>
      <c r="F41" s="31" t="s">
        <v>58</v>
      </c>
      <c r="G41" s="32" t="n">
        <v>-101.2</v>
      </c>
      <c r="H41" s="33" t="s">
        <v>115</v>
      </c>
      <c r="I41" s="33" t="s">
        <v>116</v>
      </c>
      <c r="J41" s="33" t="s">
        <v>117</v>
      </c>
    </row>
    <row r="42" customFormat="false" ht="15" hidden="false" customHeight="false" outlineLevel="0" collapsed="false">
      <c r="A42" s="30" t="s">
        <v>19</v>
      </c>
      <c r="B42" s="31" t="s">
        <v>64</v>
      </c>
      <c r="C42" s="31" t="s">
        <v>76</v>
      </c>
      <c r="D42" s="31" t="s">
        <v>76</v>
      </c>
      <c r="E42" s="31" t="s">
        <v>95</v>
      </c>
      <c r="F42" s="31" t="s">
        <v>60</v>
      </c>
      <c r="G42" s="34" t="n">
        <v>101.2</v>
      </c>
      <c r="H42" s="33" t="s">
        <v>115</v>
      </c>
      <c r="I42" s="33" t="s">
        <v>116</v>
      </c>
      <c r="J42" s="33" t="s">
        <v>117</v>
      </c>
    </row>
    <row r="43" customFormat="false" ht="15" hidden="false" customHeight="false" outlineLevel="0" collapsed="false">
      <c r="A43" s="35" t="s">
        <v>20</v>
      </c>
      <c r="B43" s="20" t="s">
        <v>64</v>
      </c>
      <c r="C43" s="20" t="s">
        <v>71</v>
      </c>
      <c r="D43" s="20" t="s">
        <v>71</v>
      </c>
      <c r="E43" s="20" t="s">
        <v>95</v>
      </c>
      <c r="F43" s="20" t="s">
        <v>32</v>
      </c>
      <c r="G43" s="14" t="n">
        <v>2377.35</v>
      </c>
      <c r="H43" s="36" t="s">
        <v>118</v>
      </c>
      <c r="I43" s="36" t="s">
        <v>119</v>
      </c>
      <c r="J43" s="36" t="s">
        <v>120</v>
      </c>
    </row>
    <row r="44" customFormat="false" ht="15" hidden="false" customHeight="false" outlineLevel="0" collapsed="false">
      <c r="A44" s="35" t="s">
        <v>20</v>
      </c>
      <c r="B44" s="20" t="s">
        <v>64</v>
      </c>
      <c r="C44" s="20" t="s">
        <v>71</v>
      </c>
      <c r="D44" s="20" t="s">
        <v>71</v>
      </c>
      <c r="E44" s="20" t="s">
        <v>95</v>
      </c>
      <c r="F44" s="20" t="s">
        <v>28</v>
      </c>
      <c r="G44" s="37" t="n">
        <v>-2377.35</v>
      </c>
      <c r="H44" s="36" t="s">
        <v>118</v>
      </c>
      <c r="I44" s="36" t="s">
        <v>119</v>
      </c>
      <c r="J44" s="36" t="s">
        <v>121</v>
      </c>
    </row>
    <row r="45" customFormat="false" ht="20.85" hidden="false" customHeight="false" outlineLevel="0" collapsed="false">
      <c r="A45" s="35" t="s">
        <v>20</v>
      </c>
      <c r="B45" s="20" t="s">
        <v>64</v>
      </c>
      <c r="C45" s="20" t="s">
        <v>71</v>
      </c>
      <c r="D45" s="20" t="s">
        <v>71</v>
      </c>
      <c r="E45" s="20" t="s">
        <v>95</v>
      </c>
      <c r="F45" s="20" t="s">
        <v>52</v>
      </c>
      <c r="G45" s="14" t="n">
        <v>1383.29</v>
      </c>
      <c r="H45" s="36" t="s">
        <v>122</v>
      </c>
      <c r="I45" s="36" t="s">
        <v>123</v>
      </c>
      <c r="J45" s="36" t="s">
        <v>124</v>
      </c>
    </row>
    <row r="46" customFormat="false" ht="20.85" hidden="false" customHeight="false" outlineLevel="0" collapsed="false">
      <c r="A46" s="35" t="s">
        <v>20</v>
      </c>
      <c r="B46" s="20" t="s">
        <v>64</v>
      </c>
      <c r="C46" s="20" t="s">
        <v>71</v>
      </c>
      <c r="D46" s="20" t="s">
        <v>71</v>
      </c>
      <c r="E46" s="20" t="s">
        <v>95</v>
      </c>
      <c r="F46" s="20" t="s">
        <v>28</v>
      </c>
      <c r="G46" s="37" t="n">
        <v>-1383.29</v>
      </c>
      <c r="H46" s="36" t="s">
        <v>122</v>
      </c>
      <c r="I46" s="36" t="s">
        <v>123</v>
      </c>
      <c r="J46" s="36" t="s">
        <v>121</v>
      </c>
    </row>
    <row r="47" customFormat="false" ht="20.85" hidden="false" customHeight="false" outlineLevel="0" collapsed="false">
      <c r="A47" s="35" t="s">
        <v>20</v>
      </c>
      <c r="B47" s="20" t="s">
        <v>64</v>
      </c>
      <c r="C47" s="20" t="s">
        <v>71</v>
      </c>
      <c r="D47" s="20" t="s">
        <v>71</v>
      </c>
      <c r="E47" s="20" t="s">
        <v>95</v>
      </c>
      <c r="F47" s="20" t="s">
        <v>50</v>
      </c>
      <c r="G47" s="14" t="n">
        <v>696.1</v>
      </c>
      <c r="H47" s="36" t="s">
        <v>125</v>
      </c>
      <c r="I47" s="36" t="s">
        <v>126</v>
      </c>
      <c r="J47" s="36" t="s">
        <v>127</v>
      </c>
    </row>
    <row r="48" customFormat="false" ht="15" hidden="false" customHeight="false" outlineLevel="0" collapsed="false">
      <c r="A48" s="35" t="s">
        <v>20</v>
      </c>
      <c r="B48" s="20" t="s">
        <v>64</v>
      </c>
      <c r="C48" s="20" t="s">
        <v>71</v>
      </c>
      <c r="D48" s="20" t="s">
        <v>71</v>
      </c>
      <c r="E48" s="20" t="s">
        <v>95</v>
      </c>
      <c r="F48" s="20" t="s">
        <v>28</v>
      </c>
      <c r="G48" s="37" t="n">
        <v>-696.1</v>
      </c>
      <c r="H48" s="36" t="s">
        <v>125</v>
      </c>
      <c r="I48" s="36" t="s">
        <v>126</v>
      </c>
      <c r="J48" s="36" t="s">
        <v>121</v>
      </c>
    </row>
    <row r="49" customFormat="false" ht="20.85" hidden="false" customHeight="false" outlineLevel="0" collapsed="false">
      <c r="A49" s="35" t="s">
        <v>20</v>
      </c>
      <c r="B49" s="20" t="s">
        <v>64</v>
      </c>
      <c r="C49" s="20" t="s">
        <v>71</v>
      </c>
      <c r="D49" s="20" t="s">
        <v>71</v>
      </c>
      <c r="E49" s="20" t="s">
        <v>95</v>
      </c>
      <c r="F49" s="20" t="s">
        <v>50</v>
      </c>
      <c r="G49" s="14" t="n">
        <v>560.85</v>
      </c>
      <c r="H49" s="36" t="s">
        <v>128</v>
      </c>
      <c r="I49" s="36" t="s">
        <v>129</v>
      </c>
      <c r="J49" s="36" t="s">
        <v>127</v>
      </c>
    </row>
    <row r="50" customFormat="false" ht="15" hidden="false" customHeight="false" outlineLevel="0" collapsed="false">
      <c r="A50" s="35" t="s">
        <v>20</v>
      </c>
      <c r="B50" s="20" t="s">
        <v>64</v>
      </c>
      <c r="C50" s="20" t="s">
        <v>71</v>
      </c>
      <c r="D50" s="20" t="s">
        <v>71</v>
      </c>
      <c r="E50" s="20" t="s">
        <v>95</v>
      </c>
      <c r="F50" s="20" t="s">
        <v>28</v>
      </c>
      <c r="G50" s="37" t="n">
        <v>-560.85</v>
      </c>
      <c r="H50" s="36" t="s">
        <v>128</v>
      </c>
      <c r="I50" s="36" t="s">
        <v>129</v>
      </c>
      <c r="J50" s="36" t="s">
        <v>121</v>
      </c>
    </row>
    <row r="51" customFormat="false" ht="20.85" hidden="false" customHeight="false" outlineLevel="0" collapsed="false">
      <c r="A51" s="35" t="s">
        <v>20</v>
      </c>
      <c r="B51" s="20" t="s">
        <v>64</v>
      </c>
      <c r="C51" s="20" t="s">
        <v>71</v>
      </c>
      <c r="D51" s="20" t="s">
        <v>71</v>
      </c>
      <c r="E51" s="20" t="s">
        <v>95</v>
      </c>
      <c r="F51" s="20" t="s">
        <v>50</v>
      </c>
      <c r="G51" s="14" t="n">
        <v>450.3</v>
      </c>
      <c r="H51" s="36" t="s">
        <v>130</v>
      </c>
      <c r="I51" s="36" t="s">
        <v>131</v>
      </c>
      <c r="J51" s="36" t="s">
        <v>127</v>
      </c>
    </row>
    <row r="52" customFormat="false" ht="15" hidden="false" customHeight="false" outlineLevel="0" collapsed="false">
      <c r="A52" s="35" t="s">
        <v>20</v>
      </c>
      <c r="B52" s="20" t="s">
        <v>64</v>
      </c>
      <c r="C52" s="20" t="s">
        <v>71</v>
      </c>
      <c r="D52" s="20" t="s">
        <v>71</v>
      </c>
      <c r="E52" s="20" t="s">
        <v>95</v>
      </c>
      <c r="F52" s="20" t="s">
        <v>28</v>
      </c>
      <c r="G52" s="37" t="n">
        <v>-450.3</v>
      </c>
      <c r="H52" s="36" t="s">
        <v>130</v>
      </c>
      <c r="I52" s="36" t="s">
        <v>131</v>
      </c>
      <c r="J52" s="36" t="s">
        <v>121</v>
      </c>
    </row>
    <row r="53" customFormat="false" ht="15" hidden="false" customHeight="false" outlineLevel="0" collapsed="false">
      <c r="A53" s="35" t="s">
        <v>20</v>
      </c>
      <c r="B53" s="20" t="s">
        <v>64</v>
      </c>
      <c r="C53" s="20" t="s">
        <v>72</v>
      </c>
      <c r="D53" s="20" t="s">
        <v>72</v>
      </c>
      <c r="E53" s="20" t="s">
        <v>95</v>
      </c>
      <c r="F53" s="20" t="s">
        <v>32</v>
      </c>
      <c r="G53" s="14" t="n">
        <v>200</v>
      </c>
      <c r="H53" s="36" t="s">
        <v>132</v>
      </c>
      <c r="I53" s="36" t="s">
        <v>133</v>
      </c>
      <c r="J53" s="36" t="s">
        <v>134</v>
      </c>
    </row>
    <row r="54" customFormat="false" ht="15" hidden="false" customHeight="false" outlineLevel="0" collapsed="false">
      <c r="A54" s="35" t="s">
        <v>20</v>
      </c>
      <c r="B54" s="20" t="s">
        <v>64</v>
      </c>
      <c r="C54" s="20" t="s">
        <v>72</v>
      </c>
      <c r="D54" s="20" t="s">
        <v>72</v>
      </c>
      <c r="E54" s="20" t="s">
        <v>95</v>
      </c>
      <c r="F54" s="20" t="s">
        <v>28</v>
      </c>
      <c r="G54" s="37" t="n">
        <v>-200</v>
      </c>
      <c r="H54" s="36" t="s">
        <v>132</v>
      </c>
      <c r="I54" s="36" t="s">
        <v>133</v>
      </c>
      <c r="J54" s="36" t="s">
        <v>121</v>
      </c>
    </row>
    <row r="55" customFormat="false" ht="15" hidden="false" customHeight="false" outlineLevel="0" collapsed="false">
      <c r="A55" s="35" t="s">
        <v>20</v>
      </c>
      <c r="B55" s="20" t="s">
        <v>64</v>
      </c>
      <c r="C55" s="20" t="s">
        <v>82</v>
      </c>
      <c r="D55" s="20" t="s">
        <v>82</v>
      </c>
      <c r="E55" s="20" t="s">
        <v>95</v>
      </c>
      <c r="F55" s="20" t="s">
        <v>32</v>
      </c>
      <c r="G55" s="14" t="n">
        <v>369</v>
      </c>
      <c r="H55" s="36" t="s">
        <v>135</v>
      </c>
      <c r="I55" s="36" t="s">
        <v>136</v>
      </c>
      <c r="J55" s="36" t="s">
        <v>134</v>
      </c>
    </row>
    <row r="56" customFormat="false" ht="15" hidden="false" customHeight="false" outlineLevel="0" collapsed="false">
      <c r="A56" s="35" t="s">
        <v>20</v>
      </c>
      <c r="B56" s="20" t="s">
        <v>64</v>
      </c>
      <c r="C56" s="20" t="s">
        <v>82</v>
      </c>
      <c r="D56" s="20" t="s">
        <v>82</v>
      </c>
      <c r="E56" s="20" t="s">
        <v>95</v>
      </c>
      <c r="F56" s="20" t="s">
        <v>28</v>
      </c>
      <c r="G56" s="37" t="n">
        <v>-369</v>
      </c>
      <c r="H56" s="36" t="s">
        <v>135</v>
      </c>
      <c r="I56" s="36" t="s">
        <v>136</v>
      </c>
      <c r="J56" s="36" t="s">
        <v>121</v>
      </c>
    </row>
    <row r="57" customFormat="false" ht="20.85" hidden="false" customHeight="false" outlineLevel="0" collapsed="false">
      <c r="A57" s="35" t="s">
        <v>20</v>
      </c>
      <c r="B57" s="20" t="s">
        <v>64</v>
      </c>
      <c r="C57" s="20" t="s">
        <v>71</v>
      </c>
      <c r="D57" s="20" t="s">
        <v>71</v>
      </c>
      <c r="E57" s="20" t="s">
        <v>95</v>
      </c>
      <c r="F57" s="20" t="s">
        <v>32</v>
      </c>
      <c r="G57" s="14" t="n">
        <v>307.35</v>
      </c>
      <c r="H57" s="36" t="s">
        <v>137</v>
      </c>
      <c r="I57" s="36" t="s">
        <v>138</v>
      </c>
      <c r="J57" s="36" t="s">
        <v>139</v>
      </c>
    </row>
    <row r="58" customFormat="false" ht="15" hidden="false" customHeight="false" outlineLevel="0" collapsed="false">
      <c r="A58" s="35" t="s">
        <v>20</v>
      </c>
      <c r="B58" s="20" t="s">
        <v>64</v>
      </c>
      <c r="C58" s="20" t="s">
        <v>71</v>
      </c>
      <c r="D58" s="20" t="s">
        <v>71</v>
      </c>
      <c r="E58" s="20" t="s">
        <v>95</v>
      </c>
      <c r="F58" s="20" t="s">
        <v>28</v>
      </c>
      <c r="G58" s="37" t="n">
        <v>-307.35</v>
      </c>
      <c r="H58" s="36" t="s">
        <v>137</v>
      </c>
      <c r="I58" s="36" t="s">
        <v>138</v>
      </c>
      <c r="J58" s="36" t="s">
        <v>121</v>
      </c>
    </row>
    <row r="59" customFormat="false" ht="20.85" hidden="false" customHeight="false" outlineLevel="0" collapsed="false">
      <c r="A59" s="35" t="s">
        <v>20</v>
      </c>
      <c r="B59" s="20" t="s">
        <v>64</v>
      </c>
      <c r="C59" s="20" t="s">
        <v>71</v>
      </c>
      <c r="D59" s="20" t="s">
        <v>71</v>
      </c>
      <c r="E59" s="20" t="s">
        <v>95</v>
      </c>
      <c r="F59" s="20" t="s">
        <v>32</v>
      </c>
      <c r="G59" s="14" t="n">
        <v>314.7</v>
      </c>
      <c r="H59" s="36" t="s">
        <v>140</v>
      </c>
      <c r="I59" s="36" t="s">
        <v>141</v>
      </c>
      <c r="J59" s="36" t="s">
        <v>142</v>
      </c>
    </row>
    <row r="60" customFormat="false" ht="15" hidden="false" customHeight="false" outlineLevel="0" collapsed="false">
      <c r="A60" s="35" t="s">
        <v>20</v>
      </c>
      <c r="B60" s="20" t="s">
        <v>64</v>
      </c>
      <c r="C60" s="20" t="s">
        <v>71</v>
      </c>
      <c r="D60" s="20" t="s">
        <v>71</v>
      </c>
      <c r="E60" s="20" t="s">
        <v>95</v>
      </c>
      <c r="F60" s="20" t="s">
        <v>28</v>
      </c>
      <c r="G60" s="37" t="n">
        <v>-314.7</v>
      </c>
      <c r="H60" s="36" t="s">
        <v>140</v>
      </c>
      <c r="I60" s="36" t="s">
        <v>141</v>
      </c>
      <c r="J60" s="36" t="s">
        <v>121</v>
      </c>
    </row>
    <row r="61" customFormat="false" ht="20.85" hidden="false" customHeight="false" outlineLevel="0" collapsed="false">
      <c r="A61" s="35" t="s">
        <v>20</v>
      </c>
      <c r="B61" s="20" t="s">
        <v>64</v>
      </c>
      <c r="C61" s="20" t="s">
        <v>67</v>
      </c>
      <c r="D61" s="20" t="s">
        <v>67</v>
      </c>
      <c r="E61" s="20" t="s">
        <v>95</v>
      </c>
      <c r="F61" s="20" t="s">
        <v>30</v>
      </c>
      <c r="G61" s="14" t="n">
        <v>237.83</v>
      </c>
      <c r="H61" s="36" t="s">
        <v>143</v>
      </c>
      <c r="I61" s="36" t="s">
        <v>144</v>
      </c>
      <c r="J61" s="36" t="s">
        <v>145</v>
      </c>
    </row>
    <row r="62" customFormat="false" ht="20.85" hidden="false" customHeight="false" outlineLevel="0" collapsed="false">
      <c r="A62" s="35" t="s">
        <v>20</v>
      </c>
      <c r="B62" s="20" t="s">
        <v>64</v>
      </c>
      <c r="C62" s="20" t="s">
        <v>67</v>
      </c>
      <c r="D62" s="20" t="s">
        <v>67</v>
      </c>
      <c r="E62" s="20" t="s">
        <v>95</v>
      </c>
      <c r="F62" s="20" t="s">
        <v>38</v>
      </c>
      <c r="G62" s="14" t="n">
        <v>159.43</v>
      </c>
      <c r="H62" s="36" t="s">
        <v>143</v>
      </c>
      <c r="I62" s="36" t="s">
        <v>144</v>
      </c>
      <c r="J62" s="36" t="s">
        <v>146</v>
      </c>
    </row>
    <row r="63" customFormat="false" ht="20.85" hidden="false" customHeight="false" outlineLevel="0" collapsed="false">
      <c r="A63" s="35" t="s">
        <v>20</v>
      </c>
      <c r="B63" s="20" t="s">
        <v>64</v>
      </c>
      <c r="C63" s="20" t="s">
        <v>67</v>
      </c>
      <c r="D63" s="20" t="s">
        <v>67</v>
      </c>
      <c r="E63" s="20" t="s">
        <v>95</v>
      </c>
      <c r="F63" s="20" t="s">
        <v>28</v>
      </c>
      <c r="G63" s="37" t="n">
        <v>-397.26</v>
      </c>
      <c r="H63" s="36" t="s">
        <v>143</v>
      </c>
      <c r="I63" s="36" t="s">
        <v>144</v>
      </c>
      <c r="J63" s="36" t="s">
        <v>147</v>
      </c>
    </row>
    <row r="64" customFormat="false" ht="20.85" hidden="false" customHeight="false" outlineLevel="0" collapsed="false">
      <c r="A64" s="35" t="s">
        <v>20</v>
      </c>
      <c r="B64" s="20" t="s">
        <v>64</v>
      </c>
      <c r="C64" s="20" t="s">
        <v>67</v>
      </c>
      <c r="D64" s="20" t="s">
        <v>67</v>
      </c>
      <c r="E64" s="20" t="s">
        <v>95</v>
      </c>
      <c r="F64" s="20" t="s">
        <v>38</v>
      </c>
      <c r="G64" s="14" t="n">
        <v>324.13</v>
      </c>
      <c r="H64" s="36" t="s">
        <v>148</v>
      </c>
      <c r="I64" s="36" t="s">
        <v>149</v>
      </c>
      <c r="J64" s="36" t="s">
        <v>150</v>
      </c>
    </row>
    <row r="65" customFormat="false" ht="20.85" hidden="false" customHeight="false" outlineLevel="0" collapsed="false">
      <c r="A65" s="35" t="s">
        <v>20</v>
      </c>
      <c r="B65" s="20" t="s">
        <v>64</v>
      </c>
      <c r="C65" s="20" t="s">
        <v>67</v>
      </c>
      <c r="D65" s="20" t="s">
        <v>67</v>
      </c>
      <c r="E65" s="20" t="s">
        <v>95</v>
      </c>
      <c r="F65" s="20" t="s">
        <v>28</v>
      </c>
      <c r="G65" s="37" t="n">
        <v>-324.13</v>
      </c>
      <c r="H65" s="36" t="s">
        <v>148</v>
      </c>
      <c r="I65" s="36" t="s">
        <v>149</v>
      </c>
      <c r="J65" s="36" t="s">
        <v>121</v>
      </c>
    </row>
    <row r="66" customFormat="false" ht="20.85" hidden="false" customHeight="false" outlineLevel="0" collapsed="false">
      <c r="A66" s="35" t="s">
        <v>20</v>
      </c>
      <c r="B66" s="20" t="s">
        <v>64</v>
      </c>
      <c r="C66" s="20" t="s">
        <v>67</v>
      </c>
      <c r="D66" s="20" t="s">
        <v>67</v>
      </c>
      <c r="E66" s="20" t="s">
        <v>95</v>
      </c>
      <c r="F66" s="20" t="s">
        <v>30</v>
      </c>
      <c r="G66" s="14" t="n">
        <v>161.66</v>
      </c>
      <c r="H66" s="36" t="s">
        <v>151</v>
      </c>
      <c r="I66" s="36" t="s">
        <v>152</v>
      </c>
      <c r="J66" s="36" t="s">
        <v>153</v>
      </c>
    </row>
    <row r="67" customFormat="false" ht="20.85" hidden="false" customHeight="false" outlineLevel="0" collapsed="false">
      <c r="A67" s="35" t="s">
        <v>20</v>
      </c>
      <c r="B67" s="20" t="s">
        <v>64</v>
      </c>
      <c r="C67" s="20" t="s">
        <v>67</v>
      </c>
      <c r="D67" s="20" t="s">
        <v>67</v>
      </c>
      <c r="E67" s="20" t="s">
        <v>95</v>
      </c>
      <c r="F67" s="20" t="s">
        <v>38</v>
      </c>
      <c r="G67" s="14" t="n">
        <v>147.94</v>
      </c>
      <c r="H67" s="36" t="s">
        <v>151</v>
      </c>
      <c r="I67" s="36" t="s">
        <v>152</v>
      </c>
      <c r="J67" s="36" t="s">
        <v>154</v>
      </c>
    </row>
    <row r="68" customFormat="false" ht="20.85" hidden="false" customHeight="false" outlineLevel="0" collapsed="false">
      <c r="A68" s="35" t="s">
        <v>20</v>
      </c>
      <c r="B68" s="20" t="s">
        <v>64</v>
      </c>
      <c r="C68" s="20" t="s">
        <v>67</v>
      </c>
      <c r="D68" s="20" t="s">
        <v>67</v>
      </c>
      <c r="E68" s="20" t="s">
        <v>95</v>
      </c>
      <c r="F68" s="20" t="s">
        <v>28</v>
      </c>
      <c r="G68" s="37" t="n">
        <v>-309.6</v>
      </c>
      <c r="H68" s="36" t="s">
        <v>151</v>
      </c>
      <c r="I68" s="36" t="s">
        <v>152</v>
      </c>
      <c r="J68" s="36" t="s">
        <v>121</v>
      </c>
    </row>
    <row r="69" customFormat="false" ht="20.85" hidden="false" customHeight="false" outlineLevel="0" collapsed="false">
      <c r="A69" s="35" t="s">
        <v>20</v>
      </c>
      <c r="B69" s="20" t="s">
        <v>64</v>
      </c>
      <c r="C69" s="20" t="s">
        <v>67</v>
      </c>
      <c r="D69" s="20" t="s">
        <v>67</v>
      </c>
      <c r="E69" s="20" t="s">
        <v>95</v>
      </c>
      <c r="F69" s="20" t="s">
        <v>38</v>
      </c>
      <c r="G69" s="14" t="n">
        <v>240.23</v>
      </c>
      <c r="H69" s="36" t="s">
        <v>155</v>
      </c>
      <c r="I69" s="36" t="s">
        <v>156</v>
      </c>
      <c r="J69" s="36" t="s">
        <v>157</v>
      </c>
    </row>
    <row r="70" customFormat="false" ht="20.85" hidden="false" customHeight="false" outlineLevel="0" collapsed="false">
      <c r="A70" s="35" t="s">
        <v>20</v>
      </c>
      <c r="B70" s="20" t="s">
        <v>64</v>
      </c>
      <c r="C70" s="20" t="s">
        <v>67</v>
      </c>
      <c r="D70" s="20" t="s">
        <v>67</v>
      </c>
      <c r="E70" s="20" t="s">
        <v>95</v>
      </c>
      <c r="F70" s="20" t="s">
        <v>28</v>
      </c>
      <c r="G70" s="37" t="n">
        <v>-240.23</v>
      </c>
      <c r="H70" s="36" t="s">
        <v>155</v>
      </c>
      <c r="I70" s="36" t="s">
        <v>156</v>
      </c>
      <c r="J70" s="36" t="s">
        <v>121</v>
      </c>
    </row>
    <row r="71" customFormat="false" ht="20.85" hidden="false" customHeight="false" outlineLevel="0" collapsed="false">
      <c r="A71" s="35" t="s">
        <v>20</v>
      </c>
      <c r="B71" s="20" t="s">
        <v>64</v>
      </c>
      <c r="C71" s="20" t="s">
        <v>67</v>
      </c>
      <c r="D71" s="20" t="s">
        <v>67</v>
      </c>
      <c r="E71" s="20" t="s">
        <v>95</v>
      </c>
      <c r="F71" s="20" t="s">
        <v>32</v>
      </c>
      <c r="G71" s="14" t="n">
        <v>55.78</v>
      </c>
      <c r="H71" s="36" t="s">
        <v>158</v>
      </c>
      <c r="I71" s="36" t="s">
        <v>159</v>
      </c>
      <c r="J71" s="36" t="s">
        <v>160</v>
      </c>
    </row>
    <row r="72" customFormat="false" ht="20.85" hidden="false" customHeight="false" outlineLevel="0" collapsed="false">
      <c r="A72" s="35" t="s">
        <v>20</v>
      </c>
      <c r="B72" s="20" t="s">
        <v>64</v>
      </c>
      <c r="C72" s="20" t="s">
        <v>67</v>
      </c>
      <c r="D72" s="20" t="s">
        <v>67</v>
      </c>
      <c r="E72" s="20" t="s">
        <v>95</v>
      </c>
      <c r="F72" s="20" t="s">
        <v>44</v>
      </c>
      <c r="G72" s="14" t="n">
        <v>171</v>
      </c>
      <c r="H72" s="36" t="s">
        <v>158</v>
      </c>
      <c r="I72" s="36" t="s">
        <v>159</v>
      </c>
      <c r="J72" s="36" t="s">
        <v>161</v>
      </c>
    </row>
    <row r="73" customFormat="false" ht="20.85" hidden="false" customHeight="false" outlineLevel="0" collapsed="false">
      <c r="A73" s="35" t="s">
        <v>20</v>
      </c>
      <c r="B73" s="20" t="s">
        <v>64</v>
      </c>
      <c r="C73" s="20" t="s">
        <v>67</v>
      </c>
      <c r="D73" s="20" t="s">
        <v>67</v>
      </c>
      <c r="E73" s="20" t="s">
        <v>95</v>
      </c>
      <c r="F73" s="20" t="s">
        <v>28</v>
      </c>
      <c r="G73" s="37" t="n">
        <v>-226.78</v>
      </c>
      <c r="H73" s="36" t="s">
        <v>158</v>
      </c>
      <c r="I73" s="36" t="s">
        <v>159</v>
      </c>
      <c r="J73" s="36" t="s">
        <v>121</v>
      </c>
    </row>
    <row r="74" customFormat="false" ht="20.85" hidden="false" customHeight="false" outlineLevel="0" collapsed="false">
      <c r="A74" s="35" t="s">
        <v>20</v>
      </c>
      <c r="B74" s="20" t="s">
        <v>64</v>
      </c>
      <c r="C74" s="20" t="s">
        <v>67</v>
      </c>
      <c r="D74" s="20" t="s">
        <v>67</v>
      </c>
      <c r="E74" s="20" t="s">
        <v>95</v>
      </c>
      <c r="F74" s="20" t="s">
        <v>38</v>
      </c>
      <c r="G74" s="14" t="n">
        <v>203.57</v>
      </c>
      <c r="H74" s="36" t="s">
        <v>162</v>
      </c>
      <c r="I74" s="36" t="s">
        <v>163</v>
      </c>
      <c r="J74" s="36" t="s">
        <v>164</v>
      </c>
    </row>
    <row r="75" customFormat="false" ht="20.85" hidden="false" customHeight="false" outlineLevel="0" collapsed="false">
      <c r="A75" s="35" t="s">
        <v>20</v>
      </c>
      <c r="B75" s="20" t="s">
        <v>64</v>
      </c>
      <c r="C75" s="20" t="s">
        <v>67</v>
      </c>
      <c r="D75" s="20" t="s">
        <v>67</v>
      </c>
      <c r="E75" s="20" t="s">
        <v>95</v>
      </c>
      <c r="F75" s="20" t="s">
        <v>28</v>
      </c>
      <c r="G75" s="37" t="n">
        <v>-203.57</v>
      </c>
      <c r="H75" s="36" t="s">
        <v>162</v>
      </c>
      <c r="I75" s="36" t="s">
        <v>163</v>
      </c>
      <c r="J75" s="36" t="s">
        <v>121</v>
      </c>
    </row>
    <row r="76" customFormat="false" ht="20.85" hidden="false" customHeight="false" outlineLevel="0" collapsed="false">
      <c r="A76" s="35" t="s">
        <v>20</v>
      </c>
      <c r="B76" s="20" t="s">
        <v>64</v>
      </c>
      <c r="C76" s="20" t="s">
        <v>67</v>
      </c>
      <c r="D76" s="20" t="s">
        <v>67</v>
      </c>
      <c r="E76" s="20" t="s">
        <v>95</v>
      </c>
      <c r="F76" s="20" t="s">
        <v>38</v>
      </c>
      <c r="G76" s="14" t="n">
        <v>210.29</v>
      </c>
      <c r="H76" s="36" t="s">
        <v>165</v>
      </c>
      <c r="I76" s="36" t="s">
        <v>166</v>
      </c>
      <c r="J76" s="36" t="s">
        <v>167</v>
      </c>
    </row>
    <row r="77" customFormat="false" ht="20.85" hidden="false" customHeight="false" outlineLevel="0" collapsed="false">
      <c r="A77" s="35" t="s">
        <v>20</v>
      </c>
      <c r="B77" s="20" t="s">
        <v>64</v>
      </c>
      <c r="C77" s="20" t="s">
        <v>67</v>
      </c>
      <c r="D77" s="20" t="s">
        <v>67</v>
      </c>
      <c r="E77" s="20" t="s">
        <v>95</v>
      </c>
      <c r="F77" s="20" t="s">
        <v>28</v>
      </c>
      <c r="G77" s="37" t="n">
        <v>-210.29</v>
      </c>
      <c r="H77" s="36" t="s">
        <v>165</v>
      </c>
      <c r="I77" s="36" t="s">
        <v>166</v>
      </c>
      <c r="J77" s="36" t="s">
        <v>121</v>
      </c>
    </row>
    <row r="78" customFormat="false" ht="15" hidden="false" customHeight="false" outlineLevel="0" collapsed="false">
      <c r="A78" s="35" t="s">
        <v>20</v>
      </c>
      <c r="B78" s="20" t="s">
        <v>64</v>
      </c>
      <c r="C78" s="20" t="s">
        <v>67</v>
      </c>
      <c r="D78" s="20" t="s">
        <v>67</v>
      </c>
      <c r="E78" s="20" t="s">
        <v>95</v>
      </c>
      <c r="F78" s="20" t="s">
        <v>32</v>
      </c>
      <c r="G78" s="14" t="n">
        <v>203.79</v>
      </c>
      <c r="H78" s="36" t="s">
        <v>168</v>
      </c>
      <c r="I78" s="36" t="s">
        <v>169</v>
      </c>
      <c r="J78" s="36" t="s">
        <v>170</v>
      </c>
    </row>
    <row r="79" customFormat="false" ht="15" hidden="false" customHeight="false" outlineLevel="0" collapsed="false">
      <c r="A79" s="35" t="s">
        <v>20</v>
      </c>
      <c r="B79" s="20" t="s">
        <v>64</v>
      </c>
      <c r="C79" s="20" t="s">
        <v>67</v>
      </c>
      <c r="D79" s="20" t="s">
        <v>67</v>
      </c>
      <c r="E79" s="20" t="s">
        <v>95</v>
      </c>
      <c r="F79" s="20" t="s">
        <v>28</v>
      </c>
      <c r="G79" s="37" t="n">
        <v>-203.79</v>
      </c>
      <c r="H79" s="36" t="s">
        <v>168</v>
      </c>
      <c r="I79" s="36" t="s">
        <v>169</v>
      </c>
      <c r="J79" s="36" t="s">
        <v>121</v>
      </c>
    </row>
    <row r="80" customFormat="false" ht="15" hidden="false" customHeight="false" outlineLevel="0" collapsed="false">
      <c r="A80" s="35" t="s">
        <v>20</v>
      </c>
      <c r="B80" s="20" t="s">
        <v>64</v>
      </c>
      <c r="C80" s="20" t="s">
        <v>71</v>
      </c>
      <c r="D80" s="20" t="s">
        <v>71</v>
      </c>
      <c r="E80" s="20" t="s">
        <v>95</v>
      </c>
      <c r="F80" s="20" t="s">
        <v>44</v>
      </c>
      <c r="G80" s="14" t="n">
        <v>388.5</v>
      </c>
      <c r="H80" s="36" t="s">
        <v>171</v>
      </c>
      <c r="I80" s="36" t="s">
        <v>172</v>
      </c>
      <c r="J80" s="36" t="s">
        <v>173</v>
      </c>
    </row>
    <row r="81" customFormat="false" ht="15" hidden="false" customHeight="false" outlineLevel="0" collapsed="false">
      <c r="A81" s="35" t="s">
        <v>20</v>
      </c>
      <c r="B81" s="20" t="s">
        <v>64</v>
      </c>
      <c r="C81" s="20" t="s">
        <v>71</v>
      </c>
      <c r="D81" s="20" t="s">
        <v>71</v>
      </c>
      <c r="E81" s="20" t="s">
        <v>95</v>
      </c>
      <c r="F81" s="20" t="s">
        <v>28</v>
      </c>
      <c r="G81" s="37" t="n">
        <v>-388.5</v>
      </c>
      <c r="H81" s="36" t="s">
        <v>171</v>
      </c>
      <c r="I81" s="36" t="s">
        <v>172</v>
      </c>
      <c r="J81" s="36" t="s">
        <v>121</v>
      </c>
    </row>
    <row r="82" customFormat="false" ht="15" hidden="false" customHeight="false" outlineLevel="0" collapsed="false">
      <c r="A82" s="35" t="s">
        <v>20</v>
      </c>
      <c r="B82" s="20" t="s">
        <v>64</v>
      </c>
      <c r="C82" s="20" t="s">
        <v>70</v>
      </c>
      <c r="D82" s="20" t="s">
        <v>70</v>
      </c>
      <c r="E82" s="20" t="s">
        <v>95</v>
      </c>
      <c r="F82" s="20" t="s">
        <v>36</v>
      </c>
      <c r="G82" s="14" t="n">
        <v>335</v>
      </c>
      <c r="H82" s="36" t="s">
        <v>174</v>
      </c>
      <c r="I82" s="36" t="s">
        <v>175</v>
      </c>
      <c r="J82" s="36" t="s">
        <v>176</v>
      </c>
    </row>
    <row r="83" customFormat="false" ht="15" hidden="false" customHeight="false" outlineLevel="0" collapsed="false">
      <c r="A83" s="35" t="s">
        <v>20</v>
      </c>
      <c r="B83" s="20" t="s">
        <v>64</v>
      </c>
      <c r="C83" s="20" t="s">
        <v>70</v>
      </c>
      <c r="D83" s="20" t="s">
        <v>70</v>
      </c>
      <c r="E83" s="20" t="s">
        <v>95</v>
      </c>
      <c r="F83" s="20" t="s">
        <v>28</v>
      </c>
      <c r="G83" s="37" t="n">
        <v>-335</v>
      </c>
      <c r="H83" s="36" t="s">
        <v>174</v>
      </c>
      <c r="I83" s="36" t="s">
        <v>175</v>
      </c>
      <c r="J83" s="36" t="s">
        <v>121</v>
      </c>
    </row>
    <row r="84" customFormat="false" ht="20.85" hidden="false" customHeight="false" outlineLevel="0" collapsed="false">
      <c r="A84" s="35" t="s">
        <v>20</v>
      </c>
      <c r="B84" s="20" t="s">
        <v>64</v>
      </c>
      <c r="C84" s="20" t="s">
        <v>71</v>
      </c>
      <c r="D84" s="20" t="s">
        <v>71</v>
      </c>
      <c r="E84" s="20" t="s">
        <v>95</v>
      </c>
      <c r="F84" s="20" t="s">
        <v>36</v>
      </c>
      <c r="G84" s="14" t="n">
        <v>285</v>
      </c>
      <c r="H84" s="36" t="s">
        <v>177</v>
      </c>
      <c r="I84" s="36" t="s">
        <v>178</v>
      </c>
      <c r="J84" s="36" t="s">
        <v>179</v>
      </c>
    </row>
    <row r="85" customFormat="false" ht="15" hidden="false" customHeight="false" outlineLevel="0" collapsed="false">
      <c r="A85" s="35" t="s">
        <v>20</v>
      </c>
      <c r="B85" s="20" t="s">
        <v>64</v>
      </c>
      <c r="C85" s="20" t="s">
        <v>71</v>
      </c>
      <c r="D85" s="20" t="s">
        <v>71</v>
      </c>
      <c r="E85" s="20" t="s">
        <v>95</v>
      </c>
      <c r="F85" s="20" t="s">
        <v>28</v>
      </c>
      <c r="G85" s="37" t="n">
        <v>-285</v>
      </c>
      <c r="H85" s="36" t="s">
        <v>177</v>
      </c>
      <c r="I85" s="36" t="s">
        <v>178</v>
      </c>
      <c r="J85" s="36" t="s">
        <v>121</v>
      </c>
    </row>
    <row r="86" customFormat="false" ht="15" hidden="false" customHeight="false" outlineLevel="0" collapsed="false">
      <c r="A86" s="35" t="s">
        <v>20</v>
      </c>
      <c r="B86" s="20" t="s">
        <v>64</v>
      </c>
      <c r="C86" s="20" t="s">
        <v>73</v>
      </c>
      <c r="D86" s="20" t="s">
        <v>73</v>
      </c>
      <c r="E86" s="20" t="s">
        <v>95</v>
      </c>
      <c r="F86" s="20" t="s">
        <v>36</v>
      </c>
      <c r="G86" s="14" t="n">
        <v>307</v>
      </c>
      <c r="H86" s="36" t="s">
        <v>180</v>
      </c>
      <c r="I86" s="36" t="s">
        <v>181</v>
      </c>
      <c r="J86" s="36" t="s">
        <v>182</v>
      </c>
    </row>
    <row r="87" customFormat="false" ht="15" hidden="false" customHeight="false" outlineLevel="0" collapsed="false">
      <c r="A87" s="35" t="s">
        <v>20</v>
      </c>
      <c r="B87" s="20" t="s">
        <v>64</v>
      </c>
      <c r="C87" s="20" t="s">
        <v>73</v>
      </c>
      <c r="D87" s="20" t="s">
        <v>73</v>
      </c>
      <c r="E87" s="20" t="s">
        <v>95</v>
      </c>
      <c r="F87" s="20" t="s">
        <v>28</v>
      </c>
      <c r="G87" s="37" t="n">
        <v>-307</v>
      </c>
      <c r="H87" s="36" t="s">
        <v>180</v>
      </c>
      <c r="I87" s="36" t="s">
        <v>181</v>
      </c>
      <c r="J87" s="36" t="s">
        <v>121</v>
      </c>
    </row>
    <row r="88" customFormat="false" ht="20.85" hidden="false" customHeight="false" outlineLevel="0" collapsed="false">
      <c r="A88" s="35" t="s">
        <v>20</v>
      </c>
      <c r="B88" s="20" t="s">
        <v>64</v>
      </c>
      <c r="C88" s="20" t="s">
        <v>80</v>
      </c>
      <c r="D88" s="20" t="s">
        <v>80</v>
      </c>
      <c r="E88" s="20" t="s">
        <v>95</v>
      </c>
      <c r="F88" s="20" t="s">
        <v>40</v>
      </c>
      <c r="G88" s="14" t="n">
        <v>1360</v>
      </c>
      <c r="H88" s="36" t="s">
        <v>183</v>
      </c>
      <c r="I88" s="36" t="s">
        <v>184</v>
      </c>
      <c r="J88" s="36" t="s">
        <v>185</v>
      </c>
    </row>
    <row r="89" customFormat="false" ht="15" hidden="false" customHeight="false" outlineLevel="0" collapsed="false">
      <c r="A89" s="35" t="s">
        <v>20</v>
      </c>
      <c r="B89" s="20" t="s">
        <v>64</v>
      </c>
      <c r="C89" s="20" t="s">
        <v>80</v>
      </c>
      <c r="D89" s="20" t="s">
        <v>80</v>
      </c>
      <c r="E89" s="20" t="s">
        <v>95</v>
      </c>
      <c r="F89" s="20" t="s">
        <v>28</v>
      </c>
      <c r="G89" s="37" t="n">
        <v>-1360</v>
      </c>
      <c r="H89" s="36" t="s">
        <v>183</v>
      </c>
      <c r="I89" s="36" t="s">
        <v>184</v>
      </c>
      <c r="J89" s="36" t="s">
        <v>121</v>
      </c>
    </row>
    <row r="90" customFormat="false" ht="15" hidden="false" customHeight="false" outlineLevel="0" collapsed="false">
      <c r="A90" s="35" t="s">
        <v>20</v>
      </c>
      <c r="B90" s="20" t="s">
        <v>64</v>
      </c>
      <c r="C90" s="20" t="s">
        <v>74</v>
      </c>
      <c r="D90" s="20" t="s">
        <v>74</v>
      </c>
      <c r="E90" s="20" t="s">
        <v>95</v>
      </c>
      <c r="F90" s="20" t="s">
        <v>42</v>
      </c>
      <c r="G90" s="14" t="n">
        <v>1308.58</v>
      </c>
      <c r="H90" s="36" t="s">
        <v>186</v>
      </c>
      <c r="I90" s="36" t="s">
        <v>187</v>
      </c>
      <c r="J90" s="36" t="s">
        <v>188</v>
      </c>
    </row>
    <row r="91" customFormat="false" ht="15" hidden="false" customHeight="false" outlineLevel="0" collapsed="false">
      <c r="A91" s="35" t="s">
        <v>20</v>
      </c>
      <c r="B91" s="20" t="s">
        <v>64</v>
      </c>
      <c r="C91" s="20" t="s">
        <v>74</v>
      </c>
      <c r="D91" s="20" t="s">
        <v>74</v>
      </c>
      <c r="E91" s="20" t="s">
        <v>95</v>
      </c>
      <c r="F91" s="20" t="s">
        <v>28</v>
      </c>
      <c r="G91" s="37" t="n">
        <v>-1308.58</v>
      </c>
      <c r="H91" s="36" t="s">
        <v>186</v>
      </c>
      <c r="I91" s="36" t="s">
        <v>187</v>
      </c>
      <c r="J91" s="36" t="s">
        <v>121</v>
      </c>
    </row>
    <row r="92" customFormat="false" ht="15" hidden="false" customHeight="false" outlineLevel="0" collapsed="false">
      <c r="A92" s="35" t="s">
        <v>20</v>
      </c>
      <c r="B92" s="20" t="s">
        <v>64</v>
      </c>
      <c r="C92" s="20" t="s">
        <v>74</v>
      </c>
      <c r="D92" s="20" t="s">
        <v>74</v>
      </c>
      <c r="E92" s="20" t="s">
        <v>95</v>
      </c>
      <c r="F92" s="20" t="s">
        <v>42</v>
      </c>
      <c r="G92" s="14" t="n">
        <v>841.16</v>
      </c>
      <c r="H92" s="36" t="s">
        <v>189</v>
      </c>
      <c r="I92" s="36" t="s">
        <v>190</v>
      </c>
      <c r="J92" s="36" t="s">
        <v>188</v>
      </c>
    </row>
    <row r="93" customFormat="false" ht="15" hidden="false" customHeight="false" outlineLevel="0" collapsed="false">
      <c r="A93" s="35" t="s">
        <v>20</v>
      </c>
      <c r="B93" s="20" t="s">
        <v>64</v>
      </c>
      <c r="C93" s="20" t="s">
        <v>74</v>
      </c>
      <c r="D93" s="20" t="s">
        <v>74</v>
      </c>
      <c r="E93" s="20" t="s">
        <v>95</v>
      </c>
      <c r="F93" s="20" t="s">
        <v>28</v>
      </c>
      <c r="G93" s="37" t="n">
        <v>-841.16</v>
      </c>
      <c r="H93" s="36" t="s">
        <v>189</v>
      </c>
      <c r="I93" s="36" t="s">
        <v>190</v>
      </c>
      <c r="J93" s="36" t="s">
        <v>121</v>
      </c>
    </row>
    <row r="94" customFormat="false" ht="15" hidden="false" customHeight="false" outlineLevel="0" collapsed="false">
      <c r="A94" s="35" t="s">
        <v>20</v>
      </c>
      <c r="B94" s="20" t="s">
        <v>64</v>
      </c>
      <c r="C94" s="20" t="s">
        <v>74</v>
      </c>
      <c r="D94" s="20" t="s">
        <v>74</v>
      </c>
      <c r="E94" s="20" t="s">
        <v>95</v>
      </c>
      <c r="F94" s="20" t="s">
        <v>42</v>
      </c>
      <c r="G94" s="14" t="n">
        <v>792.5</v>
      </c>
      <c r="H94" s="36" t="s">
        <v>191</v>
      </c>
      <c r="I94" s="36" t="s">
        <v>192</v>
      </c>
      <c r="J94" s="36" t="s">
        <v>188</v>
      </c>
    </row>
    <row r="95" customFormat="false" ht="15" hidden="false" customHeight="false" outlineLevel="0" collapsed="false">
      <c r="A95" s="35" t="s">
        <v>20</v>
      </c>
      <c r="B95" s="20" t="s">
        <v>64</v>
      </c>
      <c r="C95" s="20" t="s">
        <v>74</v>
      </c>
      <c r="D95" s="20" t="s">
        <v>74</v>
      </c>
      <c r="E95" s="20" t="s">
        <v>95</v>
      </c>
      <c r="F95" s="20" t="s">
        <v>28</v>
      </c>
      <c r="G95" s="37" t="n">
        <v>-792.5</v>
      </c>
      <c r="H95" s="36" t="s">
        <v>191</v>
      </c>
      <c r="I95" s="36" t="s">
        <v>192</v>
      </c>
      <c r="J95" s="36" t="s">
        <v>121</v>
      </c>
    </row>
    <row r="96" customFormat="false" ht="20.85" hidden="false" customHeight="false" outlineLevel="0" collapsed="false">
      <c r="A96" s="35" t="s">
        <v>20</v>
      </c>
      <c r="B96" s="20" t="s">
        <v>64</v>
      </c>
      <c r="C96" s="20" t="s">
        <v>68</v>
      </c>
      <c r="D96" s="20" t="s">
        <v>68</v>
      </c>
      <c r="E96" s="20" t="s">
        <v>95</v>
      </c>
      <c r="F96" s="20" t="s">
        <v>48</v>
      </c>
      <c r="G96" s="14" t="n">
        <v>1250</v>
      </c>
      <c r="H96" s="36" t="s">
        <v>193</v>
      </c>
      <c r="I96" s="36" t="s">
        <v>194</v>
      </c>
      <c r="J96" s="36" t="s">
        <v>195</v>
      </c>
    </row>
    <row r="97" customFormat="false" ht="15" hidden="false" customHeight="false" outlineLevel="0" collapsed="false">
      <c r="A97" s="35" t="s">
        <v>20</v>
      </c>
      <c r="B97" s="20" t="s">
        <v>64</v>
      </c>
      <c r="C97" s="20" t="s">
        <v>68</v>
      </c>
      <c r="D97" s="20" t="s">
        <v>68</v>
      </c>
      <c r="E97" s="20" t="s">
        <v>95</v>
      </c>
      <c r="F97" s="20" t="s">
        <v>28</v>
      </c>
      <c r="G97" s="37" t="n">
        <v>-1250</v>
      </c>
      <c r="H97" s="36" t="s">
        <v>193</v>
      </c>
      <c r="I97" s="36" t="s">
        <v>194</v>
      </c>
      <c r="J97" s="36" t="s">
        <v>121</v>
      </c>
    </row>
    <row r="98" customFormat="false" ht="20.85" hidden="false" customHeight="false" outlineLevel="0" collapsed="false">
      <c r="A98" s="35" t="s">
        <v>20</v>
      </c>
      <c r="B98" s="20" t="s">
        <v>64</v>
      </c>
      <c r="C98" s="20" t="s">
        <v>75</v>
      </c>
      <c r="D98" s="20" t="s">
        <v>75</v>
      </c>
      <c r="E98" s="20" t="s">
        <v>95</v>
      </c>
      <c r="F98" s="20" t="s">
        <v>32</v>
      </c>
      <c r="G98" s="14" t="n">
        <v>390.9</v>
      </c>
      <c r="H98" s="36" t="s">
        <v>196</v>
      </c>
      <c r="I98" s="36" t="s">
        <v>197</v>
      </c>
      <c r="J98" s="36" t="s">
        <v>198</v>
      </c>
    </row>
    <row r="99" customFormat="false" ht="15" hidden="false" customHeight="false" outlineLevel="0" collapsed="false">
      <c r="A99" s="35" t="s">
        <v>20</v>
      </c>
      <c r="B99" s="20" t="s">
        <v>64</v>
      </c>
      <c r="C99" s="20" t="s">
        <v>75</v>
      </c>
      <c r="D99" s="20" t="s">
        <v>75</v>
      </c>
      <c r="E99" s="20" t="s">
        <v>95</v>
      </c>
      <c r="F99" s="20" t="s">
        <v>32</v>
      </c>
      <c r="G99" s="14" t="n">
        <v>234.5</v>
      </c>
      <c r="H99" s="36" t="s">
        <v>196</v>
      </c>
      <c r="I99" s="36" t="s">
        <v>197</v>
      </c>
      <c r="J99" s="36" t="s">
        <v>199</v>
      </c>
    </row>
    <row r="100" customFormat="false" ht="20.85" hidden="false" customHeight="false" outlineLevel="0" collapsed="false">
      <c r="A100" s="35" t="s">
        <v>20</v>
      </c>
      <c r="B100" s="20" t="s">
        <v>64</v>
      </c>
      <c r="C100" s="20" t="s">
        <v>75</v>
      </c>
      <c r="D100" s="20" t="s">
        <v>75</v>
      </c>
      <c r="E100" s="20" t="s">
        <v>95</v>
      </c>
      <c r="F100" s="20" t="s">
        <v>28</v>
      </c>
      <c r="G100" s="37" t="n">
        <v>-625.4</v>
      </c>
      <c r="H100" s="36" t="s">
        <v>196</v>
      </c>
      <c r="I100" s="36" t="s">
        <v>197</v>
      </c>
      <c r="J100" s="36" t="s">
        <v>200</v>
      </c>
    </row>
    <row r="101" customFormat="false" ht="20.85" hidden="false" customHeight="false" outlineLevel="0" collapsed="false">
      <c r="A101" s="35" t="s">
        <v>20</v>
      </c>
      <c r="B101" s="20" t="s">
        <v>64</v>
      </c>
      <c r="C101" s="20" t="s">
        <v>67</v>
      </c>
      <c r="D101" s="20" t="s">
        <v>67</v>
      </c>
      <c r="E101" s="20" t="s">
        <v>95</v>
      </c>
      <c r="F101" s="20" t="s">
        <v>44</v>
      </c>
      <c r="G101" s="14" t="n">
        <v>913.09</v>
      </c>
      <c r="H101" s="36" t="s">
        <v>201</v>
      </c>
      <c r="I101" s="36" t="s">
        <v>202</v>
      </c>
      <c r="J101" s="36" t="s">
        <v>203</v>
      </c>
    </row>
    <row r="102" customFormat="false" ht="15" hidden="false" customHeight="false" outlineLevel="0" collapsed="false">
      <c r="A102" s="35" t="s">
        <v>20</v>
      </c>
      <c r="B102" s="20" t="s">
        <v>64</v>
      </c>
      <c r="C102" s="20" t="s">
        <v>67</v>
      </c>
      <c r="D102" s="20" t="s">
        <v>67</v>
      </c>
      <c r="E102" s="20" t="s">
        <v>95</v>
      </c>
      <c r="F102" s="20" t="s">
        <v>28</v>
      </c>
      <c r="G102" s="37" t="n">
        <v>-913.09</v>
      </c>
      <c r="H102" s="36" t="s">
        <v>201</v>
      </c>
      <c r="I102" s="36" t="s">
        <v>202</v>
      </c>
      <c r="J102" s="36" t="s">
        <v>121</v>
      </c>
    </row>
    <row r="103" customFormat="false" ht="20.85" hidden="false" customHeight="false" outlineLevel="0" collapsed="false">
      <c r="A103" s="35" t="s">
        <v>20</v>
      </c>
      <c r="B103" s="20" t="s">
        <v>64</v>
      </c>
      <c r="C103" s="20" t="s">
        <v>69</v>
      </c>
      <c r="D103" s="20" t="s">
        <v>69</v>
      </c>
      <c r="E103" s="20" t="s">
        <v>95</v>
      </c>
      <c r="F103" s="20" t="s">
        <v>30</v>
      </c>
      <c r="G103" s="14" t="n">
        <v>791</v>
      </c>
      <c r="H103" s="36" t="s">
        <v>204</v>
      </c>
      <c r="I103" s="36" t="s">
        <v>205</v>
      </c>
      <c r="J103" s="36" t="s">
        <v>206</v>
      </c>
    </row>
    <row r="104" customFormat="false" ht="15" hidden="false" customHeight="false" outlineLevel="0" collapsed="false">
      <c r="A104" s="35" t="s">
        <v>20</v>
      </c>
      <c r="B104" s="20" t="s">
        <v>64</v>
      </c>
      <c r="C104" s="20" t="s">
        <v>69</v>
      </c>
      <c r="D104" s="20" t="s">
        <v>69</v>
      </c>
      <c r="E104" s="20" t="s">
        <v>95</v>
      </c>
      <c r="F104" s="20" t="s">
        <v>28</v>
      </c>
      <c r="G104" s="37" t="n">
        <v>-791</v>
      </c>
      <c r="H104" s="36" t="s">
        <v>204</v>
      </c>
      <c r="I104" s="36" t="s">
        <v>205</v>
      </c>
      <c r="J104" s="36" t="s">
        <v>121</v>
      </c>
    </row>
    <row r="105" customFormat="false" ht="20.85" hidden="false" customHeight="false" outlineLevel="0" collapsed="false">
      <c r="A105" s="35" t="s">
        <v>20</v>
      </c>
      <c r="B105" s="20" t="s">
        <v>64</v>
      </c>
      <c r="C105" s="20" t="s">
        <v>67</v>
      </c>
      <c r="D105" s="20" t="s">
        <v>67</v>
      </c>
      <c r="E105" s="20" t="s">
        <v>95</v>
      </c>
      <c r="F105" s="20" t="s">
        <v>30</v>
      </c>
      <c r="G105" s="14" t="n">
        <v>237.83</v>
      </c>
      <c r="H105" s="36" t="s">
        <v>207</v>
      </c>
      <c r="I105" s="36" t="s">
        <v>208</v>
      </c>
      <c r="J105" s="36" t="s">
        <v>209</v>
      </c>
    </row>
    <row r="106" customFormat="false" ht="20.85" hidden="false" customHeight="false" outlineLevel="0" collapsed="false">
      <c r="A106" s="35" t="s">
        <v>20</v>
      </c>
      <c r="B106" s="20" t="s">
        <v>64</v>
      </c>
      <c r="C106" s="20" t="s">
        <v>67</v>
      </c>
      <c r="D106" s="20" t="s">
        <v>67</v>
      </c>
      <c r="E106" s="20" t="s">
        <v>95</v>
      </c>
      <c r="F106" s="20" t="s">
        <v>32</v>
      </c>
      <c r="G106" s="14" t="n">
        <v>21.08</v>
      </c>
      <c r="H106" s="36" t="s">
        <v>207</v>
      </c>
      <c r="I106" s="36" t="s">
        <v>208</v>
      </c>
      <c r="J106" s="36" t="s">
        <v>210</v>
      </c>
    </row>
    <row r="107" customFormat="false" ht="20.85" hidden="false" customHeight="false" outlineLevel="0" collapsed="false">
      <c r="A107" s="35" t="s">
        <v>20</v>
      </c>
      <c r="B107" s="20" t="s">
        <v>64</v>
      </c>
      <c r="C107" s="20" t="s">
        <v>67</v>
      </c>
      <c r="D107" s="20" t="s">
        <v>67</v>
      </c>
      <c r="E107" s="20" t="s">
        <v>95</v>
      </c>
      <c r="F107" s="20" t="s">
        <v>38</v>
      </c>
      <c r="G107" s="14" t="n">
        <v>44.55</v>
      </c>
      <c r="H107" s="36" t="s">
        <v>207</v>
      </c>
      <c r="I107" s="36" t="s">
        <v>208</v>
      </c>
      <c r="J107" s="36" t="s">
        <v>211</v>
      </c>
    </row>
    <row r="108" customFormat="false" ht="20.85" hidden="false" customHeight="false" outlineLevel="0" collapsed="false">
      <c r="A108" s="35" t="s">
        <v>20</v>
      </c>
      <c r="B108" s="20" t="s">
        <v>64</v>
      </c>
      <c r="C108" s="20" t="s">
        <v>67</v>
      </c>
      <c r="D108" s="20" t="s">
        <v>67</v>
      </c>
      <c r="E108" s="20" t="s">
        <v>95</v>
      </c>
      <c r="F108" s="20" t="s">
        <v>28</v>
      </c>
      <c r="G108" s="37" t="n">
        <v>-303.46</v>
      </c>
      <c r="H108" s="36" t="s">
        <v>207</v>
      </c>
      <c r="I108" s="36" t="s">
        <v>208</v>
      </c>
      <c r="J108" s="36" t="s">
        <v>212</v>
      </c>
    </row>
    <row r="109" customFormat="false" ht="20.85" hidden="false" customHeight="false" outlineLevel="0" collapsed="false">
      <c r="A109" s="35" t="s">
        <v>20</v>
      </c>
      <c r="B109" s="20" t="s">
        <v>64</v>
      </c>
      <c r="C109" s="20" t="s">
        <v>67</v>
      </c>
      <c r="D109" s="20" t="s">
        <v>67</v>
      </c>
      <c r="E109" s="20" t="s">
        <v>95</v>
      </c>
      <c r="F109" s="20" t="s">
        <v>30</v>
      </c>
      <c r="G109" s="14" t="n">
        <v>185.05</v>
      </c>
      <c r="H109" s="36" t="s">
        <v>213</v>
      </c>
      <c r="I109" s="36" t="s">
        <v>214</v>
      </c>
      <c r="J109" s="36" t="s">
        <v>215</v>
      </c>
    </row>
    <row r="110" customFormat="false" ht="20.85" hidden="false" customHeight="false" outlineLevel="0" collapsed="false">
      <c r="A110" s="35" t="s">
        <v>20</v>
      </c>
      <c r="B110" s="20" t="s">
        <v>64</v>
      </c>
      <c r="C110" s="20" t="s">
        <v>67</v>
      </c>
      <c r="D110" s="20" t="s">
        <v>67</v>
      </c>
      <c r="E110" s="20" t="s">
        <v>95</v>
      </c>
      <c r="F110" s="20" t="s">
        <v>38</v>
      </c>
      <c r="G110" s="14" t="n">
        <v>79.7</v>
      </c>
      <c r="H110" s="36" t="s">
        <v>213</v>
      </c>
      <c r="I110" s="36" t="s">
        <v>214</v>
      </c>
      <c r="J110" s="36" t="s">
        <v>216</v>
      </c>
    </row>
    <row r="111" customFormat="false" ht="20.85" hidden="false" customHeight="false" outlineLevel="0" collapsed="false">
      <c r="A111" s="35" t="s">
        <v>20</v>
      </c>
      <c r="B111" s="20" t="s">
        <v>64</v>
      </c>
      <c r="C111" s="20" t="s">
        <v>67</v>
      </c>
      <c r="D111" s="20" t="s">
        <v>67</v>
      </c>
      <c r="E111" s="20" t="s">
        <v>95</v>
      </c>
      <c r="F111" s="20" t="s">
        <v>28</v>
      </c>
      <c r="G111" s="37" t="n">
        <v>-264.75</v>
      </c>
      <c r="H111" s="36" t="s">
        <v>213</v>
      </c>
      <c r="I111" s="36" t="s">
        <v>214</v>
      </c>
      <c r="J111" s="36" t="s">
        <v>121</v>
      </c>
    </row>
    <row r="112" customFormat="false" ht="15" hidden="false" customHeight="false" outlineLevel="0" collapsed="false">
      <c r="A112" s="35" t="s">
        <v>20</v>
      </c>
      <c r="B112" s="20" t="s">
        <v>64</v>
      </c>
      <c r="C112" s="20" t="s">
        <v>82</v>
      </c>
      <c r="D112" s="20" t="s">
        <v>82</v>
      </c>
      <c r="E112" s="20" t="s">
        <v>95</v>
      </c>
      <c r="F112" s="20" t="s">
        <v>44</v>
      </c>
      <c r="G112" s="14" t="n">
        <v>418.22</v>
      </c>
      <c r="H112" s="36" t="s">
        <v>217</v>
      </c>
      <c r="I112" s="36" t="s">
        <v>218</v>
      </c>
      <c r="J112" s="36" t="s">
        <v>219</v>
      </c>
    </row>
    <row r="113" customFormat="false" ht="15" hidden="false" customHeight="false" outlineLevel="0" collapsed="false">
      <c r="A113" s="35" t="s">
        <v>20</v>
      </c>
      <c r="B113" s="20" t="s">
        <v>64</v>
      </c>
      <c r="C113" s="20" t="s">
        <v>82</v>
      </c>
      <c r="D113" s="20" t="s">
        <v>82</v>
      </c>
      <c r="E113" s="20" t="s">
        <v>95</v>
      </c>
      <c r="F113" s="20" t="s">
        <v>28</v>
      </c>
      <c r="G113" s="37" t="n">
        <v>-418.22</v>
      </c>
      <c r="H113" s="36" t="s">
        <v>217</v>
      </c>
      <c r="I113" s="36" t="s">
        <v>218</v>
      </c>
      <c r="J113" s="36" t="s">
        <v>121</v>
      </c>
    </row>
    <row r="114" customFormat="false" ht="20.85" hidden="false" customHeight="false" outlineLevel="0" collapsed="false">
      <c r="A114" s="35" t="s">
        <v>20</v>
      </c>
      <c r="B114" s="20" t="s">
        <v>64</v>
      </c>
      <c r="C114" s="20" t="s">
        <v>65</v>
      </c>
      <c r="D114" s="20" t="s">
        <v>65</v>
      </c>
      <c r="E114" s="20" t="s">
        <v>95</v>
      </c>
      <c r="F114" s="20" t="s">
        <v>32</v>
      </c>
      <c r="G114" s="14" t="n">
        <v>331.18</v>
      </c>
      <c r="H114" s="36" t="s">
        <v>220</v>
      </c>
      <c r="I114" s="36" t="s">
        <v>221</v>
      </c>
      <c r="J114" s="36" t="s">
        <v>222</v>
      </c>
    </row>
    <row r="115" customFormat="false" ht="20.85" hidden="false" customHeight="false" outlineLevel="0" collapsed="false">
      <c r="A115" s="35" t="s">
        <v>20</v>
      </c>
      <c r="B115" s="20" t="s">
        <v>64</v>
      </c>
      <c r="C115" s="20" t="s">
        <v>65</v>
      </c>
      <c r="D115" s="20" t="s">
        <v>65</v>
      </c>
      <c r="E115" s="20" t="s">
        <v>95</v>
      </c>
      <c r="F115" s="20" t="s">
        <v>28</v>
      </c>
      <c r="G115" s="37" t="n">
        <v>-331.18</v>
      </c>
      <c r="H115" s="36" t="s">
        <v>220</v>
      </c>
      <c r="I115" s="36" t="s">
        <v>221</v>
      </c>
      <c r="J115" s="36" t="s">
        <v>121</v>
      </c>
    </row>
    <row r="116" customFormat="false" ht="15" hidden="false" customHeight="false" outlineLevel="0" collapsed="false">
      <c r="A116" s="35" t="s">
        <v>20</v>
      </c>
      <c r="B116" s="20" t="s">
        <v>64</v>
      </c>
      <c r="C116" s="20" t="s">
        <v>81</v>
      </c>
      <c r="D116" s="20" t="s">
        <v>81</v>
      </c>
      <c r="E116" s="20" t="s">
        <v>95</v>
      </c>
      <c r="F116" s="20" t="s">
        <v>44</v>
      </c>
      <c r="G116" s="14" t="n">
        <v>562.79</v>
      </c>
      <c r="H116" s="36" t="s">
        <v>223</v>
      </c>
      <c r="I116" s="36" t="s">
        <v>224</v>
      </c>
      <c r="J116" s="36" t="s">
        <v>225</v>
      </c>
    </row>
    <row r="117" customFormat="false" ht="15" hidden="false" customHeight="false" outlineLevel="0" collapsed="false">
      <c r="A117" s="35" t="s">
        <v>20</v>
      </c>
      <c r="B117" s="20" t="s">
        <v>64</v>
      </c>
      <c r="C117" s="20" t="s">
        <v>81</v>
      </c>
      <c r="D117" s="20" t="s">
        <v>81</v>
      </c>
      <c r="E117" s="20" t="s">
        <v>95</v>
      </c>
      <c r="F117" s="20" t="s">
        <v>28</v>
      </c>
      <c r="G117" s="37" t="n">
        <v>-562.79</v>
      </c>
      <c r="H117" s="36" t="s">
        <v>223</v>
      </c>
      <c r="I117" s="36" t="s">
        <v>224</v>
      </c>
      <c r="J117" s="36" t="s">
        <v>121</v>
      </c>
    </row>
    <row r="118" customFormat="false" ht="20.85" hidden="false" customHeight="false" outlineLevel="0" collapsed="false">
      <c r="A118" s="35" t="s">
        <v>20</v>
      </c>
      <c r="B118" s="20" t="s">
        <v>64</v>
      </c>
      <c r="C118" s="20" t="s">
        <v>66</v>
      </c>
      <c r="D118" s="20" t="s">
        <v>66</v>
      </c>
      <c r="E118" s="20" t="s">
        <v>95</v>
      </c>
      <c r="F118" s="20" t="s">
        <v>44</v>
      </c>
      <c r="G118" s="14" t="n">
        <v>227.09</v>
      </c>
      <c r="H118" s="36" t="s">
        <v>226</v>
      </c>
      <c r="I118" s="36" t="s">
        <v>227</v>
      </c>
      <c r="J118" s="36" t="s">
        <v>228</v>
      </c>
    </row>
    <row r="119" customFormat="false" ht="20.85" hidden="false" customHeight="false" outlineLevel="0" collapsed="false">
      <c r="A119" s="35" t="s">
        <v>20</v>
      </c>
      <c r="B119" s="20" t="s">
        <v>64</v>
      </c>
      <c r="C119" s="20" t="s">
        <v>66</v>
      </c>
      <c r="D119" s="20" t="s">
        <v>66</v>
      </c>
      <c r="E119" s="20" t="s">
        <v>95</v>
      </c>
      <c r="F119" s="20" t="s">
        <v>28</v>
      </c>
      <c r="G119" s="37" t="n">
        <v>-227.09</v>
      </c>
      <c r="H119" s="36" t="s">
        <v>226</v>
      </c>
      <c r="I119" s="36" t="s">
        <v>227</v>
      </c>
      <c r="J119" s="36" t="s">
        <v>121</v>
      </c>
    </row>
    <row r="120" customFormat="false" ht="20.85" hidden="false" customHeight="false" outlineLevel="0" collapsed="false">
      <c r="A120" s="35" t="s">
        <v>20</v>
      </c>
      <c r="B120" s="20" t="s">
        <v>64</v>
      </c>
      <c r="C120" s="20" t="s">
        <v>75</v>
      </c>
      <c r="D120" s="20" t="s">
        <v>75</v>
      </c>
      <c r="E120" s="20" t="s">
        <v>95</v>
      </c>
      <c r="F120" s="20" t="s">
        <v>32</v>
      </c>
      <c r="G120" s="14" t="n">
        <v>343.46</v>
      </c>
      <c r="H120" s="36" t="s">
        <v>229</v>
      </c>
      <c r="I120" s="36" t="s">
        <v>230</v>
      </c>
      <c r="J120" s="36" t="s">
        <v>231</v>
      </c>
    </row>
    <row r="121" customFormat="false" ht="20.85" hidden="false" customHeight="false" outlineLevel="0" collapsed="false">
      <c r="A121" s="35" t="s">
        <v>20</v>
      </c>
      <c r="B121" s="20" t="s">
        <v>64</v>
      </c>
      <c r="C121" s="20" t="s">
        <v>75</v>
      </c>
      <c r="D121" s="20" t="s">
        <v>75</v>
      </c>
      <c r="E121" s="20" t="s">
        <v>95</v>
      </c>
      <c r="F121" s="20" t="s">
        <v>28</v>
      </c>
      <c r="G121" s="37" t="n">
        <v>-343.46</v>
      </c>
      <c r="H121" s="36" t="s">
        <v>229</v>
      </c>
      <c r="I121" s="36" t="s">
        <v>230</v>
      </c>
      <c r="J121" s="36" t="s">
        <v>121</v>
      </c>
    </row>
    <row r="122" customFormat="false" ht="15" hidden="false" customHeight="false" outlineLevel="0" collapsed="false">
      <c r="A122" s="35" t="s">
        <v>20</v>
      </c>
      <c r="B122" s="20" t="s">
        <v>64</v>
      </c>
      <c r="C122" s="20" t="s">
        <v>82</v>
      </c>
      <c r="D122" s="20" t="s">
        <v>82</v>
      </c>
      <c r="E122" s="20" t="s">
        <v>95</v>
      </c>
      <c r="F122" s="20" t="s">
        <v>44</v>
      </c>
      <c r="G122" s="14" t="n">
        <v>285.49</v>
      </c>
      <c r="H122" s="36" t="s">
        <v>232</v>
      </c>
      <c r="I122" s="36" t="s">
        <v>233</v>
      </c>
      <c r="J122" s="36" t="s">
        <v>219</v>
      </c>
    </row>
    <row r="123" customFormat="false" ht="15" hidden="false" customHeight="false" outlineLevel="0" collapsed="false">
      <c r="A123" s="35" t="s">
        <v>20</v>
      </c>
      <c r="B123" s="20" t="s">
        <v>64</v>
      </c>
      <c r="C123" s="20" t="s">
        <v>82</v>
      </c>
      <c r="D123" s="20" t="s">
        <v>82</v>
      </c>
      <c r="E123" s="20" t="s">
        <v>95</v>
      </c>
      <c r="F123" s="20" t="s">
        <v>28</v>
      </c>
      <c r="G123" s="37" t="n">
        <v>-285.49</v>
      </c>
      <c r="H123" s="36" t="s">
        <v>232</v>
      </c>
      <c r="I123" s="36" t="s">
        <v>233</v>
      </c>
      <c r="J123" s="36" t="s">
        <v>121</v>
      </c>
    </row>
    <row r="124" customFormat="false" ht="15" hidden="false" customHeight="false" outlineLevel="0" collapsed="false">
      <c r="A124" s="35" t="s">
        <v>20</v>
      </c>
      <c r="B124" s="20" t="s">
        <v>64</v>
      </c>
      <c r="C124" s="20" t="s">
        <v>65</v>
      </c>
      <c r="D124" s="20" t="s">
        <v>65</v>
      </c>
      <c r="E124" s="20" t="s">
        <v>95</v>
      </c>
      <c r="F124" s="20" t="s">
        <v>44</v>
      </c>
      <c r="G124" s="14" t="n">
        <v>286.06</v>
      </c>
      <c r="H124" s="36" t="s">
        <v>234</v>
      </c>
      <c r="I124" s="36" t="s">
        <v>235</v>
      </c>
      <c r="J124" s="36" t="s">
        <v>219</v>
      </c>
    </row>
    <row r="125" customFormat="false" ht="15" hidden="false" customHeight="false" outlineLevel="0" collapsed="false">
      <c r="A125" s="35" t="s">
        <v>20</v>
      </c>
      <c r="B125" s="20" t="s">
        <v>64</v>
      </c>
      <c r="C125" s="20" t="s">
        <v>65</v>
      </c>
      <c r="D125" s="20" t="s">
        <v>65</v>
      </c>
      <c r="E125" s="20" t="s">
        <v>95</v>
      </c>
      <c r="F125" s="20" t="s">
        <v>28</v>
      </c>
      <c r="G125" s="37" t="n">
        <v>-286.06</v>
      </c>
      <c r="H125" s="36" t="s">
        <v>234</v>
      </c>
      <c r="I125" s="36" t="s">
        <v>235</v>
      </c>
      <c r="J125" s="36" t="s">
        <v>121</v>
      </c>
    </row>
    <row r="126" customFormat="false" ht="15" hidden="false" customHeight="false" outlineLevel="0" collapsed="false">
      <c r="A126" s="35" t="s">
        <v>20</v>
      </c>
      <c r="B126" s="20" t="s">
        <v>64</v>
      </c>
      <c r="C126" s="20" t="s">
        <v>79</v>
      </c>
      <c r="D126" s="20" t="s">
        <v>79</v>
      </c>
      <c r="E126" s="20" t="s">
        <v>95</v>
      </c>
      <c r="F126" s="20" t="s">
        <v>44</v>
      </c>
      <c r="G126" s="14" t="n">
        <v>241.43</v>
      </c>
      <c r="H126" s="36" t="s">
        <v>236</v>
      </c>
      <c r="I126" s="36" t="s">
        <v>237</v>
      </c>
      <c r="J126" s="36" t="s">
        <v>238</v>
      </c>
    </row>
    <row r="127" customFormat="false" ht="15" hidden="false" customHeight="false" outlineLevel="0" collapsed="false">
      <c r="A127" s="35" t="s">
        <v>20</v>
      </c>
      <c r="B127" s="20" t="s">
        <v>64</v>
      </c>
      <c r="C127" s="20" t="s">
        <v>79</v>
      </c>
      <c r="D127" s="20" t="s">
        <v>79</v>
      </c>
      <c r="E127" s="20" t="s">
        <v>95</v>
      </c>
      <c r="F127" s="20" t="s">
        <v>28</v>
      </c>
      <c r="G127" s="37" t="n">
        <v>-241.43</v>
      </c>
      <c r="H127" s="36" t="s">
        <v>236</v>
      </c>
      <c r="I127" s="36" t="s">
        <v>237</v>
      </c>
      <c r="J127" s="36" t="s">
        <v>121</v>
      </c>
    </row>
    <row r="128" customFormat="false" ht="20.85" hidden="false" customHeight="false" outlineLevel="0" collapsed="false">
      <c r="A128" s="35" t="s">
        <v>20</v>
      </c>
      <c r="B128" s="20" t="s">
        <v>64</v>
      </c>
      <c r="C128" s="20" t="s">
        <v>66</v>
      </c>
      <c r="D128" s="20" t="s">
        <v>66</v>
      </c>
      <c r="E128" s="20" t="s">
        <v>95</v>
      </c>
      <c r="F128" s="20" t="s">
        <v>44</v>
      </c>
      <c r="G128" s="14" t="n">
        <v>229.11</v>
      </c>
      <c r="H128" s="36" t="s">
        <v>239</v>
      </c>
      <c r="I128" s="36" t="s">
        <v>240</v>
      </c>
      <c r="J128" s="36" t="s">
        <v>228</v>
      </c>
    </row>
    <row r="129" customFormat="false" ht="20.85" hidden="false" customHeight="false" outlineLevel="0" collapsed="false">
      <c r="A129" s="35" t="s">
        <v>20</v>
      </c>
      <c r="B129" s="20" t="s">
        <v>64</v>
      </c>
      <c r="C129" s="20" t="s">
        <v>66</v>
      </c>
      <c r="D129" s="20" t="s">
        <v>66</v>
      </c>
      <c r="E129" s="20" t="s">
        <v>95</v>
      </c>
      <c r="F129" s="20" t="s">
        <v>28</v>
      </c>
      <c r="G129" s="37" t="n">
        <v>-229.11</v>
      </c>
      <c r="H129" s="36" t="s">
        <v>239</v>
      </c>
      <c r="I129" s="36" t="s">
        <v>240</v>
      </c>
      <c r="J129" s="36" t="s">
        <v>121</v>
      </c>
    </row>
    <row r="130" customFormat="false" ht="20.85" hidden="false" customHeight="false" outlineLevel="0" collapsed="false">
      <c r="A130" s="35" t="s">
        <v>20</v>
      </c>
      <c r="B130" s="20" t="s">
        <v>64</v>
      </c>
      <c r="C130" s="20" t="s">
        <v>67</v>
      </c>
      <c r="D130" s="20" t="s">
        <v>67</v>
      </c>
      <c r="E130" s="20" t="s">
        <v>95</v>
      </c>
      <c r="F130" s="20" t="s">
        <v>44</v>
      </c>
      <c r="G130" s="14" t="n">
        <v>229.11</v>
      </c>
      <c r="H130" s="36" t="s">
        <v>241</v>
      </c>
      <c r="I130" s="36" t="s">
        <v>242</v>
      </c>
      <c r="J130" s="36" t="s">
        <v>228</v>
      </c>
    </row>
    <row r="131" customFormat="false" ht="20.85" hidden="false" customHeight="false" outlineLevel="0" collapsed="false">
      <c r="A131" s="35" t="s">
        <v>20</v>
      </c>
      <c r="B131" s="20" t="s">
        <v>64</v>
      </c>
      <c r="C131" s="20" t="s">
        <v>67</v>
      </c>
      <c r="D131" s="20" t="s">
        <v>67</v>
      </c>
      <c r="E131" s="20" t="s">
        <v>95</v>
      </c>
      <c r="F131" s="20" t="s">
        <v>28</v>
      </c>
      <c r="G131" s="37" t="n">
        <v>-229.11</v>
      </c>
      <c r="H131" s="36" t="s">
        <v>241</v>
      </c>
      <c r="I131" s="36" t="s">
        <v>242</v>
      </c>
      <c r="J131" s="36" t="s">
        <v>121</v>
      </c>
    </row>
    <row r="132" customFormat="false" ht="20.85" hidden="false" customHeight="false" outlineLevel="0" collapsed="false">
      <c r="A132" s="35" t="s">
        <v>20</v>
      </c>
      <c r="B132" s="20" t="s">
        <v>64</v>
      </c>
      <c r="C132" s="20" t="s">
        <v>67</v>
      </c>
      <c r="D132" s="20" t="s">
        <v>67</v>
      </c>
      <c r="E132" s="20" t="s">
        <v>95</v>
      </c>
      <c r="F132" s="20" t="s">
        <v>44</v>
      </c>
      <c r="G132" s="14" t="n">
        <v>334.16</v>
      </c>
      <c r="H132" s="36" t="s">
        <v>243</v>
      </c>
      <c r="I132" s="36" t="s">
        <v>244</v>
      </c>
      <c r="J132" s="36" t="s">
        <v>245</v>
      </c>
    </row>
    <row r="133" customFormat="false" ht="20.85" hidden="false" customHeight="false" outlineLevel="0" collapsed="false">
      <c r="A133" s="35" t="s">
        <v>20</v>
      </c>
      <c r="B133" s="20" t="s">
        <v>64</v>
      </c>
      <c r="C133" s="20" t="s">
        <v>67</v>
      </c>
      <c r="D133" s="20" t="s">
        <v>67</v>
      </c>
      <c r="E133" s="20" t="s">
        <v>95</v>
      </c>
      <c r="F133" s="20" t="s">
        <v>28</v>
      </c>
      <c r="G133" s="37" t="n">
        <v>-334.16</v>
      </c>
      <c r="H133" s="36" t="s">
        <v>243</v>
      </c>
      <c r="I133" s="36" t="s">
        <v>244</v>
      </c>
      <c r="J133" s="36" t="s">
        <v>121</v>
      </c>
    </row>
    <row r="134" customFormat="false" ht="20.85" hidden="false" customHeight="false" outlineLevel="0" collapsed="false">
      <c r="A134" s="38" t="s">
        <v>21</v>
      </c>
      <c r="B134" s="39" t="s">
        <v>64</v>
      </c>
      <c r="C134" s="39" t="s">
        <v>65</v>
      </c>
      <c r="D134" s="39" t="s">
        <v>65</v>
      </c>
      <c r="E134" s="39" t="s">
        <v>95</v>
      </c>
      <c r="F134" s="39" t="s">
        <v>28</v>
      </c>
      <c r="G134" s="40" t="n">
        <v>-77.27</v>
      </c>
      <c r="H134" s="41" t="s">
        <v>246</v>
      </c>
      <c r="I134" s="41" t="s">
        <v>247</v>
      </c>
      <c r="J134" s="41"/>
    </row>
    <row r="135" customFormat="false" ht="20.85" hidden="false" customHeight="false" outlineLevel="0" collapsed="false">
      <c r="A135" s="38" t="s">
        <v>21</v>
      </c>
      <c r="B135" s="39" t="s">
        <v>64</v>
      </c>
      <c r="C135" s="39" t="s">
        <v>65</v>
      </c>
      <c r="D135" s="39" t="s">
        <v>65</v>
      </c>
      <c r="E135" s="39" t="s">
        <v>95</v>
      </c>
      <c r="F135" s="39" t="s">
        <v>56</v>
      </c>
      <c r="G135" s="42" t="n">
        <v>77.27</v>
      </c>
      <c r="H135" s="41" t="s">
        <v>246</v>
      </c>
      <c r="I135" s="41" t="s">
        <v>247</v>
      </c>
      <c r="J135" s="41"/>
    </row>
    <row r="136" customFormat="false" ht="20.85" hidden="false" customHeight="false" outlineLevel="0" collapsed="false">
      <c r="A136" s="38" t="s">
        <v>21</v>
      </c>
      <c r="B136" s="39" t="s">
        <v>64</v>
      </c>
      <c r="C136" s="39" t="s">
        <v>65</v>
      </c>
      <c r="D136" s="39" t="s">
        <v>65</v>
      </c>
      <c r="E136" s="39" t="s">
        <v>95</v>
      </c>
      <c r="F136" s="39" t="s">
        <v>28</v>
      </c>
      <c r="G136" s="40" t="n">
        <v>-473.64</v>
      </c>
      <c r="H136" s="41" t="s">
        <v>248</v>
      </c>
      <c r="I136" s="41" t="s">
        <v>249</v>
      </c>
      <c r="J136" s="41"/>
    </row>
    <row r="137" customFormat="false" ht="20.85" hidden="false" customHeight="false" outlineLevel="0" collapsed="false">
      <c r="A137" s="38" t="s">
        <v>21</v>
      </c>
      <c r="B137" s="39" t="s">
        <v>64</v>
      </c>
      <c r="C137" s="39" t="s">
        <v>65</v>
      </c>
      <c r="D137" s="39" t="s">
        <v>65</v>
      </c>
      <c r="E137" s="39" t="s">
        <v>95</v>
      </c>
      <c r="F137" s="39" t="s">
        <v>58</v>
      </c>
      <c r="G137" s="42" t="n">
        <v>43.64</v>
      </c>
      <c r="H137" s="41" t="s">
        <v>250</v>
      </c>
      <c r="I137" s="41" t="s">
        <v>249</v>
      </c>
      <c r="J137" s="41"/>
    </row>
    <row r="138" customFormat="false" ht="20.85" hidden="false" customHeight="false" outlineLevel="0" collapsed="false">
      <c r="A138" s="38" t="s">
        <v>21</v>
      </c>
      <c r="B138" s="39" t="s">
        <v>64</v>
      </c>
      <c r="C138" s="39" t="s">
        <v>65</v>
      </c>
      <c r="D138" s="39" t="s">
        <v>65</v>
      </c>
      <c r="E138" s="39" t="s">
        <v>95</v>
      </c>
      <c r="F138" s="39" t="s">
        <v>46</v>
      </c>
      <c r="G138" s="42" t="n">
        <v>398.18</v>
      </c>
      <c r="H138" s="41" t="s">
        <v>251</v>
      </c>
      <c r="I138" s="41" t="s">
        <v>249</v>
      </c>
      <c r="J138" s="41"/>
    </row>
    <row r="139" customFormat="false" ht="20.85" hidden="false" customHeight="false" outlineLevel="0" collapsed="false">
      <c r="A139" s="38" t="s">
        <v>21</v>
      </c>
      <c r="B139" s="39" t="s">
        <v>64</v>
      </c>
      <c r="C139" s="39" t="s">
        <v>65</v>
      </c>
      <c r="D139" s="39" t="s">
        <v>65</v>
      </c>
      <c r="E139" s="39" t="s">
        <v>95</v>
      </c>
      <c r="F139" s="39" t="s">
        <v>60</v>
      </c>
      <c r="G139" s="42" t="n">
        <v>31.82</v>
      </c>
      <c r="H139" s="41" t="s">
        <v>252</v>
      </c>
      <c r="I139" s="41" t="s">
        <v>249</v>
      </c>
      <c r="J139" s="41"/>
    </row>
    <row r="140" customFormat="false" ht="20.85" hidden="false" customHeight="false" outlineLevel="0" collapsed="false">
      <c r="A140" s="38" t="s">
        <v>21</v>
      </c>
      <c r="B140" s="39" t="s">
        <v>64</v>
      </c>
      <c r="C140" s="39" t="s">
        <v>65</v>
      </c>
      <c r="D140" s="39" t="s">
        <v>65</v>
      </c>
      <c r="E140" s="39" t="s">
        <v>95</v>
      </c>
      <c r="F140" s="39" t="s">
        <v>46</v>
      </c>
      <c r="G140" s="42" t="n">
        <v>54.52</v>
      </c>
      <c r="H140" s="41" t="s">
        <v>253</v>
      </c>
      <c r="I140" s="41" t="s">
        <v>249</v>
      </c>
      <c r="J140" s="41"/>
    </row>
    <row r="141" customFormat="false" ht="20.85" hidden="false" customHeight="false" outlineLevel="0" collapsed="false">
      <c r="A141" s="38" t="s">
        <v>21</v>
      </c>
      <c r="B141" s="39" t="s">
        <v>64</v>
      </c>
      <c r="C141" s="39" t="s">
        <v>65</v>
      </c>
      <c r="D141" s="39" t="s">
        <v>65</v>
      </c>
      <c r="E141" s="39" t="s">
        <v>95</v>
      </c>
      <c r="F141" s="39" t="s">
        <v>58</v>
      </c>
      <c r="G141" s="42" t="n">
        <v>41.05</v>
      </c>
      <c r="H141" s="41" t="s">
        <v>254</v>
      </c>
      <c r="I141" s="41"/>
      <c r="J141" s="41"/>
    </row>
    <row r="142" customFormat="false" ht="20.85" hidden="false" customHeight="false" outlineLevel="0" collapsed="false">
      <c r="A142" s="38" t="s">
        <v>21</v>
      </c>
      <c r="B142" s="39" t="s">
        <v>64</v>
      </c>
      <c r="C142" s="39" t="s">
        <v>65</v>
      </c>
      <c r="D142" s="39" t="s">
        <v>65</v>
      </c>
      <c r="E142" s="39" t="s">
        <v>95</v>
      </c>
      <c r="F142" s="39" t="s">
        <v>28</v>
      </c>
      <c r="G142" s="40" t="n">
        <v>-95.57</v>
      </c>
      <c r="H142" s="41" t="s">
        <v>255</v>
      </c>
      <c r="I142" s="41"/>
      <c r="J142" s="41"/>
    </row>
    <row r="143" customFormat="false" ht="20.85" hidden="false" customHeight="false" outlineLevel="0" collapsed="false">
      <c r="A143" s="38" t="s">
        <v>21</v>
      </c>
      <c r="B143" s="39" t="s">
        <v>64</v>
      </c>
      <c r="C143" s="39" t="s">
        <v>65</v>
      </c>
      <c r="D143" s="39" t="s">
        <v>65</v>
      </c>
      <c r="E143" s="39" t="s">
        <v>95</v>
      </c>
      <c r="F143" s="39" t="s">
        <v>40</v>
      </c>
      <c r="G143" s="42" t="n">
        <v>27.55</v>
      </c>
      <c r="H143" s="41" t="s">
        <v>256</v>
      </c>
      <c r="I143" s="41"/>
      <c r="J143" s="41"/>
    </row>
    <row r="144" customFormat="false" ht="20.85" hidden="false" customHeight="false" outlineLevel="0" collapsed="false">
      <c r="A144" s="38" t="s">
        <v>21</v>
      </c>
      <c r="B144" s="39" t="s">
        <v>64</v>
      </c>
      <c r="C144" s="39" t="s">
        <v>65</v>
      </c>
      <c r="D144" s="39" t="s">
        <v>65</v>
      </c>
      <c r="E144" s="39" t="s">
        <v>95</v>
      </c>
      <c r="F144" s="39" t="s">
        <v>28</v>
      </c>
      <c r="G144" s="40" t="n">
        <v>-27.55</v>
      </c>
      <c r="H144" s="41" t="s">
        <v>256</v>
      </c>
      <c r="I144" s="41"/>
      <c r="J144" s="41"/>
    </row>
    <row r="145" customFormat="false" ht="15" hidden="false" customHeight="false" outlineLevel="0" collapsed="false">
      <c r="A145" s="43" t="s">
        <v>22</v>
      </c>
      <c r="B145" s="44" t="s">
        <v>64</v>
      </c>
      <c r="C145" s="44" t="s">
        <v>67</v>
      </c>
      <c r="D145" s="44" t="s">
        <v>67</v>
      </c>
      <c r="E145" s="44" t="s">
        <v>95</v>
      </c>
      <c r="F145" s="44" t="s">
        <v>34</v>
      </c>
      <c r="G145" s="45" t="n">
        <v>102.78</v>
      </c>
      <c r="H145" s="46" t="s">
        <v>257</v>
      </c>
      <c r="I145" s="46" t="s">
        <v>258</v>
      </c>
      <c r="J145" s="46" t="s">
        <v>259</v>
      </c>
    </row>
    <row r="146" customFormat="false" ht="15" hidden="false" customHeight="false" outlineLevel="0" collapsed="false">
      <c r="A146" s="43" t="s">
        <v>22</v>
      </c>
      <c r="B146" s="44" t="s">
        <v>64</v>
      </c>
      <c r="C146" s="44" t="s">
        <v>78</v>
      </c>
      <c r="D146" s="44" t="s">
        <v>78</v>
      </c>
      <c r="E146" s="44" t="s">
        <v>95</v>
      </c>
      <c r="F146" s="44" t="s">
        <v>34</v>
      </c>
      <c r="G146" s="45" t="n">
        <v>229.34</v>
      </c>
      <c r="H146" s="46" t="s">
        <v>257</v>
      </c>
      <c r="I146" s="46" t="s">
        <v>258</v>
      </c>
      <c r="J146" s="46" t="s">
        <v>259</v>
      </c>
    </row>
    <row r="147" customFormat="false" ht="15" hidden="false" customHeight="false" outlineLevel="0" collapsed="false">
      <c r="A147" s="43" t="s">
        <v>22</v>
      </c>
      <c r="B147" s="44" t="s">
        <v>64</v>
      </c>
      <c r="C147" s="44" t="s">
        <v>79</v>
      </c>
      <c r="D147" s="44" t="s">
        <v>79</v>
      </c>
      <c r="E147" s="44" t="s">
        <v>95</v>
      </c>
      <c r="F147" s="44" t="s">
        <v>34</v>
      </c>
      <c r="G147" s="45" t="n">
        <v>589.63</v>
      </c>
      <c r="H147" s="46" t="s">
        <v>257</v>
      </c>
      <c r="I147" s="46" t="s">
        <v>258</v>
      </c>
      <c r="J147" s="46" t="s">
        <v>259</v>
      </c>
    </row>
    <row r="148" customFormat="false" ht="15" hidden="false" customHeight="false" outlineLevel="0" collapsed="false">
      <c r="A148" s="43" t="s">
        <v>22</v>
      </c>
      <c r="B148" s="44" t="s">
        <v>64</v>
      </c>
      <c r="C148" s="44" t="s">
        <v>66</v>
      </c>
      <c r="D148" s="44" t="s">
        <v>66</v>
      </c>
      <c r="E148" s="44" t="s">
        <v>95</v>
      </c>
      <c r="F148" s="44" t="s">
        <v>34</v>
      </c>
      <c r="G148" s="45" t="n">
        <v>45.29</v>
      </c>
      <c r="H148" s="46" t="s">
        <v>257</v>
      </c>
      <c r="I148" s="46" t="s">
        <v>258</v>
      </c>
      <c r="J148" s="46" t="s">
        <v>259</v>
      </c>
    </row>
    <row r="149" customFormat="false" ht="15" hidden="false" customHeight="false" outlineLevel="0" collapsed="false">
      <c r="A149" s="43" t="s">
        <v>22</v>
      </c>
      <c r="B149" s="44" t="s">
        <v>64</v>
      </c>
      <c r="C149" s="44" t="s">
        <v>77</v>
      </c>
      <c r="D149" s="44" t="s">
        <v>77</v>
      </c>
      <c r="E149" s="44" t="s">
        <v>95</v>
      </c>
      <c r="F149" s="44" t="s">
        <v>34</v>
      </c>
      <c r="G149" s="45" t="n">
        <v>92.72</v>
      </c>
      <c r="H149" s="46" t="s">
        <v>257</v>
      </c>
      <c r="I149" s="46" t="s">
        <v>258</v>
      </c>
      <c r="J149" s="46" t="s">
        <v>259</v>
      </c>
    </row>
    <row r="150" customFormat="false" ht="15" hidden="false" customHeight="false" outlineLevel="0" collapsed="false">
      <c r="A150" s="43" t="s">
        <v>22</v>
      </c>
      <c r="B150" s="44" t="s">
        <v>64</v>
      </c>
      <c r="C150" s="44" t="s">
        <v>65</v>
      </c>
      <c r="D150" s="44" t="s">
        <v>65</v>
      </c>
      <c r="E150" s="44" t="s">
        <v>95</v>
      </c>
      <c r="F150" s="44" t="s">
        <v>34</v>
      </c>
      <c r="G150" s="47" t="n">
        <v>-1059.76</v>
      </c>
      <c r="H150" s="46" t="s">
        <v>257</v>
      </c>
      <c r="I150" s="46" t="s">
        <v>258</v>
      </c>
      <c r="J150" s="46" t="s">
        <v>260</v>
      </c>
    </row>
    <row r="151" customFormat="false" ht="19.5" hidden="false" customHeight="true" outlineLevel="0" collapsed="false">
      <c r="A151" s="48"/>
      <c r="B151" s="48"/>
      <c r="C151" s="48"/>
      <c r="D151" s="48"/>
      <c r="E151" s="48"/>
      <c r="F151" s="49" t="s">
        <v>261</v>
      </c>
      <c r="G151" s="50" t="n">
        <f aca="false">SUM(G5:G150)</f>
        <v>0</v>
      </c>
      <c r="H151" s="48"/>
      <c r="I151" s="48"/>
      <c r="J151" s="48"/>
    </row>
  </sheetData>
  <mergeCells count="2">
    <mergeCell ref="A1:J1"/>
    <mergeCell ref="A2:J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1"/>
    <col collapsed="false" customWidth="true" hidden="false" outlineLevel="0" max="3" min="3" style="0" width="42"/>
    <col collapsed="false" customWidth="true" hidden="false" outlineLevel="0" max="4" min="4" style="0" width="6"/>
    <col collapsed="false" customWidth="true" hidden="false" outlineLevel="0" max="5" min="5" style="0" width="12"/>
    <col collapsed="false" customWidth="true" hidden="false" outlineLevel="0" max="6" min="6" style="0" width="9"/>
    <col collapsed="false" customWidth="true" hidden="false" outlineLevel="0" max="7" min="7" style="0" width="11"/>
    <col collapsed="false" customWidth="true" hidden="false" outlineLevel="0" max="8" min="8" style="0" width="34"/>
    <col collapsed="false" customWidth="true" hidden="false" outlineLevel="0" max="9" min="9" style="0" width="10"/>
  </cols>
  <sheetData>
    <row r="1" customFormat="false" ht="25.5" hidden="false" customHeight="true" outlineLevel="0" collapsed="false">
      <c r="A1" s="23" t="s">
        <v>262</v>
      </c>
      <c r="B1" s="23"/>
      <c r="C1" s="23"/>
      <c r="D1" s="23"/>
      <c r="E1" s="23"/>
      <c r="F1" s="23"/>
      <c r="G1" s="23"/>
      <c r="H1" s="23"/>
      <c r="I1" s="23"/>
    </row>
    <row r="2" customFormat="false" ht="15.75" hidden="false" customHeight="true" outlineLevel="0" collapsed="false">
      <c r="A2" s="2" t="s">
        <v>263</v>
      </c>
      <c r="B2" s="2"/>
      <c r="C2" s="2"/>
      <c r="D2" s="2"/>
      <c r="E2" s="2"/>
      <c r="F2" s="2"/>
      <c r="G2" s="2"/>
      <c r="H2" s="2"/>
      <c r="I2" s="2"/>
    </row>
    <row r="4" customFormat="false" ht="23.85" hidden="false" customHeight="false" outlineLevel="0" collapsed="false">
      <c r="A4" s="24" t="s">
        <v>64</v>
      </c>
      <c r="B4" s="24" t="s">
        <v>264</v>
      </c>
      <c r="C4" s="24" t="s">
        <v>265</v>
      </c>
      <c r="D4" s="24" t="s">
        <v>266</v>
      </c>
      <c r="E4" s="24" t="s">
        <v>91</v>
      </c>
      <c r="F4" s="24" t="s">
        <v>267</v>
      </c>
      <c r="G4" s="24" t="s">
        <v>268</v>
      </c>
      <c r="H4" s="24" t="s">
        <v>269</v>
      </c>
      <c r="I4" s="24" t="s">
        <v>270</v>
      </c>
    </row>
    <row r="5" customFormat="false" ht="15" hidden="false" customHeight="false" outlineLevel="0" collapsed="false">
      <c r="A5" s="51" t="s">
        <v>65</v>
      </c>
      <c r="B5" s="52" t="s">
        <v>271</v>
      </c>
      <c r="C5" s="52" t="s">
        <v>272</v>
      </c>
      <c r="D5" s="51" t="n">
        <v>2</v>
      </c>
      <c r="E5" s="53" t="n">
        <v>62.26</v>
      </c>
      <c r="F5" s="51" t="s">
        <v>58</v>
      </c>
      <c r="G5" s="51" t="s">
        <v>54</v>
      </c>
      <c r="H5" s="52" t="s">
        <v>273</v>
      </c>
      <c r="I5" s="54" t="s">
        <v>274</v>
      </c>
    </row>
    <row r="6" customFormat="false" ht="15" hidden="false" customHeight="false" outlineLevel="0" collapsed="false">
      <c r="A6" s="51" t="s">
        <v>65</v>
      </c>
      <c r="B6" s="52" t="s">
        <v>275</v>
      </c>
      <c r="C6" s="52" t="s">
        <v>276</v>
      </c>
      <c r="D6" s="51" t="n">
        <v>2</v>
      </c>
      <c r="E6" s="53" t="n">
        <v>75.76</v>
      </c>
      <c r="F6" s="51" t="s">
        <v>58</v>
      </c>
      <c r="G6" s="51" t="s">
        <v>54</v>
      </c>
      <c r="H6" s="52" t="s">
        <v>273</v>
      </c>
      <c r="I6" s="54" t="s">
        <v>274</v>
      </c>
    </row>
    <row r="7" customFormat="false" ht="15" hidden="false" customHeight="false" outlineLevel="0" collapsed="false">
      <c r="A7" s="51" t="s">
        <v>65</v>
      </c>
      <c r="B7" s="52" t="s">
        <v>277</v>
      </c>
      <c r="C7" s="52" t="s">
        <v>278</v>
      </c>
      <c r="D7" s="51" t="n">
        <v>2</v>
      </c>
      <c r="E7" s="53" t="n">
        <v>16.34</v>
      </c>
      <c r="F7" s="51" t="s">
        <v>58</v>
      </c>
      <c r="G7" s="51" t="s">
        <v>54</v>
      </c>
      <c r="H7" s="52" t="s">
        <v>273</v>
      </c>
      <c r="I7" s="54" t="s">
        <v>274</v>
      </c>
    </row>
    <row r="8" customFormat="false" ht="15" hidden="false" customHeight="false" outlineLevel="0" collapsed="false">
      <c r="A8" s="51" t="s">
        <v>65</v>
      </c>
      <c r="B8" s="52" t="s">
        <v>279</v>
      </c>
      <c r="C8" s="52" t="s">
        <v>280</v>
      </c>
      <c r="D8" s="51" t="n">
        <v>2</v>
      </c>
      <c r="E8" s="53" t="n">
        <v>134.08</v>
      </c>
      <c r="F8" s="51" t="s">
        <v>58</v>
      </c>
      <c r="G8" s="51" t="s">
        <v>54</v>
      </c>
      <c r="H8" s="52" t="s">
        <v>273</v>
      </c>
      <c r="I8" s="54" t="s">
        <v>274</v>
      </c>
    </row>
    <row r="9" customFormat="false" ht="15" hidden="false" customHeight="false" outlineLevel="0" collapsed="false">
      <c r="A9" s="55" t="s">
        <v>65</v>
      </c>
      <c r="B9" s="56" t="s">
        <v>281</v>
      </c>
      <c r="C9" s="56" t="s">
        <v>282</v>
      </c>
      <c r="D9" s="55" t="n">
        <v>5</v>
      </c>
      <c r="E9" s="57" t="n">
        <v>199.95</v>
      </c>
      <c r="F9" s="55" t="s">
        <v>58</v>
      </c>
      <c r="G9" s="55" t="s">
        <v>58</v>
      </c>
      <c r="H9" s="56" t="s">
        <v>283</v>
      </c>
      <c r="I9" s="58" t="s">
        <v>284</v>
      </c>
    </row>
    <row r="10" customFormat="false" ht="15" hidden="false" customHeight="false" outlineLevel="0" collapsed="false">
      <c r="A10" s="51" t="s">
        <v>65</v>
      </c>
      <c r="B10" s="52" t="s">
        <v>285</v>
      </c>
      <c r="C10" s="52" t="s">
        <v>286</v>
      </c>
      <c r="D10" s="51" t="n">
        <v>1</v>
      </c>
      <c r="E10" s="53" t="n">
        <v>49.99</v>
      </c>
      <c r="F10" s="51" t="s">
        <v>58</v>
      </c>
      <c r="G10" s="51" t="s">
        <v>28</v>
      </c>
      <c r="H10" s="52" t="s">
        <v>287</v>
      </c>
      <c r="I10" s="54" t="s">
        <v>274</v>
      </c>
    </row>
    <row r="11" customFormat="false" ht="15" hidden="false" customHeight="false" outlineLevel="0" collapsed="false">
      <c r="A11" s="55" t="s">
        <v>65</v>
      </c>
      <c r="B11" s="56" t="s">
        <v>288</v>
      </c>
      <c r="C11" s="56" t="s">
        <v>289</v>
      </c>
      <c r="D11" s="55" t="n">
        <v>1</v>
      </c>
      <c r="E11" s="57" t="n">
        <v>3.31</v>
      </c>
      <c r="F11" s="55" t="s">
        <v>58</v>
      </c>
      <c r="G11" s="55" t="s">
        <v>58</v>
      </c>
      <c r="H11" s="56" t="s">
        <v>283</v>
      </c>
      <c r="I11" s="58" t="s">
        <v>284</v>
      </c>
    </row>
    <row r="12" customFormat="false" ht="15" hidden="false" customHeight="false" outlineLevel="0" collapsed="false">
      <c r="A12" s="55" t="s">
        <v>65</v>
      </c>
      <c r="B12" s="56" t="s">
        <v>290</v>
      </c>
      <c r="C12" s="56" t="s">
        <v>291</v>
      </c>
      <c r="D12" s="55" t="n">
        <v>1</v>
      </c>
      <c r="E12" s="57" t="n">
        <v>3.31</v>
      </c>
      <c r="F12" s="55" t="s">
        <v>58</v>
      </c>
      <c r="G12" s="55" t="s">
        <v>58</v>
      </c>
      <c r="H12" s="56" t="s">
        <v>283</v>
      </c>
      <c r="I12" s="58" t="s">
        <v>284</v>
      </c>
    </row>
    <row r="13" customFormat="false" ht="15" hidden="false" customHeight="false" outlineLevel="0" collapsed="false">
      <c r="A13" s="51" t="s">
        <v>65</v>
      </c>
      <c r="B13" s="52" t="s">
        <v>292</v>
      </c>
      <c r="C13" s="52" t="s">
        <v>293</v>
      </c>
      <c r="D13" s="51" t="n">
        <v>1</v>
      </c>
      <c r="E13" s="53" t="n">
        <v>185.51</v>
      </c>
      <c r="F13" s="51" t="s">
        <v>58</v>
      </c>
      <c r="G13" s="51" t="s">
        <v>60</v>
      </c>
      <c r="H13" s="52" t="s">
        <v>294</v>
      </c>
      <c r="I13" s="54" t="s">
        <v>274</v>
      </c>
    </row>
    <row r="14" customFormat="false" ht="15" hidden="false" customHeight="false" outlineLevel="0" collapsed="false">
      <c r="A14" s="55" t="s">
        <v>65</v>
      </c>
      <c r="B14" s="56" t="s">
        <v>295</v>
      </c>
      <c r="C14" s="56" t="s">
        <v>296</v>
      </c>
      <c r="D14" s="55" t="n">
        <v>1</v>
      </c>
      <c r="E14" s="57" t="n">
        <v>11.65</v>
      </c>
      <c r="F14" s="55" t="s">
        <v>58</v>
      </c>
      <c r="G14" s="55" t="s">
        <v>58</v>
      </c>
      <c r="H14" s="56" t="s">
        <v>283</v>
      </c>
      <c r="I14" s="58" t="s">
        <v>284</v>
      </c>
    </row>
    <row r="15" customFormat="false" ht="15" hidden="false" customHeight="false" outlineLevel="0" collapsed="false">
      <c r="A15" s="55" t="s">
        <v>65</v>
      </c>
      <c r="B15" s="56" t="s">
        <v>297</v>
      </c>
      <c r="C15" s="56" t="s">
        <v>298</v>
      </c>
      <c r="D15" s="55" t="n">
        <v>1</v>
      </c>
      <c r="E15" s="57" t="n">
        <v>3.97</v>
      </c>
      <c r="F15" s="55" t="s">
        <v>58</v>
      </c>
      <c r="G15" s="55" t="s">
        <v>58</v>
      </c>
      <c r="H15" s="56" t="s">
        <v>283</v>
      </c>
      <c r="I15" s="58" t="s">
        <v>284</v>
      </c>
    </row>
    <row r="16" customFormat="false" ht="15" hidden="false" customHeight="false" outlineLevel="0" collapsed="false">
      <c r="A16" s="55" t="s">
        <v>65</v>
      </c>
      <c r="B16" s="56" t="s">
        <v>299</v>
      </c>
      <c r="C16" s="56" t="s">
        <v>300</v>
      </c>
      <c r="D16" s="55" t="n">
        <v>1</v>
      </c>
      <c r="E16" s="57" t="n">
        <v>3.21</v>
      </c>
      <c r="F16" s="55" t="s">
        <v>58</v>
      </c>
      <c r="G16" s="55" t="s">
        <v>58</v>
      </c>
      <c r="H16" s="56" t="s">
        <v>283</v>
      </c>
      <c r="I16" s="58" t="s">
        <v>284</v>
      </c>
    </row>
    <row r="17" customFormat="false" ht="15" hidden="false" customHeight="false" outlineLevel="0" collapsed="false">
      <c r="A17" s="55" t="s">
        <v>65</v>
      </c>
      <c r="B17" s="56" t="s">
        <v>301</v>
      </c>
      <c r="C17" s="56" t="s">
        <v>302</v>
      </c>
      <c r="D17" s="55" t="n">
        <v>1</v>
      </c>
      <c r="E17" s="57" t="n">
        <v>4.13</v>
      </c>
      <c r="F17" s="55" t="s">
        <v>58</v>
      </c>
      <c r="G17" s="55" t="s">
        <v>58</v>
      </c>
      <c r="H17" s="56" t="s">
        <v>283</v>
      </c>
      <c r="I17" s="58" t="s">
        <v>284</v>
      </c>
    </row>
    <row r="18" customFormat="false" ht="15" hidden="false" customHeight="false" outlineLevel="0" collapsed="false">
      <c r="A18" s="51" t="s">
        <v>65</v>
      </c>
      <c r="B18" s="52" t="s">
        <v>303</v>
      </c>
      <c r="C18" s="52" t="s">
        <v>304</v>
      </c>
      <c r="D18" s="51" t="n">
        <v>1</v>
      </c>
      <c r="E18" s="53" t="n">
        <v>44.08</v>
      </c>
      <c r="F18" s="51" t="s">
        <v>58</v>
      </c>
      <c r="G18" s="51" t="s">
        <v>28</v>
      </c>
      <c r="H18" s="52" t="s">
        <v>305</v>
      </c>
      <c r="I18" s="54" t="s">
        <v>274</v>
      </c>
    </row>
    <row r="19" customFormat="false" ht="15" hidden="false" customHeight="false" outlineLevel="0" collapsed="false">
      <c r="A19" s="51" t="s">
        <v>65</v>
      </c>
      <c r="B19" s="52" t="s">
        <v>306</v>
      </c>
      <c r="C19" s="52" t="s">
        <v>307</v>
      </c>
      <c r="D19" s="51" t="n">
        <v>5</v>
      </c>
      <c r="E19" s="53" t="n">
        <v>13</v>
      </c>
      <c r="F19" s="51" t="s">
        <v>58</v>
      </c>
      <c r="G19" s="51" t="s">
        <v>28</v>
      </c>
      <c r="H19" s="52" t="s">
        <v>308</v>
      </c>
      <c r="I19" s="54" t="s">
        <v>274</v>
      </c>
    </row>
    <row r="20" customFormat="false" ht="15" hidden="false" customHeight="false" outlineLevel="0" collapsed="false">
      <c r="A20" s="51" t="s">
        <v>65</v>
      </c>
      <c r="B20" s="52" t="s">
        <v>309</v>
      </c>
      <c r="C20" s="52" t="s">
        <v>310</v>
      </c>
      <c r="D20" s="51" t="n">
        <v>2</v>
      </c>
      <c r="E20" s="53" t="n">
        <v>151.64</v>
      </c>
      <c r="F20" s="51" t="s">
        <v>58</v>
      </c>
      <c r="G20" s="51" t="s">
        <v>60</v>
      </c>
      <c r="H20" s="52" t="s">
        <v>294</v>
      </c>
      <c r="I20" s="54" t="s">
        <v>274</v>
      </c>
    </row>
    <row r="21" customFormat="false" ht="15" hidden="false" customHeight="false" outlineLevel="0" collapsed="false">
      <c r="A21" s="51" t="s">
        <v>65</v>
      </c>
      <c r="B21" s="52" t="s">
        <v>311</v>
      </c>
      <c r="C21" s="52" t="s">
        <v>312</v>
      </c>
      <c r="D21" s="51" t="n">
        <v>3</v>
      </c>
      <c r="E21" s="53" t="n">
        <v>18.72</v>
      </c>
      <c r="F21" s="51" t="s">
        <v>58</v>
      </c>
      <c r="G21" s="51" t="s">
        <v>60</v>
      </c>
      <c r="H21" s="52" t="s">
        <v>294</v>
      </c>
      <c r="I21" s="54" t="s">
        <v>274</v>
      </c>
    </row>
    <row r="22" customFormat="false" ht="15" hidden="false" customHeight="false" outlineLevel="0" collapsed="false">
      <c r="A22" s="51" t="s">
        <v>65</v>
      </c>
      <c r="B22" s="52" t="s">
        <v>309</v>
      </c>
      <c r="C22" s="52" t="s">
        <v>310</v>
      </c>
      <c r="D22" s="51" t="n">
        <v>2</v>
      </c>
      <c r="E22" s="53" t="n">
        <v>151.64</v>
      </c>
      <c r="F22" s="51" t="s">
        <v>58</v>
      </c>
      <c r="G22" s="51" t="s">
        <v>60</v>
      </c>
      <c r="H22" s="52" t="s">
        <v>294</v>
      </c>
      <c r="I22" s="54" t="s">
        <v>274</v>
      </c>
    </row>
    <row r="23" customFormat="false" ht="15" hidden="false" customHeight="false" outlineLevel="0" collapsed="false">
      <c r="A23" s="51" t="s">
        <v>65</v>
      </c>
      <c r="B23" s="52" t="s">
        <v>313</v>
      </c>
      <c r="C23" s="52" t="s">
        <v>314</v>
      </c>
      <c r="D23" s="51" t="n">
        <v>1</v>
      </c>
      <c r="E23" s="53" t="n">
        <v>5.79</v>
      </c>
      <c r="F23" s="51" t="s">
        <v>58</v>
      </c>
      <c r="G23" s="51" t="s">
        <v>54</v>
      </c>
      <c r="H23" s="52" t="s">
        <v>273</v>
      </c>
      <c r="I23" s="54" t="s">
        <v>274</v>
      </c>
    </row>
    <row r="24" customFormat="false" ht="15" hidden="false" customHeight="false" outlineLevel="0" collapsed="false">
      <c r="A24" s="55" t="s">
        <v>65</v>
      </c>
      <c r="B24" s="56" t="s">
        <v>315</v>
      </c>
      <c r="C24" s="56" t="s">
        <v>316</v>
      </c>
      <c r="D24" s="55" t="n">
        <v>10</v>
      </c>
      <c r="E24" s="57" t="n">
        <v>2.3</v>
      </c>
      <c r="F24" s="55" t="s">
        <v>58</v>
      </c>
      <c r="G24" s="55" t="s">
        <v>58</v>
      </c>
      <c r="H24" s="56" t="s">
        <v>283</v>
      </c>
      <c r="I24" s="58" t="s">
        <v>284</v>
      </c>
    </row>
    <row r="25" customFormat="false" ht="15" hidden="false" customHeight="false" outlineLevel="0" collapsed="false">
      <c r="A25" s="51" t="s">
        <v>65</v>
      </c>
      <c r="B25" s="52" t="s">
        <v>317</v>
      </c>
      <c r="C25" s="52" t="s">
        <v>318</v>
      </c>
      <c r="D25" s="51" t="n">
        <v>2</v>
      </c>
      <c r="E25" s="53" t="n">
        <v>107.84</v>
      </c>
      <c r="F25" s="51" t="s">
        <v>58</v>
      </c>
      <c r="G25" s="51" t="s">
        <v>54</v>
      </c>
      <c r="H25" s="52" t="s">
        <v>273</v>
      </c>
      <c r="I25" s="54" t="s">
        <v>274</v>
      </c>
    </row>
    <row r="26" customFormat="false" ht="15" hidden="false" customHeight="false" outlineLevel="0" collapsed="false">
      <c r="A26" s="51" t="s">
        <v>76</v>
      </c>
      <c r="B26" s="52" t="s">
        <v>319</v>
      </c>
      <c r="C26" s="52" t="s">
        <v>320</v>
      </c>
      <c r="D26" s="51" t="n">
        <v>1</v>
      </c>
      <c r="E26" s="53" t="n">
        <v>66.21</v>
      </c>
      <c r="F26" s="51" t="s">
        <v>58</v>
      </c>
      <c r="G26" s="51" t="s">
        <v>60</v>
      </c>
      <c r="H26" s="52" t="s">
        <v>294</v>
      </c>
      <c r="I26" s="54" t="s">
        <v>274</v>
      </c>
    </row>
    <row r="27" customFormat="false" ht="15" hidden="false" customHeight="false" outlineLevel="0" collapsed="false">
      <c r="A27" s="55" t="s">
        <v>76</v>
      </c>
      <c r="B27" s="56" t="s">
        <v>321</v>
      </c>
      <c r="C27" s="56" t="s">
        <v>322</v>
      </c>
      <c r="D27" s="55" t="n">
        <v>1</v>
      </c>
      <c r="E27" s="57" t="n">
        <v>30.76</v>
      </c>
      <c r="F27" s="55" t="s">
        <v>58</v>
      </c>
      <c r="G27" s="55" t="s">
        <v>58</v>
      </c>
      <c r="H27" s="56" t="s">
        <v>283</v>
      </c>
      <c r="I27" s="58" t="s">
        <v>284</v>
      </c>
    </row>
    <row r="28" customFormat="false" ht="15" hidden="false" customHeight="false" outlineLevel="0" collapsed="false">
      <c r="A28" s="55" t="s">
        <v>76</v>
      </c>
      <c r="B28" s="56" t="s">
        <v>323</v>
      </c>
      <c r="C28" s="56" t="s">
        <v>324</v>
      </c>
      <c r="D28" s="55" t="n">
        <v>1</v>
      </c>
      <c r="E28" s="57" t="n">
        <v>34.43</v>
      </c>
      <c r="F28" s="55" t="s">
        <v>58</v>
      </c>
      <c r="G28" s="55" t="s">
        <v>58</v>
      </c>
      <c r="H28" s="56" t="s">
        <v>283</v>
      </c>
      <c r="I28" s="58" t="s">
        <v>284</v>
      </c>
    </row>
    <row r="29" customFormat="false" ht="15" hidden="false" customHeight="false" outlineLevel="0" collapsed="false">
      <c r="A29" s="55" t="s">
        <v>76</v>
      </c>
      <c r="B29" s="56" t="s">
        <v>325</v>
      </c>
      <c r="C29" s="56" t="s">
        <v>326</v>
      </c>
      <c r="D29" s="55" t="n">
        <v>1</v>
      </c>
      <c r="E29" s="57" t="n">
        <v>2.62</v>
      </c>
      <c r="F29" s="55" t="s">
        <v>58</v>
      </c>
      <c r="G29" s="55" t="s">
        <v>58</v>
      </c>
      <c r="H29" s="56" t="s">
        <v>283</v>
      </c>
      <c r="I29" s="58" t="s">
        <v>284</v>
      </c>
    </row>
    <row r="30" customFormat="false" ht="15" hidden="false" customHeight="false" outlineLevel="0" collapsed="false">
      <c r="A30" s="55" t="s">
        <v>76</v>
      </c>
      <c r="B30" s="56" t="s">
        <v>327</v>
      </c>
      <c r="C30" s="56" t="s">
        <v>328</v>
      </c>
      <c r="D30" s="55" t="n">
        <v>2</v>
      </c>
      <c r="E30" s="57" t="n">
        <v>6.8</v>
      </c>
      <c r="F30" s="55" t="s">
        <v>58</v>
      </c>
      <c r="G30" s="55" t="s">
        <v>58</v>
      </c>
      <c r="H30" s="56" t="s">
        <v>283</v>
      </c>
      <c r="I30" s="58" t="s">
        <v>284</v>
      </c>
    </row>
    <row r="31" customFormat="false" ht="15" hidden="false" customHeight="false" outlineLevel="0" collapsed="false">
      <c r="A31" s="55" t="s">
        <v>76</v>
      </c>
      <c r="B31" s="56" t="s">
        <v>329</v>
      </c>
      <c r="C31" s="56" t="s">
        <v>330</v>
      </c>
      <c r="D31" s="55" t="n">
        <v>1</v>
      </c>
      <c r="E31" s="57" t="n">
        <v>29.58</v>
      </c>
      <c r="F31" s="55" t="s">
        <v>58</v>
      </c>
      <c r="G31" s="55" t="s">
        <v>58</v>
      </c>
      <c r="H31" s="56" t="s">
        <v>283</v>
      </c>
      <c r="I31" s="58" t="s">
        <v>284</v>
      </c>
    </row>
    <row r="32" customFormat="false" ht="15" hidden="false" customHeight="false" outlineLevel="0" collapsed="false">
      <c r="A32" s="55" t="s">
        <v>76</v>
      </c>
      <c r="B32" s="56" t="s">
        <v>331</v>
      </c>
      <c r="C32" s="56" t="s">
        <v>332</v>
      </c>
      <c r="D32" s="55" t="n">
        <v>3</v>
      </c>
      <c r="E32" s="57" t="n">
        <v>93.15</v>
      </c>
      <c r="F32" s="55" t="s">
        <v>58</v>
      </c>
      <c r="G32" s="55" t="s">
        <v>58</v>
      </c>
      <c r="H32" s="56" t="s">
        <v>283</v>
      </c>
      <c r="I32" s="58" t="s">
        <v>284</v>
      </c>
    </row>
    <row r="33" customFormat="false" ht="15" hidden="false" customHeight="false" outlineLevel="0" collapsed="false">
      <c r="A33" s="55" t="s">
        <v>76</v>
      </c>
      <c r="B33" s="56" t="s">
        <v>299</v>
      </c>
      <c r="C33" s="56" t="s">
        <v>300</v>
      </c>
      <c r="D33" s="55" t="n">
        <v>4</v>
      </c>
      <c r="E33" s="57" t="n">
        <v>12.84</v>
      </c>
      <c r="F33" s="55" t="s">
        <v>58</v>
      </c>
      <c r="G33" s="55" t="s">
        <v>58</v>
      </c>
      <c r="H33" s="56" t="s">
        <v>283</v>
      </c>
      <c r="I33" s="58" t="s">
        <v>284</v>
      </c>
    </row>
    <row r="34" customFormat="false" ht="15" hidden="false" customHeight="false" outlineLevel="0" collapsed="false">
      <c r="A34" s="51" t="s">
        <v>76</v>
      </c>
      <c r="B34" s="52" t="s">
        <v>333</v>
      </c>
      <c r="C34" s="52" t="s">
        <v>334</v>
      </c>
      <c r="D34" s="51" t="n">
        <v>2</v>
      </c>
      <c r="E34" s="53" t="n">
        <v>10.08</v>
      </c>
      <c r="F34" s="51" t="s">
        <v>58</v>
      </c>
      <c r="G34" s="51" t="s">
        <v>28</v>
      </c>
      <c r="H34" s="52" t="s">
        <v>308</v>
      </c>
      <c r="I34" s="54" t="s">
        <v>274</v>
      </c>
    </row>
    <row r="35" customFormat="false" ht="15" hidden="false" customHeight="false" outlineLevel="0" collapsed="false">
      <c r="A35" s="51" t="s">
        <v>76</v>
      </c>
      <c r="B35" s="52" t="s">
        <v>335</v>
      </c>
      <c r="C35" s="52" t="s">
        <v>336</v>
      </c>
      <c r="D35" s="51" t="n">
        <v>2</v>
      </c>
      <c r="E35" s="53" t="n">
        <v>8.58</v>
      </c>
      <c r="F35" s="51" t="s">
        <v>58</v>
      </c>
      <c r="G35" s="51" t="s">
        <v>28</v>
      </c>
      <c r="H35" s="52" t="s">
        <v>308</v>
      </c>
      <c r="I35" s="54" t="s">
        <v>274</v>
      </c>
    </row>
    <row r="36" customFormat="false" ht="15" hidden="false" customHeight="false" outlineLevel="0" collapsed="false">
      <c r="A36" s="55" t="s">
        <v>76</v>
      </c>
      <c r="B36" s="56" t="s">
        <v>337</v>
      </c>
      <c r="C36" s="56" t="s">
        <v>338</v>
      </c>
      <c r="D36" s="55" t="n">
        <v>1</v>
      </c>
      <c r="E36" s="57" t="n">
        <v>2.39</v>
      </c>
      <c r="F36" s="55" t="s">
        <v>58</v>
      </c>
      <c r="G36" s="55" t="s">
        <v>58</v>
      </c>
      <c r="H36" s="56" t="s">
        <v>283</v>
      </c>
      <c r="I36" s="58" t="s">
        <v>284</v>
      </c>
    </row>
    <row r="37" customFormat="false" ht="15" hidden="false" customHeight="false" outlineLevel="0" collapsed="false">
      <c r="A37" s="55" t="s">
        <v>76</v>
      </c>
      <c r="B37" s="56" t="s">
        <v>339</v>
      </c>
      <c r="C37" s="56" t="s">
        <v>340</v>
      </c>
      <c r="D37" s="55" t="n">
        <v>1</v>
      </c>
      <c r="E37" s="57" t="n">
        <v>40.94</v>
      </c>
      <c r="F37" s="55" t="s">
        <v>58</v>
      </c>
      <c r="G37" s="55" t="s">
        <v>58</v>
      </c>
      <c r="H37" s="56" t="s">
        <v>283</v>
      </c>
      <c r="I37" s="58" t="s">
        <v>284</v>
      </c>
    </row>
    <row r="38" customFormat="false" ht="15" hidden="false" customHeight="false" outlineLevel="0" collapsed="false">
      <c r="A38" s="51" t="s">
        <v>76</v>
      </c>
      <c r="B38" s="52" t="s">
        <v>341</v>
      </c>
      <c r="C38" s="52" t="s">
        <v>342</v>
      </c>
      <c r="D38" s="51" t="n">
        <v>1</v>
      </c>
      <c r="E38" s="53" t="n">
        <v>34.99</v>
      </c>
      <c r="F38" s="51" t="s">
        <v>58</v>
      </c>
      <c r="G38" s="51" t="s">
        <v>60</v>
      </c>
      <c r="H38" s="52" t="s">
        <v>294</v>
      </c>
      <c r="I38" s="54" t="s">
        <v>274</v>
      </c>
    </row>
    <row r="39" customFormat="false" ht="15" hidden="false" customHeight="false" outlineLevel="0" collapsed="false">
      <c r="A39" s="51" t="s">
        <v>76</v>
      </c>
      <c r="B39" s="52" t="s">
        <v>343</v>
      </c>
      <c r="C39" s="52" t="s">
        <v>344</v>
      </c>
      <c r="D39" s="51" t="n">
        <v>6</v>
      </c>
      <c r="E39" s="53" t="n">
        <v>18.12</v>
      </c>
      <c r="F39" s="51" t="s">
        <v>58</v>
      </c>
      <c r="G39" s="51" t="s">
        <v>28</v>
      </c>
      <c r="H39" s="52" t="s">
        <v>308</v>
      </c>
      <c r="I39" s="54" t="s">
        <v>274</v>
      </c>
    </row>
    <row r="40" customFormat="false" ht="15" hidden="false" customHeight="false" outlineLevel="0" collapsed="false">
      <c r="A40" s="55" t="s">
        <v>76</v>
      </c>
      <c r="B40" s="56" t="s">
        <v>345</v>
      </c>
      <c r="C40" s="56" t="s">
        <v>346</v>
      </c>
      <c r="D40" s="55" t="n">
        <v>1</v>
      </c>
      <c r="E40" s="57" t="n">
        <v>3.31</v>
      </c>
      <c r="F40" s="55" t="s">
        <v>58</v>
      </c>
      <c r="G40" s="55" t="s">
        <v>58</v>
      </c>
      <c r="H40" s="56" t="s">
        <v>283</v>
      </c>
      <c r="I40" s="58" t="s">
        <v>284</v>
      </c>
    </row>
    <row r="41" customFormat="false" ht="15" hidden="false" customHeight="false" outlineLevel="0" collapsed="false">
      <c r="A41" s="51" t="s">
        <v>76</v>
      </c>
      <c r="B41" s="52" t="s">
        <v>347</v>
      </c>
      <c r="C41" s="52" t="s">
        <v>348</v>
      </c>
      <c r="D41" s="51" t="n">
        <v>1</v>
      </c>
      <c r="E41" s="53" t="n">
        <v>19.7</v>
      </c>
      <c r="F41" s="51" t="s">
        <v>58</v>
      </c>
      <c r="G41" s="51" t="s">
        <v>54</v>
      </c>
      <c r="H41" s="52" t="s">
        <v>273</v>
      </c>
      <c r="I41" s="54" t="s">
        <v>274</v>
      </c>
    </row>
    <row r="42" customFormat="false" ht="15" hidden="false" customHeight="false" outlineLevel="0" collapsed="false">
      <c r="A42" s="51" t="s">
        <v>76</v>
      </c>
      <c r="B42" s="52" t="s">
        <v>349</v>
      </c>
      <c r="C42" s="52" t="s">
        <v>350</v>
      </c>
      <c r="D42" s="51" t="n">
        <v>1</v>
      </c>
      <c r="E42" s="53" t="n">
        <v>6.64</v>
      </c>
      <c r="F42" s="51" t="s">
        <v>58</v>
      </c>
      <c r="G42" s="51" t="s">
        <v>28</v>
      </c>
      <c r="H42" s="52" t="s">
        <v>287</v>
      </c>
      <c r="I42" s="54" t="s">
        <v>274</v>
      </c>
    </row>
    <row r="43" customFormat="false" ht="15" hidden="false" customHeight="false" outlineLevel="0" collapsed="false">
      <c r="A43" s="51" t="s">
        <v>76</v>
      </c>
      <c r="B43" s="52" t="s">
        <v>351</v>
      </c>
      <c r="C43" s="52" t="s">
        <v>352</v>
      </c>
      <c r="D43" s="51" t="n">
        <v>1</v>
      </c>
      <c r="E43" s="53" t="n">
        <v>6.64</v>
      </c>
      <c r="F43" s="51" t="s">
        <v>58</v>
      </c>
      <c r="G43" s="51" t="s">
        <v>28</v>
      </c>
      <c r="H43" s="52" t="s">
        <v>287</v>
      </c>
      <c r="I43" s="54" t="s">
        <v>274</v>
      </c>
    </row>
    <row r="44" customFormat="false" ht="15" hidden="false" customHeight="false" outlineLevel="0" collapsed="false">
      <c r="A44" s="48"/>
      <c r="B44" s="48"/>
      <c r="C44" s="48"/>
      <c r="D44" s="49" t="s">
        <v>23</v>
      </c>
      <c r="E44" s="59" t="n">
        <f aca="false">SUM(E5:E43)</f>
        <v>1676.26</v>
      </c>
      <c r="F44" s="48"/>
      <c r="G44" s="48"/>
      <c r="H44" s="48"/>
      <c r="I44" s="48"/>
    </row>
    <row r="45" customFormat="false" ht="15" hidden="false" customHeight="false" outlineLevel="0" collapsed="false">
      <c r="D45" s="60" t="s">
        <v>353</v>
      </c>
      <c r="E45" s="61" t="n">
        <f aca="false">SUMIF(I5:I43,"MISCODE",E5:E43)</f>
        <v>1187.61</v>
      </c>
    </row>
    <row r="46" customFormat="false" ht="15" hidden="false" customHeight="false" outlineLevel="0" collapsed="false">
      <c r="D46" s="62" t="s">
        <v>354</v>
      </c>
      <c r="E46" s="63" t="n">
        <f aca="false">SUMIF(I5:I43,"OK",E5:E43)</f>
        <v>488.65</v>
      </c>
    </row>
  </sheetData>
  <mergeCells count="2">
    <mergeCell ref="A1:I1"/>
    <mergeCell ref="A2:I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4"/>
    <col collapsed="false" customWidth="true" hidden="false" outlineLevel="0" max="3" min="3" style="0" width="26"/>
    <col collapsed="false" customWidth="true" hidden="false" outlineLevel="0" max="4" min="4" style="0" width="62"/>
    <col collapsed="false" customWidth="true" hidden="false" outlineLevel="0" max="5" min="5" style="0" width="12"/>
    <col collapsed="false" customWidth="true" hidden="false" outlineLevel="0" max="6" min="6" style="0" width="46"/>
  </cols>
  <sheetData>
    <row r="1" customFormat="false" ht="27.75" hidden="false" customHeight="true" outlineLevel="0" collapsed="false">
      <c r="A1" s="1" t="s">
        <v>355</v>
      </c>
      <c r="B1" s="1"/>
      <c r="C1" s="1"/>
      <c r="D1" s="1"/>
      <c r="E1" s="1"/>
      <c r="F1" s="1"/>
    </row>
    <row r="2" customFormat="false" ht="15.75" hidden="false" customHeight="true" outlineLevel="0" collapsed="false">
      <c r="A2" s="2" t="s">
        <v>356</v>
      </c>
      <c r="B2" s="2"/>
      <c r="C2" s="2"/>
      <c r="D2" s="2"/>
      <c r="E2" s="2"/>
      <c r="F2" s="2"/>
    </row>
    <row r="4" customFormat="false" ht="19.5" hidden="false" customHeight="true" outlineLevel="0" collapsed="false">
      <c r="A4" s="6" t="s">
        <v>357</v>
      </c>
      <c r="B4" s="6"/>
      <c r="C4" s="6"/>
      <c r="D4" s="6"/>
      <c r="E4" s="6"/>
      <c r="F4" s="6"/>
    </row>
    <row r="5" customFormat="false" ht="15" hidden="false" customHeight="false" outlineLevel="0" collapsed="false">
      <c r="A5" s="7" t="s">
        <v>358</v>
      </c>
      <c r="B5" s="7" t="s">
        <v>359</v>
      </c>
      <c r="C5" s="7" t="s">
        <v>360</v>
      </c>
      <c r="D5" s="7" t="s">
        <v>361</v>
      </c>
      <c r="E5" s="7" t="s">
        <v>362</v>
      </c>
      <c r="F5" s="7" t="s">
        <v>363</v>
      </c>
    </row>
    <row r="6" customFormat="false" ht="42" hidden="false" customHeight="true" outlineLevel="0" collapsed="false">
      <c r="A6" s="64" t="s">
        <v>364</v>
      </c>
      <c r="B6" s="65" t="s">
        <v>365</v>
      </c>
      <c r="C6" s="65" t="s">
        <v>366</v>
      </c>
      <c r="D6" s="66" t="s">
        <v>367</v>
      </c>
      <c r="E6" s="67" t="n">
        <v>363.64</v>
      </c>
      <c r="F6" s="66" t="s">
        <v>368</v>
      </c>
    </row>
    <row r="8" customFormat="false" ht="19.5" hidden="false" customHeight="true" outlineLevel="0" collapsed="false">
      <c r="A8" s="6" t="s">
        <v>369</v>
      </c>
      <c r="B8" s="6"/>
      <c r="C8" s="6"/>
      <c r="D8" s="6"/>
      <c r="E8" s="6"/>
      <c r="F8" s="6"/>
    </row>
    <row r="9" customFormat="false" ht="15" hidden="false" customHeight="false" outlineLevel="0" collapsed="false">
      <c r="A9" s="7" t="s">
        <v>358</v>
      </c>
      <c r="B9" s="7" t="s">
        <v>359</v>
      </c>
      <c r="C9" s="7" t="s">
        <v>360</v>
      </c>
      <c r="D9" s="7" t="s">
        <v>361</v>
      </c>
      <c r="E9" s="7" t="s">
        <v>362</v>
      </c>
      <c r="F9" s="7" t="s">
        <v>363</v>
      </c>
    </row>
    <row r="10" customFormat="false" ht="42" hidden="false" customHeight="true" outlineLevel="0" collapsed="false">
      <c r="A10" s="68" t="s">
        <v>370</v>
      </c>
      <c r="B10" s="69" t="s">
        <v>371</v>
      </c>
      <c r="C10" s="69" t="s">
        <v>372</v>
      </c>
      <c r="D10" s="52" t="s">
        <v>373</v>
      </c>
      <c r="E10" s="53" t="n">
        <v>77.27</v>
      </c>
      <c r="F10" s="52" t="s">
        <v>374</v>
      </c>
    </row>
    <row r="11" customFormat="false" ht="42" hidden="false" customHeight="true" outlineLevel="0" collapsed="false">
      <c r="A11" s="68" t="s">
        <v>370</v>
      </c>
      <c r="B11" s="69" t="s">
        <v>375</v>
      </c>
      <c r="C11" s="69" t="s">
        <v>376</v>
      </c>
      <c r="D11" s="52" t="s">
        <v>377</v>
      </c>
      <c r="E11" s="53" t="n">
        <v>1059.76</v>
      </c>
      <c r="F11" s="52" t="s">
        <v>378</v>
      </c>
    </row>
    <row r="12" customFormat="false" ht="42" hidden="false" customHeight="true" outlineLevel="0" collapsed="false">
      <c r="A12" s="68" t="s">
        <v>370</v>
      </c>
      <c r="B12" s="69" t="s">
        <v>379</v>
      </c>
      <c r="C12" s="69" t="s">
        <v>380</v>
      </c>
      <c r="D12" s="52" t="s">
        <v>381</v>
      </c>
      <c r="E12" s="53" t="n">
        <v>6.05</v>
      </c>
      <c r="F12" s="52" t="s">
        <v>382</v>
      </c>
    </row>
    <row r="13" customFormat="false" ht="42" hidden="false" customHeight="true" outlineLevel="0" collapsed="false">
      <c r="A13" s="68" t="s">
        <v>370</v>
      </c>
      <c r="B13" s="69" t="s">
        <v>383</v>
      </c>
      <c r="C13" s="69" t="s">
        <v>384</v>
      </c>
      <c r="D13" s="52" t="s">
        <v>385</v>
      </c>
      <c r="E13" s="53" t="n">
        <v>787.74</v>
      </c>
      <c r="F13" s="52" t="s">
        <v>386</v>
      </c>
    </row>
    <row r="15" customFormat="false" ht="19.5" hidden="false" customHeight="true" outlineLevel="0" collapsed="false">
      <c r="A15" s="6" t="s">
        <v>387</v>
      </c>
      <c r="B15" s="6"/>
      <c r="C15" s="6"/>
      <c r="D15" s="6"/>
      <c r="E15" s="6"/>
      <c r="F15" s="6"/>
    </row>
    <row r="16" customFormat="false" ht="15" hidden="false" customHeight="false" outlineLevel="0" collapsed="false">
      <c r="A16" s="7" t="s">
        <v>358</v>
      </c>
      <c r="B16" s="7" t="s">
        <v>359</v>
      </c>
      <c r="C16" s="7" t="s">
        <v>360</v>
      </c>
      <c r="D16" s="7" t="s">
        <v>361</v>
      </c>
      <c r="E16" s="7" t="s">
        <v>362</v>
      </c>
      <c r="F16" s="7" t="s">
        <v>363</v>
      </c>
    </row>
    <row r="17" customFormat="false" ht="42" hidden="false" customHeight="true" outlineLevel="0" collapsed="false">
      <c r="A17" s="68" t="s">
        <v>370</v>
      </c>
      <c r="B17" s="69" t="s">
        <v>388</v>
      </c>
      <c r="C17" s="69" t="s">
        <v>389</v>
      </c>
      <c r="D17" s="52" t="s">
        <v>390</v>
      </c>
      <c r="E17" s="53" t="n">
        <v>1240.45</v>
      </c>
      <c r="F17" s="52" t="s">
        <v>391</v>
      </c>
    </row>
    <row r="19" customFormat="false" ht="19.5" hidden="false" customHeight="true" outlineLevel="0" collapsed="false">
      <c r="A19" s="6" t="s">
        <v>392</v>
      </c>
      <c r="B19" s="6"/>
      <c r="C19" s="6"/>
      <c r="D19" s="6"/>
      <c r="E19" s="6"/>
      <c r="F19" s="6"/>
    </row>
    <row r="20" customFormat="false" ht="15" hidden="false" customHeight="false" outlineLevel="0" collapsed="false">
      <c r="A20" s="7" t="s">
        <v>358</v>
      </c>
      <c r="B20" s="7" t="s">
        <v>359</v>
      </c>
      <c r="C20" s="7" t="s">
        <v>360</v>
      </c>
      <c r="D20" s="7" t="s">
        <v>361</v>
      </c>
      <c r="E20" s="7" t="s">
        <v>362</v>
      </c>
      <c r="F20" s="7" t="s">
        <v>363</v>
      </c>
    </row>
    <row r="21" customFormat="false" ht="42" hidden="false" customHeight="true" outlineLevel="0" collapsed="false">
      <c r="A21" s="70" t="s">
        <v>393</v>
      </c>
      <c r="B21" s="71" t="s">
        <v>394</v>
      </c>
      <c r="C21" s="71" t="s">
        <v>395</v>
      </c>
      <c r="D21" s="56" t="s">
        <v>396</v>
      </c>
      <c r="E21" s="55" t="s">
        <v>397</v>
      </c>
      <c r="F21" s="56" t="s">
        <v>398</v>
      </c>
    </row>
    <row r="22" customFormat="false" ht="42" hidden="false" customHeight="true" outlineLevel="0" collapsed="false">
      <c r="A22" s="70" t="s">
        <v>393</v>
      </c>
      <c r="B22" s="71" t="s">
        <v>399</v>
      </c>
      <c r="C22" s="71" t="s">
        <v>400</v>
      </c>
      <c r="D22" s="56" t="s">
        <v>401</v>
      </c>
      <c r="E22" s="55" t="s">
        <v>397</v>
      </c>
      <c r="F22" s="56" t="s">
        <v>398</v>
      </c>
    </row>
    <row r="23" customFormat="false" ht="42" hidden="false" customHeight="true" outlineLevel="0" collapsed="false">
      <c r="A23" s="70" t="s">
        <v>393</v>
      </c>
      <c r="B23" s="71" t="s">
        <v>402</v>
      </c>
      <c r="C23" s="71" t="s">
        <v>403</v>
      </c>
      <c r="D23" s="56" t="s">
        <v>404</v>
      </c>
      <c r="E23" s="55" t="s">
        <v>397</v>
      </c>
      <c r="F23" s="56" t="s">
        <v>398</v>
      </c>
    </row>
    <row r="24" customFormat="false" ht="42" hidden="false" customHeight="true" outlineLevel="0" collapsed="false">
      <c r="A24" s="70" t="s">
        <v>393</v>
      </c>
      <c r="B24" s="71" t="s">
        <v>405</v>
      </c>
      <c r="C24" s="71" t="s">
        <v>406</v>
      </c>
      <c r="D24" s="56" t="s">
        <v>407</v>
      </c>
      <c r="E24" s="55" t="s">
        <v>397</v>
      </c>
      <c r="F24" s="56" t="s">
        <v>398</v>
      </c>
    </row>
    <row r="25" customFormat="false" ht="42" hidden="false" customHeight="true" outlineLevel="0" collapsed="false">
      <c r="A25" s="70" t="s">
        <v>393</v>
      </c>
      <c r="B25" s="71" t="s">
        <v>408</v>
      </c>
      <c r="C25" s="71" t="s">
        <v>409</v>
      </c>
      <c r="D25" s="56" t="s">
        <v>410</v>
      </c>
      <c r="E25" s="55" t="s">
        <v>397</v>
      </c>
      <c r="F25" s="56" t="s">
        <v>398</v>
      </c>
    </row>
    <row r="26" customFormat="false" ht="42" hidden="false" customHeight="true" outlineLevel="0" collapsed="false">
      <c r="A26" s="70" t="s">
        <v>393</v>
      </c>
      <c r="B26" s="71" t="s">
        <v>411</v>
      </c>
      <c r="C26" s="71" t="s">
        <v>412</v>
      </c>
      <c r="D26" s="56" t="s">
        <v>413</v>
      </c>
      <c r="E26" s="55" t="s">
        <v>397</v>
      </c>
      <c r="F26" s="56" t="s">
        <v>398</v>
      </c>
    </row>
  </sheetData>
  <mergeCells count="6">
    <mergeCell ref="A1:F1"/>
    <mergeCell ref="A2:F2"/>
    <mergeCell ref="A4:F4"/>
    <mergeCell ref="A8:F8"/>
    <mergeCell ref="A15:F15"/>
    <mergeCell ref="A19:F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2026-06-03T05:18:17Z</dcterms:created>
  <dc:creator>openpyxl</dc:creator>
  <dc:description/>
  <dc:language>en-US</dc:language>
  <cp:lastModifiedBy/>
  <dcterms:modified xsi:type="dcterms:W3CDTF">2026-06-03T05:18:18Z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